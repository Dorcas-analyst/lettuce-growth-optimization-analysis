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dorca\Videos\DATA ANALYSIS\"/>
    </mc:Choice>
  </mc:AlternateContent>
  <xr:revisionPtr revIDLastSave="0" documentId="13_ncr:1_{56BD2D91-255C-47EB-B33A-EAADC8E63362}" xr6:coauthVersionLast="47" xr6:coauthVersionMax="47" xr10:uidLastSave="{00000000-0000-0000-0000-000000000000}"/>
  <bookViews>
    <workbookView xWindow="-120" yWindow="-120" windowWidth="20730" windowHeight="11160" tabRatio="905" firstSheet="1" activeTab="4" xr2:uid="{951833ED-9348-45C7-A923-25878C2DE2C9}"/>
  </bookViews>
  <sheets>
    <sheet name="lettuce_dataset" sheetId="5" r:id="rId1"/>
    <sheet name="lettuce_dataset2" sheetId="9" r:id="rId2"/>
    <sheet name="Pre-analysis board" sheetId="8" r:id="rId3"/>
    <sheet name="In-analysis board" sheetId="28" r:id="rId4"/>
    <sheet name="Dashboard" sheetId="25" r:id="rId5"/>
    <sheet name="Post-analysis board" sheetId="29" r:id="rId6"/>
    <sheet name="Trend of daily Humidity " sheetId="19" r:id="rId7"/>
    <sheet name="Trend of daily Temp" sheetId="27" r:id="rId8"/>
    <sheet name="Trend of Daily TDS" sheetId="20" r:id="rId9"/>
    <sheet name="Trend of DailyPH" sheetId="21" r:id="rId10"/>
    <sheet name="Growth rate number" sheetId="23" r:id="rId11"/>
    <sheet name="Total lettuce each day" sheetId="22" r:id="rId12"/>
    <sheet name="Nutrient adequacy perc" sheetId="24" r:id="rId13"/>
  </sheets>
  <definedNames>
    <definedName name="_xlcn.WorksheetConnection_lettuce_dataset_updated.csvTable4_21" hidden="1">Table4_2[]</definedName>
    <definedName name="ExternalData_1" localSheetId="0" hidden="1">lettuce_dataset!$A$1:$I$3170</definedName>
    <definedName name="ExternalData_2" localSheetId="1" hidden="1">lettuce_dataset2!$A$1:$J$3170</definedName>
    <definedName name="Slicer_Growth_Days">#N/A</definedName>
    <definedName name="Slicer_Growth_Stage">#N/A</definedName>
    <definedName name="Slicer_Nutrient_Adequacy">#N/A</definedName>
  </definedNames>
  <calcPr calcId="191029"/>
  <pivotCaches>
    <pivotCache cacheId="10" r:id="rId14"/>
    <pivotCache cacheId="16" r:id="rId15"/>
    <pivotCache cacheId="19" r:id="rId16"/>
    <pivotCache cacheId="22" r:id="rId17"/>
    <pivotCache cacheId="25" r:id="rId18"/>
    <pivotCache cacheId="28" r:id="rId19"/>
    <pivotCache cacheId="31"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_2" name="Table4_2" connection="WorksheetConnection_lettuce_dataset_updated.csv!Table4_2"/>
        </x15:modelTables>
        <x15:extLst>
          <ext xmlns:x16="http://schemas.microsoft.com/office/spreadsheetml/2014/11/main" uri="{9835A34E-60A6-4A7C-AAB8-D5F71C897F49}">
            <x16:modelTimeGroupings>
              <x16:modelTimeGrouping tableName="Table4_2"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9" l="1"/>
  <c r="C2" i="9"/>
  <c r="N7" i="9"/>
  <c r="C1270" i="9"/>
  <c r="C1760" i="9"/>
  <c r="C2250" i="9"/>
  <c r="C2740" i="9"/>
  <c r="C428" i="9"/>
  <c r="C850" i="9"/>
  <c r="C1271" i="9"/>
  <c r="C1761" i="9"/>
  <c r="C2251" i="9"/>
  <c r="C2741" i="9"/>
  <c r="C3" i="9"/>
  <c r="C429" i="9"/>
  <c r="C851" i="9"/>
  <c r="C1272" i="9"/>
  <c r="C1762" i="9"/>
  <c r="C2252" i="9"/>
  <c r="C2742" i="9"/>
  <c r="C4" i="9"/>
  <c r="C430" i="9"/>
  <c r="C852" i="9"/>
  <c r="C1273" i="9"/>
  <c r="C1763" i="9"/>
  <c r="C2253" i="9"/>
  <c r="C2743" i="9"/>
  <c r="C5" i="9"/>
  <c r="C431" i="9"/>
  <c r="C853" i="9"/>
  <c r="C1274" i="9"/>
  <c r="C1764" i="9"/>
  <c r="C2254" i="9"/>
  <c r="C2744" i="9"/>
  <c r="C6" i="9"/>
  <c r="C432" i="9"/>
  <c r="C854" i="9"/>
  <c r="C1275" i="9"/>
  <c r="C1765" i="9"/>
  <c r="C2255" i="9"/>
  <c r="C2745" i="9"/>
  <c r="C7" i="9"/>
  <c r="C433" i="9"/>
  <c r="C855" i="9"/>
  <c r="C1276" i="9"/>
  <c r="C1766" i="9"/>
  <c r="C2256" i="9"/>
  <c r="C1277" i="9"/>
  <c r="C1767" i="9"/>
  <c r="C2257" i="9"/>
  <c r="C2746" i="9"/>
  <c r="C8" i="9"/>
  <c r="C434" i="9"/>
  <c r="C856" i="9"/>
  <c r="C1278" i="9"/>
  <c r="C1768" i="9"/>
  <c r="C2258" i="9"/>
  <c r="C2747" i="9"/>
  <c r="C9" i="9"/>
  <c r="C435" i="9"/>
  <c r="C857" i="9"/>
  <c r="C1279" i="9"/>
  <c r="C1769" i="9"/>
  <c r="C2259" i="9"/>
  <c r="C2748" i="9"/>
  <c r="C10" i="9"/>
  <c r="C436" i="9"/>
  <c r="C858" i="9"/>
  <c r="C1280" i="9"/>
  <c r="C1770" i="9"/>
  <c r="C2260" i="9"/>
  <c r="C2749" i="9"/>
  <c r="C11" i="9"/>
  <c r="C437" i="9"/>
  <c r="C859" i="9"/>
  <c r="C1281" i="9"/>
  <c r="C1771" i="9"/>
  <c r="C2261" i="9"/>
  <c r="C2750" i="9"/>
  <c r="C12" i="9"/>
  <c r="C438" i="9"/>
  <c r="C860" i="9"/>
  <c r="C1282" i="9"/>
  <c r="C1772" i="9"/>
  <c r="C2262" i="9"/>
  <c r="C2751" i="9"/>
  <c r="C13" i="9"/>
  <c r="C439" i="9"/>
  <c r="C861" i="9"/>
  <c r="C1283" i="9"/>
  <c r="C1773" i="9"/>
  <c r="C2263" i="9"/>
  <c r="C1284" i="9"/>
  <c r="C1774" i="9"/>
  <c r="C2264" i="9"/>
  <c r="C2752" i="9"/>
  <c r="C14" i="9"/>
  <c r="C440" i="9"/>
  <c r="C862" i="9"/>
  <c r="C1285" i="9"/>
  <c r="C1775" i="9"/>
  <c r="C2265" i="9"/>
  <c r="C2753" i="9"/>
  <c r="C15" i="9"/>
  <c r="C441" i="9"/>
  <c r="C863" i="9"/>
  <c r="C1286" i="9"/>
  <c r="C1776" i="9"/>
  <c r="C2266" i="9"/>
  <c r="C2754" i="9"/>
  <c r="C16" i="9"/>
  <c r="C442" i="9"/>
  <c r="C864" i="9"/>
  <c r="C1287" i="9"/>
  <c r="C1777" i="9"/>
  <c r="C2267" i="9"/>
  <c r="C2755" i="9"/>
  <c r="C17" i="9"/>
  <c r="C443" i="9"/>
  <c r="C865" i="9"/>
  <c r="C1288" i="9"/>
  <c r="C1778" i="9"/>
  <c r="C2268" i="9"/>
  <c r="C2756" i="9"/>
  <c r="C18" i="9"/>
  <c r="C444" i="9"/>
  <c r="C866" i="9"/>
  <c r="C1289" i="9"/>
  <c r="C1779" i="9"/>
  <c r="C2269" i="9"/>
  <c r="C2757" i="9"/>
  <c r="C19" i="9"/>
  <c r="C445" i="9"/>
  <c r="C867" i="9"/>
  <c r="C1290" i="9"/>
  <c r="C1780" i="9"/>
  <c r="C2270" i="9"/>
  <c r="C2758" i="9"/>
  <c r="C20" i="9"/>
  <c r="C1291" i="9"/>
  <c r="C1781" i="9"/>
  <c r="C2271" i="9"/>
  <c r="C2759" i="9"/>
  <c r="C21" i="9"/>
  <c r="C446" i="9"/>
  <c r="C868" i="9"/>
  <c r="C1292" i="9"/>
  <c r="C1782" i="9"/>
  <c r="C2272" i="9"/>
  <c r="C2760" i="9"/>
  <c r="C22" i="9"/>
  <c r="C447" i="9"/>
  <c r="C869" i="9"/>
  <c r="C1293" i="9"/>
  <c r="C1783" i="9"/>
  <c r="C2273" i="9"/>
  <c r="C2761" i="9"/>
  <c r="C23" i="9"/>
  <c r="C448" i="9"/>
  <c r="C870" i="9"/>
  <c r="C1294" i="9"/>
  <c r="C1784" i="9"/>
  <c r="C2274" i="9"/>
  <c r="C2762" i="9"/>
  <c r="C24" i="9"/>
  <c r="C449" i="9"/>
  <c r="C871" i="9"/>
  <c r="C1295" i="9"/>
  <c r="C1785" i="9"/>
  <c r="C2275" i="9"/>
  <c r="C2763" i="9"/>
  <c r="C25" i="9"/>
  <c r="C450" i="9"/>
  <c r="C872" i="9"/>
  <c r="C1296" i="9"/>
  <c r="C1786" i="9"/>
  <c r="C2276" i="9"/>
  <c r="C2764" i="9"/>
  <c r="C26" i="9"/>
  <c r="C451" i="9"/>
  <c r="C873" i="9"/>
  <c r="C1297" i="9"/>
  <c r="C1787" i="9"/>
  <c r="C2277" i="9"/>
  <c r="C2765" i="9"/>
  <c r="C27" i="9"/>
  <c r="C452" i="9"/>
  <c r="C1298" i="9"/>
  <c r="C1788" i="9"/>
  <c r="C2278" i="9"/>
  <c r="C2766" i="9"/>
  <c r="C28" i="9"/>
  <c r="C453" i="9"/>
  <c r="C874" i="9"/>
  <c r="C1299" i="9"/>
  <c r="C1789" i="9"/>
  <c r="C2279" i="9"/>
  <c r="C2767" i="9"/>
  <c r="C29" i="9"/>
  <c r="C454" i="9"/>
  <c r="C875" i="9"/>
  <c r="C1300" i="9"/>
  <c r="C1790" i="9"/>
  <c r="C2280" i="9"/>
  <c r="C2768" i="9"/>
  <c r="C30" i="9"/>
  <c r="C455" i="9"/>
  <c r="C876" i="9"/>
  <c r="C1301" i="9"/>
  <c r="C1791" i="9"/>
  <c r="C2281" i="9"/>
  <c r="C2769" i="9"/>
  <c r="C31" i="9"/>
  <c r="C456" i="9"/>
  <c r="C877" i="9"/>
  <c r="C1302" i="9"/>
  <c r="C1792" i="9"/>
  <c r="C2282" i="9"/>
  <c r="C2770" i="9"/>
  <c r="C32" i="9"/>
  <c r="C457" i="9"/>
  <c r="C878" i="9"/>
  <c r="C1303" i="9"/>
  <c r="C1793" i="9"/>
  <c r="C2283" i="9"/>
  <c r="C2771" i="9"/>
  <c r="C33" i="9"/>
  <c r="C458" i="9"/>
  <c r="C879" i="9"/>
  <c r="C1304" i="9"/>
  <c r="C1794" i="9"/>
  <c r="C2284" i="9"/>
  <c r="C1305" i="9"/>
  <c r="C1795" i="9"/>
  <c r="C2285" i="9"/>
  <c r="C2772" i="9"/>
  <c r="C34" i="9"/>
  <c r="C459" i="9"/>
  <c r="C880" i="9"/>
  <c r="C1306" i="9"/>
  <c r="C1796" i="9"/>
  <c r="C2286" i="9"/>
  <c r="C2773" i="9"/>
  <c r="C35" i="9"/>
  <c r="C460" i="9"/>
  <c r="C881" i="9"/>
  <c r="C1307" i="9"/>
  <c r="C1797" i="9"/>
  <c r="C2287" i="9"/>
  <c r="C2774" i="9"/>
  <c r="C36" i="9"/>
  <c r="C461" i="9"/>
  <c r="C882" i="9"/>
  <c r="C1308" i="9"/>
  <c r="C1798" i="9"/>
  <c r="C2288" i="9"/>
  <c r="C2775" i="9"/>
  <c r="C37" i="9"/>
  <c r="C462" i="9"/>
  <c r="C883" i="9"/>
  <c r="C1309" i="9"/>
  <c r="C1799" i="9"/>
  <c r="C2289" i="9"/>
  <c r="C2776" i="9"/>
  <c r="C38" i="9"/>
  <c r="C463" i="9"/>
  <c r="C884" i="9"/>
  <c r="C1310" i="9"/>
  <c r="C1800" i="9"/>
  <c r="C2290" i="9"/>
  <c r="C2777" i="9"/>
  <c r="C39" i="9"/>
  <c r="C464" i="9"/>
  <c r="C885" i="9"/>
  <c r="C1311" i="9"/>
  <c r="C1801" i="9"/>
  <c r="C2291" i="9"/>
  <c r="C1312" i="9"/>
  <c r="C1802" i="9"/>
  <c r="C2292" i="9"/>
  <c r="C2778" i="9"/>
  <c r="C40" i="9"/>
  <c r="C465" i="9"/>
  <c r="C886" i="9"/>
  <c r="C1313" i="9"/>
  <c r="C1803" i="9"/>
  <c r="C2293" i="9"/>
  <c r="C2779" i="9"/>
  <c r="C41" i="9"/>
  <c r="C466" i="9"/>
  <c r="C887" i="9"/>
  <c r="C1314" i="9"/>
  <c r="C1804" i="9"/>
  <c r="C2294" i="9"/>
  <c r="C2780" i="9"/>
  <c r="C42" i="9"/>
  <c r="C467" i="9"/>
  <c r="C888" i="9"/>
  <c r="C1315" i="9"/>
  <c r="C1805" i="9"/>
  <c r="C2295" i="9"/>
  <c r="C2781" i="9"/>
  <c r="C43" i="9"/>
  <c r="C468" i="9"/>
  <c r="C889" i="9"/>
  <c r="C1316" i="9"/>
  <c r="C1806" i="9"/>
  <c r="C2296" i="9"/>
  <c r="C2782" i="9"/>
  <c r="C44" i="9"/>
  <c r="C469" i="9"/>
  <c r="C890" i="9"/>
  <c r="C1317" i="9"/>
  <c r="C1807" i="9"/>
  <c r="C2297" i="9"/>
  <c r="C2783" i="9"/>
  <c r="C45" i="9"/>
  <c r="C470" i="9"/>
  <c r="C891" i="9"/>
  <c r="C1318" i="9"/>
  <c r="C1808" i="9"/>
  <c r="C2298" i="9"/>
  <c r="C2784" i="9"/>
  <c r="C46" i="9"/>
  <c r="C1319" i="9"/>
  <c r="C1809" i="9"/>
  <c r="C2299" i="9"/>
  <c r="C2785" i="9"/>
  <c r="C47" i="9"/>
  <c r="C471" i="9"/>
  <c r="C892" i="9"/>
  <c r="C1320" i="9"/>
  <c r="C1810" i="9"/>
  <c r="C2300" i="9"/>
  <c r="C2786" i="9"/>
  <c r="C48" i="9"/>
  <c r="C472" i="9"/>
  <c r="C893" i="9"/>
  <c r="C1321" i="9"/>
  <c r="C1811" i="9"/>
  <c r="C2301" i="9"/>
  <c r="C2787" i="9"/>
  <c r="C49" i="9"/>
  <c r="C473" i="9"/>
  <c r="C894" i="9"/>
  <c r="C1322" i="9"/>
  <c r="C1812" i="9"/>
  <c r="C2302" i="9"/>
  <c r="C2788" i="9"/>
  <c r="C50" i="9"/>
  <c r="C474" i="9"/>
  <c r="C895" i="9"/>
  <c r="C1323" i="9"/>
  <c r="C1813" i="9"/>
  <c r="C2303" i="9"/>
  <c r="C2789" i="9"/>
  <c r="C51" i="9"/>
  <c r="C475" i="9"/>
  <c r="C896" i="9"/>
  <c r="C1324" i="9"/>
  <c r="C1814" i="9"/>
  <c r="C2304" i="9"/>
  <c r="C2790" i="9"/>
  <c r="C52" i="9"/>
  <c r="C476" i="9"/>
  <c r="C897" i="9"/>
  <c r="C1325" i="9"/>
  <c r="C1815" i="9"/>
  <c r="C2305" i="9"/>
  <c r="C1326" i="9"/>
  <c r="C1816" i="9"/>
  <c r="C2306" i="9"/>
  <c r="C2791" i="9"/>
  <c r="C53" i="9"/>
  <c r="C477" i="9"/>
  <c r="C898" i="9"/>
  <c r="C1327" i="9"/>
  <c r="C1817" i="9"/>
  <c r="C2307" i="9"/>
  <c r="C2792" i="9"/>
  <c r="C54" i="9"/>
  <c r="C478" i="9"/>
  <c r="C899" i="9"/>
  <c r="C1328" i="9"/>
  <c r="C1818" i="9"/>
  <c r="C2308" i="9"/>
  <c r="C2793" i="9"/>
  <c r="C55" i="9"/>
  <c r="C479" i="9"/>
  <c r="C900" i="9"/>
  <c r="C1329" i="9"/>
  <c r="C1819" i="9"/>
  <c r="C2309" i="9"/>
  <c r="C2794" i="9"/>
  <c r="C56" i="9"/>
  <c r="C480" i="9"/>
  <c r="C901" i="9"/>
  <c r="C1330" i="9"/>
  <c r="C1820" i="9"/>
  <c r="C2310" i="9"/>
  <c r="C2795" i="9"/>
  <c r="C57" i="9"/>
  <c r="C481" i="9"/>
  <c r="C902" i="9"/>
  <c r="C1331" i="9"/>
  <c r="C1821" i="9"/>
  <c r="C2311" i="9"/>
  <c r="C2796" i="9"/>
  <c r="C58" i="9"/>
  <c r="C482" i="9"/>
  <c r="C903" i="9"/>
  <c r="C1332" i="9"/>
  <c r="C1822" i="9"/>
  <c r="C2312" i="9"/>
  <c r="C2797" i="9"/>
  <c r="C1333" i="9"/>
  <c r="C1823" i="9"/>
  <c r="C2313" i="9"/>
  <c r="C2798" i="9"/>
  <c r="C59" i="9"/>
  <c r="C483" i="9"/>
  <c r="C904" i="9"/>
  <c r="C1334" i="9"/>
  <c r="C1824" i="9"/>
  <c r="C2314" i="9"/>
  <c r="C2799" i="9"/>
  <c r="C60" i="9"/>
  <c r="C484" i="9"/>
  <c r="C905" i="9"/>
  <c r="C1335" i="9"/>
  <c r="C1825" i="9"/>
  <c r="C2315" i="9"/>
  <c r="C2800" i="9"/>
  <c r="C61" i="9"/>
  <c r="C485" i="9"/>
  <c r="C906" i="9"/>
  <c r="C1336" i="9"/>
  <c r="C1826" i="9"/>
  <c r="C2316" i="9"/>
  <c r="C2801" i="9"/>
  <c r="C62" i="9"/>
  <c r="C486" i="9"/>
  <c r="C907" i="9"/>
  <c r="C1337" i="9"/>
  <c r="C1827" i="9"/>
  <c r="C2317" i="9"/>
  <c r="C2802" i="9"/>
  <c r="C63" i="9"/>
  <c r="C487" i="9"/>
  <c r="C908" i="9"/>
  <c r="C1338" i="9"/>
  <c r="C1828" i="9"/>
  <c r="C2318" i="9"/>
  <c r="C2803" i="9"/>
  <c r="C64" i="9"/>
  <c r="C488" i="9"/>
  <c r="C909" i="9"/>
  <c r="C1339" i="9"/>
  <c r="C1829" i="9"/>
  <c r="C2319" i="9"/>
  <c r="C1340" i="9"/>
  <c r="C1830" i="9"/>
  <c r="C2320" i="9"/>
  <c r="C2804" i="9"/>
  <c r="C65" i="9"/>
  <c r="C489" i="9"/>
  <c r="C910" i="9"/>
  <c r="C1341" i="9"/>
  <c r="C1831" i="9"/>
  <c r="C2321" i="9"/>
  <c r="C2805" i="9"/>
  <c r="C66" i="9"/>
  <c r="C490" i="9"/>
  <c r="C911" i="9"/>
  <c r="C1342" i="9"/>
  <c r="C1832" i="9"/>
  <c r="C2322" i="9"/>
  <c r="C2806" i="9"/>
  <c r="C67" i="9"/>
  <c r="C491" i="9"/>
  <c r="C912" i="9"/>
  <c r="C1343" i="9"/>
  <c r="C1833" i="9"/>
  <c r="C2323" i="9"/>
  <c r="C2807" i="9"/>
  <c r="C68" i="9"/>
  <c r="C492" i="9"/>
  <c r="C913" i="9"/>
  <c r="C1344" i="9"/>
  <c r="C1834" i="9"/>
  <c r="C2324" i="9"/>
  <c r="C2808" i="9"/>
  <c r="C69" i="9"/>
  <c r="C493" i="9"/>
  <c r="C914" i="9"/>
  <c r="C1345" i="9"/>
  <c r="C1835" i="9"/>
  <c r="C2325" i="9"/>
  <c r="C2809" i="9"/>
  <c r="C70" i="9"/>
  <c r="C494" i="9"/>
  <c r="C915" i="9"/>
  <c r="C1346" i="9"/>
  <c r="C1836" i="9"/>
  <c r="C2326" i="9"/>
  <c r="C2810" i="9"/>
  <c r="C71" i="9"/>
  <c r="C1347" i="9"/>
  <c r="C1837" i="9"/>
  <c r="C2327" i="9"/>
  <c r="C2811" i="9"/>
  <c r="C72" i="9"/>
  <c r="C495" i="9"/>
  <c r="C916" i="9"/>
  <c r="C1348" i="9"/>
  <c r="C1838" i="9"/>
  <c r="C2328" i="9"/>
  <c r="C2812" i="9"/>
  <c r="C73" i="9"/>
  <c r="C496" i="9"/>
  <c r="C917" i="9"/>
  <c r="C1349" i="9"/>
  <c r="C1839" i="9"/>
  <c r="C2329" i="9"/>
  <c r="C2813" i="9"/>
  <c r="C74" i="9"/>
  <c r="C497" i="9"/>
  <c r="C918" i="9"/>
  <c r="C1350" i="9"/>
  <c r="C1840" i="9"/>
  <c r="C2330" i="9"/>
  <c r="C2814" i="9"/>
  <c r="C75" i="9"/>
  <c r="C498" i="9"/>
  <c r="C919" i="9"/>
  <c r="C1351" i="9"/>
  <c r="C1841" i="9"/>
  <c r="C2331" i="9"/>
  <c r="C2815" i="9"/>
  <c r="C76" i="9"/>
  <c r="C499" i="9"/>
  <c r="C920" i="9"/>
  <c r="C1352" i="9"/>
  <c r="C1842" i="9"/>
  <c r="C2332" i="9"/>
  <c r="C2816" i="9"/>
  <c r="C77" i="9"/>
  <c r="C500" i="9"/>
  <c r="C921" i="9"/>
  <c r="C1353" i="9"/>
  <c r="C1843" i="9"/>
  <c r="C2333" i="9"/>
  <c r="C1354" i="9"/>
  <c r="C1844" i="9"/>
  <c r="C2334" i="9"/>
  <c r="C2817" i="9"/>
  <c r="C78" i="9"/>
  <c r="C501" i="9"/>
  <c r="C922" i="9"/>
  <c r="C1355" i="9"/>
  <c r="C1845" i="9"/>
  <c r="C2335" i="9"/>
  <c r="C2818" i="9"/>
  <c r="C79" i="9"/>
  <c r="C502" i="9"/>
  <c r="C923" i="9"/>
  <c r="C1356" i="9"/>
  <c r="C1846" i="9"/>
  <c r="C2336" i="9"/>
  <c r="C2819" i="9"/>
  <c r="C80" i="9"/>
  <c r="C503" i="9"/>
  <c r="C924" i="9"/>
  <c r="C1357" i="9"/>
  <c r="C1847" i="9"/>
  <c r="C2337" i="9"/>
  <c r="C2820" i="9"/>
  <c r="C81" i="9"/>
  <c r="C504" i="9"/>
  <c r="C925" i="9"/>
  <c r="C1358" i="9"/>
  <c r="C1848" i="9"/>
  <c r="C2338" i="9"/>
  <c r="C2821" i="9"/>
  <c r="C82" i="9"/>
  <c r="C505" i="9"/>
  <c r="C926" i="9"/>
  <c r="C1359" i="9"/>
  <c r="C1849" i="9"/>
  <c r="C2339" i="9"/>
  <c r="C2822" i="9"/>
  <c r="C83" i="9"/>
  <c r="C506" i="9"/>
  <c r="C927" i="9"/>
  <c r="C1360" i="9"/>
  <c r="C1850" i="9"/>
  <c r="C2340" i="9"/>
  <c r="C1361" i="9"/>
  <c r="C1851" i="9"/>
  <c r="C2341" i="9"/>
  <c r="C2823" i="9"/>
  <c r="C84" i="9"/>
  <c r="C507" i="9"/>
  <c r="C928" i="9"/>
  <c r="C1362" i="9"/>
  <c r="C1852" i="9"/>
  <c r="C2342" i="9"/>
  <c r="C2824" i="9"/>
  <c r="C85" i="9"/>
  <c r="C508" i="9"/>
  <c r="C929" i="9"/>
  <c r="C1363" i="9"/>
  <c r="C1853" i="9"/>
  <c r="C2343" i="9"/>
  <c r="C2825" i="9"/>
  <c r="C86" i="9"/>
  <c r="C509" i="9"/>
  <c r="C930" i="9"/>
  <c r="C1364" i="9"/>
  <c r="C1854" i="9"/>
  <c r="C2344" i="9"/>
  <c r="C2826" i="9"/>
  <c r="C87" i="9"/>
  <c r="C510" i="9"/>
  <c r="C931" i="9"/>
  <c r="C1365" i="9"/>
  <c r="C1855" i="9"/>
  <c r="C2345" i="9"/>
  <c r="C2827" i="9"/>
  <c r="C88" i="9"/>
  <c r="C511" i="9"/>
  <c r="C932" i="9"/>
  <c r="C1366" i="9"/>
  <c r="C1856" i="9"/>
  <c r="C2346" i="9"/>
  <c r="C2828" i="9"/>
  <c r="C89" i="9"/>
  <c r="C512" i="9"/>
  <c r="C933" i="9"/>
  <c r="C1367" i="9"/>
  <c r="C1857" i="9"/>
  <c r="C2347" i="9"/>
  <c r="C1368" i="9"/>
  <c r="C1858" i="9"/>
  <c r="C2348" i="9"/>
  <c r="C2829" i="9"/>
  <c r="C90" i="9"/>
  <c r="C513" i="9"/>
  <c r="C934" i="9"/>
  <c r="C1369" i="9"/>
  <c r="C1859" i="9"/>
  <c r="C2349" i="9"/>
  <c r="C2830" i="9"/>
  <c r="C91" i="9"/>
  <c r="C514" i="9"/>
  <c r="C935" i="9"/>
  <c r="C1370" i="9"/>
  <c r="C1860" i="9"/>
  <c r="C2350" i="9"/>
  <c r="C2831" i="9"/>
  <c r="C92" i="9"/>
  <c r="C515" i="9"/>
  <c r="C936" i="9"/>
  <c r="C1371" i="9"/>
  <c r="C1861" i="9"/>
  <c r="C2351" i="9"/>
  <c r="C2832" i="9"/>
  <c r="C93" i="9"/>
  <c r="C516" i="9"/>
  <c r="C937" i="9"/>
  <c r="C1372" i="9"/>
  <c r="C1862" i="9"/>
  <c r="C2352" i="9"/>
  <c r="C2833" i="9"/>
  <c r="C94" i="9"/>
  <c r="C517" i="9"/>
  <c r="C938" i="9"/>
  <c r="C1373" i="9"/>
  <c r="C1863" i="9"/>
  <c r="C2353" i="9"/>
  <c r="C2834" i="9"/>
  <c r="C95" i="9"/>
  <c r="C518" i="9"/>
  <c r="C939" i="9"/>
  <c r="C1374" i="9"/>
  <c r="C1864" i="9"/>
  <c r="C2354" i="9"/>
  <c r="C1375" i="9"/>
  <c r="C1865" i="9"/>
  <c r="C2355" i="9"/>
  <c r="C2835" i="9"/>
  <c r="C96" i="9"/>
  <c r="C519" i="9"/>
  <c r="C940" i="9"/>
  <c r="C1376" i="9"/>
  <c r="C1866" i="9"/>
  <c r="C2356" i="9"/>
  <c r="C2836" i="9"/>
  <c r="C97" i="9"/>
  <c r="C520" i="9"/>
  <c r="C941" i="9"/>
  <c r="C1377" i="9"/>
  <c r="C1867" i="9"/>
  <c r="C2357" i="9"/>
  <c r="C2837" i="9"/>
  <c r="C98" i="9"/>
  <c r="C521" i="9"/>
  <c r="C942" i="9"/>
  <c r="C1378" i="9"/>
  <c r="C1868" i="9"/>
  <c r="C2358" i="9"/>
  <c r="C2838" i="9"/>
  <c r="C99" i="9"/>
  <c r="C522" i="9"/>
  <c r="C943" i="9"/>
  <c r="C1379" i="9"/>
  <c r="C1869" i="9"/>
  <c r="C2359" i="9"/>
  <c r="C2839" i="9"/>
  <c r="C100" i="9"/>
  <c r="C523" i="9"/>
  <c r="C944" i="9"/>
  <c r="C1380" i="9"/>
  <c r="C1870" i="9"/>
  <c r="C2360" i="9"/>
  <c r="C2840" i="9"/>
  <c r="C101" i="9"/>
  <c r="C524" i="9"/>
  <c r="C945" i="9"/>
  <c r="C1381" i="9"/>
  <c r="C1871" i="9"/>
  <c r="C2361" i="9"/>
  <c r="C2841" i="9"/>
  <c r="C1382" i="9"/>
  <c r="C1872" i="9"/>
  <c r="C2362" i="9"/>
  <c r="C2842" i="9"/>
  <c r="C102" i="9"/>
  <c r="C525" i="9"/>
  <c r="C946" i="9"/>
  <c r="C1383" i="9"/>
  <c r="C1873" i="9"/>
  <c r="C2363" i="9"/>
  <c r="C2843" i="9"/>
  <c r="C103" i="9"/>
  <c r="C526" i="9"/>
  <c r="C947" i="9"/>
  <c r="C1384" i="9"/>
  <c r="C1874" i="9"/>
  <c r="C2364" i="9"/>
  <c r="C2844" i="9"/>
  <c r="C104" i="9"/>
  <c r="C527" i="9"/>
  <c r="C948" i="9"/>
  <c r="C1385" i="9"/>
  <c r="C1875" i="9"/>
  <c r="C2365" i="9"/>
  <c r="C2845" i="9"/>
  <c r="C105" i="9"/>
  <c r="C528" i="9"/>
  <c r="C949" i="9"/>
  <c r="C1386" i="9"/>
  <c r="C1876" i="9"/>
  <c r="C2366" i="9"/>
  <c r="C2846" i="9"/>
  <c r="C106" i="9"/>
  <c r="C529" i="9"/>
  <c r="C950" i="9"/>
  <c r="C1387" i="9"/>
  <c r="C1877" i="9"/>
  <c r="C2367" i="9"/>
  <c r="C2847" i="9"/>
  <c r="C107" i="9"/>
  <c r="C530" i="9"/>
  <c r="C951" i="9"/>
  <c r="C1388" i="9"/>
  <c r="C1878" i="9"/>
  <c r="C2368" i="9"/>
  <c r="C1389" i="9"/>
  <c r="C1879" i="9"/>
  <c r="C2369" i="9"/>
  <c r="C2848" i="9"/>
  <c r="C108" i="9"/>
  <c r="C531" i="9"/>
  <c r="C952" i="9"/>
  <c r="C1390" i="9"/>
  <c r="C1880" i="9"/>
  <c r="C2370" i="9"/>
  <c r="C2849" i="9"/>
  <c r="C109" i="9"/>
  <c r="C532" i="9"/>
  <c r="C953" i="9"/>
  <c r="C1391" i="9"/>
  <c r="C1881" i="9"/>
  <c r="C2371" i="9"/>
  <c r="C2850" i="9"/>
  <c r="C110" i="9"/>
  <c r="C533" i="9"/>
  <c r="C954" i="9"/>
  <c r="C1392" i="9"/>
  <c r="C1882" i="9"/>
  <c r="C2372" i="9"/>
  <c r="C2851" i="9"/>
  <c r="C111" i="9"/>
  <c r="C534" i="9"/>
  <c r="C955" i="9"/>
  <c r="C1393" i="9"/>
  <c r="C1883" i="9"/>
  <c r="C2373" i="9"/>
  <c r="C2852" i="9"/>
  <c r="C112" i="9"/>
  <c r="C535" i="9"/>
  <c r="C956" i="9"/>
  <c r="C1394" i="9"/>
  <c r="C1884" i="9"/>
  <c r="C2374" i="9"/>
  <c r="C2853" i="9"/>
  <c r="C113" i="9"/>
  <c r="C536" i="9"/>
  <c r="C957" i="9"/>
  <c r="C1395" i="9"/>
  <c r="C1885" i="9"/>
  <c r="C2375" i="9"/>
  <c r="C1396" i="9"/>
  <c r="C1886" i="9"/>
  <c r="C2376" i="9"/>
  <c r="C2854" i="9"/>
  <c r="C114" i="9"/>
  <c r="C537" i="9"/>
  <c r="C958" i="9"/>
  <c r="C1397" i="9"/>
  <c r="C1887" i="9"/>
  <c r="C2377" i="9"/>
  <c r="C2855" i="9"/>
  <c r="C115" i="9"/>
  <c r="C538" i="9"/>
  <c r="C959" i="9"/>
  <c r="C1398" i="9"/>
  <c r="C1888" i="9"/>
  <c r="C2378" i="9"/>
  <c r="C2856" i="9"/>
  <c r="C116" i="9"/>
  <c r="C539" i="9"/>
  <c r="C960" i="9"/>
  <c r="C1399" i="9"/>
  <c r="C1889" i="9"/>
  <c r="C2379" i="9"/>
  <c r="C2857" i="9"/>
  <c r="C117" i="9"/>
  <c r="C540" i="9"/>
  <c r="C961" i="9"/>
  <c r="C1400" i="9"/>
  <c r="C1890" i="9"/>
  <c r="C2380" i="9"/>
  <c r="C2858" i="9"/>
  <c r="C118" i="9"/>
  <c r="C541" i="9"/>
  <c r="C962" i="9"/>
  <c r="C1401" i="9"/>
  <c r="C1891" i="9"/>
  <c r="C2381" i="9"/>
  <c r="C2859" i="9"/>
  <c r="C119" i="9"/>
  <c r="C542" i="9"/>
  <c r="C963" i="9"/>
  <c r="C1402" i="9"/>
  <c r="C1892" i="9"/>
  <c r="C2382" i="9"/>
  <c r="C1403" i="9"/>
  <c r="C1893" i="9"/>
  <c r="C2383" i="9"/>
  <c r="C2860" i="9"/>
  <c r="C120" i="9"/>
  <c r="C543" i="9"/>
  <c r="C964" i="9"/>
  <c r="C1404" i="9"/>
  <c r="C1894" i="9"/>
  <c r="C2384" i="9"/>
  <c r="C2861" i="9"/>
  <c r="C121" i="9"/>
  <c r="C544" i="9"/>
  <c r="C965" i="9"/>
  <c r="C1405" i="9"/>
  <c r="C1895" i="9"/>
  <c r="C2385" i="9"/>
  <c r="C2862" i="9"/>
  <c r="C122" i="9"/>
  <c r="C545" i="9"/>
  <c r="C966" i="9"/>
  <c r="C1406" i="9"/>
  <c r="C1896" i="9"/>
  <c r="C2386" i="9"/>
  <c r="C2863" i="9"/>
  <c r="C123" i="9"/>
  <c r="C546" i="9"/>
  <c r="C967" i="9"/>
  <c r="C1407" i="9"/>
  <c r="C1897" i="9"/>
  <c r="C2387" i="9"/>
  <c r="C2864" i="9"/>
  <c r="C124" i="9"/>
  <c r="C547" i="9"/>
  <c r="C968" i="9"/>
  <c r="C1408" i="9"/>
  <c r="C1898" i="9"/>
  <c r="C2388" i="9"/>
  <c r="C2865" i="9"/>
  <c r="C125" i="9"/>
  <c r="C548" i="9"/>
  <c r="C969" i="9"/>
  <c r="C1409" i="9"/>
  <c r="C1899" i="9"/>
  <c r="C2389" i="9"/>
  <c r="C1410" i="9"/>
  <c r="C1900" i="9"/>
  <c r="C2390" i="9"/>
  <c r="C2866" i="9"/>
  <c r="C126" i="9"/>
  <c r="C549" i="9"/>
  <c r="C970" i="9"/>
  <c r="C1411" i="9"/>
  <c r="C1901" i="9"/>
  <c r="C2391" i="9"/>
  <c r="C2867" i="9"/>
  <c r="C127" i="9"/>
  <c r="C550" i="9"/>
  <c r="C971" i="9"/>
  <c r="C1412" i="9"/>
  <c r="C1902" i="9"/>
  <c r="C2392" i="9"/>
  <c r="C2868" i="9"/>
  <c r="C128" i="9"/>
  <c r="C551" i="9"/>
  <c r="C972" i="9"/>
  <c r="C1413" i="9"/>
  <c r="C1903" i="9"/>
  <c r="C2393" i="9"/>
  <c r="C2869" i="9"/>
  <c r="C129" i="9"/>
  <c r="C552" i="9"/>
  <c r="C973" i="9"/>
  <c r="C1414" i="9"/>
  <c r="C1904" i="9"/>
  <c r="C2394" i="9"/>
  <c r="C2870" i="9"/>
  <c r="C130" i="9"/>
  <c r="C553" i="9"/>
  <c r="C974" i="9"/>
  <c r="C1415" i="9"/>
  <c r="C1905" i="9"/>
  <c r="C2395" i="9"/>
  <c r="C2871" i="9"/>
  <c r="C131" i="9"/>
  <c r="C554" i="9"/>
  <c r="C975" i="9"/>
  <c r="C1416" i="9"/>
  <c r="C1906" i="9"/>
  <c r="C2396" i="9"/>
  <c r="C1417" i="9"/>
  <c r="C1907" i="9"/>
  <c r="C2397" i="9"/>
  <c r="C2872" i="9"/>
  <c r="C132" i="9"/>
  <c r="C555" i="9"/>
  <c r="C976" i="9"/>
  <c r="C1418" i="9"/>
  <c r="C1908" i="9"/>
  <c r="C2398" i="9"/>
  <c r="C2873" i="9"/>
  <c r="C133" i="9"/>
  <c r="C556" i="9"/>
  <c r="C977" i="9"/>
  <c r="C1419" i="9"/>
  <c r="C1909" i="9"/>
  <c r="C2399" i="9"/>
  <c r="C2874" i="9"/>
  <c r="C134" i="9"/>
  <c r="C557" i="9"/>
  <c r="C978" i="9"/>
  <c r="C1420" i="9"/>
  <c r="C1910" i="9"/>
  <c r="C2400" i="9"/>
  <c r="C2875" i="9"/>
  <c r="C135" i="9"/>
  <c r="C558" i="9"/>
  <c r="C979" i="9"/>
  <c r="C1421" i="9"/>
  <c r="C1911" i="9"/>
  <c r="C2401" i="9"/>
  <c r="C2876" i="9"/>
  <c r="C136" i="9"/>
  <c r="C559" i="9"/>
  <c r="C980" i="9"/>
  <c r="C1422" i="9"/>
  <c r="C1912" i="9"/>
  <c r="C2402" i="9"/>
  <c r="C2877" i="9"/>
  <c r="C137" i="9"/>
  <c r="C560" i="9"/>
  <c r="C981" i="9"/>
  <c r="C1423" i="9"/>
  <c r="C1913" i="9"/>
  <c r="C2403" i="9"/>
  <c r="C1424" i="9"/>
  <c r="C1914" i="9"/>
  <c r="C2404" i="9"/>
  <c r="C2878" i="9"/>
  <c r="C138" i="9"/>
  <c r="C561" i="9"/>
  <c r="C982" i="9"/>
  <c r="C1425" i="9"/>
  <c r="C1915" i="9"/>
  <c r="C2405" i="9"/>
  <c r="C2879" i="9"/>
  <c r="C139" i="9"/>
  <c r="C562" i="9"/>
  <c r="C983" i="9"/>
  <c r="C1426" i="9"/>
  <c r="C1916" i="9"/>
  <c r="C2406" i="9"/>
  <c r="C2880" i="9"/>
  <c r="C140" i="9"/>
  <c r="C563" i="9"/>
  <c r="C984" i="9"/>
  <c r="C1427" i="9"/>
  <c r="C1917" i="9"/>
  <c r="C2407" i="9"/>
  <c r="C2881" i="9"/>
  <c r="C141" i="9"/>
  <c r="C564" i="9"/>
  <c r="C985" i="9"/>
  <c r="C1428" i="9"/>
  <c r="C1918" i="9"/>
  <c r="C2408" i="9"/>
  <c r="C2882" i="9"/>
  <c r="C142" i="9"/>
  <c r="C565" i="9"/>
  <c r="C986" i="9"/>
  <c r="C1429" i="9"/>
  <c r="C1919" i="9"/>
  <c r="C2409" i="9"/>
  <c r="C2883" i="9"/>
  <c r="C143" i="9"/>
  <c r="C566" i="9"/>
  <c r="C987" i="9"/>
  <c r="C1430" i="9"/>
  <c r="C1920" i="9"/>
  <c r="C2410" i="9"/>
  <c r="C2884" i="9"/>
  <c r="C1431" i="9"/>
  <c r="C1921" i="9"/>
  <c r="C2411" i="9"/>
  <c r="C2885" i="9"/>
  <c r="C144" i="9"/>
  <c r="C567" i="9"/>
  <c r="C988" i="9"/>
  <c r="C1432" i="9"/>
  <c r="C1922" i="9"/>
  <c r="C2412" i="9"/>
  <c r="C2886" i="9"/>
  <c r="C145" i="9"/>
  <c r="C568" i="9"/>
  <c r="C989" i="9"/>
  <c r="C1433" i="9"/>
  <c r="C1923" i="9"/>
  <c r="C2413" i="9"/>
  <c r="C2887" i="9"/>
  <c r="C146" i="9"/>
  <c r="C569" i="9"/>
  <c r="C990" i="9"/>
  <c r="C1434" i="9"/>
  <c r="C1924" i="9"/>
  <c r="C2414" i="9"/>
  <c r="C2888" i="9"/>
  <c r="C147" i="9"/>
  <c r="C570" i="9"/>
  <c r="C991" i="9"/>
  <c r="C1435" i="9"/>
  <c r="C1925" i="9"/>
  <c r="C2415" i="9"/>
  <c r="C2889" i="9"/>
  <c r="C148" i="9"/>
  <c r="C571" i="9"/>
  <c r="C992" i="9"/>
  <c r="C1436" i="9"/>
  <c r="C1926" i="9"/>
  <c r="C2416" i="9"/>
  <c r="C2890" i="9"/>
  <c r="C149" i="9"/>
  <c r="C572" i="9"/>
  <c r="C993" i="9"/>
  <c r="C1437" i="9"/>
  <c r="C1927" i="9"/>
  <c r="C2417" i="9"/>
  <c r="C1438" i="9"/>
  <c r="C1928" i="9"/>
  <c r="C2418" i="9"/>
  <c r="C2891" i="9"/>
  <c r="C150" i="9"/>
  <c r="C573" i="9"/>
  <c r="C994" i="9"/>
  <c r="C1439" i="9"/>
  <c r="C1929" i="9"/>
  <c r="C2419" i="9"/>
  <c r="C2892" i="9"/>
  <c r="C151" i="9"/>
  <c r="C574" i="9"/>
  <c r="C995" i="9"/>
  <c r="C1440" i="9"/>
  <c r="C1930" i="9"/>
  <c r="C2420" i="9"/>
  <c r="C2893" i="9"/>
  <c r="C152" i="9"/>
  <c r="C575" i="9"/>
  <c r="C996" i="9"/>
  <c r="C1441" i="9"/>
  <c r="C1931" i="9"/>
  <c r="C2421" i="9"/>
  <c r="C2894" i="9"/>
  <c r="C153" i="9"/>
  <c r="C576" i="9"/>
  <c r="C997" i="9"/>
  <c r="C1442" i="9"/>
  <c r="C1932" i="9"/>
  <c r="C2422" i="9"/>
  <c r="C2895" i="9"/>
  <c r="C154" i="9"/>
  <c r="C577" i="9"/>
  <c r="C998" i="9"/>
  <c r="C1443" i="9"/>
  <c r="C1933" i="9"/>
  <c r="C2423" i="9"/>
  <c r="C2896" i="9"/>
  <c r="C155" i="9"/>
  <c r="C578" i="9"/>
  <c r="C999" i="9"/>
  <c r="C1444" i="9"/>
  <c r="C1934" i="9"/>
  <c r="C2424" i="9"/>
  <c r="C1445" i="9"/>
  <c r="C1935" i="9"/>
  <c r="C2425" i="9"/>
  <c r="C2897" i="9"/>
  <c r="C156" i="9"/>
  <c r="C579" i="9"/>
  <c r="C1000" i="9"/>
  <c r="C1446" i="9"/>
  <c r="C1936" i="9"/>
  <c r="C2426" i="9"/>
  <c r="C2898" i="9"/>
  <c r="C157" i="9"/>
  <c r="C580" i="9"/>
  <c r="C1001" i="9"/>
  <c r="C1447" i="9"/>
  <c r="C1937" i="9"/>
  <c r="C2427" i="9"/>
  <c r="C2899" i="9"/>
  <c r="C158" i="9"/>
  <c r="C581" i="9"/>
  <c r="C1002" i="9"/>
  <c r="C1448" i="9"/>
  <c r="C1938" i="9"/>
  <c r="C2428" i="9"/>
  <c r="C2900" i="9"/>
  <c r="C159" i="9"/>
  <c r="C582" i="9"/>
  <c r="C1003" i="9"/>
  <c r="C1449" i="9"/>
  <c r="C1939" i="9"/>
  <c r="C2429" i="9"/>
  <c r="C2901" i="9"/>
  <c r="C160" i="9"/>
  <c r="C583" i="9"/>
  <c r="C1004" i="9"/>
  <c r="C1450" i="9"/>
  <c r="C1940" i="9"/>
  <c r="C2430" i="9"/>
  <c r="C2902" i="9"/>
  <c r="C161" i="9"/>
  <c r="C584" i="9"/>
  <c r="C1005" i="9"/>
  <c r="C1451" i="9"/>
  <c r="C1941" i="9"/>
  <c r="C2431" i="9"/>
  <c r="C1452" i="9"/>
  <c r="C1942" i="9"/>
  <c r="C2432" i="9"/>
  <c r="C2903" i="9"/>
  <c r="C162" i="9"/>
  <c r="C585" i="9"/>
  <c r="C1006" i="9"/>
  <c r="C1453" i="9"/>
  <c r="C1943" i="9"/>
  <c r="C2433" i="9"/>
  <c r="C2904" i="9"/>
  <c r="C163" i="9"/>
  <c r="C586" i="9"/>
  <c r="C1007" i="9"/>
  <c r="C1454" i="9"/>
  <c r="C1944" i="9"/>
  <c r="C2434" i="9"/>
  <c r="C2905" i="9"/>
  <c r="C164" i="9"/>
  <c r="C587" i="9"/>
  <c r="C1008" i="9"/>
  <c r="C1455" i="9"/>
  <c r="C1945" i="9"/>
  <c r="C2435" i="9"/>
  <c r="C2906" i="9"/>
  <c r="C165" i="9"/>
  <c r="C588" i="9"/>
  <c r="C1009" i="9"/>
  <c r="C1456" i="9"/>
  <c r="C1946" i="9"/>
  <c r="C2436" i="9"/>
  <c r="C2907" i="9"/>
  <c r="C166" i="9"/>
  <c r="C589" i="9"/>
  <c r="C1010" i="9"/>
  <c r="C1457" i="9"/>
  <c r="C1947" i="9"/>
  <c r="C2437" i="9"/>
  <c r="C2908" i="9"/>
  <c r="C167" i="9"/>
  <c r="C590" i="9"/>
  <c r="C1011" i="9"/>
  <c r="C1458" i="9"/>
  <c r="C1948" i="9"/>
  <c r="C2438" i="9"/>
  <c r="C1459" i="9"/>
  <c r="C1949" i="9"/>
  <c r="C2439" i="9"/>
  <c r="C2909" i="9"/>
  <c r="C168" i="9"/>
  <c r="C591" i="9"/>
  <c r="C1012" i="9"/>
  <c r="C1460" i="9"/>
  <c r="C1950" i="9"/>
  <c r="C2440" i="9"/>
  <c r="C2910" i="9"/>
  <c r="C169" i="9"/>
  <c r="C592" i="9"/>
  <c r="C1013" i="9"/>
  <c r="C1461" i="9"/>
  <c r="C1951" i="9"/>
  <c r="C2441" i="9"/>
  <c r="C2911" i="9"/>
  <c r="C170" i="9"/>
  <c r="C593" i="9"/>
  <c r="C1014" i="9"/>
  <c r="C1462" i="9"/>
  <c r="C1952" i="9"/>
  <c r="C2442" i="9"/>
  <c r="C2912" i="9"/>
  <c r="C171" i="9"/>
  <c r="C594" i="9"/>
  <c r="C1015" i="9"/>
  <c r="C1463" i="9"/>
  <c r="C1953" i="9"/>
  <c r="C2443" i="9"/>
  <c r="C2913" i="9"/>
  <c r="C172" i="9"/>
  <c r="C595" i="9"/>
  <c r="C1016" i="9"/>
  <c r="C1464" i="9"/>
  <c r="C1954" i="9"/>
  <c r="C2444" i="9"/>
  <c r="C2914" i="9"/>
  <c r="C173" i="9"/>
  <c r="C596" i="9"/>
  <c r="C1017" i="9"/>
  <c r="C1465" i="9"/>
  <c r="C1955" i="9"/>
  <c r="C2445" i="9"/>
  <c r="C1466" i="9"/>
  <c r="C1956" i="9"/>
  <c r="C2446" i="9"/>
  <c r="C2915" i="9"/>
  <c r="C174" i="9"/>
  <c r="C597" i="9"/>
  <c r="C1018" i="9"/>
  <c r="C1467" i="9"/>
  <c r="C1957" i="9"/>
  <c r="C2447" i="9"/>
  <c r="C2916" i="9"/>
  <c r="C175" i="9"/>
  <c r="C598" i="9"/>
  <c r="C1019" i="9"/>
  <c r="C1468" i="9"/>
  <c r="C1958" i="9"/>
  <c r="C2448" i="9"/>
  <c r="C2917" i="9"/>
  <c r="C176" i="9"/>
  <c r="C599" i="9"/>
  <c r="C1020" i="9"/>
  <c r="C1469" i="9"/>
  <c r="C1959" i="9"/>
  <c r="C2449" i="9"/>
  <c r="C2918" i="9"/>
  <c r="C177" i="9"/>
  <c r="C600" i="9"/>
  <c r="C1021" i="9"/>
  <c r="C1470" i="9"/>
  <c r="C1960" i="9"/>
  <c r="C2450" i="9"/>
  <c r="C2919" i="9"/>
  <c r="C178" i="9"/>
  <c r="C601" i="9"/>
  <c r="C1022" i="9"/>
  <c r="C1471" i="9"/>
  <c r="C1961" i="9"/>
  <c r="C2451" i="9"/>
  <c r="C2920" i="9"/>
  <c r="C179" i="9"/>
  <c r="C602" i="9"/>
  <c r="C1023" i="9"/>
  <c r="C1472" i="9"/>
  <c r="C1962" i="9"/>
  <c r="C2452" i="9"/>
  <c r="C1473" i="9"/>
  <c r="C1963" i="9"/>
  <c r="C2453" i="9"/>
  <c r="C2921" i="9"/>
  <c r="C180" i="9"/>
  <c r="C603" i="9"/>
  <c r="C1024" i="9"/>
  <c r="C1474" i="9"/>
  <c r="C1964" i="9"/>
  <c r="C2454" i="9"/>
  <c r="C2922" i="9"/>
  <c r="C181" i="9"/>
  <c r="C604" i="9"/>
  <c r="C1025" i="9"/>
  <c r="C1475" i="9"/>
  <c r="C1965" i="9"/>
  <c r="C2455" i="9"/>
  <c r="C2923" i="9"/>
  <c r="C182" i="9"/>
  <c r="C605" i="9"/>
  <c r="C1026" i="9"/>
  <c r="C1476" i="9"/>
  <c r="C1966" i="9"/>
  <c r="C2456" i="9"/>
  <c r="C2924" i="9"/>
  <c r="C183" i="9"/>
  <c r="C606" i="9"/>
  <c r="C1027" i="9"/>
  <c r="C1477" i="9"/>
  <c r="C1967" i="9"/>
  <c r="C2457" i="9"/>
  <c r="C2925" i="9"/>
  <c r="C184" i="9"/>
  <c r="C607" i="9"/>
  <c r="C1028" i="9"/>
  <c r="C1478" i="9"/>
  <c r="C1968" i="9"/>
  <c r="C2458" i="9"/>
  <c r="C2926" i="9"/>
  <c r="C185" i="9"/>
  <c r="C608" i="9"/>
  <c r="C1029" i="9"/>
  <c r="C1479" i="9"/>
  <c r="C1969" i="9"/>
  <c r="C2459" i="9"/>
  <c r="C1480" i="9"/>
  <c r="C1970" i="9"/>
  <c r="C2460" i="9"/>
  <c r="C2927" i="9"/>
  <c r="C186" i="9"/>
  <c r="C609" i="9"/>
  <c r="C1030" i="9"/>
  <c r="C1481" i="9"/>
  <c r="C1971" i="9"/>
  <c r="C2461" i="9"/>
  <c r="C2928" i="9"/>
  <c r="C187" i="9"/>
  <c r="C610" i="9"/>
  <c r="C1031" i="9"/>
  <c r="C1482" i="9"/>
  <c r="C1972" i="9"/>
  <c r="C2462" i="9"/>
  <c r="C2929" i="9"/>
  <c r="C188" i="9"/>
  <c r="C611" i="9"/>
  <c r="C1032" i="9"/>
  <c r="C1483" i="9"/>
  <c r="C1973" i="9"/>
  <c r="C2463" i="9"/>
  <c r="C2930" i="9"/>
  <c r="C189" i="9"/>
  <c r="C612" i="9"/>
  <c r="C1033" i="9"/>
  <c r="C1484" i="9"/>
  <c r="C1974" i="9"/>
  <c r="C2464" i="9"/>
  <c r="C2931" i="9"/>
  <c r="C190" i="9"/>
  <c r="C613" i="9"/>
  <c r="C1034" i="9"/>
  <c r="C1485" i="9"/>
  <c r="C1975" i="9"/>
  <c r="C2465" i="9"/>
  <c r="C2932" i="9"/>
  <c r="C191" i="9"/>
  <c r="C614" i="9"/>
  <c r="C1035" i="9"/>
  <c r="C1486" i="9"/>
  <c r="C1976" i="9"/>
  <c r="C2466" i="9"/>
  <c r="C1487" i="9"/>
  <c r="C1977" i="9"/>
  <c r="C2467" i="9"/>
  <c r="C2933" i="9"/>
  <c r="C192" i="9"/>
  <c r="C615" i="9"/>
  <c r="C1036" i="9"/>
  <c r="C1488" i="9"/>
  <c r="C1978" i="9"/>
  <c r="C2468" i="9"/>
  <c r="C2934" i="9"/>
  <c r="C193" i="9"/>
  <c r="C616" i="9"/>
  <c r="C1037" i="9"/>
  <c r="C1489" i="9"/>
  <c r="C1979" i="9"/>
  <c r="C2469" i="9"/>
  <c r="C2935" i="9"/>
  <c r="C194" i="9"/>
  <c r="C617" i="9"/>
  <c r="C1038" i="9"/>
  <c r="C1490" i="9"/>
  <c r="C1980" i="9"/>
  <c r="C2470" i="9"/>
  <c r="C2936" i="9"/>
  <c r="C195" i="9"/>
  <c r="C618" i="9"/>
  <c r="C1039" i="9"/>
  <c r="C1491" i="9"/>
  <c r="C1981" i="9"/>
  <c r="C2471" i="9"/>
  <c r="C2937" i="9"/>
  <c r="C196" i="9"/>
  <c r="C619" i="9"/>
  <c r="C1040" i="9"/>
  <c r="C1492" i="9"/>
  <c r="C1982" i="9"/>
  <c r="C2472" i="9"/>
  <c r="C2938" i="9"/>
  <c r="C197" i="9"/>
  <c r="C620" i="9"/>
  <c r="C1041" i="9"/>
  <c r="C1493" i="9"/>
  <c r="C1983" i="9"/>
  <c r="C2473" i="9"/>
  <c r="C1494" i="9"/>
  <c r="C1984" i="9"/>
  <c r="C2474" i="9"/>
  <c r="C2939" i="9"/>
  <c r="C198" i="9"/>
  <c r="C621" i="9"/>
  <c r="C1042" i="9"/>
  <c r="C1495" i="9"/>
  <c r="C1985" i="9"/>
  <c r="C2475" i="9"/>
  <c r="C2940" i="9"/>
  <c r="C199" i="9"/>
  <c r="C622" i="9"/>
  <c r="C1043" i="9"/>
  <c r="C1496" i="9"/>
  <c r="C1986" i="9"/>
  <c r="C2476" i="9"/>
  <c r="C2941" i="9"/>
  <c r="C200" i="9"/>
  <c r="C623" i="9"/>
  <c r="C1044" i="9"/>
  <c r="C1497" i="9"/>
  <c r="C1987" i="9"/>
  <c r="C2477" i="9"/>
  <c r="C2942" i="9"/>
  <c r="C201" i="9"/>
  <c r="C624" i="9"/>
  <c r="C1045" i="9"/>
  <c r="C1498" i="9"/>
  <c r="C1988" i="9"/>
  <c r="C2478" i="9"/>
  <c r="C2943" i="9"/>
  <c r="C202" i="9"/>
  <c r="C625" i="9"/>
  <c r="C1046" i="9"/>
  <c r="C1499" i="9"/>
  <c r="C1989" i="9"/>
  <c r="C2479" i="9"/>
  <c r="C2944" i="9"/>
  <c r="C203" i="9"/>
  <c r="C626" i="9"/>
  <c r="C1047" i="9"/>
  <c r="C1500" i="9"/>
  <c r="C1990" i="9"/>
  <c r="C2480" i="9"/>
  <c r="C1501" i="9"/>
  <c r="C1991" i="9"/>
  <c r="C2481" i="9"/>
  <c r="C2945" i="9"/>
  <c r="C204" i="9"/>
  <c r="C627" i="9"/>
  <c r="C1048" i="9"/>
  <c r="C1502" i="9"/>
  <c r="C1992" i="9"/>
  <c r="C2482" i="9"/>
  <c r="C2946" i="9"/>
  <c r="C205" i="9"/>
  <c r="C628" i="9"/>
  <c r="C1049" i="9"/>
  <c r="C1503" i="9"/>
  <c r="C1993" i="9"/>
  <c r="C2483" i="9"/>
  <c r="C2947" i="9"/>
  <c r="C206" i="9"/>
  <c r="C629" i="9"/>
  <c r="C1050" i="9"/>
  <c r="C1504" i="9"/>
  <c r="C1994" i="9"/>
  <c r="C2484" i="9"/>
  <c r="C2948" i="9"/>
  <c r="C207" i="9"/>
  <c r="C630" i="9"/>
  <c r="C1051" i="9"/>
  <c r="C1505" i="9"/>
  <c r="C1995" i="9"/>
  <c r="C2485" i="9"/>
  <c r="C2949" i="9"/>
  <c r="C208" i="9"/>
  <c r="C631" i="9"/>
  <c r="C1052" i="9"/>
  <c r="C1506" i="9"/>
  <c r="C1996" i="9"/>
  <c r="C2486" i="9"/>
  <c r="C2950" i="9"/>
  <c r="C209" i="9"/>
  <c r="C632" i="9"/>
  <c r="C1053" i="9"/>
  <c r="C1507" i="9"/>
  <c r="C1997" i="9"/>
  <c r="C2487" i="9"/>
  <c r="C1508" i="9"/>
  <c r="C1998" i="9"/>
  <c r="C2488" i="9"/>
  <c r="C2951" i="9"/>
  <c r="C210" i="9"/>
  <c r="C633" i="9"/>
  <c r="C1054" i="9"/>
  <c r="C1509" i="9"/>
  <c r="C1999" i="9"/>
  <c r="C2489" i="9"/>
  <c r="C2952" i="9"/>
  <c r="C211" i="9"/>
  <c r="C634" i="9"/>
  <c r="C1055" i="9"/>
  <c r="C1510" i="9"/>
  <c r="C2000" i="9"/>
  <c r="C2490" i="9"/>
  <c r="C2953" i="9"/>
  <c r="C212" i="9"/>
  <c r="C635" i="9"/>
  <c r="C1056" i="9"/>
  <c r="C1511" i="9"/>
  <c r="C2001" i="9"/>
  <c r="C2491" i="9"/>
  <c r="C2954" i="9"/>
  <c r="C213" i="9"/>
  <c r="C636" i="9"/>
  <c r="C1057" i="9"/>
  <c r="C1512" i="9"/>
  <c r="C2002" i="9"/>
  <c r="C2492" i="9"/>
  <c r="C2955" i="9"/>
  <c r="C214" i="9"/>
  <c r="C637" i="9"/>
  <c r="C1058" i="9"/>
  <c r="C1513" i="9"/>
  <c r="C2003" i="9"/>
  <c r="C2493" i="9"/>
  <c r="C2956" i="9"/>
  <c r="C215" i="9"/>
  <c r="C638" i="9"/>
  <c r="C1059" i="9"/>
  <c r="C1514" i="9"/>
  <c r="C2004" i="9"/>
  <c r="C2494" i="9"/>
  <c r="C1515" i="9"/>
  <c r="C2005" i="9"/>
  <c r="C2495" i="9"/>
  <c r="C2957" i="9"/>
  <c r="C216" i="9"/>
  <c r="C639" i="9"/>
  <c r="C1060" i="9"/>
  <c r="C1516" i="9"/>
  <c r="C2006" i="9"/>
  <c r="C2496" i="9"/>
  <c r="C2958" i="9"/>
  <c r="C217" i="9"/>
  <c r="C640" i="9"/>
  <c r="C1061" i="9"/>
  <c r="C1517" i="9"/>
  <c r="C2007" i="9"/>
  <c r="C2497" i="9"/>
  <c r="C2959" i="9"/>
  <c r="C218" i="9"/>
  <c r="C641" i="9"/>
  <c r="C1062" i="9"/>
  <c r="C1518" i="9"/>
  <c r="C2008" i="9"/>
  <c r="C2498" i="9"/>
  <c r="C2960" i="9"/>
  <c r="C219" i="9"/>
  <c r="C642" i="9"/>
  <c r="C1063" i="9"/>
  <c r="C1519" i="9"/>
  <c r="C2009" i="9"/>
  <c r="C2499" i="9"/>
  <c r="C2961" i="9"/>
  <c r="C220" i="9"/>
  <c r="C643" i="9"/>
  <c r="C1064" i="9"/>
  <c r="C1520" i="9"/>
  <c r="C2010" i="9"/>
  <c r="C2500" i="9"/>
  <c r="C2962" i="9"/>
  <c r="C221" i="9"/>
  <c r="C644" i="9"/>
  <c r="C1065" i="9"/>
  <c r="C1521" i="9"/>
  <c r="C2011" i="9"/>
  <c r="C2501" i="9"/>
  <c r="C1522" i="9"/>
  <c r="C2012" i="9"/>
  <c r="C2502" i="9"/>
  <c r="C2963" i="9"/>
  <c r="C222" i="9"/>
  <c r="C645" i="9"/>
  <c r="C1066" i="9"/>
  <c r="C1523" i="9"/>
  <c r="C2013" i="9"/>
  <c r="C2503" i="9"/>
  <c r="C2964" i="9"/>
  <c r="C223" i="9"/>
  <c r="C646" i="9"/>
  <c r="C1067" i="9"/>
  <c r="C1524" i="9"/>
  <c r="C2014" i="9"/>
  <c r="C2504" i="9"/>
  <c r="C2965" i="9"/>
  <c r="C224" i="9"/>
  <c r="C647" i="9"/>
  <c r="C1068" i="9"/>
  <c r="C1525" i="9"/>
  <c r="C2015" i="9"/>
  <c r="C2505" i="9"/>
  <c r="C2966" i="9"/>
  <c r="C225" i="9"/>
  <c r="C648" i="9"/>
  <c r="C1069" i="9"/>
  <c r="C1526" i="9"/>
  <c r="C2016" i="9"/>
  <c r="C2506" i="9"/>
  <c r="C2967" i="9"/>
  <c r="C226" i="9"/>
  <c r="C649" i="9"/>
  <c r="C1070" i="9"/>
  <c r="C1527" i="9"/>
  <c r="C2017" i="9"/>
  <c r="C2507" i="9"/>
  <c r="C2968" i="9"/>
  <c r="C227" i="9"/>
  <c r="C650" i="9"/>
  <c r="C1071" i="9"/>
  <c r="C1528" i="9"/>
  <c r="C2018" i="9"/>
  <c r="C2508" i="9"/>
  <c r="C1529" i="9"/>
  <c r="C2019" i="9"/>
  <c r="C2509" i="9"/>
  <c r="C2969" i="9"/>
  <c r="C228" i="9"/>
  <c r="C651" i="9"/>
  <c r="C1072" i="9"/>
  <c r="C1530" i="9"/>
  <c r="C2020" i="9"/>
  <c r="C2510" i="9"/>
  <c r="C2970" i="9"/>
  <c r="C229" i="9"/>
  <c r="C652" i="9"/>
  <c r="C1073" i="9"/>
  <c r="C1531" i="9"/>
  <c r="C2021" i="9"/>
  <c r="C2511" i="9"/>
  <c r="C2971" i="9"/>
  <c r="C230" i="9"/>
  <c r="C653" i="9"/>
  <c r="C1074" i="9"/>
  <c r="C1532" i="9"/>
  <c r="C2022" i="9"/>
  <c r="C2512" i="9"/>
  <c r="C2972" i="9"/>
  <c r="C231" i="9"/>
  <c r="C654" i="9"/>
  <c r="C1075" i="9"/>
  <c r="C1533" i="9"/>
  <c r="C2023" i="9"/>
  <c r="C2513" i="9"/>
  <c r="C2973" i="9"/>
  <c r="C232" i="9"/>
  <c r="C655" i="9"/>
  <c r="C1076" i="9"/>
  <c r="C1534" i="9"/>
  <c r="C2024" i="9"/>
  <c r="C2514" i="9"/>
  <c r="C2974" i="9"/>
  <c r="C233" i="9"/>
  <c r="C656" i="9"/>
  <c r="C1077" i="9"/>
  <c r="C1535" i="9"/>
  <c r="C2025" i="9"/>
  <c r="C2515" i="9"/>
  <c r="C1536" i="9"/>
  <c r="C2026" i="9"/>
  <c r="C2516" i="9"/>
  <c r="C2975" i="9"/>
  <c r="C234" i="9"/>
  <c r="C657" i="9"/>
  <c r="C1078" i="9"/>
  <c r="C1537" i="9"/>
  <c r="C2027" i="9"/>
  <c r="C2517" i="9"/>
  <c r="C2976" i="9"/>
  <c r="C235" i="9"/>
  <c r="C658" i="9"/>
  <c r="C1079" i="9"/>
  <c r="C1538" i="9"/>
  <c r="C2028" i="9"/>
  <c r="C2518" i="9"/>
  <c r="C2977" i="9"/>
  <c r="C236" i="9"/>
  <c r="C659" i="9"/>
  <c r="C1080" i="9"/>
  <c r="C1539" i="9"/>
  <c r="C2029" i="9"/>
  <c r="C2519" i="9"/>
  <c r="C2978" i="9"/>
  <c r="C237" i="9"/>
  <c r="C660" i="9"/>
  <c r="C1081" i="9"/>
  <c r="C1540" i="9"/>
  <c r="C2030" i="9"/>
  <c r="C2520" i="9"/>
  <c r="C2979" i="9"/>
  <c r="C238" i="9"/>
  <c r="C661" i="9"/>
  <c r="C1082" i="9"/>
  <c r="C1541" i="9"/>
  <c r="C2031" i="9"/>
  <c r="C2521" i="9"/>
  <c r="C2980" i="9"/>
  <c r="C239" i="9"/>
  <c r="C662" i="9"/>
  <c r="C1083" i="9"/>
  <c r="C1542" i="9"/>
  <c r="C2032" i="9"/>
  <c r="C2522" i="9"/>
  <c r="C1543" i="9"/>
  <c r="C2033" i="9"/>
  <c r="C2523" i="9"/>
  <c r="C2981" i="9"/>
  <c r="C240" i="9"/>
  <c r="C663" i="9"/>
  <c r="C1084" i="9"/>
  <c r="C1544" i="9"/>
  <c r="C2034" i="9"/>
  <c r="C2524" i="9"/>
  <c r="C2982" i="9"/>
  <c r="C241" i="9"/>
  <c r="C664" i="9"/>
  <c r="C1085" i="9"/>
  <c r="C1545" i="9"/>
  <c r="C2035" i="9"/>
  <c r="C2525" i="9"/>
  <c r="C2983" i="9"/>
  <c r="C242" i="9"/>
  <c r="C665" i="9"/>
  <c r="C1086" i="9"/>
  <c r="C1546" i="9"/>
  <c r="C2036" i="9"/>
  <c r="C2526" i="9"/>
  <c r="C2984" i="9"/>
  <c r="C243" i="9"/>
  <c r="C666" i="9"/>
  <c r="C1087" i="9"/>
  <c r="C1547" i="9"/>
  <c r="C2037" i="9"/>
  <c r="C2527" i="9"/>
  <c r="C2985" i="9"/>
  <c r="C244" i="9"/>
  <c r="C667" i="9"/>
  <c r="C1088" i="9"/>
  <c r="C1548" i="9"/>
  <c r="C2038" i="9"/>
  <c r="C2528" i="9"/>
  <c r="C2986" i="9"/>
  <c r="C245" i="9"/>
  <c r="C668" i="9"/>
  <c r="C1089" i="9"/>
  <c r="C1549" i="9"/>
  <c r="C2039" i="9"/>
  <c r="C2529" i="9"/>
  <c r="C1550" i="9"/>
  <c r="C2040" i="9"/>
  <c r="C2530" i="9"/>
  <c r="C2987" i="9"/>
  <c r="C246" i="9"/>
  <c r="C669" i="9"/>
  <c r="C1090" i="9"/>
  <c r="C1551" i="9"/>
  <c r="C2041" i="9"/>
  <c r="C2531" i="9"/>
  <c r="C2988" i="9"/>
  <c r="C247" i="9"/>
  <c r="C670" i="9"/>
  <c r="C1091" i="9"/>
  <c r="C1552" i="9"/>
  <c r="C2042" i="9"/>
  <c r="C2532" i="9"/>
  <c r="C2989" i="9"/>
  <c r="C248" i="9"/>
  <c r="C671" i="9"/>
  <c r="C1092" i="9"/>
  <c r="C1553" i="9"/>
  <c r="C2043" i="9"/>
  <c r="C2533" i="9"/>
  <c r="C2990" i="9"/>
  <c r="C249" i="9"/>
  <c r="C672" i="9"/>
  <c r="C1093" i="9"/>
  <c r="C1554" i="9"/>
  <c r="C2044" i="9"/>
  <c r="C2534" i="9"/>
  <c r="C2991" i="9"/>
  <c r="C250" i="9"/>
  <c r="C673" i="9"/>
  <c r="C1094" i="9"/>
  <c r="C1555" i="9"/>
  <c r="C2045" i="9"/>
  <c r="C2535" i="9"/>
  <c r="C2992" i="9"/>
  <c r="C251" i="9"/>
  <c r="C674" i="9"/>
  <c r="C1095" i="9"/>
  <c r="C1556" i="9"/>
  <c r="C2046" i="9"/>
  <c r="C2536" i="9"/>
  <c r="C1557" i="9"/>
  <c r="C2047" i="9"/>
  <c r="C2537" i="9"/>
  <c r="C2993" i="9"/>
  <c r="C252" i="9"/>
  <c r="C675" i="9"/>
  <c r="C1096" i="9"/>
  <c r="C1558" i="9"/>
  <c r="C2048" i="9"/>
  <c r="C2538" i="9"/>
  <c r="C2994" i="9"/>
  <c r="C253" i="9"/>
  <c r="C676" i="9"/>
  <c r="C1097" i="9"/>
  <c r="C1559" i="9"/>
  <c r="C2049" i="9"/>
  <c r="C2539" i="9"/>
  <c r="C2995" i="9"/>
  <c r="C254" i="9"/>
  <c r="C677" i="9"/>
  <c r="C1098" i="9"/>
  <c r="C1560" i="9"/>
  <c r="C2050" i="9"/>
  <c r="C2540" i="9"/>
  <c r="C2996" i="9"/>
  <c r="C255" i="9"/>
  <c r="C678" i="9"/>
  <c r="C1099" i="9"/>
  <c r="C1561" i="9"/>
  <c r="C2051" i="9"/>
  <c r="C2541" i="9"/>
  <c r="C2997" i="9"/>
  <c r="C256" i="9"/>
  <c r="C679" i="9"/>
  <c r="C1100" i="9"/>
  <c r="C1562" i="9"/>
  <c r="C2052" i="9"/>
  <c r="C2542" i="9"/>
  <c r="C2998" i="9"/>
  <c r="C257" i="9"/>
  <c r="C680" i="9"/>
  <c r="C1101" i="9"/>
  <c r="C1563" i="9"/>
  <c r="C2053" i="9"/>
  <c r="C2543" i="9"/>
  <c r="C1564" i="9"/>
  <c r="C2054" i="9"/>
  <c r="C2544" i="9"/>
  <c r="C2999" i="9"/>
  <c r="C258" i="9"/>
  <c r="C681" i="9"/>
  <c r="C1102" i="9"/>
  <c r="C1565" i="9"/>
  <c r="C2055" i="9"/>
  <c r="C2545" i="9"/>
  <c r="C3000" i="9"/>
  <c r="C259" i="9"/>
  <c r="C682" i="9"/>
  <c r="C1103" i="9"/>
  <c r="C1566" i="9"/>
  <c r="C2056" i="9"/>
  <c r="C2546" i="9"/>
  <c r="C3001" i="9"/>
  <c r="C260" i="9"/>
  <c r="C683" i="9"/>
  <c r="C1104" i="9"/>
  <c r="C1567" i="9"/>
  <c r="C2057" i="9"/>
  <c r="C2547" i="9"/>
  <c r="C3002" i="9"/>
  <c r="C261" i="9"/>
  <c r="C684" i="9"/>
  <c r="C1105" i="9"/>
  <c r="C1568" i="9"/>
  <c r="C2058" i="9"/>
  <c r="C2548" i="9"/>
  <c r="C3003" i="9"/>
  <c r="C262" i="9"/>
  <c r="C685" i="9"/>
  <c r="C1106" i="9"/>
  <c r="C1569" i="9"/>
  <c r="C2059" i="9"/>
  <c r="C2549" i="9"/>
  <c r="C3004" i="9"/>
  <c r="C263" i="9"/>
  <c r="C686" i="9"/>
  <c r="C1107" i="9"/>
  <c r="C1570" i="9"/>
  <c r="C2060" i="9"/>
  <c r="C2550" i="9"/>
  <c r="C1571" i="9"/>
  <c r="C2061" i="9"/>
  <c r="C2551" i="9"/>
  <c r="C3005" i="9"/>
  <c r="C264" i="9"/>
  <c r="C687" i="9"/>
  <c r="C1108" i="9"/>
  <c r="C1572" i="9"/>
  <c r="C2062" i="9"/>
  <c r="C2552" i="9"/>
  <c r="C3006" i="9"/>
  <c r="C265" i="9"/>
  <c r="C688" i="9"/>
  <c r="C1109" i="9"/>
  <c r="C1573" i="9"/>
  <c r="C2063" i="9"/>
  <c r="C2553" i="9"/>
  <c r="C3007" i="9"/>
  <c r="C266" i="9"/>
  <c r="C689" i="9"/>
  <c r="C1110" i="9"/>
  <c r="C1574" i="9"/>
  <c r="C2064" i="9"/>
  <c r="C2554" i="9"/>
  <c r="C3008" i="9"/>
  <c r="C267" i="9"/>
  <c r="C690" i="9"/>
  <c r="C1111" i="9"/>
  <c r="C1575" i="9"/>
  <c r="C2065" i="9"/>
  <c r="C2555" i="9"/>
  <c r="C3009" i="9"/>
  <c r="C268" i="9"/>
  <c r="C691" i="9"/>
  <c r="C1112" i="9"/>
  <c r="C1576" i="9"/>
  <c r="C2066" i="9"/>
  <c r="C2556" i="9"/>
  <c r="C3010" i="9"/>
  <c r="C269" i="9"/>
  <c r="C692" i="9"/>
  <c r="C1113" i="9"/>
  <c r="C1577" i="9"/>
  <c r="C2067" i="9"/>
  <c r="C2557" i="9"/>
  <c r="C1578" i="9"/>
  <c r="C2068" i="9"/>
  <c r="C2558" i="9"/>
  <c r="C3011" i="9"/>
  <c r="C270" i="9"/>
  <c r="C693" i="9"/>
  <c r="C1114" i="9"/>
  <c r="C1579" i="9"/>
  <c r="C2069" i="9"/>
  <c r="C2559" i="9"/>
  <c r="C3012" i="9"/>
  <c r="C271" i="9"/>
  <c r="C694" i="9"/>
  <c r="C1115" i="9"/>
  <c r="C1580" i="9"/>
  <c r="C2070" i="9"/>
  <c r="C2560" i="9"/>
  <c r="C3013" i="9"/>
  <c r="C272" i="9"/>
  <c r="C695" i="9"/>
  <c r="C1116" i="9"/>
  <c r="C1581" i="9"/>
  <c r="C2071" i="9"/>
  <c r="C2561" i="9"/>
  <c r="C3014" i="9"/>
  <c r="C273" i="9"/>
  <c r="C696" i="9"/>
  <c r="C1117" i="9"/>
  <c r="C1582" i="9"/>
  <c r="C2072" i="9"/>
  <c r="C2562" i="9"/>
  <c r="C3015" i="9"/>
  <c r="C274" i="9"/>
  <c r="C697" i="9"/>
  <c r="C1118" i="9"/>
  <c r="C1583" i="9"/>
  <c r="C2073" i="9"/>
  <c r="C2563" i="9"/>
  <c r="C3016" i="9"/>
  <c r="C275" i="9"/>
  <c r="C698" i="9"/>
  <c r="C1119" i="9"/>
  <c r="C1584" i="9"/>
  <c r="C2074" i="9"/>
  <c r="C2564" i="9"/>
  <c r="C1585" i="9"/>
  <c r="C2075" i="9"/>
  <c r="C2565" i="9"/>
  <c r="C3017" i="9"/>
  <c r="C276" i="9"/>
  <c r="C699" i="9"/>
  <c r="C1120" i="9"/>
  <c r="C1586" i="9"/>
  <c r="C2076" i="9"/>
  <c r="C2566" i="9"/>
  <c r="C3018" i="9"/>
  <c r="C277" i="9"/>
  <c r="C700" i="9"/>
  <c r="C1121" i="9"/>
  <c r="C1587" i="9"/>
  <c r="C2077" i="9"/>
  <c r="C2567" i="9"/>
  <c r="C3019" i="9"/>
  <c r="C278" i="9"/>
  <c r="C701" i="9"/>
  <c r="C1122" i="9"/>
  <c r="C1588" i="9"/>
  <c r="C2078" i="9"/>
  <c r="C2568" i="9"/>
  <c r="C3020" i="9"/>
  <c r="C279" i="9"/>
  <c r="C702" i="9"/>
  <c r="C1123" i="9"/>
  <c r="C1589" i="9"/>
  <c r="C2079" i="9"/>
  <c r="C2569" i="9"/>
  <c r="C3021" i="9"/>
  <c r="C280" i="9"/>
  <c r="C703" i="9"/>
  <c r="C1124" i="9"/>
  <c r="C1590" i="9"/>
  <c r="C2080" i="9"/>
  <c r="C2570" i="9"/>
  <c r="C3022" i="9"/>
  <c r="C281" i="9"/>
  <c r="C704" i="9"/>
  <c r="C1125" i="9"/>
  <c r="C1591" i="9"/>
  <c r="C2081" i="9"/>
  <c r="C2571" i="9"/>
  <c r="C1592" i="9"/>
  <c r="C2082" i="9"/>
  <c r="C2572" i="9"/>
  <c r="C3023" i="9"/>
  <c r="C282" i="9"/>
  <c r="C705" i="9"/>
  <c r="C1126" i="9"/>
  <c r="C1593" i="9"/>
  <c r="C2083" i="9"/>
  <c r="C2573" i="9"/>
  <c r="C3024" i="9"/>
  <c r="C283" i="9"/>
  <c r="C706" i="9"/>
  <c r="C1127" i="9"/>
  <c r="C1594" i="9"/>
  <c r="C2084" i="9"/>
  <c r="C2574" i="9"/>
  <c r="C3025" i="9"/>
  <c r="C284" i="9"/>
  <c r="C707" i="9"/>
  <c r="C1128" i="9"/>
  <c r="C1595" i="9"/>
  <c r="C2085" i="9"/>
  <c r="C2575" i="9"/>
  <c r="C3026" i="9"/>
  <c r="C285" i="9"/>
  <c r="C708" i="9"/>
  <c r="C1129" i="9"/>
  <c r="C1596" i="9"/>
  <c r="C2086" i="9"/>
  <c r="C2576" i="9"/>
  <c r="C3027" i="9"/>
  <c r="C286" i="9"/>
  <c r="C709" i="9"/>
  <c r="C1130" i="9"/>
  <c r="C1597" i="9"/>
  <c r="C2087" i="9"/>
  <c r="C2577" i="9"/>
  <c r="C3028" i="9"/>
  <c r="C287" i="9"/>
  <c r="C710" i="9"/>
  <c r="C1131" i="9"/>
  <c r="C1598" i="9"/>
  <c r="C2088" i="9"/>
  <c r="C2578" i="9"/>
  <c r="C1599" i="9"/>
  <c r="C2089" i="9"/>
  <c r="C2579" i="9"/>
  <c r="C3029" i="9"/>
  <c r="C288" i="9"/>
  <c r="C711" i="9"/>
  <c r="C1132" i="9"/>
  <c r="C1600" i="9"/>
  <c r="C2090" i="9"/>
  <c r="C2580" i="9"/>
  <c r="C3030" i="9"/>
  <c r="C289" i="9"/>
  <c r="C712" i="9"/>
  <c r="C1133" i="9"/>
  <c r="C1601" i="9"/>
  <c r="C2091" i="9"/>
  <c r="C2581" i="9"/>
  <c r="C3031" i="9"/>
  <c r="C290" i="9"/>
  <c r="C713" i="9"/>
  <c r="C1134" i="9"/>
  <c r="C1602" i="9"/>
  <c r="C2092" i="9"/>
  <c r="C2582" i="9"/>
  <c r="C3032" i="9"/>
  <c r="C291" i="9"/>
  <c r="C714" i="9"/>
  <c r="C1135" i="9"/>
  <c r="C1603" i="9"/>
  <c r="C2093" i="9"/>
  <c r="C2583" i="9"/>
  <c r="C3033" i="9"/>
  <c r="C292" i="9"/>
  <c r="C715" i="9"/>
  <c r="C1136" i="9"/>
  <c r="C1604" i="9"/>
  <c r="C2094" i="9"/>
  <c r="C2584" i="9"/>
  <c r="C3034" i="9"/>
  <c r="C293" i="9"/>
  <c r="C716" i="9"/>
  <c r="C1137" i="9"/>
  <c r="C1605" i="9"/>
  <c r="C2095" i="9"/>
  <c r="C2585" i="9"/>
  <c r="C3035" i="9"/>
  <c r="C294" i="9"/>
  <c r="C1606" i="9"/>
  <c r="C2096" i="9"/>
  <c r="C2586" i="9"/>
  <c r="C3036" i="9"/>
  <c r="C295" i="9"/>
  <c r="C717" i="9"/>
  <c r="C1138" i="9"/>
  <c r="C1607" i="9"/>
  <c r="C2097" i="9"/>
  <c r="C2587" i="9"/>
  <c r="C3037" i="9"/>
  <c r="C296" i="9"/>
  <c r="C718" i="9"/>
  <c r="C1139" i="9"/>
  <c r="C1608" i="9"/>
  <c r="C2098" i="9"/>
  <c r="C2588" i="9"/>
  <c r="C3038" i="9"/>
  <c r="C297" i="9"/>
  <c r="C719" i="9"/>
  <c r="C1140" i="9"/>
  <c r="C1609" i="9"/>
  <c r="C2099" i="9"/>
  <c r="C2589" i="9"/>
  <c r="C3039" i="9"/>
  <c r="C298" i="9"/>
  <c r="C720" i="9"/>
  <c r="C1141" i="9"/>
  <c r="C1610" i="9"/>
  <c r="C2100" i="9"/>
  <c r="C2590" i="9"/>
  <c r="C3040" i="9"/>
  <c r="C299" i="9"/>
  <c r="C721" i="9"/>
  <c r="C1142" i="9"/>
  <c r="C1611" i="9"/>
  <c r="C2101" i="9"/>
  <c r="C2591" i="9"/>
  <c r="C3041" i="9"/>
  <c r="C300" i="9"/>
  <c r="C722" i="9"/>
  <c r="C1143" i="9"/>
  <c r="C1612" i="9"/>
  <c r="C2102" i="9"/>
  <c r="C2592" i="9"/>
  <c r="C1613" i="9"/>
  <c r="C2103" i="9"/>
  <c r="C2593" i="9"/>
  <c r="C3042" i="9"/>
  <c r="C301" i="9"/>
  <c r="C723" i="9"/>
  <c r="C1144" i="9"/>
  <c r="C1614" i="9"/>
  <c r="C2104" i="9"/>
  <c r="C2594" i="9"/>
  <c r="C3043" i="9"/>
  <c r="C302" i="9"/>
  <c r="C724" i="9"/>
  <c r="C1145" i="9"/>
  <c r="C1615" i="9"/>
  <c r="C2105" i="9"/>
  <c r="C2595" i="9"/>
  <c r="C3044" i="9"/>
  <c r="C303" i="9"/>
  <c r="C725" i="9"/>
  <c r="C1146" i="9"/>
  <c r="C1616" i="9"/>
  <c r="C2106" i="9"/>
  <c r="C2596" i="9"/>
  <c r="C3045" i="9"/>
  <c r="C304" i="9"/>
  <c r="C726" i="9"/>
  <c r="C1147" i="9"/>
  <c r="C1617" i="9"/>
  <c r="C2107" i="9"/>
  <c r="C2597" i="9"/>
  <c r="C3046" i="9"/>
  <c r="C305" i="9"/>
  <c r="C727" i="9"/>
  <c r="C1148" i="9"/>
  <c r="C1618" i="9"/>
  <c r="C2108" i="9"/>
  <c r="C2598" i="9"/>
  <c r="C3047" i="9"/>
  <c r="C306" i="9"/>
  <c r="C728" i="9"/>
  <c r="C1149" i="9"/>
  <c r="C1619" i="9"/>
  <c r="C2109" i="9"/>
  <c r="C2599" i="9"/>
  <c r="C1620" i="9"/>
  <c r="C2110" i="9"/>
  <c r="C2600" i="9"/>
  <c r="C3048" i="9"/>
  <c r="C307" i="9"/>
  <c r="C729" i="9"/>
  <c r="C1150" i="9"/>
  <c r="C1621" i="9"/>
  <c r="C2111" i="9"/>
  <c r="C2601" i="9"/>
  <c r="C3049" i="9"/>
  <c r="C308" i="9"/>
  <c r="C730" i="9"/>
  <c r="C1151" i="9"/>
  <c r="C1622" i="9"/>
  <c r="C2112" i="9"/>
  <c r="C2602" i="9"/>
  <c r="C3050" i="9"/>
  <c r="C309" i="9"/>
  <c r="C731" i="9"/>
  <c r="C1152" i="9"/>
  <c r="C1623" i="9"/>
  <c r="C2113" i="9"/>
  <c r="C2603" i="9"/>
  <c r="C3051" i="9"/>
  <c r="C310" i="9"/>
  <c r="C732" i="9"/>
  <c r="C1153" i="9"/>
  <c r="C1624" i="9"/>
  <c r="C2114" i="9"/>
  <c r="C2604" i="9"/>
  <c r="C3052" i="9"/>
  <c r="C311" i="9"/>
  <c r="C733" i="9"/>
  <c r="C1154" i="9"/>
  <c r="C1625" i="9"/>
  <c r="C2115" i="9"/>
  <c r="C2605" i="9"/>
  <c r="C3053" i="9"/>
  <c r="C312" i="9"/>
  <c r="C734" i="9"/>
  <c r="C1155" i="9"/>
  <c r="C1626" i="9"/>
  <c r="C2116" i="9"/>
  <c r="C2606" i="9"/>
  <c r="C1627" i="9"/>
  <c r="C2117" i="9"/>
  <c r="C2607" i="9"/>
  <c r="C3054" i="9"/>
  <c r="C313" i="9"/>
  <c r="C735" i="9"/>
  <c r="C1156" i="9"/>
  <c r="C1628" i="9"/>
  <c r="C2118" i="9"/>
  <c r="C2608" i="9"/>
  <c r="C3055" i="9"/>
  <c r="C314" i="9"/>
  <c r="C736" i="9"/>
  <c r="C1157" i="9"/>
  <c r="C1629" i="9"/>
  <c r="C2119" i="9"/>
  <c r="C2609" i="9"/>
  <c r="C3056" i="9"/>
  <c r="C315" i="9"/>
  <c r="C737" i="9"/>
  <c r="C1158" i="9"/>
  <c r="C1630" i="9"/>
  <c r="C2120" i="9"/>
  <c r="C2610" i="9"/>
  <c r="C3057" i="9"/>
  <c r="C316" i="9"/>
  <c r="C738" i="9"/>
  <c r="C1159" i="9"/>
  <c r="C1631" i="9"/>
  <c r="C2121" i="9"/>
  <c r="C2611" i="9"/>
  <c r="C3058" i="9"/>
  <c r="C317" i="9"/>
  <c r="C739" i="9"/>
  <c r="C1160" i="9"/>
  <c r="C1632" i="9"/>
  <c r="C2122" i="9"/>
  <c r="C2612" i="9"/>
  <c r="C3059" i="9"/>
  <c r="C318" i="9"/>
  <c r="C740" i="9"/>
  <c r="C1161" i="9"/>
  <c r="C1633" i="9"/>
  <c r="C2123" i="9"/>
  <c r="C2613" i="9"/>
  <c r="C1634" i="9"/>
  <c r="C2124" i="9"/>
  <c r="C2614" i="9"/>
  <c r="C3060" i="9"/>
  <c r="C319" i="9"/>
  <c r="C741" i="9"/>
  <c r="C1162" i="9"/>
  <c r="C1635" i="9"/>
  <c r="C2125" i="9"/>
  <c r="C2615" i="9"/>
  <c r="C3061" i="9"/>
  <c r="C320" i="9"/>
  <c r="C742" i="9"/>
  <c r="C1163" i="9"/>
  <c r="C1636" i="9"/>
  <c r="C2126" i="9"/>
  <c r="C2616" i="9"/>
  <c r="C3062" i="9"/>
  <c r="C321" i="9"/>
  <c r="C743" i="9"/>
  <c r="C1164" i="9"/>
  <c r="C1637" i="9"/>
  <c r="C2127" i="9"/>
  <c r="C2617" i="9"/>
  <c r="C3063" i="9"/>
  <c r="C322" i="9"/>
  <c r="C744" i="9"/>
  <c r="C1165" i="9"/>
  <c r="C1638" i="9"/>
  <c r="C2128" i="9"/>
  <c r="C2618" i="9"/>
  <c r="C3064" i="9"/>
  <c r="C323" i="9"/>
  <c r="C745" i="9"/>
  <c r="C1166" i="9"/>
  <c r="C1639" i="9"/>
  <c r="C2129" i="9"/>
  <c r="C2619" i="9"/>
  <c r="C3065" i="9"/>
  <c r="C324" i="9"/>
  <c r="C746" i="9"/>
  <c r="C1167" i="9"/>
  <c r="C1640" i="9"/>
  <c r="C2130" i="9"/>
  <c r="C2620" i="9"/>
  <c r="C1641" i="9"/>
  <c r="C2131" i="9"/>
  <c r="C2621" i="9"/>
  <c r="C3066" i="9"/>
  <c r="C325" i="9"/>
  <c r="C747" i="9"/>
  <c r="C1168" i="9"/>
  <c r="C1642" i="9"/>
  <c r="C2132" i="9"/>
  <c r="C2622" i="9"/>
  <c r="C3067" i="9"/>
  <c r="C326" i="9"/>
  <c r="C748" i="9"/>
  <c r="C1169" i="9"/>
  <c r="C1643" i="9"/>
  <c r="C2133" i="9"/>
  <c r="C2623" i="9"/>
  <c r="C3068" i="9"/>
  <c r="C327" i="9"/>
  <c r="C749" i="9"/>
  <c r="C1170" i="9"/>
  <c r="C1644" i="9"/>
  <c r="C2134" i="9"/>
  <c r="C2624" i="9"/>
  <c r="C3069" i="9"/>
  <c r="C328" i="9"/>
  <c r="C750" i="9"/>
  <c r="C1171" i="9"/>
  <c r="C1645" i="9"/>
  <c r="C2135" i="9"/>
  <c r="C2625" i="9"/>
  <c r="C3070" i="9"/>
  <c r="C329" i="9"/>
  <c r="C751" i="9"/>
  <c r="C1172" i="9"/>
  <c r="C1646" i="9"/>
  <c r="C2136" i="9"/>
  <c r="C2626" i="9"/>
  <c r="C3071" i="9"/>
  <c r="C330" i="9"/>
  <c r="C752" i="9"/>
  <c r="C1173" i="9"/>
  <c r="C1647" i="9"/>
  <c r="C2137" i="9"/>
  <c r="C2627" i="9"/>
  <c r="C1648" i="9"/>
  <c r="C2138" i="9"/>
  <c r="C2628" i="9"/>
  <c r="C3072" i="9"/>
  <c r="C331" i="9"/>
  <c r="C753" i="9"/>
  <c r="C1174" i="9"/>
  <c r="C1649" i="9"/>
  <c r="C2139" i="9"/>
  <c r="C2629" i="9"/>
  <c r="C3073" i="9"/>
  <c r="C332" i="9"/>
  <c r="C754" i="9"/>
  <c r="C1175" i="9"/>
  <c r="C1650" i="9"/>
  <c r="C2140" i="9"/>
  <c r="C2630" i="9"/>
  <c r="C3074" i="9"/>
  <c r="C333" i="9"/>
  <c r="C755" i="9"/>
  <c r="C1176" i="9"/>
  <c r="C1651" i="9"/>
  <c r="C2141" i="9"/>
  <c r="C2631" i="9"/>
  <c r="C3075" i="9"/>
  <c r="C334" i="9"/>
  <c r="C756" i="9"/>
  <c r="C1177" i="9"/>
  <c r="C1652" i="9"/>
  <c r="C2142" i="9"/>
  <c r="C2632" i="9"/>
  <c r="C3076" i="9"/>
  <c r="C335" i="9"/>
  <c r="C757" i="9"/>
  <c r="C1178" i="9"/>
  <c r="C1653" i="9"/>
  <c r="C2143" i="9"/>
  <c r="C2633" i="9"/>
  <c r="C3077" i="9"/>
  <c r="C336" i="9"/>
  <c r="C758" i="9"/>
  <c r="C1179" i="9"/>
  <c r="C1654" i="9"/>
  <c r="C2144" i="9"/>
  <c r="C2634" i="9"/>
  <c r="C3078" i="9"/>
  <c r="C337" i="9"/>
  <c r="C759" i="9"/>
  <c r="C1655" i="9"/>
  <c r="C2145" i="9"/>
  <c r="C2635" i="9"/>
  <c r="C3079" i="9"/>
  <c r="C338" i="9"/>
  <c r="C760" i="9"/>
  <c r="C1180" i="9"/>
  <c r="C1656" i="9"/>
  <c r="C2146" i="9"/>
  <c r="C2636" i="9"/>
  <c r="C3080" i="9"/>
  <c r="C339" i="9"/>
  <c r="C761" i="9"/>
  <c r="C1181" i="9"/>
  <c r="C1657" i="9"/>
  <c r="C2147" i="9"/>
  <c r="C2637" i="9"/>
  <c r="C3081" i="9"/>
  <c r="C340" i="9"/>
  <c r="C762" i="9"/>
  <c r="C1182" i="9"/>
  <c r="C1658" i="9"/>
  <c r="C2148" i="9"/>
  <c r="C2638" i="9"/>
  <c r="C3082" i="9"/>
  <c r="C341" i="9"/>
  <c r="C763" i="9"/>
  <c r="C1183" i="9"/>
  <c r="C1659" i="9"/>
  <c r="C2149" i="9"/>
  <c r="C2639" i="9"/>
  <c r="C3083" i="9"/>
  <c r="C342" i="9"/>
  <c r="C764" i="9"/>
  <c r="C1184" i="9"/>
  <c r="C1660" i="9"/>
  <c r="C2150" i="9"/>
  <c r="C2640" i="9"/>
  <c r="C3084" i="9"/>
  <c r="C343" i="9"/>
  <c r="C765" i="9"/>
  <c r="C1185" i="9"/>
  <c r="C1661" i="9"/>
  <c r="C2151" i="9"/>
  <c r="C2641" i="9"/>
  <c r="C1662" i="9"/>
  <c r="C2152" i="9"/>
  <c r="C2642" i="9"/>
  <c r="C3085" i="9"/>
  <c r="C344" i="9"/>
  <c r="C766" i="9"/>
  <c r="C1186" i="9"/>
  <c r="C1663" i="9"/>
  <c r="C2153" i="9"/>
  <c r="C2643" i="9"/>
  <c r="C3086" i="9"/>
  <c r="C345" i="9"/>
  <c r="C767" i="9"/>
  <c r="C1187" i="9"/>
  <c r="C1664" i="9"/>
  <c r="C2154" i="9"/>
  <c r="C2644" i="9"/>
  <c r="C3087" i="9"/>
  <c r="C346" i="9"/>
  <c r="C768" i="9"/>
  <c r="C1188" i="9"/>
  <c r="C1665" i="9"/>
  <c r="C2155" i="9"/>
  <c r="C2645" i="9"/>
  <c r="C3088" i="9"/>
  <c r="C347" i="9"/>
  <c r="C769" i="9"/>
  <c r="C1189" i="9"/>
  <c r="C1666" i="9"/>
  <c r="C2156" i="9"/>
  <c r="C2646" i="9"/>
  <c r="C3089" i="9"/>
  <c r="C348" i="9"/>
  <c r="C770" i="9"/>
  <c r="C1190" i="9"/>
  <c r="C1667" i="9"/>
  <c r="C2157" i="9"/>
  <c r="C2647" i="9"/>
  <c r="C3090" i="9"/>
  <c r="C349" i="9"/>
  <c r="C771" i="9"/>
  <c r="C1191" i="9"/>
  <c r="C1668" i="9"/>
  <c r="C2158" i="9"/>
  <c r="C2648" i="9"/>
  <c r="C3091" i="9"/>
  <c r="C1669" i="9"/>
  <c r="C2159" i="9"/>
  <c r="C2649" i="9"/>
  <c r="C3092" i="9"/>
  <c r="C350" i="9"/>
  <c r="C772" i="9"/>
  <c r="C1192" i="9"/>
  <c r="C1670" i="9"/>
  <c r="C2160" i="9"/>
  <c r="C2650" i="9"/>
  <c r="C3093" i="9"/>
  <c r="C351" i="9"/>
  <c r="C773" i="9"/>
  <c r="C1193" i="9"/>
  <c r="C1671" i="9"/>
  <c r="C2161" i="9"/>
  <c r="C2651" i="9"/>
  <c r="C3094" i="9"/>
  <c r="C352" i="9"/>
  <c r="C774" i="9"/>
  <c r="C1194" i="9"/>
  <c r="C1672" i="9"/>
  <c r="C2162" i="9"/>
  <c r="C2652" i="9"/>
  <c r="C3095" i="9"/>
  <c r="C353" i="9"/>
  <c r="C775" i="9"/>
  <c r="C1195" i="9"/>
  <c r="C1673" i="9"/>
  <c r="C2163" i="9"/>
  <c r="C2653" i="9"/>
  <c r="C3096" i="9"/>
  <c r="C354" i="9"/>
  <c r="C776" i="9"/>
  <c r="C1196" i="9"/>
  <c r="C1674" i="9"/>
  <c r="C2164" i="9"/>
  <c r="C2654" i="9"/>
  <c r="C3097" i="9"/>
  <c r="C355" i="9"/>
  <c r="C777" i="9"/>
  <c r="C1197" i="9"/>
  <c r="C1675" i="9"/>
  <c r="C2165" i="9"/>
  <c r="C2655" i="9"/>
  <c r="C1676" i="9"/>
  <c r="C2166" i="9"/>
  <c r="C2656" i="9"/>
  <c r="C3098" i="9"/>
  <c r="C356" i="9"/>
  <c r="C778" i="9"/>
  <c r="C1198" i="9"/>
  <c r="C1677" i="9"/>
  <c r="C2167" i="9"/>
  <c r="C2657" i="9"/>
  <c r="C3099" i="9"/>
  <c r="C357" i="9"/>
  <c r="C779" i="9"/>
  <c r="C1199" i="9"/>
  <c r="C1678" i="9"/>
  <c r="C2168" i="9"/>
  <c r="C2658" i="9"/>
  <c r="C3100" i="9"/>
  <c r="C358" i="9"/>
  <c r="C780" i="9"/>
  <c r="C1200" i="9"/>
  <c r="C1679" i="9"/>
  <c r="C2169" i="9"/>
  <c r="C2659" i="9"/>
  <c r="C3101" i="9"/>
  <c r="C359" i="9"/>
  <c r="C781" i="9"/>
  <c r="C1201" i="9"/>
  <c r="C1680" i="9"/>
  <c r="C2170" i="9"/>
  <c r="C2660" i="9"/>
  <c r="C3102" i="9"/>
  <c r="C360" i="9"/>
  <c r="C782" i="9"/>
  <c r="C1202" i="9"/>
  <c r="C1681" i="9"/>
  <c r="C2171" i="9"/>
  <c r="C2661" i="9"/>
  <c r="C3103" i="9"/>
  <c r="C361" i="9"/>
  <c r="C783" i="9"/>
  <c r="C1203" i="9"/>
  <c r="C1682" i="9"/>
  <c r="C2172" i="9"/>
  <c r="C2662" i="9"/>
  <c r="C1683" i="9"/>
  <c r="C2173" i="9"/>
  <c r="C2663" i="9"/>
  <c r="C3104" i="9"/>
  <c r="C362" i="9"/>
  <c r="C784" i="9"/>
  <c r="C1204" i="9"/>
  <c r="C1684" i="9"/>
  <c r="C2174" i="9"/>
  <c r="C2664" i="9"/>
  <c r="C3105" i="9"/>
  <c r="C363" i="9"/>
  <c r="C785" i="9"/>
  <c r="C1205" i="9"/>
  <c r="C1685" i="9"/>
  <c r="C2175" i="9"/>
  <c r="C2665" i="9"/>
  <c r="C3106" i="9"/>
  <c r="C364" i="9"/>
  <c r="C786" i="9"/>
  <c r="C1206" i="9"/>
  <c r="C1686" i="9"/>
  <c r="C2176" i="9"/>
  <c r="C2666" i="9"/>
  <c r="C3107" i="9"/>
  <c r="C365" i="9"/>
  <c r="C787" i="9"/>
  <c r="C1207" i="9"/>
  <c r="C1687" i="9"/>
  <c r="C2177" i="9"/>
  <c r="C2667" i="9"/>
  <c r="C3108" i="9"/>
  <c r="C366" i="9"/>
  <c r="C788" i="9"/>
  <c r="C1208" i="9"/>
  <c r="C1688" i="9"/>
  <c r="C2178" i="9"/>
  <c r="C2668" i="9"/>
  <c r="C3109" i="9"/>
  <c r="C367" i="9"/>
  <c r="C789" i="9"/>
  <c r="C1209" i="9"/>
  <c r="C1689" i="9"/>
  <c r="C2179" i="9"/>
  <c r="C2669" i="9"/>
  <c r="C1690" i="9"/>
  <c r="C2180" i="9"/>
  <c r="C2670" i="9"/>
  <c r="C3110" i="9"/>
  <c r="C368" i="9"/>
  <c r="C790" i="9"/>
  <c r="C1210" i="9"/>
  <c r="C1691" i="9"/>
  <c r="C2181" i="9"/>
  <c r="C2671" i="9"/>
  <c r="C3111" i="9"/>
  <c r="C369" i="9"/>
  <c r="C791" i="9"/>
  <c r="C1211" i="9"/>
  <c r="C1692" i="9"/>
  <c r="C2182" i="9"/>
  <c r="C2672" i="9"/>
  <c r="C3112" i="9"/>
  <c r="C370" i="9"/>
  <c r="C792" i="9"/>
  <c r="C1212" i="9"/>
  <c r="C1693" i="9"/>
  <c r="C2183" i="9"/>
  <c r="C2673" i="9"/>
  <c r="C3113" i="9"/>
  <c r="C371" i="9"/>
  <c r="C793" i="9"/>
  <c r="C1213" i="9"/>
  <c r="C1694" i="9"/>
  <c r="C2184" i="9"/>
  <c r="C2674" i="9"/>
  <c r="C3114" i="9"/>
  <c r="C372" i="9"/>
  <c r="C794" i="9"/>
  <c r="C1214" i="9"/>
  <c r="C1695" i="9"/>
  <c r="C2185" i="9"/>
  <c r="C2675" i="9"/>
  <c r="C3115" i="9"/>
  <c r="C373" i="9"/>
  <c r="C795" i="9"/>
  <c r="C1215" i="9"/>
  <c r="C1696" i="9"/>
  <c r="C2186" i="9"/>
  <c r="C2676" i="9"/>
  <c r="C1697" i="9"/>
  <c r="C2187" i="9"/>
  <c r="C2677" i="9"/>
  <c r="C3116" i="9"/>
  <c r="C374" i="9"/>
  <c r="C796" i="9"/>
  <c r="C1216" i="9"/>
  <c r="C1698" i="9"/>
  <c r="C2188" i="9"/>
  <c r="C2678" i="9"/>
  <c r="C3117" i="9"/>
  <c r="C375" i="9"/>
  <c r="C797" i="9"/>
  <c r="C1217" i="9"/>
  <c r="C1699" i="9"/>
  <c r="C2189" i="9"/>
  <c r="C2679" i="9"/>
  <c r="C3118" i="9"/>
  <c r="C376" i="9"/>
  <c r="C798" i="9"/>
  <c r="C1218" i="9"/>
  <c r="C1700" i="9"/>
  <c r="C2190" i="9"/>
  <c r="C2680" i="9"/>
  <c r="C3119" i="9"/>
  <c r="C377" i="9"/>
  <c r="C799" i="9"/>
  <c r="C1219" i="9"/>
  <c r="C1701" i="9"/>
  <c r="C2191" i="9"/>
  <c r="C2681" i="9"/>
  <c r="C3120" i="9"/>
  <c r="C378" i="9"/>
  <c r="C800" i="9"/>
  <c r="C1220" i="9"/>
  <c r="C1702" i="9"/>
  <c r="C2192" i="9"/>
  <c r="C2682" i="9"/>
  <c r="C3121" i="9"/>
  <c r="C379" i="9"/>
  <c r="C801" i="9"/>
  <c r="C1221" i="9"/>
  <c r="C1703" i="9"/>
  <c r="C2193" i="9"/>
  <c r="C2683" i="9"/>
  <c r="C1704" i="9"/>
  <c r="C2194" i="9"/>
  <c r="C2684" i="9"/>
  <c r="C3122" i="9"/>
  <c r="C380" i="9"/>
  <c r="C802" i="9"/>
  <c r="C1222" i="9"/>
  <c r="C1705" i="9"/>
  <c r="C2195" i="9"/>
  <c r="C2685" i="9"/>
  <c r="C3123" i="9"/>
  <c r="C381" i="9"/>
  <c r="C803" i="9"/>
  <c r="C1223" i="9"/>
  <c r="C1706" i="9"/>
  <c r="C2196" i="9"/>
  <c r="C2686" i="9"/>
  <c r="C3124" i="9"/>
  <c r="C382" i="9"/>
  <c r="C804" i="9"/>
  <c r="C1224" i="9"/>
  <c r="C1707" i="9"/>
  <c r="C2197" i="9"/>
  <c r="C2687" i="9"/>
  <c r="C3125" i="9"/>
  <c r="C383" i="9"/>
  <c r="C805" i="9"/>
  <c r="C1225" i="9"/>
  <c r="C1708" i="9"/>
  <c r="C2198" i="9"/>
  <c r="C2688" i="9"/>
  <c r="C3126" i="9"/>
  <c r="C384" i="9"/>
  <c r="C806" i="9"/>
  <c r="C1226" i="9"/>
  <c r="C1709" i="9"/>
  <c r="C2199" i="9"/>
  <c r="C2689" i="9"/>
  <c r="C3127" i="9"/>
  <c r="C385" i="9"/>
  <c r="C807" i="9"/>
  <c r="C1227" i="9"/>
  <c r="C1710" i="9"/>
  <c r="C2200" i="9"/>
  <c r="C2690" i="9"/>
  <c r="C1711" i="9"/>
  <c r="C2201" i="9"/>
  <c r="C2691" i="9"/>
  <c r="C3128" i="9"/>
  <c r="C386" i="9"/>
  <c r="C808" i="9"/>
  <c r="C1228" i="9"/>
  <c r="C1712" i="9"/>
  <c r="C2202" i="9"/>
  <c r="C2692" i="9"/>
  <c r="C3129" i="9"/>
  <c r="C387" i="9"/>
  <c r="C809" i="9"/>
  <c r="C1229" i="9"/>
  <c r="C1713" i="9"/>
  <c r="C2203" i="9"/>
  <c r="C2693" i="9"/>
  <c r="C3130" i="9"/>
  <c r="C388" i="9"/>
  <c r="C810" i="9"/>
  <c r="C1230" i="9"/>
  <c r="C1714" i="9"/>
  <c r="C2204" i="9"/>
  <c r="C2694" i="9"/>
  <c r="C3131" i="9"/>
  <c r="C389" i="9"/>
  <c r="C811" i="9"/>
  <c r="C1231" i="9"/>
  <c r="C1715" i="9"/>
  <c r="C2205" i="9"/>
  <c r="C2695" i="9"/>
  <c r="C3132" i="9"/>
  <c r="C390" i="9"/>
  <c r="C812" i="9"/>
  <c r="C1232" i="9"/>
  <c r="C1716" i="9"/>
  <c r="C2206" i="9"/>
  <c r="C2696" i="9"/>
  <c r="C3133" i="9"/>
  <c r="C391" i="9"/>
  <c r="C813" i="9"/>
  <c r="C1233" i="9"/>
  <c r="C1717" i="9"/>
  <c r="C2207" i="9"/>
  <c r="C2697" i="9"/>
  <c r="C1718" i="9"/>
  <c r="C2208" i="9"/>
  <c r="C2698" i="9"/>
  <c r="C3134" i="9"/>
  <c r="C392" i="9"/>
  <c r="C814" i="9"/>
  <c r="C1234" i="9"/>
  <c r="C1719" i="9"/>
  <c r="C2209" i="9"/>
  <c r="C2699" i="9"/>
  <c r="C3135" i="9"/>
  <c r="C393" i="9"/>
  <c r="C815" i="9"/>
  <c r="C1235" i="9"/>
  <c r="C1720" i="9"/>
  <c r="C2210" i="9"/>
  <c r="C2700" i="9"/>
  <c r="C3136" i="9"/>
  <c r="C394" i="9"/>
  <c r="C816" i="9"/>
  <c r="C1236" i="9"/>
  <c r="C1721" i="9"/>
  <c r="C2211" i="9"/>
  <c r="C2701" i="9"/>
  <c r="C3137" i="9"/>
  <c r="C395" i="9"/>
  <c r="C817" i="9"/>
  <c r="C1237" i="9"/>
  <c r="C1722" i="9"/>
  <c r="C2212" i="9"/>
  <c r="C2702" i="9"/>
  <c r="C3138" i="9"/>
  <c r="C396" i="9"/>
  <c r="C818" i="9"/>
  <c r="C1238" i="9"/>
  <c r="C1723" i="9"/>
  <c r="C2213" i="9"/>
  <c r="C2703" i="9"/>
  <c r="C3139" i="9"/>
  <c r="C397" i="9"/>
  <c r="C819" i="9"/>
  <c r="C1239" i="9"/>
  <c r="C1724" i="9"/>
  <c r="C2214" i="9"/>
  <c r="C2704" i="9"/>
  <c r="C1725" i="9"/>
  <c r="C2215" i="9"/>
  <c r="C2705" i="9"/>
  <c r="C3140" i="9"/>
  <c r="C398" i="9"/>
  <c r="C820" i="9"/>
  <c r="C1240" i="9"/>
  <c r="C1726" i="9"/>
  <c r="C2216" i="9"/>
  <c r="C2706" i="9"/>
  <c r="C3141" i="9"/>
  <c r="C399" i="9"/>
  <c r="C821" i="9"/>
  <c r="C1241" i="9"/>
  <c r="C1727" i="9"/>
  <c r="C2217" i="9"/>
  <c r="C2707" i="9"/>
  <c r="C3142" i="9"/>
  <c r="C400" i="9"/>
  <c r="C822" i="9"/>
  <c r="C1242" i="9"/>
  <c r="C1728" i="9"/>
  <c r="C2218" i="9"/>
  <c r="C2708" i="9"/>
  <c r="C3143" i="9"/>
  <c r="C401" i="9"/>
  <c r="C823" i="9"/>
  <c r="C1243" i="9"/>
  <c r="C1729" i="9"/>
  <c r="C2219" i="9"/>
  <c r="C2709" i="9"/>
  <c r="C3144" i="9"/>
  <c r="C402" i="9"/>
  <c r="C824" i="9"/>
  <c r="C1244" i="9"/>
  <c r="C1730" i="9"/>
  <c r="C2220" i="9"/>
  <c r="C2710" i="9"/>
  <c r="C3145" i="9"/>
  <c r="C403" i="9"/>
  <c r="C825" i="9"/>
  <c r="C1245" i="9"/>
  <c r="C1731" i="9"/>
  <c r="C2221" i="9"/>
  <c r="C2711" i="9"/>
  <c r="C1732" i="9"/>
  <c r="C2222" i="9"/>
  <c r="C2712" i="9"/>
  <c r="C3146" i="9"/>
  <c r="C404" i="9"/>
  <c r="C826" i="9"/>
  <c r="C1246" i="9"/>
  <c r="C1733" i="9"/>
  <c r="C2223" i="9"/>
  <c r="C2713" i="9"/>
  <c r="C3147" i="9"/>
  <c r="C405" i="9"/>
  <c r="C827" i="9"/>
  <c r="C1247" i="9"/>
  <c r="C1734" i="9"/>
  <c r="C2224" i="9"/>
  <c r="C2714" i="9"/>
  <c r="C3148" i="9"/>
  <c r="C406" i="9"/>
  <c r="C828" i="9"/>
  <c r="C1248" i="9"/>
  <c r="C1735" i="9"/>
  <c r="C2225" i="9"/>
  <c r="C2715" i="9"/>
  <c r="C3149" i="9"/>
  <c r="C407" i="9"/>
  <c r="C829" i="9"/>
  <c r="C1249" i="9"/>
  <c r="C1736" i="9"/>
  <c r="C2226" i="9"/>
  <c r="C2716" i="9"/>
  <c r="C3150" i="9"/>
  <c r="C408" i="9"/>
  <c r="C830" i="9"/>
  <c r="C1250" i="9"/>
  <c r="C1737" i="9"/>
  <c r="C2227" i="9"/>
  <c r="C2717" i="9"/>
  <c r="C3151" i="9"/>
  <c r="C409" i="9"/>
  <c r="C831" i="9"/>
  <c r="C1251" i="9"/>
  <c r="C1738" i="9"/>
  <c r="C2228" i="9"/>
  <c r="C2718" i="9"/>
  <c r="C1739" i="9"/>
  <c r="C2229" i="9"/>
  <c r="C2719" i="9"/>
  <c r="C3152" i="9"/>
  <c r="C410" i="9"/>
  <c r="C832" i="9"/>
  <c r="C1252" i="9"/>
  <c r="C1740" i="9"/>
  <c r="C2230" i="9"/>
  <c r="C2720" i="9"/>
  <c r="C3153" i="9"/>
  <c r="C411" i="9"/>
  <c r="C833" i="9"/>
  <c r="C1253" i="9"/>
  <c r="C1741" i="9"/>
  <c r="C2231" i="9"/>
  <c r="C2721" i="9"/>
  <c r="C3154" i="9"/>
  <c r="C412" i="9"/>
  <c r="C834" i="9"/>
  <c r="C1254" i="9"/>
  <c r="C1742" i="9"/>
  <c r="C2232" i="9"/>
  <c r="C2722" i="9"/>
  <c r="C3155" i="9"/>
  <c r="C413" i="9"/>
  <c r="C835" i="9"/>
  <c r="C1255" i="9"/>
  <c r="C1743" i="9"/>
  <c r="C2233" i="9"/>
  <c r="C2723" i="9"/>
  <c r="C3156" i="9"/>
  <c r="C414" i="9"/>
  <c r="C836" i="9"/>
  <c r="C1256" i="9"/>
  <c r="C1744" i="9"/>
  <c r="C2234" i="9"/>
  <c r="C2724" i="9"/>
  <c r="C3157" i="9"/>
  <c r="C415" i="9"/>
  <c r="C837" i="9"/>
  <c r="C1257" i="9"/>
  <c r="C1745" i="9"/>
  <c r="C2235" i="9"/>
  <c r="C2725" i="9"/>
  <c r="C1746" i="9"/>
  <c r="C2236" i="9"/>
  <c r="C2726" i="9"/>
  <c r="C3158" i="9"/>
  <c r="C416" i="9"/>
  <c r="C838" i="9"/>
  <c r="C1258" i="9"/>
  <c r="C1747" i="9"/>
  <c r="C2237" i="9"/>
  <c r="C2727" i="9"/>
  <c r="C3159" i="9"/>
  <c r="C417" i="9"/>
  <c r="C839" i="9"/>
  <c r="C1259" i="9"/>
  <c r="C1748" i="9"/>
  <c r="C2238" i="9"/>
  <c r="C2728" i="9"/>
  <c r="C3160" i="9"/>
  <c r="C418" i="9"/>
  <c r="C840" i="9"/>
  <c r="C1260" i="9"/>
  <c r="C1749" i="9"/>
  <c r="C2239" i="9"/>
  <c r="C2729" i="9"/>
  <c r="C3161" i="9"/>
  <c r="C419" i="9"/>
  <c r="C841" i="9"/>
  <c r="C1261" i="9"/>
  <c r="C1750" i="9"/>
  <c r="C2240" i="9"/>
  <c r="C2730" i="9"/>
  <c r="C3162" i="9"/>
  <c r="C420" i="9"/>
  <c r="C842" i="9"/>
  <c r="C1262" i="9"/>
  <c r="C1751" i="9"/>
  <c r="C2241" i="9"/>
  <c r="C2731" i="9"/>
  <c r="C3163" i="9"/>
  <c r="C421" i="9"/>
  <c r="C843" i="9"/>
  <c r="C1263" i="9"/>
  <c r="C1752" i="9"/>
  <c r="C2242" i="9"/>
  <c r="C2732" i="9"/>
  <c r="C1753" i="9"/>
  <c r="C2243" i="9"/>
  <c r="C2733" i="9"/>
  <c r="C3164" i="9"/>
  <c r="C422" i="9"/>
  <c r="C844" i="9"/>
  <c r="C1264" i="9"/>
  <c r="C1754" i="9"/>
  <c r="C2244" i="9"/>
  <c r="C2734" i="9"/>
  <c r="C3165" i="9"/>
  <c r="C423" i="9"/>
  <c r="C845" i="9"/>
  <c r="C1265" i="9"/>
  <c r="C1755" i="9"/>
  <c r="C2245" i="9"/>
  <c r="C2735" i="9"/>
  <c r="C3166" i="9"/>
  <c r="C424" i="9"/>
  <c r="C846" i="9"/>
  <c r="C1266" i="9"/>
  <c r="C1756" i="9"/>
  <c r="C2246" i="9"/>
  <c r="C2736" i="9"/>
  <c r="C3167" i="9"/>
  <c r="C425" i="9"/>
  <c r="C847" i="9"/>
  <c r="C1267" i="9"/>
  <c r="C1757" i="9"/>
  <c r="C2247" i="9"/>
  <c r="C2737" i="9"/>
  <c r="C3168" i="9"/>
  <c r="C426" i="9"/>
  <c r="C848" i="9"/>
  <c r="C1268" i="9"/>
  <c r="C1758" i="9"/>
  <c r="C2248" i="9"/>
  <c r="C2738" i="9"/>
  <c r="C3169" i="9"/>
  <c r="C427" i="9"/>
  <c r="C849" i="9"/>
  <c r="C1269" i="9"/>
  <c r="C1759" i="9"/>
  <c r="C2249" i="9"/>
  <c r="C2739" i="9"/>
  <c r="C3170" i="9"/>
  <c r="K1270" i="9" a="1"/>
  <c r="K1270" i="9" s="1"/>
  <c r="K1760" i="9" a="1"/>
  <c r="K1760" i="9" s="1"/>
  <c r="K2250" i="9" a="1"/>
  <c r="K2250" i="9" s="1"/>
  <c r="K2740" i="9" a="1"/>
  <c r="K2740" i="9" s="1"/>
  <c r="K2" i="9" a="1"/>
  <c r="K2" i="9" s="1"/>
  <c r="K428" i="9" a="1"/>
  <c r="K428" i="9" s="1"/>
  <c r="K850" i="9" a="1"/>
  <c r="K850" i="9" s="1"/>
  <c r="K1271" i="9" a="1"/>
  <c r="K1271" i="9" s="1"/>
  <c r="K1761" i="9" a="1"/>
  <c r="K1761" i="9" s="1"/>
  <c r="K2251" i="9" a="1"/>
  <c r="K2251" i="9" s="1"/>
  <c r="K2741" i="9" a="1"/>
  <c r="K2741" i="9" s="1"/>
  <c r="K3" i="9" a="1"/>
  <c r="K3" i="9" s="1"/>
  <c r="K429" i="9" a="1"/>
  <c r="K429" i="9" s="1"/>
  <c r="K851" i="9" a="1"/>
  <c r="K851" i="9" s="1"/>
  <c r="K1272" i="9" a="1"/>
  <c r="K1272" i="9" s="1"/>
  <c r="K1762" i="9" a="1"/>
  <c r="K1762" i="9" s="1"/>
  <c r="K2252" i="9" a="1"/>
  <c r="K2252" i="9" s="1"/>
  <c r="K2742" i="9" a="1"/>
  <c r="K2742" i="9" s="1"/>
  <c r="K4" i="9" a="1"/>
  <c r="K4" i="9" s="1"/>
  <c r="K430" i="9" a="1"/>
  <c r="K430" i="9" s="1"/>
  <c r="K852" i="9" a="1"/>
  <c r="K852" i="9" s="1"/>
  <c r="K1273" i="9" a="1"/>
  <c r="K1273" i="9" s="1"/>
  <c r="K1763" i="9" a="1"/>
  <c r="K1763" i="9" s="1"/>
  <c r="K2253" i="9" a="1"/>
  <c r="K2253" i="9" s="1"/>
  <c r="K2743" i="9" a="1"/>
  <c r="K2743" i="9" s="1"/>
  <c r="K5" i="9" a="1"/>
  <c r="K5" i="9" s="1"/>
  <c r="K431" i="9" a="1"/>
  <c r="K431" i="9" s="1"/>
  <c r="K853" i="9" a="1"/>
  <c r="K853" i="9" s="1"/>
  <c r="K1274" i="9" a="1"/>
  <c r="K1274" i="9" s="1"/>
  <c r="K1764" i="9" a="1"/>
  <c r="K1764" i="9" s="1"/>
  <c r="K2254" i="9" a="1"/>
  <c r="K2254" i="9" s="1"/>
  <c r="K2744" i="9" a="1"/>
  <c r="K2744" i="9" s="1"/>
  <c r="K6" i="9" a="1"/>
  <c r="K6" i="9" s="1"/>
  <c r="K432" i="9" a="1"/>
  <c r="K432" i="9" s="1"/>
  <c r="K854" i="9" a="1"/>
  <c r="K854" i="9" s="1"/>
  <c r="K1275" i="9" a="1"/>
  <c r="K1275" i="9" s="1"/>
  <c r="K1765" i="9" a="1"/>
  <c r="K1765" i="9" s="1"/>
  <c r="K2255" i="9" a="1"/>
  <c r="K2255" i="9" s="1"/>
  <c r="K2745" i="9" a="1"/>
  <c r="K2745" i="9" s="1"/>
  <c r="K7" i="9" a="1"/>
  <c r="K7" i="9" s="1"/>
  <c r="K433" i="9" a="1"/>
  <c r="K433" i="9" s="1"/>
  <c r="K855" i="9" a="1"/>
  <c r="K855" i="9" s="1"/>
  <c r="K1276" i="9" a="1"/>
  <c r="K1276" i="9" s="1"/>
  <c r="K1766" i="9" a="1"/>
  <c r="K1766" i="9" s="1"/>
  <c r="K2256" i="9" a="1"/>
  <c r="K2256" i="9" s="1"/>
  <c r="K1277" i="9" a="1"/>
  <c r="K1277" i="9" s="1"/>
  <c r="K1767" i="9" a="1"/>
  <c r="K1767" i="9" s="1"/>
  <c r="K2257" i="9" a="1"/>
  <c r="K2257" i="9" s="1"/>
  <c r="K2746" i="9" a="1"/>
  <c r="K2746" i="9" s="1"/>
  <c r="K8" i="9" a="1"/>
  <c r="K8" i="9" s="1"/>
  <c r="K434" i="9" a="1"/>
  <c r="K434" i="9" s="1"/>
  <c r="K856" i="9" a="1"/>
  <c r="K856" i="9" s="1"/>
  <c r="K1278" i="9" a="1"/>
  <c r="K1278" i="9" s="1"/>
  <c r="K1768" i="9" a="1"/>
  <c r="K1768" i="9" s="1"/>
  <c r="K2258" i="9" a="1"/>
  <c r="K2258" i="9" s="1"/>
  <c r="K2747" i="9" a="1"/>
  <c r="K2747" i="9" s="1"/>
  <c r="K9" i="9" a="1"/>
  <c r="K9" i="9" s="1"/>
  <c r="K435" i="9" a="1"/>
  <c r="K435" i="9" s="1"/>
  <c r="K857" i="9" a="1"/>
  <c r="K857" i="9" s="1"/>
  <c r="K1279" i="9" a="1"/>
  <c r="K1279" i="9" s="1"/>
  <c r="K1769" i="9" a="1"/>
  <c r="K1769" i="9" s="1"/>
  <c r="K2259" i="9" a="1"/>
  <c r="K2259" i="9" s="1"/>
  <c r="K2748" i="9" a="1"/>
  <c r="K2748" i="9" s="1"/>
  <c r="K10" i="9" a="1"/>
  <c r="K10" i="9" s="1"/>
  <c r="K436" i="9" a="1"/>
  <c r="K436" i="9" s="1"/>
  <c r="K858" i="9" a="1"/>
  <c r="K858" i="9" s="1"/>
  <c r="K1280" i="9" a="1"/>
  <c r="K1280" i="9" s="1"/>
  <c r="K1770" i="9" a="1"/>
  <c r="K1770" i="9" s="1"/>
  <c r="K2260" i="9" a="1"/>
  <c r="K2260" i="9" s="1"/>
  <c r="K2749" i="9" a="1"/>
  <c r="K2749" i="9" s="1"/>
  <c r="K11" i="9" a="1"/>
  <c r="K11" i="9" s="1"/>
  <c r="K437" i="9" a="1"/>
  <c r="K437" i="9" s="1"/>
  <c r="K859" i="9" a="1"/>
  <c r="K859" i="9" s="1"/>
  <c r="K1281" i="9" a="1"/>
  <c r="K1281" i="9" s="1"/>
  <c r="K1771" i="9" a="1"/>
  <c r="K1771" i="9" s="1"/>
  <c r="K2261" i="9" a="1"/>
  <c r="K2261" i="9" s="1"/>
  <c r="K2750" i="9" a="1"/>
  <c r="K2750" i="9" s="1"/>
  <c r="K12" i="9" a="1"/>
  <c r="K12" i="9" s="1"/>
  <c r="K438" i="9" a="1"/>
  <c r="K438" i="9" s="1"/>
  <c r="K860" i="9" a="1"/>
  <c r="K860" i="9" s="1"/>
  <c r="K1282" i="9" a="1"/>
  <c r="K1282" i="9" s="1"/>
  <c r="K1772" i="9" a="1"/>
  <c r="K1772" i="9" s="1"/>
  <c r="K2262" i="9" a="1"/>
  <c r="K2262" i="9" s="1"/>
  <c r="K2751" i="9" a="1"/>
  <c r="K2751" i="9" s="1"/>
  <c r="K13" i="9" a="1"/>
  <c r="K13" i="9" s="1"/>
  <c r="K439" i="9" a="1"/>
  <c r="K439" i="9" s="1"/>
  <c r="K861" i="9" a="1"/>
  <c r="K861" i="9" s="1"/>
  <c r="K1283" i="9" a="1"/>
  <c r="K1283" i="9" s="1"/>
  <c r="K1773" i="9" a="1"/>
  <c r="K1773" i="9" s="1"/>
  <c r="K2263" i="9" a="1"/>
  <c r="K2263" i="9" s="1"/>
  <c r="K1284" i="9" a="1"/>
  <c r="K1284" i="9" s="1"/>
  <c r="K1774" i="9" a="1"/>
  <c r="K1774" i="9" s="1"/>
  <c r="K2264" i="9" a="1"/>
  <c r="K2264" i="9" s="1"/>
  <c r="K2752" i="9" a="1"/>
  <c r="K2752" i="9" s="1"/>
  <c r="K14" i="9" a="1"/>
  <c r="K14" i="9" s="1"/>
  <c r="K440" i="9" a="1"/>
  <c r="K440" i="9" s="1"/>
  <c r="K862" i="9" a="1"/>
  <c r="K862" i="9" s="1"/>
  <c r="K1285" i="9" a="1"/>
  <c r="K1285" i="9" s="1"/>
  <c r="K1775" i="9" a="1"/>
  <c r="K1775" i="9" s="1"/>
  <c r="K2265" i="9" a="1"/>
  <c r="K2265" i="9" s="1"/>
  <c r="K2753" i="9" a="1"/>
  <c r="K2753" i="9" s="1"/>
  <c r="K15" i="9" a="1"/>
  <c r="K15" i="9" s="1"/>
  <c r="K441" i="9" a="1"/>
  <c r="K441" i="9" s="1"/>
  <c r="K863" i="9" a="1"/>
  <c r="K863" i="9" s="1"/>
  <c r="K1286" i="9" a="1"/>
  <c r="K1286" i="9" s="1"/>
  <c r="K1776" i="9" a="1"/>
  <c r="K1776" i="9" s="1"/>
  <c r="K2266" i="9" a="1"/>
  <c r="K2266" i="9" s="1"/>
  <c r="K2754" i="9" a="1"/>
  <c r="K2754" i="9" s="1"/>
  <c r="K16" i="9" a="1"/>
  <c r="K16" i="9" s="1"/>
  <c r="K442" i="9" a="1"/>
  <c r="K442" i="9" s="1"/>
  <c r="K864" i="9" a="1"/>
  <c r="K864" i="9" s="1"/>
  <c r="K1287" i="9" a="1"/>
  <c r="K1287" i="9" s="1"/>
  <c r="K1777" i="9" a="1"/>
  <c r="K1777" i="9" s="1"/>
  <c r="K2267" i="9" a="1"/>
  <c r="K2267" i="9" s="1"/>
  <c r="K2755" i="9" a="1"/>
  <c r="K2755" i="9" s="1"/>
  <c r="K17" i="9" a="1"/>
  <c r="K17" i="9" s="1"/>
  <c r="K443" i="9" a="1"/>
  <c r="K443" i="9" s="1"/>
  <c r="K865" i="9" a="1"/>
  <c r="K865" i="9" s="1"/>
  <c r="K1288" i="9" a="1"/>
  <c r="K1288" i="9" s="1"/>
  <c r="K1778" i="9" a="1"/>
  <c r="K1778" i="9" s="1"/>
  <c r="K2268" i="9" a="1"/>
  <c r="K2268" i="9" s="1"/>
  <c r="K2756" i="9" a="1"/>
  <c r="K2756" i="9" s="1"/>
  <c r="K18" i="9" a="1"/>
  <c r="K18" i="9" s="1"/>
  <c r="K444" i="9" a="1"/>
  <c r="K444" i="9" s="1"/>
  <c r="K866" i="9" a="1"/>
  <c r="K866" i="9" s="1"/>
  <c r="K1289" i="9" a="1"/>
  <c r="K1289" i="9" s="1"/>
  <c r="K1779" i="9" a="1"/>
  <c r="K1779" i="9" s="1"/>
  <c r="K2269" i="9" a="1"/>
  <c r="K2269" i="9" s="1"/>
  <c r="K2757" i="9" a="1"/>
  <c r="K2757" i="9" s="1"/>
  <c r="K19" i="9" a="1"/>
  <c r="K19" i="9" s="1"/>
  <c r="K445" i="9" a="1"/>
  <c r="K445" i="9" s="1"/>
  <c r="K867" i="9" a="1"/>
  <c r="K867" i="9" s="1"/>
  <c r="K1290" i="9" a="1"/>
  <c r="K1290" i="9" s="1"/>
  <c r="K1780" i="9" a="1"/>
  <c r="K1780" i="9" s="1"/>
  <c r="K2270" i="9" a="1"/>
  <c r="K2270" i="9" s="1"/>
  <c r="K2758" i="9" a="1"/>
  <c r="K2758" i="9" s="1"/>
  <c r="K20" i="9" a="1"/>
  <c r="K20" i="9" s="1"/>
  <c r="K1291" i="9" a="1"/>
  <c r="K1291" i="9" s="1"/>
  <c r="K1781" i="9" a="1"/>
  <c r="K1781" i="9" s="1"/>
  <c r="K2271" i="9" a="1"/>
  <c r="K2271" i="9" s="1"/>
  <c r="K2759" i="9" a="1"/>
  <c r="K2759" i="9" s="1"/>
  <c r="K21" i="9" a="1"/>
  <c r="K21" i="9" s="1"/>
  <c r="K446" i="9" a="1"/>
  <c r="K446" i="9" s="1"/>
  <c r="K868" i="9" a="1"/>
  <c r="K868" i="9" s="1"/>
  <c r="K1292" i="9" a="1"/>
  <c r="K1292" i="9" s="1"/>
  <c r="K1782" i="9" a="1"/>
  <c r="K1782" i="9" s="1"/>
  <c r="K2272" i="9" a="1"/>
  <c r="K2272" i="9" s="1"/>
  <c r="K2760" i="9" a="1"/>
  <c r="K2760" i="9" s="1"/>
  <c r="K22" i="9" a="1"/>
  <c r="K22" i="9" s="1"/>
  <c r="K447" i="9" a="1"/>
  <c r="K447" i="9" s="1"/>
  <c r="K869" i="9" a="1"/>
  <c r="K869" i="9" s="1"/>
  <c r="K1293" i="9" a="1"/>
  <c r="K1293" i="9" s="1"/>
  <c r="K1783" i="9" a="1"/>
  <c r="K1783" i="9" s="1"/>
  <c r="K2273" i="9" a="1"/>
  <c r="K2273" i="9" s="1"/>
  <c r="K2761" i="9" a="1"/>
  <c r="K2761" i="9" s="1"/>
  <c r="K23" i="9" a="1"/>
  <c r="K23" i="9" s="1"/>
  <c r="K448" i="9" a="1"/>
  <c r="K448" i="9" s="1"/>
  <c r="K870" i="9" a="1"/>
  <c r="K870" i="9" s="1"/>
  <c r="K1294" i="9" a="1"/>
  <c r="K1294" i="9" s="1"/>
  <c r="K1784" i="9" a="1"/>
  <c r="K1784" i="9" s="1"/>
  <c r="K2274" i="9" a="1"/>
  <c r="K2274" i="9" s="1"/>
  <c r="K2762" i="9" a="1"/>
  <c r="K2762" i="9" s="1"/>
  <c r="K24" i="9" a="1"/>
  <c r="K24" i="9" s="1"/>
  <c r="K449" i="9" a="1"/>
  <c r="K449" i="9" s="1"/>
  <c r="K871" i="9" a="1"/>
  <c r="K871" i="9" s="1"/>
  <c r="K1295" i="9" a="1"/>
  <c r="K1295" i="9" s="1"/>
  <c r="K1785" i="9" a="1"/>
  <c r="K1785" i="9" s="1"/>
  <c r="K2275" i="9" a="1"/>
  <c r="K2275" i="9" s="1"/>
  <c r="K2763" i="9" a="1"/>
  <c r="K2763" i="9" s="1"/>
  <c r="K25" i="9" a="1"/>
  <c r="K25" i="9" s="1"/>
  <c r="K450" i="9" a="1"/>
  <c r="K450" i="9" s="1"/>
  <c r="K872" i="9" a="1"/>
  <c r="K872" i="9" s="1"/>
  <c r="K1296" i="9" a="1"/>
  <c r="K1296" i="9" s="1"/>
  <c r="K1786" i="9" a="1"/>
  <c r="K1786" i="9" s="1"/>
  <c r="K2276" i="9" a="1"/>
  <c r="K2276" i="9" s="1"/>
  <c r="K2764" i="9" a="1"/>
  <c r="K2764" i="9" s="1"/>
  <c r="K26" i="9" a="1"/>
  <c r="K26" i="9" s="1"/>
  <c r="K451" i="9" a="1"/>
  <c r="K451" i="9" s="1"/>
  <c r="K873" i="9" a="1"/>
  <c r="K873" i="9" s="1"/>
  <c r="K1297" i="9" a="1"/>
  <c r="K1297" i="9" s="1"/>
  <c r="K1787" i="9" a="1"/>
  <c r="K1787" i="9" s="1"/>
  <c r="K2277" i="9" a="1"/>
  <c r="K2277" i="9" s="1"/>
  <c r="K2765" i="9" a="1"/>
  <c r="K2765" i="9" s="1"/>
  <c r="K27" i="9" a="1"/>
  <c r="K27" i="9" s="1"/>
  <c r="K452" i="9" a="1"/>
  <c r="K452" i="9" s="1"/>
  <c r="K1298" i="9" a="1"/>
  <c r="K1298" i="9" s="1"/>
  <c r="K1788" i="9" a="1"/>
  <c r="K1788" i="9" s="1"/>
  <c r="K2278" i="9" a="1"/>
  <c r="K2278" i="9" s="1"/>
  <c r="K2766" i="9" a="1"/>
  <c r="K2766" i="9" s="1"/>
  <c r="K28" i="9" a="1"/>
  <c r="K28" i="9" s="1"/>
  <c r="K453" i="9" a="1"/>
  <c r="K453" i="9" s="1"/>
  <c r="K874" i="9" a="1"/>
  <c r="K874" i="9" s="1"/>
  <c r="K1299" i="9" a="1"/>
  <c r="K1299" i="9" s="1"/>
  <c r="K1789" i="9" a="1"/>
  <c r="K1789" i="9" s="1"/>
  <c r="K2279" i="9" a="1"/>
  <c r="K2279" i="9" s="1"/>
  <c r="K2767" i="9" a="1"/>
  <c r="K2767" i="9" s="1"/>
  <c r="K29" i="9" a="1"/>
  <c r="K29" i="9" s="1"/>
  <c r="K454" i="9" a="1"/>
  <c r="K454" i="9" s="1"/>
  <c r="K875" i="9" a="1"/>
  <c r="K875" i="9" s="1"/>
  <c r="K1300" i="9" a="1"/>
  <c r="K1300" i="9" s="1"/>
  <c r="K1790" i="9" a="1"/>
  <c r="K1790" i="9" s="1"/>
  <c r="K2280" i="9" a="1"/>
  <c r="K2280" i="9" s="1"/>
  <c r="K2768" i="9" a="1"/>
  <c r="K2768" i="9" s="1"/>
  <c r="K30" i="9" a="1"/>
  <c r="K30" i="9" s="1"/>
  <c r="K455" i="9" a="1"/>
  <c r="K455" i="9" s="1"/>
  <c r="K876" i="9" a="1"/>
  <c r="K876" i="9" s="1"/>
  <c r="K1301" i="9" a="1"/>
  <c r="K1301" i="9" s="1"/>
  <c r="K1791" i="9" a="1"/>
  <c r="K1791" i="9" s="1"/>
  <c r="K2281" i="9" a="1"/>
  <c r="K2281" i="9" s="1"/>
  <c r="K2769" i="9" a="1"/>
  <c r="K2769" i="9" s="1"/>
  <c r="K31" i="9" a="1"/>
  <c r="K31" i="9" s="1"/>
  <c r="K456" i="9" a="1"/>
  <c r="K456" i="9" s="1"/>
  <c r="K877" i="9" a="1"/>
  <c r="K877" i="9" s="1"/>
  <c r="K1302" i="9" a="1"/>
  <c r="K1302" i="9" s="1"/>
  <c r="K1792" i="9" a="1"/>
  <c r="K1792" i="9" s="1"/>
  <c r="K2282" i="9" a="1"/>
  <c r="K2282" i="9" s="1"/>
  <c r="K2770" i="9" a="1"/>
  <c r="K2770" i="9" s="1"/>
  <c r="K32" i="9" a="1"/>
  <c r="K32" i="9" s="1"/>
  <c r="K457" i="9" a="1"/>
  <c r="K457" i="9" s="1"/>
  <c r="K878" i="9" a="1"/>
  <c r="K878" i="9" s="1"/>
  <c r="K1303" i="9" a="1"/>
  <c r="K1303" i="9" s="1"/>
  <c r="K1793" i="9" a="1"/>
  <c r="K1793" i="9" s="1"/>
  <c r="K2283" i="9" a="1"/>
  <c r="K2283" i="9" s="1"/>
  <c r="K2771" i="9" a="1"/>
  <c r="K2771" i="9" s="1"/>
  <c r="K33" i="9" a="1"/>
  <c r="K33" i="9" s="1"/>
  <c r="K458" i="9" a="1"/>
  <c r="K458" i="9" s="1"/>
  <c r="K879" i="9" a="1"/>
  <c r="K879" i="9" s="1"/>
  <c r="K1304" i="9" a="1"/>
  <c r="K1304" i="9" s="1"/>
  <c r="K1794" i="9" a="1"/>
  <c r="K1794" i="9" s="1"/>
  <c r="K2284" i="9" a="1"/>
  <c r="K2284" i="9" s="1"/>
  <c r="K1305" i="9" a="1"/>
  <c r="K1305" i="9" s="1"/>
  <c r="K1795" i="9" a="1"/>
  <c r="K1795" i="9" s="1"/>
  <c r="K2285" i="9" a="1"/>
  <c r="K2285" i="9" s="1"/>
  <c r="K2772" i="9" a="1"/>
  <c r="K2772" i="9" s="1"/>
  <c r="K34" i="9" a="1"/>
  <c r="K34" i="9" s="1"/>
  <c r="K459" i="9" a="1"/>
  <c r="K459" i="9" s="1"/>
  <c r="K880" i="9" a="1"/>
  <c r="K880" i="9" s="1"/>
  <c r="K1306" i="9" a="1"/>
  <c r="K1306" i="9" s="1"/>
  <c r="K1796" i="9" a="1"/>
  <c r="K1796" i="9" s="1"/>
  <c r="K2286" i="9" a="1"/>
  <c r="K2286" i="9" s="1"/>
  <c r="K2773" i="9" a="1"/>
  <c r="K2773" i="9" s="1"/>
  <c r="K35" i="9" a="1"/>
  <c r="K35" i="9" s="1"/>
  <c r="K460" i="9" a="1"/>
  <c r="K460" i="9" s="1"/>
  <c r="K881" i="9" a="1"/>
  <c r="K881" i="9" s="1"/>
  <c r="K1307" i="9" a="1"/>
  <c r="K1307" i="9" s="1"/>
  <c r="K1797" i="9" a="1"/>
  <c r="K1797" i="9" s="1"/>
  <c r="K2287" i="9" a="1"/>
  <c r="K2287" i="9" s="1"/>
  <c r="K2774" i="9" a="1"/>
  <c r="K2774" i="9" s="1"/>
  <c r="K36" i="9" a="1"/>
  <c r="K36" i="9" s="1"/>
  <c r="K461" i="9" a="1"/>
  <c r="K461" i="9" s="1"/>
  <c r="K882" i="9" a="1"/>
  <c r="K882" i="9" s="1"/>
  <c r="K1308" i="9" a="1"/>
  <c r="K1308" i="9" s="1"/>
  <c r="K1798" i="9" a="1"/>
  <c r="K1798" i="9" s="1"/>
  <c r="K2288" i="9" a="1"/>
  <c r="K2288" i="9" s="1"/>
  <c r="K2775" i="9" a="1"/>
  <c r="K2775" i="9" s="1"/>
  <c r="K37" i="9" a="1"/>
  <c r="K37" i="9" s="1"/>
  <c r="K462" i="9" a="1"/>
  <c r="K462" i="9" s="1"/>
  <c r="K883" i="9" a="1"/>
  <c r="K883" i="9" s="1"/>
  <c r="K1309" i="9" a="1"/>
  <c r="K1309" i="9" s="1"/>
  <c r="K1799" i="9" a="1"/>
  <c r="K1799" i="9" s="1"/>
  <c r="K2289" i="9" a="1"/>
  <c r="K2289" i="9" s="1"/>
  <c r="K2776" i="9" a="1"/>
  <c r="K2776" i="9" s="1"/>
  <c r="K38" i="9" a="1"/>
  <c r="K38" i="9" s="1"/>
  <c r="K463" i="9" a="1"/>
  <c r="K463" i="9" s="1"/>
  <c r="K884" i="9" a="1"/>
  <c r="K884" i="9" s="1"/>
  <c r="K1310" i="9" a="1"/>
  <c r="K1310" i="9" s="1"/>
  <c r="K1800" i="9" a="1"/>
  <c r="K1800" i="9" s="1"/>
  <c r="K2290" i="9" a="1"/>
  <c r="K2290" i="9" s="1"/>
  <c r="K2777" i="9" a="1"/>
  <c r="K2777" i="9" s="1"/>
  <c r="K39" i="9" a="1"/>
  <c r="K39" i="9" s="1"/>
  <c r="K464" i="9" a="1"/>
  <c r="K464" i="9" s="1"/>
  <c r="K885" i="9" a="1"/>
  <c r="K885" i="9" s="1"/>
  <c r="K1311" i="9" a="1"/>
  <c r="K1311" i="9" s="1"/>
  <c r="K1801" i="9" a="1"/>
  <c r="K1801" i="9" s="1"/>
  <c r="K2291" i="9" a="1"/>
  <c r="K2291" i="9" s="1"/>
  <c r="K1312" i="9" a="1"/>
  <c r="K1312" i="9" s="1"/>
  <c r="K1802" i="9" a="1"/>
  <c r="K1802" i="9" s="1"/>
  <c r="K2292" i="9" a="1"/>
  <c r="K2292" i="9" s="1"/>
  <c r="K2778" i="9" a="1"/>
  <c r="K2778" i="9" s="1"/>
  <c r="K40" i="9" a="1"/>
  <c r="K40" i="9" s="1"/>
  <c r="K465" i="9" a="1"/>
  <c r="K465" i="9" s="1"/>
  <c r="K886" i="9" a="1"/>
  <c r="K886" i="9" s="1"/>
  <c r="K1313" i="9" a="1"/>
  <c r="K1313" i="9" s="1"/>
  <c r="K1803" i="9" a="1"/>
  <c r="K1803" i="9" s="1"/>
  <c r="K2293" i="9" a="1"/>
  <c r="K2293" i="9" s="1"/>
  <c r="K2779" i="9" a="1"/>
  <c r="K2779" i="9" s="1"/>
  <c r="K41" i="9" a="1"/>
  <c r="K41" i="9" s="1"/>
  <c r="K466" i="9" a="1"/>
  <c r="K466" i="9" s="1"/>
  <c r="K887" i="9" a="1"/>
  <c r="K887" i="9" s="1"/>
  <c r="K1314" i="9" a="1"/>
  <c r="K1314" i="9" s="1"/>
  <c r="K1804" i="9" a="1"/>
  <c r="K1804" i="9" s="1"/>
  <c r="K2294" i="9" a="1"/>
  <c r="K2294" i="9" s="1"/>
  <c r="K2780" i="9" a="1"/>
  <c r="K2780" i="9" s="1"/>
  <c r="K42" i="9" a="1"/>
  <c r="K42" i="9" s="1"/>
  <c r="K467" i="9" a="1"/>
  <c r="K467" i="9" s="1"/>
  <c r="K888" i="9" a="1"/>
  <c r="K888" i="9" s="1"/>
  <c r="K1315" i="9" a="1"/>
  <c r="K1315" i="9" s="1"/>
  <c r="K1805" i="9" a="1"/>
  <c r="K1805" i="9" s="1"/>
  <c r="K2295" i="9" a="1"/>
  <c r="K2295" i="9" s="1"/>
  <c r="K2781" i="9" a="1"/>
  <c r="K2781" i="9" s="1"/>
  <c r="K43" i="9" a="1"/>
  <c r="K43" i="9" s="1"/>
  <c r="K468" i="9" a="1"/>
  <c r="K468" i="9" s="1"/>
  <c r="K889" i="9" a="1"/>
  <c r="K889" i="9" s="1"/>
  <c r="K1316" i="9" a="1"/>
  <c r="K1316" i="9" s="1"/>
  <c r="K1806" i="9" a="1"/>
  <c r="K1806" i="9" s="1"/>
  <c r="K2296" i="9" a="1"/>
  <c r="K2296" i="9" s="1"/>
  <c r="K2782" i="9" a="1"/>
  <c r="K2782" i="9" s="1"/>
  <c r="K44" i="9" a="1"/>
  <c r="K44" i="9" s="1"/>
  <c r="K469" i="9" a="1"/>
  <c r="K469" i="9" s="1"/>
  <c r="K890" i="9" a="1"/>
  <c r="K890" i="9" s="1"/>
  <c r="K1317" i="9" a="1"/>
  <c r="K1317" i="9" s="1"/>
  <c r="K1807" i="9" a="1"/>
  <c r="K1807" i="9" s="1"/>
  <c r="K2297" i="9" a="1"/>
  <c r="K2297" i="9" s="1"/>
  <c r="K2783" i="9" a="1"/>
  <c r="K2783" i="9" s="1"/>
  <c r="K45" i="9" a="1"/>
  <c r="K45" i="9" s="1"/>
  <c r="K470" i="9" a="1"/>
  <c r="K470" i="9" s="1"/>
  <c r="K891" i="9" a="1"/>
  <c r="K891" i="9" s="1"/>
  <c r="K1318" i="9" a="1"/>
  <c r="K1318" i="9" s="1"/>
  <c r="K1808" i="9" a="1"/>
  <c r="K1808" i="9" s="1"/>
  <c r="K2298" i="9" a="1"/>
  <c r="K2298" i="9" s="1"/>
  <c r="K2784" i="9" a="1"/>
  <c r="K2784" i="9" s="1"/>
  <c r="K46" i="9" a="1"/>
  <c r="K46" i="9" s="1"/>
  <c r="K1319" i="9" a="1"/>
  <c r="K1319" i="9" s="1"/>
  <c r="K1809" i="9" a="1"/>
  <c r="K1809" i="9" s="1"/>
  <c r="K2299" i="9" a="1"/>
  <c r="K2299" i="9" s="1"/>
  <c r="K2785" i="9" a="1"/>
  <c r="K2785" i="9" s="1"/>
  <c r="K47" i="9" a="1"/>
  <c r="K47" i="9" s="1"/>
  <c r="K471" i="9" a="1"/>
  <c r="K471" i="9" s="1"/>
  <c r="K892" i="9" a="1"/>
  <c r="K892" i="9" s="1"/>
  <c r="K1320" i="9" a="1"/>
  <c r="K1320" i="9" s="1"/>
  <c r="K1810" i="9" a="1"/>
  <c r="K1810" i="9" s="1"/>
  <c r="K2300" i="9" a="1"/>
  <c r="K2300" i="9" s="1"/>
  <c r="K2786" i="9" a="1"/>
  <c r="K2786" i="9" s="1"/>
  <c r="K48" i="9" a="1"/>
  <c r="K48" i="9" s="1"/>
  <c r="K472" i="9" a="1"/>
  <c r="K472" i="9" s="1"/>
  <c r="K893" i="9" a="1"/>
  <c r="K893" i="9" s="1"/>
  <c r="K1321" i="9" a="1"/>
  <c r="K1321" i="9" s="1"/>
  <c r="K1811" i="9" a="1"/>
  <c r="K1811" i="9" s="1"/>
  <c r="K2301" i="9" a="1"/>
  <c r="K2301" i="9" s="1"/>
  <c r="K2787" i="9" a="1"/>
  <c r="K2787" i="9" s="1"/>
  <c r="K49" i="9" a="1"/>
  <c r="K49" i="9" s="1"/>
  <c r="K473" i="9" a="1"/>
  <c r="K473" i="9" s="1"/>
  <c r="K894" i="9" a="1"/>
  <c r="K894" i="9" s="1"/>
  <c r="K1322" i="9" a="1"/>
  <c r="K1322" i="9" s="1"/>
  <c r="K1812" i="9" a="1"/>
  <c r="K1812" i="9" s="1"/>
  <c r="K2302" i="9" a="1"/>
  <c r="K2302" i="9" s="1"/>
  <c r="K2788" i="9" a="1"/>
  <c r="K2788" i="9" s="1"/>
  <c r="K50" i="9" a="1"/>
  <c r="K50" i="9" s="1"/>
  <c r="K474" i="9" a="1"/>
  <c r="K474" i="9" s="1"/>
  <c r="K895" i="9" a="1"/>
  <c r="K895" i="9" s="1"/>
  <c r="K1323" i="9" a="1"/>
  <c r="K1323" i="9" s="1"/>
  <c r="K1813" i="9" a="1"/>
  <c r="K1813" i="9" s="1"/>
  <c r="K2303" i="9" a="1"/>
  <c r="K2303" i="9" s="1"/>
  <c r="K2789" i="9" a="1"/>
  <c r="K2789" i="9" s="1"/>
  <c r="K51" i="9" a="1"/>
  <c r="K51" i="9" s="1"/>
  <c r="K475" i="9" a="1"/>
  <c r="K475" i="9" s="1"/>
  <c r="K896" i="9" a="1"/>
  <c r="K896" i="9" s="1"/>
  <c r="K1324" i="9" a="1"/>
  <c r="K1324" i="9" s="1"/>
  <c r="K1814" i="9" a="1"/>
  <c r="K1814" i="9" s="1"/>
  <c r="K2304" i="9" a="1"/>
  <c r="K2304" i="9" s="1"/>
  <c r="K2790" i="9" a="1"/>
  <c r="K2790" i="9" s="1"/>
  <c r="K52" i="9" a="1"/>
  <c r="K52" i="9" s="1"/>
  <c r="K476" i="9" a="1"/>
  <c r="K476" i="9" s="1"/>
  <c r="K897" i="9" a="1"/>
  <c r="K897" i="9" s="1"/>
  <c r="K1325" i="9" a="1"/>
  <c r="K1325" i="9" s="1"/>
  <c r="K1815" i="9" a="1"/>
  <c r="K1815" i="9" s="1"/>
  <c r="K2305" i="9" a="1"/>
  <c r="K2305" i="9" s="1"/>
  <c r="K1326" i="9" a="1"/>
  <c r="K1326" i="9" s="1"/>
  <c r="K1816" i="9" a="1"/>
  <c r="K1816" i="9" s="1"/>
  <c r="K2306" i="9" a="1"/>
  <c r="K2306" i="9" s="1"/>
  <c r="K2791" i="9" a="1"/>
  <c r="K2791" i="9" s="1"/>
  <c r="K53" i="9" a="1"/>
  <c r="K53" i="9" s="1"/>
  <c r="K477" i="9" a="1"/>
  <c r="K477" i="9" s="1"/>
  <c r="K898" i="9" a="1"/>
  <c r="K898" i="9" s="1"/>
  <c r="K1327" i="9" a="1"/>
  <c r="K1327" i="9" s="1"/>
  <c r="K1817" i="9" a="1"/>
  <c r="K1817" i="9" s="1"/>
  <c r="K2307" i="9" a="1"/>
  <c r="K2307" i="9" s="1"/>
  <c r="K2792" i="9" a="1"/>
  <c r="K2792" i="9" s="1"/>
  <c r="K54" i="9" a="1"/>
  <c r="K54" i="9" s="1"/>
  <c r="K478" i="9" a="1"/>
  <c r="K478" i="9" s="1"/>
  <c r="K899" i="9" a="1"/>
  <c r="K899" i="9" s="1"/>
  <c r="K1328" i="9" a="1"/>
  <c r="K1328" i="9" s="1"/>
  <c r="K1818" i="9" a="1"/>
  <c r="K1818" i="9" s="1"/>
  <c r="K2308" i="9" a="1"/>
  <c r="K2308" i="9" s="1"/>
  <c r="K2793" i="9" a="1"/>
  <c r="K2793" i="9" s="1"/>
  <c r="K55" i="9" a="1"/>
  <c r="K55" i="9" s="1"/>
  <c r="K479" i="9" a="1"/>
  <c r="K479" i="9" s="1"/>
  <c r="K900" i="9" a="1"/>
  <c r="K900" i="9" s="1"/>
  <c r="K1329" i="9" a="1"/>
  <c r="K1329" i="9" s="1"/>
  <c r="K1819" i="9" a="1"/>
  <c r="K1819" i="9" s="1"/>
  <c r="K2309" i="9" a="1"/>
  <c r="K2309" i="9" s="1"/>
  <c r="K2794" i="9" a="1"/>
  <c r="K2794" i="9" s="1"/>
  <c r="K56" i="9" a="1"/>
  <c r="K56" i="9" s="1"/>
  <c r="K480" i="9" a="1"/>
  <c r="K480" i="9" s="1"/>
  <c r="K901" i="9" a="1"/>
  <c r="K901" i="9" s="1"/>
  <c r="K1330" i="9" a="1"/>
  <c r="K1330" i="9" s="1"/>
  <c r="K1820" i="9" a="1"/>
  <c r="K1820" i="9" s="1"/>
  <c r="K2310" i="9" a="1"/>
  <c r="K2310" i="9" s="1"/>
  <c r="K2795" i="9" a="1"/>
  <c r="K2795" i="9" s="1"/>
  <c r="K57" i="9" a="1"/>
  <c r="K57" i="9"/>
  <c r="K481" i="9" a="1"/>
  <c r="K481" i="9" s="1"/>
  <c r="K902" i="9" a="1"/>
  <c r="K902" i="9" s="1"/>
  <c r="K1331" i="9" a="1"/>
  <c r="K1331" i="9" s="1"/>
  <c r="K1821" i="9" a="1"/>
  <c r="K1821" i="9" s="1"/>
  <c r="K2311" i="9" a="1"/>
  <c r="K2311" i="9" s="1"/>
  <c r="K2796" i="9" a="1"/>
  <c r="K2796" i="9" s="1"/>
  <c r="K58" i="9" a="1"/>
  <c r="K58" i="9" s="1"/>
  <c r="K482" i="9" a="1"/>
  <c r="K482" i="9" s="1"/>
  <c r="K903" i="9" a="1"/>
  <c r="K903" i="9" s="1"/>
  <c r="K1332" i="9" a="1"/>
  <c r="K1332" i="9" s="1"/>
  <c r="K1822" i="9" a="1"/>
  <c r="K1822" i="9" s="1"/>
  <c r="K2312" i="9" a="1"/>
  <c r="K2312" i="9" s="1"/>
  <c r="K2797" i="9" a="1"/>
  <c r="K2797" i="9" s="1"/>
  <c r="K1333" i="9" a="1"/>
  <c r="K1333" i="9" s="1"/>
  <c r="K1823" i="9" a="1"/>
  <c r="K1823" i="9" s="1"/>
  <c r="K2313" i="9" a="1"/>
  <c r="K2313" i="9" s="1"/>
  <c r="K2798" i="9" a="1"/>
  <c r="K2798" i="9" s="1"/>
  <c r="K59" i="9" a="1"/>
  <c r="K59" i="9" s="1"/>
  <c r="K483" i="9" a="1"/>
  <c r="K483" i="9" s="1"/>
  <c r="K904" i="9" a="1"/>
  <c r="K904" i="9" s="1"/>
  <c r="K1334" i="9" a="1"/>
  <c r="K1334" i="9" s="1"/>
  <c r="K1824" i="9" a="1"/>
  <c r="K1824" i="9" s="1"/>
  <c r="K2314" i="9" a="1"/>
  <c r="K2314" i="9" s="1"/>
  <c r="K2799" i="9" a="1"/>
  <c r="K2799" i="9" s="1"/>
  <c r="K60" i="9" a="1"/>
  <c r="K60" i="9" s="1"/>
  <c r="K484" i="9" a="1"/>
  <c r="K484" i="9" s="1"/>
  <c r="K905" i="9" a="1"/>
  <c r="K905" i="9" s="1"/>
  <c r="K1335" i="9" a="1"/>
  <c r="K1335" i="9" s="1"/>
  <c r="K1825" i="9" a="1"/>
  <c r="K1825" i="9" s="1"/>
  <c r="K2315" i="9" a="1"/>
  <c r="K2315" i="9" s="1"/>
  <c r="K2800" i="9" a="1"/>
  <c r="K2800" i="9" s="1"/>
  <c r="K61" i="9" a="1"/>
  <c r="K61" i="9"/>
  <c r="K485" i="9" a="1"/>
  <c r="K485" i="9" s="1"/>
  <c r="K906" i="9" a="1"/>
  <c r="K906" i="9" s="1"/>
  <c r="K1336" i="9" a="1"/>
  <c r="K1336" i="9" s="1"/>
  <c r="K1826" i="9" a="1"/>
  <c r="K1826" i="9" s="1"/>
  <c r="K2316" i="9" a="1"/>
  <c r="K2316" i="9" s="1"/>
  <c r="K2801" i="9" a="1"/>
  <c r="K2801" i="9" s="1"/>
  <c r="K62" i="9" a="1"/>
  <c r="K62" i="9" s="1"/>
  <c r="K486" i="9" a="1"/>
  <c r="K486" i="9" s="1"/>
  <c r="K907" i="9" a="1"/>
  <c r="K907" i="9" s="1"/>
  <c r="K1337" i="9" a="1"/>
  <c r="K1337" i="9" s="1"/>
  <c r="K1827" i="9" a="1"/>
  <c r="K1827" i="9" s="1"/>
  <c r="K2317" i="9" a="1"/>
  <c r="K2317" i="9" s="1"/>
  <c r="K2802" i="9" a="1"/>
  <c r="K2802" i="9" s="1"/>
  <c r="K63" i="9" a="1"/>
  <c r="K63" i="9" s="1"/>
  <c r="K487" i="9" a="1"/>
  <c r="K487" i="9" s="1"/>
  <c r="K908" i="9" a="1"/>
  <c r="K908" i="9" s="1"/>
  <c r="K1338" i="9" a="1"/>
  <c r="K1338" i="9" s="1"/>
  <c r="K1828" i="9" a="1"/>
  <c r="K1828" i="9" s="1"/>
  <c r="K2318" i="9" a="1"/>
  <c r="K2318" i="9" s="1"/>
  <c r="K2803" i="9" a="1"/>
  <c r="K2803" i="9" s="1"/>
  <c r="K64" i="9" a="1"/>
  <c r="K64" i="9" s="1"/>
  <c r="K488" i="9" a="1"/>
  <c r="K488" i="9" s="1"/>
  <c r="K909" i="9" a="1"/>
  <c r="K909" i="9" s="1"/>
  <c r="K1339" i="9" a="1"/>
  <c r="K1339" i="9" s="1"/>
  <c r="K1829" i="9" a="1"/>
  <c r="K1829" i="9" s="1"/>
  <c r="K2319" i="9" a="1"/>
  <c r="K2319" i="9" s="1"/>
  <c r="K1340" i="9" a="1"/>
  <c r="K1340" i="9" s="1"/>
  <c r="K1830" i="9" a="1"/>
  <c r="K1830" i="9" s="1"/>
  <c r="K2320" i="9" a="1"/>
  <c r="K2320" i="9" s="1"/>
  <c r="K2804" i="9" a="1"/>
  <c r="K2804" i="9" s="1"/>
  <c r="K65" i="9" a="1"/>
  <c r="K65" i="9" s="1"/>
  <c r="K489" i="9" a="1"/>
  <c r="K489" i="9" s="1"/>
  <c r="K910" i="9" a="1"/>
  <c r="K910" i="9" s="1"/>
  <c r="K1341" i="9" a="1"/>
  <c r="K1341" i="9" s="1"/>
  <c r="K1831" i="9" a="1"/>
  <c r="K1831" i="9" s="1"/>
  <c r="K2321" i="9" a="1"/>
  <c r="K2321" i="9" s="1"/>
  <c r="K2805" i="9" a="1"/>
  <c r="K2805" i="9" s="1"/>
  <c r="K66" i="9" a="1"/>
  <c r="K66" i="9" s="1"/>
  <c r="K490" i="9" a="1"/>
  <c r="K490" i="9" s="1"/>
  <c r="K911" i="9" a="1"/>
  <c r="K911" i="9" s="1"/>
  <c r="K1342" i="9" a="1"/>
  <c r="K1342" i="9" s="1"/>
  <c r="K1832" i="9" a="1"/>
  <c r="K1832" i="9" s="1"/>
  <c r="K2322" i="9" a="1"/>
  <c r="K2322" i="9" s="1"/>
  <c r="K2806" i="9" a="1"/>
  <c r="K2806" i="9" s="1"/>
  <c r="K67" i="9" a="1"/>
  <c r="K67" i="9" s="1"/>
  <c r="K491" i="9" a="1"/>
  <c r="K491" i="9" s="1"/>
  <c r="K912" i="9" a="1"/>
  <c r="K912" i="9" s="1"/>
  <c r="K1343" i="9" a="1"/>
  <c r="K1343" i="9" s="1"/>
  <c r="K1833" i="9" a="1"/>
  <c r="K1833" i="9" s="1"/>
  <c r="K2323" i="9" a="1"/>
  <c r="K2323" i="9" s="1"/>
  <c r="K2807" i="9" a="1"/>
  <c r="K2807" i="9" s="1"/>
  <c r="K68" i="9" a="1"/>
  <c r="K68" i="9" s="1"/>
  <c r="K492" i="9" a="1"/>
  <c r="K492" i="9" s="1"/>
  <c r="K913" i="9" a="1"/>
  <c r="K913" i="9" s="1"/>
  <c r="K1344" i="9" a="1"/>
  <c r="K1344" i="9" s="1"/>
  <c r="K1834" i="9" a="1"/>
  <c r="K1834" i="9" s="1"/>
  <c r="K2324" i="9" a="1"/>
  <c r="K2324" i="9" s="1"/>
  <c r="K2808" i="9" a="1"/>
  <c r="K2808" i="9" s="1"/>
  <c r="K69" i="9" a="1"/>
  <c r="K69" i="9" s="1"/>
  <c r="K493" i="9" a="1"/>
  <c r="K493" i="9" s="1"/>
  <c r="K914" i="9" a="1"/>
  <c r="K914" i="9" s="1"/>
  <c r="K1345" i="9" a="1"/>
  <c r="K1345" i="9" s="1"/>
  <c r="K1835" i="9" a="1"/>
  <c r="K1835" i="9" s="1"/>
  <c r="K2325" i="9" a="1"/>
  <c r="K2325" i="9" s="1"/>
  <c r="K2809" i="9" a="1"/>
  <c r="K2809" i="9" s="1"/>
  <c r="K70" i="9" a="1"/>
  <c r="K70" i="9" s="1"/>
  <c r="K494" i="9" a="1"/>
  <c r="K494" i="9" s="1"/>
  <c r="K915" i="9" a="1"/>
  <c r="K915" i="9" s="1"/>
  <c r="K1346" i="9" a="1"/>
  <c r="K1346" i="9" s="1"/>
  <c r="K1836" i="9" a="1"/>
  <c r="K1836" i="9" s="1"/>
  <c r="K2326" i="9" a="1"/>
  <c r="K2326" i="9" s="1"/>
  <c r="K2810" i="9" a="1"/>
  <c r="K2810" i="9" s="1"/>
  <c r="K71" i="9" a="1"/>
  <c r="K71" i="9" s="1"/>
  <c r="K1347" i="9" a="1"/>
  <c r="K1347" i="9" s="1"/>
  <c r="K1837" i="9" a="1"/>
  <c r="K1837" i="9" s="1"/>
  <c r="K2327" i="9" a="1"/>
  <c r="K2327" i="9" s="1"/>
  <c r="K2811" i="9" a="1"/>
  <c r="K2811" i="9" s="1"/>
  <c r="K72" i="9" a="1"/>
  <c r="K72" i="9" s="1"/>
  <c r="K495" i="9" a="1"/>
  <c r="K495" i="9" s="1"/>
  <c r="K916" i="9" a="1"/>
  <c r="K916" i="9" s="1"/>
  <c r="K1348" i="9" a="1"/>
  <c r="K1348" i="9" s="1"/>
  <c r="K1838" i="9" a="1"/>
  <c r="K1838" i="9" s="1"/>
  <c r="K2328" i="9" a="1"/>
  <c r="K2328" i="9" s="1"/>
  <c r="K2812" i="9" a="1"/>
  <c r="K2812" i="9" s="1"/>
  <c r="K73" i="9" a="1"/>
  <c r="K73" i="9" s="1"/>
  <c r="K496" i="9" a="1"/>
  <c r="K496" i="9" s="1"/>
  <c r="K917" i="9" a="1"/>
  <c r="K917" i="9" s="1"/>
  <c r="K1349" i="9" a="1"/>
  <c r="K1349" i="9" s="1"/>
  <c r="K1839" i="9" a="1"/>
  <c r="K1839" i="9" s="1"/>
  <c r="K2329" i="9" a="1"/>
  <c r="K2329" i="9" s="1"/>
  <c r="K2813" i="9" a="1"/>
  <c r="K2813" i="9" s="1"/>
  <c r="K74" i="9" a="1"/>
  <c r="K74" i="9" s="1"/>
  <c r="K497" i="9" a="1"/>
  <c r="K497" i="9" s="1"/>
  <c r="K918" i="9" a="1"/>
  <c r="K918" i="9" s="1"/>
  <c r="K1350" i="9" a="1"/>
  <c r="K1350" i="9" s="1"/>
  <c r="K1840" i="9" a="1"/>
  <c r="K1840" i="9" s="1"/>
  <c r="K2330" i="9" a="1"/>
  <c r="K2330" i="9" s="1"/>
  <c r="K2814" i="9" a="1"/>
  <c r="K2814" i="9" s="1"/>
  <c r="K75" i="9" a="1"/>
  <c r="K75" i="9" s="1"/>
  <c r="K498" i="9" a="1"/>
  <c r="K498" i="9" s="1"/>
  <c r="K919" i="9" a="1"/>
  <c r="K919" i="9" s="1"/>
  <c r="K1351" i="9" a="1"/>
  <c r="K1351" i="9" s="1"/>
  <c r="K1841" i="9" a="1"/>
  <c r="K1841" i="9" s="1"/>
  <c r="K2331" i="9" a="1"/>
  <c r="K2331" i="9" s="1"/>
  <c r="K2815" i="9" a="1"/>
  <c r="K2815" i="9" s="1"/>
  <c r="K76" i="9" a="1"/>
  <c r="K76" i="9" s="1"/>
  <c r="K499" i="9" a="1"/>
  <c r="K499" i="9" s="1"/>
  <c r="K920" i="9" a="1"/>
  <c r="K920" i="9" s="1"/>
  <c r="K1352" i="9" a="1"/>
  <c r="K1352" i="9" s="1"/>
  <c r="K1842" i="9" a="1"/>
  <c r="K1842" i="9" s="1"/>
  <c r="K2332" i="9" a="1"/>
  <c r="K2332" i="9" s="1"/>
  <c r="K2816" i="9" a="1"/>
  <c r="K2816" i="9" s="1"/>
  <c r="K77" i="9" a="1"/>
  <c r="K77" i="9" s="1"/>
  <c r="K500" i="9" a="1"/>
  <c r="K500" i="9" s="1"/>
  <c r="K921" i="9" a="1"/>
  <c r="K921" i="9" s="1"/>
  <c r="K1353" i="9" a="1"/>
  <c r="K1353" i="9" s="1"/>
  <c r="K1843" i="9" a="1"/>
  <c r="K1843" i="9" s="1"/>
  <c r="K2333" i="9" a="1"/>
  <c r="K2333" i="9" s="1"/>
  <c r="K1354" i="9" a="1"/>
  <c r="K1354" i="9" s="1"/>
  <c r="K1844" i="9" a="1"/>
  <c r="K1844" i="9" s="1"/>
  <c r="K2334" i="9" a="1"/>
  <c r="K2334" i="9" s="1"/>
  <c r="K2817" i="9" a="1"/>
  <c r="K2817" i="9" s="1"/>
  <c r="K78" i="9" a="1"/>
  <c r="K78" i="9" s="1"/>
  <c r="K501" i="9" a="1"/>
  <c r="K501" i="9" s="1"/>
  <c r="K922" i="9" a="1"/>
  <c r="K922" i="9" s="1"/>
  <c r="K1355" i="9" a="1"/>
  <c r="K1355" i="9" s="1"/>
  <c r="K1845" i="9" a="1"/>
  <c r="K1845" i="9" s="1"/>
  <c r="K2335" i="9" a="1"/>
  <c r="K2335" i="9" s="1"/>
  <c r="K2818" i="9" a="1"/>
  <c r="K2818" i="9" s="1"/>
  <c r="K79" i="9" a="1"/>
  <c r="K79" i="9" s="1"/>
  <c r="K502" i="9" a="1"/>
  <c r="K502" i="9" s="1"/>
  <c r="K923" i="9" a="1"/>
  <c r="K923" i="9" s="1"/>
  <c r="K1356" i="9" a="1"/>
  <c r="K1356" i="9" s="1"/>
  <c r="K1846" i="9" a="1"/>
  <c r="K1846" i="9" s="1"/>
  <c r="K2336" i="9" a="1"/>
  <c r="K2336" i="9" s="1"/>
  <c r="K2819" i="9" a="1"/>
  <c r="K2819" i="9" s="1"/>
  <c r="K80" i="9" a="1"/>
  <c r="K80" i="9" s="1"/>
  <c r="K503" i="9" a="1"/>
  <c r="K503" i="9" s="1"/>
  <c r="K924" i="9" a="1"/>
  <c r="K924" i="9" s="1"/>
  <c r="K1357" i="9" a="1"/>
  <c r="K1357" i="9" s="1"/>
  <c r="K1847" i="9" a="1"/>
  <c r="K1847" i="9" s="1"/>
  <c r="K2337" i="9" a="1"/>
  <c r="K2337" i="9" s="1"/>
  <c r="K2820" i="9" a="1"/>
  <c r="K2820" i="9" s="1"/>
  <c r="K81" i="9" a="1"/>
  <c r="K81" i="9" s="1"/>
  <c r="K504" i="9" a="1"/>
  <c r="K504" i="9" s="1"/>
  <c r="K925" i="9" a="1"/>
  <c r="K925" i="9" s="1"/>
  <c r="K1358" i="9" a="1"/>
  <c r="K1358" i="9" s="1"/>
  <c r="K1848" i="9" a="1"/>
  <c r="K1848" i="9" s="1"/>
  <c r="K2338" i="9" a="1"/>
  <c r="K2338" i="9" s="1"/>
  <c r="K2821" i="9" a="1"/>
  <c r="K2821" i="9" s="1"/>
  <c r="K82" i="9" a="1"/>
  <c r="K82" i="9" s="1"/>
  <c r="K505" i="9" a="1"/>
  <c r="K505" i="9" s="1"/>
  <c r="K926" i="9" a="1"/>
  <c r="K926" i="9" s="1"/>
  <c r="K1359" i="9" a="1"/>
  <c r="K1359" i="9" s="1"/>
  <c r="K1849" i="9" a="1"/>
  <c r="K1849" i="9" s="1"/>
  <c r="K2339" i="9" a="1"/>
  <c r="K2339" i="9" s="1"/>
  <c r="K2822" i="9" a="1"/>
  <c r="K2822" i="9" s="1"/>
  <c r="K83" i="9" a="1"/>
  <c r="K83" i="9" s="1"/>
  <c r="K506" i="9" a="1"/>
  <c r="K506" i="9" s="1"/>
  <c r="K927" i="9" a="1"/>
  <c r="K927" i="9" s="1"/>
  <c r="K1360" i="9" a="1"/>
  <c r="K1360" i="9" s="1"/>
  <c r="K1850" i="9" a="1"/>
  <c r="K1850" i="9" s="1"/>
  <c r="K2340" i="9" a="1"/>
  <c r="K2340" i="9" s="1"/>
  <c r="K1361" i="9" a="1"/>
  <c r="K1361" i="9" s="1"/>
  <c r="K1851" i="9" a="1"/>
  <c r="K1851" i="9" s="1"/>
  <c r="K2341" i="9" a="1"/>
  <c r="K2341" i="9" s="1"/>
  <c r="K2823" i="9" a="1"/>
  <c r="K2823" i="9" s="1"/>
  <c r="K84" i="9" a="1"/>
  <c r="K84" i="9" s="1"/>
  <c r="K507" i="9" a="1"/>
  <c r="K507" i="9" s="1"/>
  <c r="K928" i="9" a="1"/>
  <c r="K928" i="9" s="1"/>
  <c r="K1362" i="9" a="1"/>
  <c r="K1362" i="9" s="1"/>
  <c r="K1852" i="9" a="1"/>
  <c r="K1852" i="9" s="1"/>
  <c r="K2342" i="9" a="1"/>
  <c r="K2342" i="9" s="1"/>
  <c r="K2824" i="9" a="1"/>
  <c r="K2824" i="9" s="1"/>
  <c r="K85" i="9" a="1"/>
  <c r="K85" i="9" s="1"/>
  <c r="K508" i="9" a="1"/>
  <c r="K508" i="9" s="1"/>
  <c r="K929" i="9" a="1"/>
  <c r="K929" i="9" s="1"/>
  <c r="K1363" i="9" a="1"/>
  <c r="K1363" i="9" s="1"/>
  <c r="K1853" i="9" a="1"/>
  <c r="K1853" i="9" s="1"/>
  <c r="K2343" i="9" a="1"/>
  <c r="K2343" i="9" s="1"/>
  <c r="K2825" i="9" a="1"/>
  <c r="K2825" i="9" s="1"/>
  <c r="K86" i="9" a="1"/>
  <c r="K86" i="9" s="1"/>
  <c r="K509" i="9" a="1"/>
  <c r="K509" i="9" s="1"/>
  <c r="K930" i="9" a="1"/>
  <c r="K930" i="9" s="1"/>
  <c r="K1364" i="9" a="1"/>
  <c r="K1364" i="9" s="1"/>
  <c r="K1854" i="9" a="1"/>
  <c r="K1854" i="9" s="1"/>
  <c r="K2344" i="9" a="1"/>
  <c r="K2344" i="9" s="1"/>
  <c r="K2826" i="9" a="1"/>
  <c r="K2826" i="9" s="1"/>
  <c r="K87" i="9" a="1"/>
  <c r="K87" i="9" s="1"/>
  <c r="K510" i="9" a="1"/>
  <c r="K510" i="9" s="1"/>
  <c r="K931" i="9" a="1"/>
  <c r="K931" i="9" s="1"/>
  <c r="K1365" i="9" a="1"/>
  <c r="K1365" i="9" s="1"/>
  <c r="K1855" i="9" a="1"/>
  <c r="K1855" i="9" s="1"/>
  <c r="K2345" i="9" a="1"/>
  <c r="K2345" i="9" s="1"/>
  <c r="K2827" i="9" a="1"/>
  <c r="K2827" i="9" s="1"/>
  <c r="K88" i="9" a="1"/>
  <c r="K88" i="9" s="1"/>
  <c r="K511" i="9" a="1"/>
  <c r="K511" i="9" s="1"/>
  <c r="K932" i="9" a="1"/>
  <c r="K932" i="9" s="1"/>
  <c r="K1366" i="9" a="1"/>
  <c r="K1366" i="9" s="1"/>
  <c r="K1856" i="9" a="1"/>
  <c r="K1856" i="9" s="1"/>
  <c r="K2346" i="9" a="1"/>
  <c r="K2346" i="9" s="1"/>
  <c r="K2828" i="9" a="1"/>
  <c r="K2828" i="9" s="1"/>
  <c r="K89" i="9" a="1"/>
  <c r="K89" i="9" s="1"/>
  <c r="K512" i="9" a="1"/>
  <c r="K512" i="9" s="1"/>
  <c r="K933" i="9" a="1"/>
  <c r="K933" i="9" s="1"/>
  <c r="K1367" i="9" a="1"/>
  <c r="K1367" i="9" s="1"/>
  <c r="K1857" i="9" a="1"/>
  <c r="K1857" i="9" s="1"/>
  <c r="K2347" i="9" a="1"/>
  <c r="K2347" i="9" s="1"/>
  <c r="K1368" i="9" a="1"/>
  <c r="K1368" i="9" s="1"/>
  <c r="K1858" i="9" a="1"/>
  <c r="K1858" i="9" s="1"/>
  <c r="K2348" i="9" a="1"/>
  <c r="K2348" i="9" s="1"/>
  <c r="K2829" i="9" a="1"/>
  <c r="K2829" i="9" s="1"/>
  <c r="K90" i="9" a="1"/>
  <c r="K90" i="9" s="1"/>
  <c r="K513" i="9" a="1"/>
  <c r="K513" i="9" s="1"/>
  <c r="K934" i="9" a="1"/>
  <c r="K934" i="9" s="1"/>
  <c r="K1369" i="9" a="1"/>
  <c r="K1369" i="9" s="1"/>
  <c r="K1859" i="9" a="1"/>
  <c r="K1859" i="9" s="1"/>
  <c r="K2349" i="9" a="1"/>
  <c r="K2349" i="9" s="1"/>
  <c r="K2830" i="9" a="1"/>
  <c r="K2830" i="9" s="1"/>
  <c r="K91" i="9" a="1"/>
  <c r="K91" i="9" s="1"/>
  <c r="K514" i="9" a="1"/>
  <c r="K514" i="9" s="1"/>
  <c r="K935" i="9" a="1"/>
  <c r="K935" i="9" s="1"/>
  <c r="K1370" i="9" a="1"/>
  <c r="K1370" i="9" s="1"/>
  <c r="K1860" i="9" a="1"/>
  <c r="K1860" i="9" s="1"/>
  <c r="K2350" i="9" a="1"/>
  <c r="K2350" i="9" s="1"/>
  <c r="K2831" i="9" a="1"/>
  <c r="K2831" i="9" s="1"/>
  <c r="K92" i="9" a="1"/>
  <c r="K92" i="9" s="1"/>
  <c r="K515" i="9" a="1"/>
  <c r="K515" i="9" s="1"/>
  <c r="K936" i="9" a="1"/>
  <c r="K936" i="9" s="1"/>
  <c r="K1371" i="9" a="1"/>
  <c r="K1371" i="9" s="1"/>
  <c r="K1861" i="9" a="1"/>
  <c r="K1861" i="9" s="1"/>
  <c r="K2351" i="9" a="1"/>
  <c r="K2351" i="9" s="1"/>
  <c r="K2832" i="9" a="1"/>
  <c r="K2832" i="9" s="1"/>
  <c r="K93" i="9" a="1"/>
  <c r="K93" i="9" s="1"/>
  <c r="K516" i="9" a="1"/>
  <c r="K516" i="9" s="1"/>
  <c r="K937" i="9" a="1"/>
  <c r="K937" i="9" s="1"/>
  <c r="K1372" i="9" a="1"/>
  <c r="K1372" i="9" s="1"/>
  <c r="K1862" i="9" a="1"/>
  <c r="K1862" i="9" s="1"/>
  <c r="K2352" i="9" a="1"/>
  <c r="K2352" i="9" s="1"/>
  <c r="K2833" i="9" a="1"/>
  <c r="K2833" i="9" s="1"/>
  <c r="K94" i="9" a="1"/>
  <c r="K94" i="9" s="1"/>
  <c r="K517" i="9" a="1"/>
  <c r="K517" i="9" s="1"/>
  <c r="K938" i="9" a="1"/>
  <c r="K938" i="9" s="1"/>
  <c r="K1373" i="9" a="1"/>
  <c r="K1373" i="9" s="1"/>
  <c r="K1863" i="9" a="1"/>
  <c r="K1863" i="9" s="1"/>
  <c r="K2353" i="9" a="1"/>
  <c r="K2353" i="9" s="1"/>
  <c r="K2834" i="9" a="1"/>
  <c r="K2834" i="9" s="1"/>
  <c r="K95" i="9" a="1"/>
  <c r="K95" i="9" s="1"/>
  <c r="K518" i="9" a="1"/>
  <c r="K518" i="9" s="1"/>
  <c r="K939" i="9" a="1"/>
  <c r="K939" i="9" s="1"/>
  <c r="K1374" i="9" a="1"/>
  <c r="K1374" i="9" s="1"/>
  <c r="K1864" i="9" a="1"/>
  <c r="K1864" i="9" s="1"/>
  <c r="K2354" i="9" a="1"/>
  <c r="K2354" i="9" s="1"/>
  <c r="K1375" i="9" a="1"/>
  <c r="K1375" i="9" s="1"/>
  <c r="K1865" i="9" a="1"/>
  <c r="K1865" i="9" s="1"/>
  <c r="K2355" i="9" a="1"/>
  <c r="K2355" i="9" s="1"/>
  <c r="K2835" i="9" a="1"/>
  <c r="K2835" i="9" s="1"/>
  <c r="K96" i="9" a="1"/>
  <c r="K96" i="9" s="1"/>
  <c r="K519" i="9" a="1"/>
  <c r="K519" i="9" s="1"/>
  <c r="K940" i="9" a="1"/>
  <c r="K940" i="9" s="1"/>
  <c r="K1376" i="9" a="1"/>
  <c r="K1376" i="9" s="1"/>
  <c r="K1866" i="9" a="1"/>
  <c r="K1866" i="9" s="1"/>
  <c r="K2356" i="9" a="1"/>
  <c r="K2356" i="9" s="1"/>
  <c r="K2836" i="9" a="1"/>
  <c r="K2836" i="9" s="1"/>
  <c r="K97" i="9" a="1"/>
  <c r="K97" i="9" s="1"/>
  <c r="K520" i="9" a="1"/>
  <c r="K520" i="9" s="1"/>
  <c r="K941" i="9" a="1"/>
  <c r="K941" i="9" s="1"/>
  <c r="K1377" i="9" a="1"/>
  <c r="K1377" i="9" s="1"/>
  <c r="K1867" i="9" a="1"/>
  <c r="K1867" i="9" s="1"/>
  <c r="K2357" i="9" a="1"/>
  <c r="K2357" i="9" s="1"/>
  <c r="K2837" i="9" a="1"/>
  <c r="K2837" i="9" s="1"/>
  <c r="K98" i="9" a="1"/>
  <c r="K98" i="9" s="1"/>
  <c r="K521" i="9" a="1"/>
  <c r="K521" i="9" s="1"/>
  <c r="K942" i="9" a="1"/>
  <c r="K942" i="9" s="1"/>
  <c r="K1378" i="9" a="1"/>
  <c r="K1378" i="9" s="1"/>
  <c r="K1868" i="9" a="1"/>
  <c r="K1868" i="9" s="1"/>
  <c r="K2358" i="9" a="1"/>
  <c r="K2358" i="9" s="1"/>
  <c r="K2838" i="9" a="1"/>
  <c r="K2838" i="9" s="1"/>
  <c r="K99" i="9" a="1"/>
  <c r="K99" i="9" s="1"/>
  <c r="K522" i="9" a="1"/>
  <c r="K522" i="9" s="1"/>
  <c r="K943" i="9" a="1"/>
  <c r="K943" i="9" s="1"/>
  <c r="K1379" i="9" a="1"/>
  <c r="K1379" i="9" s="1"/>
  <c r="K1869" i="9" a="1"/>
  <c r="K1869" i="9" s="1"/>
  <c r="K2359" i="9" a="1"/>
  <c r="K2359" i="9" s="1"/>
  <c r="K2839" i="9" a="1"/>
  <c r="K2839" i="9" s="1"/>
  <c r="K100" i="9" a="1"/>
  <c r="K100" i="9" s="1"/>
  <c r="K523" i="9" a="1"/>
  <c r="K523" i="9" s="1"/>
  <c r="K944" i="9" a="1"/>
  <c r="K944" i="9" s="1"/>
  <c r="K1380" i="9" a="1"/>
  <c r="K1380" i="9" s="1"/>
  <c r="K1870" i="9" a="1"/>
  <c r="K1870" i="9" s="1"/>
  <c r="K2360" i="9" a="1"/>
  <c r="K2360" i="9" s="1"/>
  <c r="K2840" i="9" a="1"/>
  <c r="K2840" i="9" s="1"/>
  <c r="K101" i="9" a="1"/>
  <c r="K101" i="9" s="1"/>
  <c r="K524" i="9" a="1"/>
  <c r="K524" i="9" s="1"/>
  <c r="K945" i="9" a="1"/>
  <c r="K945" i="9" s="1"/>
  <c r="K1381" i="9" a="1"/>
  <c r="K1381" i="9" s="1"/>
  <c r="K1871" i="9" a="1"/>
  <c r="K1871" i="9" s="1"/>
  <c r="K2361" i="9" a="1"/>
  <c r="K2361" i="9" s="1"/>
  <c r="K2841" i="9" a="1"/>
  <c r="K2841" i="9" s="1"/>
  <c r="K1382" i="9" a="1"/>
  <c r="K1382" i="9" s="1"/>
  <c r="K1872" i="9" a="1"/>
  <c r="K1872" i="9" s="1"/>
  <c r="K2362" i="9" a="1"/>
  <c r="K2362" i="9" s="1"/>
  <c r="K2842" i="9" a="1"/>
  <c r="K2842" i="9" s="1"/>
  <c r="K102" i="9" a="1"/>
  <c r="K102" i="9" s="1"/>
  <c r="K525" i="9" a="1"/>
  <c r="K525" i="9" s="1"/>
  <c r="K946" i="9" a="1"/>
  <c r="K946" i="9" s="1"/>
  <c r="K1383" i="9" a="1"/>
  <c r="K1383" i="9" s="1"/>
  <c r="K1873" i="9" a="1"/>
  <c r="K1873" i="9" s="1"/>
  <c r="K2363" i="9" a="1"/>
  <c r="K2363" i="9" s="1"/>
  <c r="K2843" i="9" a="1"/>
  <c r="K2843" i="9" s="1"/>
  <c r="K103" i="9" a="1"/>
  <c r="K103" i="9" s="1"/>
  <c r="K526" i="9" a="1"/>
  <c r="K526" i="9" s="1"/>
  <c r="K947" i="9" a="1"/>
  <c r="K947" i="9" s="1"/>
  <c r="K1384" i="9" a="1"/>
  <c r="K1384" i="9" s="1"/>
  <c r="K1874" i="9" a="1"/>
  <c r="K1874" i="9" s="1"/>
  <c r="K2364" i="9" a="1"/>
  <c r="K2364" i="9" s="1"/>
  <c r="K2844" i="9" a="1"/>
  <c r="K2844" i="9" s="1"/>
  <c r="K104" i="9" a="1"/>
  <c r="K104" i="9" s="1"/>
  <c r="K527" i="9" a="1"/>
  <c r="K527" i="9" s="1"/>
  <c r="K948" i="9" a="1"/>
  <c r="K948" i="9" s="1"/>
  <c r="K1385" i="9" a="1"/>
  <c r="K1385" i="9" s="1"/>
  <c r="K1875" i="9" a="1"/>
  <c r="K1875" i="9" s="1"/>
  <c r="K2365" i="9" a="1"/>
  <c r="K2365" i="9" s="1"/>
  <c r="K2845" i="9" a="1"/>
  <c r="K2845" i="9" s="1"/>
  <c r="K105" i="9" a="1"/>
  <c r="K105" i="9" s="1"/>
  <c r="K528" i="9" a="1"/>
  <c r="K528" i="9" s="1"/>
  <c r="K949" i="9" a="1"/>
  <c r="K949" i="9" s="1"/>
  <c r="K1386" i="9" a="1"/>
  <c r="K1386" i="9" s="1"/>
  <c r="K1876" i="9" a="1"/>
  <c r="K1876" i="9" s="1"/>
  <c r="K2366" i="9" a="1"/>
  <c r="K2366" i="9" s="1"/>
  <c r="K2846" i="9" a="1"/>
  <c r="K2846" i="9" s="1"/>
  <c r="K106" i="9" a="1"/>
  <c r="K106" i="9" s="1"/>
  <c r="K529" i="9" a="1"/>
  <c r="K529" i="9" s="1"/>
  <c r="K950" i="9" a="1"/>
  <c r="K950" i="9" s="1"/>
  <c r="K1387" i="9" a="1"/>
  <c r="K1387" i="9" s="1"/>
  <c r="K1877" i="9" a="1"/>
  <c r="K1877" i="9" s="1"/>
  <c r="K2367" i="9" a="1"/>
  <c r="K2367" i="9" s="1"/>
  <c r="K2847" i="9" a="1"/>
  <c r="K2847" i="9" s="1"/>
  <c r="K107" i="9" a="1"/>
  <c r="K107" i="9" s="1"/>
  <c r="K530" i="9" a="1"/>
  <c r="K530" i="9" s="1"/>
  <c r="K951" i="9" a="1"/>
  <c r="K951" i="9" s="1"/>
  <c r="K1388" i="9" a="1"/>
  <c r="K1388" i="9" s="1"/>
  <c r="K1878" i="9" a="1"/>
  <c r="K1878" i="9" s="1"/>
  <c r="K2368" i="9" a="1"/>
  <c r="K2368" i="9" s="1"/>
  <c r="K1389" i="9" a="1"/>
  <c r="K1389" i="9" s="1"/>
  <c r="K1879" i="9" a="1"/>
  <c r="K1879" i="9" s="1"/>
  <c r="K2369" i="9" a="1"/>
  <c r="K2369" i="9" s="1"/>
  <c r="K2848" i="9" a="1"/>
  <c r="K2848" i="9" s="1"/>
  <c r="K108" i="9" a="1"/>
  <c r="K108" i="9" s="1"/>
  <c r="K531" i="9" a="1"/>
  <c r="K531" i="9" s="1"/>
  <c r="K952" i="9" a="1"/>
  <c r="K952" i="9" s="1"/>
  <c r="K1390" i="9" a="1"/>
  <c r="K1390" i="9" s="1"/>
  <c r="K1880" i="9" a="1"/>
  <c r="K1880" i="9" s="1"/>
  <c r="K2370" i="9" a="1"/>
  <c r="K2370" i="9" s="1"/>
  <c r="K2849" i="9" a="1"/>
  <c r="K2849" i="9" s="1"/>
  <c r="K109" i="9" a="1"/>
  <c r="K109" i="9" s="1"/>
  <c r="K532" i="9" a="1"/>
  <c r="K532" i="9" s="1"/>
  <c r="K953" i="9" a="1"/>
  <c r="K953" i="9" s="1"/>
  <c r="K1391" i="9" a="1"/>
  <c r="K1391" i="9" s="1"/>
  <c r="K1881" i="9" a="1"/>
  <c r="K1881" i="9" s="1"/>
  <c r="K2371" i="9" a="1"/>
  <c r="K2371" i="9" s="1"/>
  <c r="K2850" i="9" a="1"/>
  <c r="K2850" i="9" s="1"/>
  <c r="K110" i="9" a="1"/>
  <c r="K110" i="9" s="1"/>
  <c r="K533" i="9" a="1"/>
  <c r="K533" i="9" s="1"/>
  <c r="K954" i="9" a="1"/>
  <c r="K954" i="9" s="1"/>
  <c r="K1392" i="9" a="1"/>
  <c r="K1392" i="9" s="1"/>
  <c r="K1882" i="9" a="1"/>
  <c r="K1882" i="9" s="1"/>
  <c r="K2372" i="9" a="1"/>
  <c r="K2372" i="9" s="1"/>
  <c r="K2851" i="9" a="1"/>
  <c r="K2851" i="9" s="1"/>
  <c r="K111" i="9" a="1"/>
  <c r="K111" i="9" s="1"/>
  <c r="K534" i="9" a="1"/>
  <c r="K534" i="9" s="1"/>
  <c r="K955" i="9" a="1"/>
  <c r="K955" i="9" s="1"/>
  <c r="K1393" i="9" a="1"/>
  <c r="K1393" i="9" s="1"/>
  <c r="K1883" i="9" a="1"/>
  <c r="K1883" i="9" s="1"/>
  <c r="K2373" i="9" a="1"/>
  <c r="K2373" i="9" s="1"/>
  <c r="K2852" i="9" a="1"/>
  <c r="K2852" i="9" s="1"/>
  <c r="K112" i="9" a="1"/>
  <c r="K112" i="9" s="1"/>
  <c r="K535" i="9" a="1"/>
  <c r="K535" i="9" s="1"/>
  <c r="K956" i="9" a="1"/>
  <c r="K956" i="9" s="1"/>
  <c r="K1394" i="9" a="1"/>
  <c r="K1394" i="9" s="1"/>
  <c r="K1884" i="9" a="1"/>
  <c r="K1884" i="9" s="1"/>
  <c r="K2374" i="9" a="1"/>
  <c r="K2374" i="9" s="1"/>
  <c r="K2853" i="9" a="1"/>
  <c r="K2853" i="9" s="1"/>
  <c r="K113" i="9" a="1"/>
  <c r="K113" i="9" s="1"/>
  <c r="K536" i="9" a="1"/>
  <c r="K536" i="9" s="1"/>
  <c r="K957" i="9" a="1"/>
  <c r="K957" i="9" s="1"/>
  <c r="K1395" i="9" a="1"/>
  <c r="K1395" i="9" s="1"/>
  <c r="K1885" i="9" a="1"/>
  <c r="K1885" i="9" s="1"/>
  <c r="K2375" i="9" a="1"/>
  <c r="K2375" i="9" s="1"/>
  <c r="K1396" i="9" a="1"/>
  <c r="K1396" i="9" s="1"/>
  <c r="K1886" i="9" a="1"/>
  <c r="K1886" i="9" s="1"/>
  <c r="K2376" i="9" a="1"/>
  <c r="K2376" i="9" s="1"/>
  <c r="K2854" i="9" a="1"/>
  <c r="K2854" i="9" s="1"/>
  <c r="K114" i="9" a="1"/>
  <c r="K114" i="9"/>
  <c r="K537" i="9" a="1"/>
  <c r="K537" i="9" s="1"/>
  <c r="K958" i="9" a="1"/>
  <c r="K958" i="9" s="1"/>
  <c r="K1397" i="9" a="1"/>
  <c r="K1397" i="9" s="1"/>
  <c r="K1887" i="9" a="1"/>
  <c r="K1887" i="9" s="1"/>
  <c r="K2377" i="9" a="1"/>
  <c r="K2377" i="9" s="1"/>
  <c r="K2855" i="9" a="1"/>
  <c r="K2855" i="9" s="1"/>
  <c r="K115" i="9" a="1"/>
  <c r="K115" i="9" s="1"/>
  <c r="K538" i="9" a="1"/>
  <c r="K538" i="9" s="1"/>
  <c r="K959" i="9" a="1"/>
  <c r="K959" i="9" s="1"/>
  <c r="K1398" i="9" a="1"/>
  <c r="K1398" i="9" s="1"/>
  <c r="K1888" i="9" a="1"/>
  <c r="K1888" i="9" s="1"/>
  <c r="K2378" i="9" a="1"/>
  <c r="K2378" i="9" s="1"/>
  <c r="K2856" i="9" a="1"/>
  <c r="K2856" i="9" s="1"/>
  <c r="K116" i="9" a="1"/>
  <c r="K116" i="9" s="1"/>
  <c r="K539" i="9" a="1"/>
  <c r="K539" i="9" s="1"/>
  <c r="K960" i="9" a="1"/>
  <c r="K960" i="9" s="1"/>
  <c r="K1399" i="9" a="1"/>
  <c r="K1399" i="9" s="1"/>
  <c r="K1889" i="9" a="1"/>
  <c r="K1889" i="9" s="1"/>
  <c r="K2379" i="9" a="1"/>
  <c r="K2379" i="9" s="1"/>
  <c r="K2857" i="9" a="1"/>
  <c r="K2857" i="9" s="1"/>
  <c r="K117" i="9" a="1"/>
  <c r="K117" i="9" s="1"/>
  <c r="K540" i="9" a="1"/>
  <c r="K540" i="9" s="1"/>
  <c r="K961" i="9" a="1"/>
  <c r="K961" i="9" s="1"/>
  <c r="K1400" i="9" a="1"/>
  <c r="K1400" i="9" s="1"/>
  <c r="K1890" i="9" a="1"/>
  <c r="K1890" i="9" s="1"/>
  <c r="K2380" i="9" a="1"/>
  <c r="K2380" i="9" s="1"/>
  <c r="K2858" i="9" a="1"/>
  <c r="K2858" i="9" s="1"/>
  <c r="K118" i="9" a="1"/>
  <c r="K118" i="9" s="1"/>
  <c r="K541" i="9" a="1"/>
  <c r="K541" i="9" s="1"/>
  <c r="K962" i="9" a="1"/>
  <c r="K962" i="9" s="1"/>
  <c r="K1401" i="9" a="1"/>
  <c r="K1401" i="9" s="1"/>
  <c r="K1891" i="9" a="1"/>
  <c r="K1891" i="9" s="1"/>
  <c r="K2381" i="9" a="1"/>
  <c r="K2381" i="9" s="1"/>
  <c r="K2859" i="9" a="1"/>
  <c r="K2859" i="9" s="1"/>
  <c r="K119" i="9" a="1"/>
  <c r="K119" i="9" s="1"/>
  <c r="K542" i="9" a="1"/>
  <c r="K542" i="9" s="1"/>
  <c r="K963" i="9" a="1"/>
  <c r="K963" i="9" s="1"/>
  <c r="K1402" i="9" a="1"/>
  <c r="K1402" i="9" s="1"/>
  <c r="K1892" i="9" a="1"/>
  <c r="K1892" i="9" s="1"/>
  <c r="K2382" i="9" a="1"/>
  <c r="K2382" i="9" s="1"/>
  <c r="K1403" i="9" a="1"/>
  <c r="K1403" i="9" s="1"/>
  <c r="K1893" i="9" a="1"/>
  <c r="K1893" i="9" s="1"/>
  <c r="K2383" i="9" a="1"/>
  <c r="K2383" i="9" s="1"/>
  <c r="K2860" i="9" a="1"/>
  <c r="K2860" i="9" s="1"/>
  <c r="K120" i="9" a="1"/>
  <c r="K120" i="9" s="1"/>
  <c r="K543" i="9" a="1"/>
  <c r="K543" i="9" s="1"/>
  <c r="K964" i="9" a="1"/>
  <c r="K964" i="9" s="1"/>
  <c r="K1404" i="9" a="1"/>
  <c r="K1404" i="9"/>
  <c r="K1894" i="9" a="1"/>
  <c r="K1894" i="9" s="1"/>
  <c r="K2384" i="9" a="1"/>
  <c r="K2384" i="9" s="1"/>
  <c r="K2861" i="9" a="1"/>
  <c r="K2861" i="9" s="1"/>
  <c r="K121" i="9" a="1"/>
  <c r="K121" i="9" s="1"/>
  <c r="K544" i="9" a="1"/>
  <c r="K544" i="9" s="1"/>
  <c r="K965" i="9" a="1"/>
  <c r="K965" i="9" s="1"/>
  <c r="K1405" i="9" a="1"/>
  <c r="K1405" i="9" s="1"/>
  <c r="K1895" i="9" a="1"/>
  <c r="K1895" i="9" s="1"/>
  <c r="K2385" i="9" a="1"/>
  <c r="K2385" i="9" s="1"/>
  <c r="K2862" i="9" a="1"/>
  <c r="K2862" i="9" s="1"/>
  <c r="K122" i="9" a="1"/>
  <c r="K122" i="9" s="1"/>
  <c r="K545" i="9" a="1"/>
  <c r="K545" i="9" s="1"/>
  <c r="K966" i="9" a="1"/>
  <c r="K966" i="9" s="1"/>
  <c r="K1406" i="9" a="1"/>
  <c r="K1406" i="9" s="1"/>
  <c r="K1896" i="9" a="1"/>
  <c r="K1896" i="9" s="1"/>
  <c r="K2386" i="9" a="1"/>
  <c r="K2386" i="9" s="1"/>
  <c r="K2863" i="9" a="1"/>
  <c r="K2863" i="9" s="1"/>
  <c r="K123" i="9" a="1"/>
  <c r="K123" i="9" s="1"/>
  <c r="K546" i="9" a="1"/>
  <c r="K546" i="9" s="1"/>
  <c r="K967" i="9" a="1"/>
  <c r="K967" i="9" s="1"/>
  <c r="K1407" i="9" a="1"/>
  <c r="K1407" i="9" s="1"/>
  <c r="K1897" i="9" a="1"/>
  <c r="K1897" i="9" s="1"/>
  <c r="K2387" i="9" a="1"/>
  <c r="K2387" i="9" s="1"/>
  <c r="K2864" i="9" a="1"/>
  <c r="K2864" i="9" s="1"/>
  <c r="K124" i="9" a="1"/>
  <c r="K124" i="9" s="1"/>
  <c r="K547" i="9" a="1"/>
  <c r="K547" i="9" s="1"/>
  <c r="K968" i="9" a="1"/>
  <c r="K968" i="9" s="1"/>
  <c r="K1408" i="9" a="1"/>
  <c r="K1408" i="9" s="1"/>
  <c r="K1898" i="9" a="1"/>
  <c r="K1898" i="9" s="1"/>
  <c r="K2388" i="9" a="1"/>
  <c r="K2388" i="9" s="1"/>
  <c r="K2865" i="9" a="1"/>
  <c r="K2865" i="9" s="1"/>
  <c r="K125" i="9" a="1"/>
  <c r="K125" i="9" s="1"/>
  <c r="K548" i="9" a="1"/>
  <c r="K548" i="9" s="1"/>
  <c r="K969" i="9" a="1"/>
  <c r="K969" i="9" s="1"/>
  <c r="K1409" i="9" a="1"/>
  <c r="K1409" i="9" s="1"/>
  <c r="K1899" i="9" a="1"/>
  <c r="K1899" i="9" s="1"/>
  <c r="K2389" i="9" a="1"/>
  <c r="K2389" i="9" s="1"/>
  <c r="K1410" i="9" a="1"/>
  <c r="K1410" i="9" s="1"/>
  <c r="K1900" i="9" a="1"/>
  <c r="K1900" i="9" s="1"/>
  <c r="K2390" i="9" a="1"/>
  <c r="K2390" i="9" s="1"/>
  <c r="K2866" i="9" a="1"/>
  <c r="K2866" i="9" s="1"/>
  <c r="K126" i="9" a="1"/>
  <c r="K126" i="9" s="1"/>
  <c r="K549" i="9" a="1"/>
  <c r="K549" i="9" s="1"/>
  <c r="K970" i="9" a="1"/>
  <c r="K970" i="9" s="1"/>
  <c r="K1411" i="9" a="1"/>
  <c r="K1411" i="9" s="1"/>
  <c r="K1901" i="9" a="1"/>
  <c r="K1901" i="9" s="1"/>
  <c r="K2391" i="9" a="1"/>
  <c r="K2391" i="9" s="1"/>
  <c r="K2867" i="9" a="1"/>
  <c r="K2867" i="9" s="1"/>
  <c r="K127" i="9" a="1"/>
  <c r="K127" i="9" s="1"/>
  <c r="K550" i="9" a="1"/>
  <c r="K550" i="9" s="1"/>
  <c r="K971" i="9" a="1"/>
  <c r="K971" i="9" s="1"/>
  <c r="K1412" i="9" a="1"/>
  <c r="K1412" i="9" s="1"/>
  <c r="K1902" i="9" a="1"/>
  <c r="K1902" i="9" s="1"/>
  <c r="K2392" i="9" a="1"/>
  <c r="K2392" i="9" s="1"/>
  <c r="K2868" i="9" a="1"/>
  <c r="K2868" i="9" s="1"/>
  <c r="K128" i="9" a="1"/>
  <c r="K128" i="9" s="1"/>
  <c r="K551" i="9" a="1"/>
  <c r="K551" i="9" s="1"/>
  <c r="K972" i="9" a="1"/>
  <c r="K972" i="9" s="1"/>
  <c r="K1413" i="9" a="1"/>
  <c r="K1413" i="9" s="1"/>
  <c r="K1903" i="9" a="1"/>
  <c r="K1903" i="9" s="1"/>
  <c r="K2393" i="9" a="1"/>
  <c r="K2393" i="9" s="1"/>
  <c r="K2869" i="9" a="1"/>
  <c r="K2869" i="9" s="1"/>
  <c r="K129" i="9" a="1"/>
  <c r="K129" i="9" s="1"/>
  <c r="K552" i="9" a="1"/>
  <c r="K552" i="9" s="1"/>
  <c r="K973" i="9" a="1"/>
  <c r="K973" i="9" s="1"/>
  <c r="K1414" i="9" a="1"/>
  <c r="K1414" i="9" s="1"/>
  <c r="K1904" i="9" a="1"/>
  <c r="K1904" i="9" s="1"/>
  <c r="K2394" i="9" a="1"/>
  <c r="K2394" i="9" s="1"/>
  <c r="K2870" i="9" a="1"/>
  <c r="K2870" i="9" s="1"/>
  <c r="K130" i="9" a="1"/>
  <c r="K130" i="9" s="1"/>
  <c r="K553" i="9" a="1"/>
  <c r="K553" i="9" s="1"/>
  <c r="K974" i="9" a="1"/>
  <c r="K974" i="9" s="1"/>
  <c r="K1415" i="9" a="1"/>
  <c r="K1415" i="9" s="1"/>
  <c r="K1905" i="9" a="1"/>
  <c r="K1905" i="9" s="1"/>
  <c r="K2395" i="9" a="1"/>
  <c r="K2395" i="9" s="1"/>
  <c r="K2871" i="9" a="1"/>
  <c r="K2871" i="9" s="1"/>
  <c r="K131" i="9" a="1"/>
  <c r="K131" i="9" s="1"/>
  <c r="K554" i="9" a="1"/>
  <c r="K554" i="9" s="1"/>
  <c r="K975" i="9" a="1"/>
  <c r="K975" i="9" s="1"/>
  <c r="K1416" i="9" a="1"/>
  <c r="K1416" i="9" s="1"/>
  <c r="K1906" i="9" a="1"/>
  <c r="K1906" i="9" s="1"/>
  <c r="K2396" i="9" a="1"/>
  <c r="K2396" i="9" s="1"/>
  <c r="K1417" i="9" a="1"/>
  <c r="K1417" i="9" s="1"/>
  <c r="K1907" i="9" a="1"/>
  <c r="K1907" i="9" s="1"/>
  <c r="K2397" i="9" a="1"/>
  <c r="K2397" i="9" s="1"/>
  <c r="K2872" i="9" a="1"/>
  <c r="K2872" i="9" s="1"/>
  <c r="K132" i="9" a="1"/>
  <c r="K132" i="9" s="1"/>
  <c r="K555" i="9" a="1"/>
  <c r="K555" i="9" s="1"/>
  <c r="K976" i="9" a="1"/>
  <c r="K976" i="9" s="1"/>
  <c r="K1418" i="9" a="1"/>
  <c r="K1418" i="9" s="1"/>
  <c r="K1908" i="9" a="1"/>
  <c r="K1908" i="9" s="1"/>
  <c r="K2398" i="9" a="1"/>
  <c r="K2398" i="9" s="1"/>
  <c r="K2873" i="9" a="1"/>
  <c r="K2873" i="9" s="1"/>
  <c r="K133" i="9" a="1"/>
  <c r="K133" i="9" s="1"/>
  <c r="K556" i="9" a="1"/>
  <c r="K556" i="9" s="1"/>
  <c r="K977" i="9" a="1"/>
  <c r="K977" i="9" s="1"/>
  <c r="K1419" i="9" a="1"/>
  <c r="K1419" i="9" s="1"/>
  <c r="K1909" i="9" a="1"/>
  <c r="K1909" i="9" s="1"/>
  <c r="K2399" i="9" a="1"/>
  <c r="K2399" i="9" s="1"/>
  <c r="K2874" i="9" a="1"/>
  <c r="K2874" i="9" s="1"/>
  <c r="K134" i="9" a="1"/>
  <c r="K134" i="9" s="1"/>
  <c r="K557" i="9" a="1"/>
  <c r="K557" i="9" s="1"/>
  <c r="K978" i="9" a="1"/>
  <c r="K978" i="9" s="1"/>
  <c r="K1420" i="9" a="1"/>
  <c r="K1420" i="9" s="1"/>
  <c r="K1910" i="9" a="1"/>
  <c r="K1910" i="9" s="1"/>
  <c r="K2400" i="9" a="1"/>
  <c r="K2400" i="9" s="1"/>
  <c r="K2875" i="9" a="1"/>
  <c r="K2875" i="9" s="1"/>
  <c r="K135" i="9" a="1"/>
  <c r="K135" i="9" s="1"/>
  <c r="K558" i="9" a="1"/>
  <c r="K558" i="9" s="1"/>
  <c r="K979" i="9" a="1"/>
  <c r="K979" i="9" s="1"/>
  <c r="K1421" i="9" a="1"/>
  <c r="K1421" i="9" s="1"/>
  <c r="K1911" i="9" a="1"/>
  <c r="K1911" i="9" s="1"/>
  <c r="K2401" i="9" a="1"/>
  <c r="K2401" i="9" s="1"/>
  <c r="K2876" i="9" a="1"/>
  <c r="K2876" i="9" s="1"/>
  <c r="K136" i="9" a="1"/>
  <c r="K136" i="9" s="1"/>
  <c r="K559" i="9" a="1"/>
  <c r="K559" i="9" s="1"/>
  <c r="K980" i="9" a="1"/>
  <c r="K980" i="9" s="1"/>
  <c r="K1422" i="9" a="1"/>
  <c r="K1422" i="9" s="1"/>
  <c r="K1912" i="9" a="1"/>
  <c r="K1912" i="9" s="1"/>
  <c r="K2402" i="9" a="1"/>
  <c r="K2402" i="9" s="1"/>
  <c r="K2877" i="9" a="1"/>
  <c r="K2877" i="9" s="1"/>
  <c r="K137" i="9" a="1"/>
  <c r="K137" i="9" s="1"/>
  <c r="K560" i="9" a="1"/>
  <c r="K560" i="9" s="1"/>
  <c r="K981" i="9" a="1"/>
  <c r="K981" i="9" s="1"/>
  <c r="K1423" i="9" a="1"/>
  <c r="K1423" i="9" s="1"/>
  <c r="K1913" i="9" a="1"/>
  <c r="K1913" i="9" s="1"/>
  <c r="K2403" i="9" a="1"/>
  <c r="K2403" i="9" s="1"/>
  <c r="K1424" i="9" a="1"/>
  <c r="K1424" i="9" s="1"/>
  <c r="K1914" i="9" a="1"/>
  <c r="K1914" i="9" s="1"/>
  <c r="K2404" i="9" a="1"/>
  <c r="K2404" i="9" s="1"/>
  <c r="K2878" i="9" a="1"/>
  <c r="K2878" i="9" s="1"/>
  <c r="K138" i="9" a="1"/>
  <c r="K138" i="9" s="1"/>
  <c r="K561" i="9" a="1"/>
  <c r="K561" i="9" s="1"/>
  <c r="K982" i="9" a="1"/>
  <c r="K982" i="9" s="1"/>
  <c r="K1425" i="9" a="1"/>
  <c r="K1425" i="9" s="1"/>
  <c r="K1915" i="9" a="1"/>
  <c r="K1915" i="9" s="1"/>
  <c r="K2405" i="9" a="1"/>
  <c r="K2405" i="9" s="1"/>
  <c r="K2879" i="9" a="1"/>
  <c r="K2879" i="9" s="1"/>
  <c r="K139" i="9" a="1"/>
  <c r="K139" i="9" s="1"/>
  <c r="K562" i="9" a="1"/>
  <c r="K562" i="9" s="1"/>
  <c r="K983" i="9" a="1"/>
  <c r="K983" i="9" s="1"/>
  <c r="K1426" i="9" a="1"/>
  <c r="K1426" i="9" s="1"/>
  <c r="K1916" i="9" a="1"/>
  <c r="K1916" i="9" s="1"/>
  <c r="K2406" i="9" a="1"/>
  <c r="K2406" i="9" s="1"/>
  <c r="K2880" i="9" a="1"/>
  <c r="K2880" i="9" s="1"/>
  <c r="K140" i="9" a="1"/>
  <c r="K140" i="9" s="1"/>
  <c r="K563" i="9" a="1"/>
  <c r="K563" i="9" s="1"/>
  <c r="K984" i="9" a="1"/>
  <c r="K984" i="9" s="1"/>
  <c r="K1427" i="9" a="1"/>
  <c r="K1427" i="9" s="1"/>
  <c r="K1917" i="9" a="1"/>
  <c r="K1917" i="9" s="1"/>
  <c r="K2407" i="9" a="1"/>
  <c r="K2407" i="9" s="1"/>
  <c r="K2881" i="9" a="1"/>
  <c r="K2881" i="9" s="1"/>
  <c r="K141" i="9" a="1"/>
  <c r="K141" i="9" s="1"/>
  <c r="K564" i="9" a="1"/>
  <c r="K564" i="9" s="1"/>
  <c r="K985" i="9" a="1"/>
  <c r="K985" i="9" s="1"/>
  <c r="K1428" i="9" a="1"/>
  <c r="K1428" i="9" s="1"/>
  <c r="K1918" i="9" a="1"/>
  <c r="K1918" i="9" s="1"/>
  <c r="K2408" i="9" a="1"/>
  <c r="K2408" i="9" s="1"/>
  <c r="K2882" i="9" a="1"/>
  <c r="K2882" i="9" s="1"/>
  <c r="K142" i="9" a="1"/>
  <c r="K142" i="9" s="1"/>
  <c r="K565" i="9" a="1"/>
  <c r="K565" i="9" s="1"/>
  <c r="K986" i="9" a="1"/>
  <c r="K986" i="9" s="1"/>
  <c r="K1429" i="9" a="1"/>
  <c r="K1429" i="9" s="1"/>
  <c r="K1919" i="9" a="1"/>
  <c r="K1919" i="9" s="1"/>
  <c r="K2409" i="9" a="1"/>
  <c r="K2409" i="9" s="1"/>
  <c r="K2883" i="9" a="1"/>
  <c r="K2883" i="9" s="1"/>
  <c r="K143" i="9" a="1"/>
  <c r="K143" i="9" s="1"/>
  <c r="K566" i="9" a="1"/>
  <c r="K566" i="9" s="1"/>
  <c r="K987" i="9" a="1"/>
  <c r="K987" i="9" s="1"/>
  <c r="K1430" i="9" a="1"/>
  <c r="K1430" i="9" s="1"/>
  <c r="K1920" i="9" a="1"/>
  <c r="K1920" i="9" s="1"/>
  <c r="K2410" i="9" a="1"/>
  <c r="K2410" i="9" s="1"/>
  <c r="K2884" i="9" a="1"/>
  <c r="K2884" i="9" s="1"/>
  <c r="K1431" i="9" a="1"/>
  <c r="K1431" i="9" s="1"/>
  <c r="K1921" i="9" a="1"/>
  <c r="K1921" i="9" s="1"/>
  <c r="K2411" i="9" a="1"/>
  <c r="K2411" i="9" s="1"/>
  <c r="K2885" i="9" a="1"/>
  <c r="K2885" i="9" s="1"/>
  <c r="K144" i="9" a="1"/>
  <c r="K144" i="9" s="1"/>
  <c r="K567" i="9" a="1"/>
  <c r="K567" i="9" s="1"/>
  <c r="K988" i="9" a="1"/>
  <c r="K988" i="9" s="1"/>
  <c r="K1432" i="9" a="1"/>
  <c r="K1432" i="9" s="1"/>
  <c r="K1922" i="9" a="1"/>
  <c r="K1922" i="9" s="1"/>
  <c r="K2412" i="9" a="1"/>
  <c r="K2412" i="9" s="1"/>
  <c r="K2886" i="9" a="1"/>
  <c r="K2886" i="9" s="1"/>
  <c r="K145" i="9" a="1"/>
  <c r="K145" i="9" s="1"/>
  <c r="K568" i="9" a="1"/>
  <c r="K568" i="9" s="1"/>
  <c r="K989" i="9" a="1"/>
  <c r="K989" i="9" s="1"/>
  <c r="K1433" i="9" a="1"/>
  <c r="K1433" i="9" s="1"/>
  <c r="K1923" i="9" a="1"/>
  <c r="K1923" i="9" s="1"/>
  <c r="K2413" i="9" a="1"/>
  <c r="K2413" i="9" s="1"/>
  <c r="K2887" i="9" a="1"/>
  <c r="K2887" i="9" s="1"/>
  <c r="K146" i="9" a="1"/>
  <c r="K146" i="9" s="1"/>
  <c r="K569" i="9" a="1"/>
  <c r="K569" i="9" s="1"/>
  <c r="K990" i="9" a="1"/>
  <c r="K990" i="9" s="1"/>
  <c r="K1434" i="9" a="1"/>
  <c r="K1434" i="9" s="1"/>
  <c r="K1924" i="9" a="1"/>
  <c r="K1924" i="9" s="1"/>
  <c r="K2414" i="9" a="1"/>
  <c r="K2414" i="9" s="1"/>
  <c r="K2888" i="9" a="1"/>
  <c r="K2888" i="9" s="1"/>
  <c r="K147" i="9" a="1"/>
  <c r="K147" i="9" s="1"/>
  <c r="K570" i="9" a="1"/>
  <c r="K570" i="9" s="1"/>
  <c r="K991" i="9" a="1"/>
  <c r="K991" i="9" s="1"/>
  <c r="K1435" i="9" a="1"/>
  <c r="K1435" i="9" s="1"/>
  <c r="K1925" i="9" a="1"/>
  <c r="K1925" i="9" s="1"/>
  <c r="K2415" i="9" a="1"/>
  <c r="K2415" i="9" s="1"/>
  <c r="K2889" i="9" a="1"/>
  <c r="K2889" i="9" s="1"/>
  <c r="K148" i="9" a="1"/>
  <c r="K148" i="9" s="1"/>
  <c r="K571" i="9" a="1"/>
  <c r="K571" i="9" s="1"/>
  <c r="K992" i="9" a="1"/>
  <c r="K992" i="9" s="1"/>
  <c r="K1436" i="9" a="1"/>
  <c r="K1436" i="9" s="1"/>
  <c r="K1926" i="9" a="1"/>
  <c r="K1926" i="9" s="1"/>
  <c r="K2416" i="9" a="1"/>
  <c r="K2416" i="9" s="1"/>
  <c r="K2890" i="9" a="1"/>
  <c r="K2890" i="9" s="1"/>
  <c r="K149" i="9" a="1"/>
  <c r="K149" i="9" s="1"/>
  <c r="K572" i="9" a="1"/>
  <c r="K572" i="9" s="1"/>
  <c r="K993" i="9" a="1"/>
  <c r="K993" i="9" s="1"/>
  <c r="K1437" i="9" a="1"/>
  <c r="K1437" i="9" s="1"/>
  <c r="K1927" i="9" a="1"/>
  <c r="K1927" i="9" s="1"/>
  <c r="K2417" i="9" a="1"/>
  <c r="K2417" i="9" s="1"/>
  <c r="K1438" i="9" a="1"/>
  <c r="K1438" i="9" s="1"/>
  <c r="K1928" i="9" a="1"/>
  <c r="K1928" i="9" s="1"/>
  <c r="K2418" i="9" a="1"/>
  <c r="K2418" i="9" s="1"/>
  <c r="K2891" i="9" a="1"/>
  <c r="K2891" i="9" s="1"/>
  <c r="K150" i="9" a="1"/>
  <c r="K150" i="9" s="1"/>
  <c r="K573" i="9" a="1"/>
  <c r="K573" i="9" s="1"/>
  <c r="K994" i="9" a="1"/>
  <c r="K994" i="9" s="1"/>
  <c r="K1439" i="9" a="1"/>
  <c r="K1439" i="9" s="1"/>
  <c r="K1929" i="9" a="1"/>
  <c r="K1929" i="9" s="1"/>
  <c r="K2419" i="9" a="1"/>
  <c r="K2419" i="9" s="1"/>
  <c r="K2892" i="9" a="1"/>
  <c r="K2892" i="9" s="1"/>
  <c r="K151" i="9" a="1"/>
  <c r="K151" i="9" s="1"/>
  <c r="K574" i="9" a="1"/>
  <c r="K574" i="9" s="1"/>
  <c r="K995" i="9" a="1"/>
  <c r="K995" i="9" s="1"/>
  <c r="K1440" i="9" a="1"/>
  <c r="K1440" i="9" s="1"/>
  <c r="K1930" i="9" a="1"/>
  <c r="K1930" i="9" s="1"/>
  <c r="K2420" i="9" a="1"/>
  <c r="K2420" i="9" s="1"/>
  <c r="K2893" i="9" a="1"/>
  <c r="K2893" i="9" s="1"/>
  <c r="K152" i="9" a="1"/>
  <c r="K152" i="9" s="1"/>
  <c r="K575" i="9" a="1"/>
  <c r="K575" i="9" s="1"/>
  <c r="K996" i="9" a="1"/>
  <c r="K996" i="9" s="1"/>
  <c r="K1441" i="9" a="1"/>
  <c r="K1441" i="9" s="1"/>
  <c r="K1931" i="9" a="1"/>
  <c r="K1931" i="9" s="1"/>
  <c r="K2421" i="9" a="1"/>
  <c r="K2421" i="9" s="1"/>
  <c r="K2894" i="9" a="1"/>
  <c r="K2894" i="9" s="1"/>
  <c r="K153" i="9" a="1"/>
  <c r="K153" i="9" s="1"/>
  <c r="K576" i="9" a="1"/>
  <c r="K576" i="9" s="1"/>
  <c r="K997" i="9" a="1"/>
  <c r="K997" i="9" s="1"/>
  <c r="K1442" i="9" a="1"/>
  <c r="K1442" i="9" s="1"/>
  <c r="K1932" i="9" a="1"/>
  <c r="K1932" i="9" s="1"/>
  <c r="K2422" i="9" a="1"/>
  <c r="K2422" i="9" s="1"/>
  <c r="K2895" i="9" a="1"/>
  <c r="K2895" i="9" s="1"/>
  <c r="K154" i="9" a="1"/>
  <c r="K154" i="9" s="1"/>
  <c r="K577" i="9" a="1"/>
  <c r="K577" i="9" s="1"/>
  <c r="K998" i="9" a="1"/>
  <c r="K998" i="9" s="1"/>
  <c r="K1443" i="9" a="1"/>
  <c r="K1443" i="9" s="1"/>
  <c r="K1933" i="9" a="1"/>
  <c r="K1933" i="9" s="1"/>
  <c r="K2423" i="9" a="1"/>
  <c r="K2423" i="9" s="1"/>
  <c r="K2896" i="9" a="1"/>
  <c r="K2896" i="9" s="1"/>
  <c r="K155" i="9" a="1"/>
  <c r="K155" i="9" s="1"/>
  <c r="K578" i="9" a="1"/>
  <c r="K578" i="9" s="1"/>
  <c r="K999" i="9" a="1"/>
  <c r="K999" i="9" s="1"/>
  <c r="K1444" i="9" a="1"/>
  <c r="K1444" i="9" s="1"/>
  <c r="K1934" i="9" a="1"/>
  <c r="K1934" i="9" s="1"/>
  <c r="K2424" i="9" a="1"/>
  <c r="K2424" i="9" s="1"/>
  <c r="K1445" i="9" a="1"/>
  <c r="K1445" i="9" s="1"/>
  <c r="K1935" i="9" a="1"/>
  <c r="K1935" i="9" s="1"/>
  <c r="K2425" i="9" a="1"/>
  <c r="K2425" i="9" s="1"/>
  <c r="K2897" i="9" a="1"/>
  <c r="K2897" i="9" s="1"/>
  <c r="K156" i="9" a="1"/>
  <c r="K156" i="9" s="1"/>
  <c r="K579" i="9" a="1"/>
  <c r="K579" i="9" s="1"/>
  <c r="K1000" i="9" a="1"/>
  <c r="K1000" i="9" s="1"/>
  <c r="K1446" i="9" a="1"/>
  <c r="K1446" i="9" s="1"/>
  <c r="K1936" i="9" a="1"/>
  <c r="K1936" i="9" s="1"/>
  <c r="K2426" i="9" a="1"/>
  <c r="K2426" i="9" s="1"/>
  <c r="K2898" i="9" a="1"/>
  <c r="K2898" i="9" s="1"/>
  <c r="K157" i="9" a="1"/>
  <c r="K157" i="9" s="1"/>
  <c r="K580" i="9" a="1"/>
  <c r="K580" i="9" s="1"/>
  <c r="K1001" i="9" a="1"/>
  <c r="K1001" i="9" s="1"/>
  <c r="K1447" i="9" a="1"/>
  <c r="K1447" i="9" s="1"/>
  <c r="K1937" i="9" a="1"/>
  <c r="K1937" i="9" s="1"/>
  <c r="K2427" i="9" a="1"/>
  <c r="K2427" i="9" s="1"/>
  <c r="K2899" i="9" a="1"/>
  <c r="K2899" i="9" s="1"/>
  <c r="K158" i="9" a="1"/>
  <c r="K158" i="9" s="1"/>
  <c r="K581" i="9" a="1"/>
  <c r="K581" i="9" s="1"/>
  <c r="K1002" i="9" a="1"/>
  <c r="K1002" i="9" s="1"/>
  <c r="K1448" i="9" a="1"/>
  <c r="K1448" i="9" s="1"/>
  <c r="K1938" i="9" a="1"/>
  <c r="K1938" i="9" s="1"/>
  <c r="K2428" i="9" a="1"/>
  <c r="K2428" i="9" s="1"/>
  <c r="K2900" i="9" a="1"/>
  <c r="K2900" i="9" s="1"/>
  <c r="K159" i="9" a="1"/>
  <c r="K159" i="9" s="1"/>
  <c r="K582" i="9" a="1"/>
  <c r="K582" i="9" s="1"/>
  <c r="K1003" i="9" a="1"/>
  <c r="K1003" i="9" s="1"/>
  <c r="K1449" i="9" a="1"/>
  <c r="K1449" i="9" s="1"/>
  <c r="K1939" i="9" a="1"/>
  <c r="K1939" i="9" s="1"/>
  <c r="K2429" i="9" a="1"/>
  <c r="K2429" i="9" s="1"/>
  <c r="K2901" i="9" a="1"/>
  <c r="K2901" i="9" s="1"/>
  <c r="K160" i="9" a="1"/>
  <c r="K160" i="9" s="1"/>
  <c r="K583" i="9" a="1"/>
  <c r="K583" i="9" s="1"/>
  <c r="K1004" i="9" a="1"/>
  <c r="K1004" i="9" s="1"/>
  <c r="K1450" i="9" a="1"/>
  <c r="K1450" i="9" s="1"/>
  <c r="K1940" i="9" a="1"/>
  <c r="K1940" i="9" s="1"/>
  <c r="K2430" i="9" a="1"/>
  <c r="K2430" i="9" s="1"/>
  <c r="K2902" i="9" a="1"/>
  <c r="K2902" i="9" s="1"/>
  <c r="K161" i="9" a="1"/>
  <c r="K161" i="9" s="1"/>
  <c r="K584" i="9" a="1"/>
  <c r="K584" i="9" s="1"/>
  <c r="K1005" i="9" a="1"/>
  <c r="K1005" i="9" s="1"/>
  <c r="K1451" i="9" a="1"/>
  <c r="K1451" i="9" s="1"/>
  <c r="K1941" i="9" a="1"/>
  <c r="K1941" i="9" s="1"/>
  <c r="K2431" i="9" a="1"/>
  <c r="K2431" i="9" s="1"/>
  <c r="K1452" i="9" a="1"/>
  <c r="K1452" i="9" s="1"/>
  <c r="K1942" i="9" a="1"/>
  <c r="K1942" i="9" s="1"/>
  <c r="K2432" i="9" a="1"/>
  <c r="K2432" i="9" s="1"/>
  <c r="K2903" i="9" a="1"/>
  <c r="K2903" i="9" s="1"/>
  <c r="K162" i="9" a="1"/>
  <c r="K162" i="9" s="1"/>
  <c r="K585" i="9" a="1"/>
  <c r="K585" i="9" s="1"/>
  <c r="K1006" i="9" a="1"/>
  <c r="K1006" i="9" s="1"/>
  <c r="K1453" i="9" a="1"/>
  <c r="K1453" i="9" s="1"/>
  <c r="K1943" i="9" a="1"/>
  <c r="K1943" i="9" s="1"/>
  <c r="K2433" i="9" a="1"/>
  <c r="K2433" i="9" s="1"/>
  <c r="K2904" i="9" a="1"/>
  <c r="K2904" i="9" s="1"/>
  <c r="K163" i="9" a="1"/>
  <c r="K163" i="9" s="1"/>
  <c r="K586" i="9" a="1"/>
  <c r="K586" i="9" s="1"/>
  <c r="K1007" i="9" a="1"/>
  <c r="K1007" i="9" s="1"/>
  <c r="K1454" i="9" a="1"/>
  <c r="K1454" i="9" s="1"/>
  <c r="K1944" i="9" a="1"/>
  <c r="K1944" i="9" s="1"/>
  <c r="K2434" i="9" a="1"/>
  <c r="K2434" i="9" s="1"/>
  <c r="K2905" i="9" a="1"/>
  <c r="K2905" i="9" s="1"/>
  <c r="K164" i="9" a="1"/>
  <c r="K164" i="9" s="1"/>
  <c r="K587" i="9" a="1"/>
  <c r="K587" i="9" s="1"/>
  <c r="K1008" i="9" a="1"/>
  <c r="K1008" i="9" s="1"/>
  <c r="K1455" i="9" a="1"/>
  <c r="K1455" i="9" s="1"/>
  <c r="K1945" i="9" a="1"/>
  <c r="K1945" i="9" s="1"/>
  <c r="K2435" i="9" a="1"/>
  <c r="K2435" i="9" s="1"/>
  <c r="K2906" i="9" a="1"/>
  <c r="K2906" i="9" s="1"/>
  <c r="K165" i="9" a="1"/>
  <c r="K165" i="9" s="1"/>
  <c r="K588" i="9" a="1"/>
  <c r="K588" i="9" s="1"/>
  <c r="K1009" i="9" a="1"/>
  <c r="K1009" i="9" s="1"/>
  <c r="K1456" i="9" a="1"/>
  <c r="K1456" i="9" s="1"/>
  <c r="K1946" i="9" a="1"/>
  <c r="K1946" i="9" s="1"/>
  <c r="K2436" i="9" a="1"/>
  <c r="K2436" i="9" s="1"/>
  <c r="K2907" i="9" a="1"/>
  <c r="K2907" i="9" s="1"/>
  <c r="K166" i="9" a="1"/>
  <c r="K166" i="9" s="1"/>
  <c r="K589" i="9" a="1"/>
  <c r="K589" i="9" s="1"/>
  <c r="K1010" i="9" a="1"/>
  <c r="K1010" i="9" s="1"/>
  <c r="K1457" i="9" a="1"/>
  <c r="K1457" i="9" s="1"/>
  <c r="K1947" i="9" a="1"/>
  <c r="K1947" i="9" s="1"/>
  <c r="K2437" i="9" a="1"/>
  <c r="K2437" i="9" s="1"/>
  <c r="K2908" i="9" a="1"/>
  <c r="K2908" i="9" s="1"/>
  <c r="K167" i="9" a="1"/>
  <c r="K167" i="9" s="1"/>
  <c r="K590" i="9" a="1"/>
  <c r="K590" i="9" s="1"/>
  <c r="K1011" i="9" a="1"/>
  <c r="K1011" i="9" s="1"/>
  <c r="K1458" i="9" a="1"/>
  <c r="K1458" i="9" s="1"/>
  <c r="K1948" i="9" a="1"/>
  <c r="K1948" i="9" s="1"/>
  <c r="K2438" i="9" a="1"/>
  <c r="K2438" i="9" s="1"/>
  <c r="K1459" i="9" a="1"/>
  <c r="K1459" i="9" s="1"/>
  <c r="K1949" i="9" a="1"/>
  <c r="K1949" i="9" s="1"/>
  <c r="K2439" i="9" a="1"/>
  <c r="K2439" i="9" s="1"/>
  <c r="K2909" i="9" a="1"/>
  <c r="K2909" i="9" s="1"/>
  <c r="K168" i="9" a="1"/>
  <c r="K168" i="9" s="1"/>
  <c r="K591" i="9" a="1"/>
  <c r="K591" i="9" s="1"/>
  <c r="K1012" i="9" a="1"/>
  <c r="K1012" i="9" s="1"/>
  <c r="K1460" i="9" a="1"/>
  <c r="K1460" i="9" s="1"/>
  <c r="K1950" i="9" a="1"/>
  <c r="K1950" i="9" s="1"/>
  <c r="K2440" i="9" a="1"/>
  <c r="K2440" i="9" s="1"/>
  <c r="K2910" i="9" a="1"/>
  <c r="K2910" i="9" s="1"/>
  <c r="K169" i="9" a="1"/>
  <c r="K169" i="9" s="1"/>
  <c r="K592" i="9" a="1"/>
  <c r="K592" i="9" s="1"/>
  <c r="K1013" i="9" a="1"/>
  <c r="K1013" i="9" s="1"/>
  <c r="K1461" i="9" a="1"/>
  <c r="K1461" i="9" s="1"/>
  <c r="K1951" i="9" a="1"/>
  <c r="K1951" i="9" s="1"/>
  <c r="K2441" i="9" a="1"/>
  <c r="K2441" i="9" s="1"/>
  <c r="K2911" i="9" a="1"/>
  <c r="K2911" i="9" s="1"/>
  <c r="K170" i="9" a="1"/>
  <c r="K170" i="9" s="1"/>
  <c r="K593" i="9" a="1"/>
  <c r="K593" i="9" s="1"/>
  <c r="K1014" i="9" a="1"/>
  <c r="K1014" i="9" s="1"/>
  <c r="K1462" i="9" a="1"/>
  <c r="K1462" i="9" s="1"/>
  <c r="K1952" i="9" a="1"/>
  <c r="K1952" i="9" s="1"/>
  <c r="K2442" i="9" a="1"/>
  <c r="K2442" i="9" s="1"/>
  <c r="K2912" i="9" a="1"/>
  <c r="K2912" i="9" s="1"/>
  <c r="K171" i="9" a="1"/>
  <c r="K171" i="9" s="1"/>
  <c r="K594" i="9" a="1"/>
  <c r="K594" i="9" s="1"/>
  <c r="K1015" i="9" a="1"/>
  <c r="K1015" i="9" s="1"/>
  <c r="K1463" i="9" a="1"/>
  <c r="K1463" i="9" s="1"/>
  <c r="K1953" i="9" a="1"/>
  <c r="K1953" i="9" s="1"/>
  <c r="K2443" i="9" a="1"/>
  <c r="K2443" i="9" s="1"/>
  <c r="K2913" i="9" a="1"/>
  <c r="K2913" i="9" s="1"/>
  <c r="K172" i="9" a="1"/>
  <c r="K172" i="9" s="1"/>
  <c r="K595" i="9" a="1"/>
  <c r="K595" i="9" s="1"/>
  <c r="K1016" i="9" a="1"/>
  <c r="K1016" i="9" s="1"/>
  <c r="K1464" i="9" a="1"/>
  <c r="K1464" i="9" s="1"/>
  <c r="K1954" i="9" a="1"/>
  <c r="K1954" i="9" s="1"/>
  <c r="K2444" i="9" a="1"/>
  <c r="K2444" i="9" s="1"/>
  <c r="K2914" i="9" a="1"/>
  <c r="K2914" i="9" s="1"/>
  <c r="K173" i="9" a="1"/>
  <c r="K173" i="9" s="1"/>
  <c r="K596" i="9" a="1"/>
  <c r="K596" i="9" s="1"/>
  <c r="K1017" i="9" a="1"/>
  <c r="K1017" i="9" s="1"/>
  <c r="K1465" i="9" a="1"/>
  <c r="K1465" i="9" s="1"/>
  <c r="K1955" i="9" a="1"/>
  <c r="K1955" i="9" s="1"/>
  <c r="K2445" i="9" a="1"/>
  <c r="K2445" i="9" s="1"/>
  <c r="K1466" i="9" a="1"/>
  <c r="K1466" i="9" s="1"/>
  <c r="K1956" i="9" a="1"/>
  <c r="K1956" i="9" s="1"/>
  <c r="K2446" i="9" a="1"/>
  <c r="K2446" i="9" s="1"/>
  <c r="K2915" i="9" a="1"/>
  <c r="K2915" i="9" s="1"/>
  <c r="K174" i="9" a="1"/>
  <c r="K174" i="9" s="1"/>
  <c r="K597" i="9" a="1"/>
  <c r="K597" i="9" s="1"/>
  <c r="K1018" i="9" a="1"/>
  <c r="K1018" i="9" s="1"/>
  <c r="K1467" i="9" a="1"/>
  <c r="K1467" i="9" s="1"/>
  <c r="K1957" i="9" a="1"/>
  <c r="K1957" i="9" s="1"/>
  <c r="K2447" i="9" a="1"/>
  <c r="K2447" i="9" s="1"/>
  <c r="K2916" i="9" a="1"/>
  <c r="K2916" i="9" s="1"/>
  <c r="K175" i="9" a="1"/>
  <c r="K175" i="9" s="1"/>
  <c r="K598" i="9" a="1"/>
  <c r="K598" i="9" s="1"/>
  <c r="K1019" i="9" a="1"/>
  <c r="K1019" i="9" s="1"/>
  <c r="K1468" i="9" a="1"/>
  <c r="K1468" i="9"/>
  <c r="K1958" i="9" a="1"/>
  <c r="K1958" i="9" s="1"/>
  <c r="K2448" i="9" a="1"/>
  <c r="K2448" i="9" s="1"/>
  <c r="K2917" i="9" a="1"/>
  <c r="K2917" i="9" s="1"/>
  <c r="K176" i="9" a="1"/>
  <c r="K176" i="9" s="1"/>
  <c r="K599" i="9" a="1"/>
  <c r="K599" i="9" s="1"/>
  <c r="K1020" i="9" a="1"/>
  <c r="K1020" i="9" s="1"/>
  <c r="K1469" i="9" a="1"/>
  <c r="K1469" i="9" s="1"/>
  <c r="K1959" i="9" a="1"/>
  <c r="K1959" i="9" s="1"/>
  <c r="K2449" i="9" a="1"/>
  <c r="K2449" i="9" s="1"/>
  <c r="K2918" i="9" a="1"/>
  <c r="K2918" i="9" s="1"/>
  <c r="K177" i="9" a="1"/>
  <c r="K177" i="9" s="1"/>
  <c r="K600" i="9" a="1"/>
  <c r="K600" i="9" s="1"/>
  <c r="K1021" i="9" a="1"/>
  <c r="K1021" i="9" s="1"/>
  <c r="K1470" i="9" a="1"/>
  <c r="K1470" i="9" s="1"/>
  <c r="K1960" i="9" a="1"/>
  <c r="K1960" i="9" s="1"/>
  <c r="K2450" i="9" a="1"/>
  <c r="K2450" i="9" s="1"/>
  <c r="K2919" i="9" a="1"/>
  <c r="K2919" i="9" s="1"/>
  <c r="K178" i="9" a="1"/>
  <c r="K178" i="9" s="1"/>
  <c r="K601" i="9" a="1"/>
  <c r="K601" i="9" s="1"/>
  <c r="K1022" i="9" a="1"/>
  <c r="K1022" i="9" s="1"/>
  <c r="K1471" i="9" a="1"/>
  <c r="K1471" i="9" s="1"/>
  <c r="K1961" i="9" a="1"/>
  <c r="K1961" i="9" s="1"/>
  <c r="K2451" i="9" a="1"/>
  <c r="K2451" i="9" s="1"/>
  <c r="K2920" i="9" a="1"/>
  <c r="K2920" i="9" s="1"/>
  <c r="K179" i="9" a="1"/>
  <c r="K179" i="9" s="1"/>
  <c r="K602" i="9" a="1"/>
  <c r="K602" i="9" s="1"/>
  <c r="K1023" i="9" a="1"/>
  <c r="K1023" i="9" s="1"/>
  <c r="K1472" i="9" a="1"/>
  <c r="K1472" i="9" s="1"/>
  <c r="K1962" i="9" a="1"/>
  <c r="K1962" i="9" s="1"/>
  <c r="K2452" i="9" a="1"/>
  <c r="K2452" i="9" s="1"/>
  <c r="K1473" i="9" a="1"/>
  <c r="K1473" i="9" s="1"/>
  <c r="K1963" i="9" a="1"/>
  <c r="K1963" i="9"/>
  <c r="K2453" i="9" a="1"/>
  <c r="K2453" i="9" s="1"/>
  <c r="K2921" i="9" a="1"/>
  <c r="K2921" i="9" s="1"/>
  <c r="K180" i="9" a="1"/>
  <c r="K180" i="9" s="1"/>
  <c r="K603" i="9" a="1"/>
  <c r="K603" i="9" s="1"/>
  <c r="K1024" i="9" a="1"/>
  <c r="K1024" i="9" s="1"/>
  <c r="K1474" i="9" a="1"/>
  <c r="K1474" i="9" s="1"/>
  <c r="K1964" i="9" a="1"/>
  <c r="K1964" i="9" s="1"/>
  <c r="K2454" i="9" a="1"/>
  <c r="K2454" i="9" s="1"/>
  <c r="K2922" i="9" a="1"/>
  <c r="K2922" i="9" s="1"/>
  <c r="K181" i="9" a="1"/>
  <c r="K181" i="9" s="1"/>
  <c r="K604" i="9" a="1"/>
  <c r="K604" i="9" s="1"/>
  <c r="K1025" i="9" a="1"/>
  <c r="K1025" i="9" s="1"/>
  <c r="K1475" i="9" a="1"/>
  <c r="K1475" i="9" s="1"/>
  <c r="K1965" i="9" a="1"/>
  <c r="K1965" i="9" s="1"/>
  <c r="K2455" i="9" a="1"/>
  <c r="K2455" i="9" s="1"/>
  <c r="K2923" i="9" a="1"/>
  <c r="K2923" i="9" s="1"/>
  <c r="K182" i="9" a="1"/>
  <c r="K182" i="9" s="1"/>
  <c r="K605" i="9" a="1"/>
  <c r="K605" i="9" s="1"/>
  <c r="K1026" i="9" a="1"/>
  <c r="K1026" i="9" s="1"/>
  <c r="K1476" i="9" a="1"/>
  <c r="K1476" i="9" s="1"/>
  <c r="K1966" i="9" a="1"/>
  <c r="K1966" i="9" s="1"/>
  <c r="K2456" i="9" a="1"/>
  <c r="K2456" i="9" s="1"/>
  <c r="K2924" i="9" a="1"/>
  <c r="K2924" i="9" s="1"/>
  <c r="K183" i="9" a="1"/>
  <c r="K183" i="9" s="1"/>
  <c r="K606" i="9" a="1"/>
  <c r="K606" i="9" s="1"/>
  <c r="K1027" i="9" a="1"/>
  <c r="K1027" i="9" s="1"/>
  <c r="K1477" i="9" a="1"/>
  <c r="K1477" i="9" s="1"/>
  <c r="K1967" i="9" a="1"/>
  <c r="K1967" i="9" s="1"/>
  <c r="K2457" i="9" a="1"/>
  <c r="K2457" i="9" s="1"/>
  <c r="K2925" i="9" a="1"/>
  <c r="K2925" i="9" s="1"/>
  <c r="K184" i="9" a="1"/>
  <c r="K184" i="9" s="1"/>
  <c r="K607" i="9" a="1"/>
  <c r="K607" i="9" s="1"/>
  <c r="K1028" i="9" a="1"/>
  <c r="K1028" i="9" s="1"/>
  <c r="K1478" i="9" a="1"/>
  <c r="K1478" i="9" s="1"/>
  <c r="K1968" i="9" a="1"/>
  <c r="K1968" i="9" s="1"/>
  <c r="K2458" i="9" a="1"/>
  <c r="K2458" i="9" s="1"/>
  <c r="K2926" i="9" a="1"/>
  <c r="K2926" i="9" s="1"/>
  <c r="K185" i="9" a="1"/>
  <c r="K185" i="9" s="1"/>
  <c r="K608" i="9" a="1"/>
  <c r="K608" i="9" s="1"/>
  <c r="K1029" i="9" a="1"/>
  <c r="K1029" i="9" s="1"/>
  <c r="K1479" i="9" a="1"/>
  <c r="K1479" i="9" s="1"/>
  <c r="K1969" i="9" a="1"/>
  <c r="K1969" i="9" s="1"/>
  <c r="K2459" i="9" a="1"/>
  <c r="K2459" i="9" s="1"/>
  <c r="K1480" i="9" a="1"/>
  <c r="K1480" i="9" s="1"/>
  <c r="K1970" i="9" a="1"/>
  <c r="K1970" i="9" s="1"/>
  <c r="K2460" i="9" a="1"/>
  <c r="K2460" i="9" s="1"/>
  <c r="K2927" i="9" a="1"/>
  <c r="K2927" i="9" s="1"/>
  <c r="K186" i="9" a="1"/>
  <c r="K186" i="9" s="1"/>
  <c r="K609" i="9" a="1"/>
  <c r="K609" i="9" s="1"/>
  <c r="K1030" i="9" a="1"/>
  <c r="K1030" i="9" s="1"/>
  <c r="K1481" i="9" a="1"/>
  <c r="K1481" i="9" s="1"/>
  <c r="K1971" i="9" a="1"/>
  <c r="K1971" i="9" s="1"/>
  <c r="K2461" i="9" a="1"/>
  <c r="K2461" i="9" s="1"/>
  <c r="K2928" i="9" a="1"/>
  <c r="K2928" i="9" s="1"/>
  <c r="K187" i="9" a="1"/>
  <c r="K187" i="9" s="1"/>
  <c r="K610" i="9" a="1"/>
  <c r="K610" i="9" s="1"/>
  <c r="K1031" i="9" a="1"/>
  <c r="K1031" i="9" s="1"/>
  <c r="K1482" i="9" a="1"/>
  <c r="K1482" i="9" s="1"/>
  <c r="K1972" i="9" a="1"/>
  <c r="K1972" i="9" s="1"/>
  <c r="K2462" i="9" a="1"/>
  <c r="K2462" i="9" s="1"/>
  <c r="K2929" i="9" a="1"/>
  <c r="K2929" i="9" s="1"/>
  <c r="K188" i="9" a="1"/>
  <c r="K188" i="9" s="1"/>
  <c r="K611" i="9" a="1"/>
  <c r="K611" i="9" s="1"/>
  <c r="K1032" i="9" a="1"/>
  <c r="K1032" i="9" s="1"/>
  <c r="K1483" i="9" a="1"/>
  <c r="K1483" i="9" s="1"/>
  <c r="K1973" i="9" a="1"/>
  <c r="K1973" i="9" s="1"/>
  <c r="K2463" i="9" a="1"/>
  <c r="K2463" i="9" s="1"/>
  <c r="K2930" i="9" a="1"/>
  <c r="K2930" i="9" s="1"/>
  <c r="K189" i="9" a="1"/>
  <c r="K189" i="9" s="1"/>
  <c r="K612" i="9" a="1"/>
  <c r="K612" i="9" s="1"/>
  <c r="K1033" i="9" a="1"/>
  <c r="K1033" i="9" s="1"/>
  <c r="K1484" i="9" a="1"/>
  <c r="K1484" i="9" s="1"/>
  <c r="K1974" i="9" a="1"/>
  <c r="K1974" i="9" s="1"/>
  <c r="K2464" i="9" a="1"/>
  <c r="K2464" i="9" s="1"/>
  <c r="K2931" i="9" a="1"/>
  <c r="K2931" i="9" s="1"/>
  <c r="K190" i="9" a="1"/>
  <c r="K190" i="9" s="1"/>
  <c r="K613" i="9" a="1"/>
  <c r="K613" i="9" s="1"/>
  <c r="K1034" i="9" a="1"/>
  <c r="K1034" i="9" s="1"/>
  <c r="K1485" i="9" a="1"/>
  <c r="K1485" i="9" s="1"/>
  <c r="K1975" i="9" a="1"/>
  <c r="K1975" i="9" s="1"/>
  <c r="K2465" i="9" a="1"/>
  <c r="K2465" i="9" s="1"/>
  <c r="K2932" i="9" a="1"/>
  <c r="K2932" i="9" s="1"/>
  <c r="K191" i="9" a="1"/>
  <c r="K191" i="9" s="1"/>
  <c r="K614" i="9" a="1"/>
  <c r="K614" i="9" s="1"/>
  <c r="K1035" i="9" a="1"/>
  <c r="K1035" i="9" s="1"/>
  <c r="K1486" i="9" a="1"/>
  <c r="K1486" i="9" s="1"/>
  <c r="K1976" i="9" a="1"/>
  <c r="K1976" i="9" s="1"/>
  <c r="K2466" i="9" a="1"/>
  <c r="K2466" i="9" s="1"/>
  <c r="K1487" i="9" a="1"/>
  <c r="K1487" i="9" s="1"/>
  <c r="K1977" i="9" a="1"/>
  <c r="K1977" i="9" s="1"/>
  <c r="K2467" i="9" a="1"/>
  <c r="K2467" i="9" s="1"/>
  <c r="K2933" i="9" a="1"/>
  <c r="K2933" i="9" s="1"/>
  <c r="K192" i="9" a="1"/>
  <c r="K192" i="9" s="1"/>
  <c r="K615" i="9" a="1"/>
  <c r="K615" i="9" s="1"/>
  <c r="K1036" i="9" a="1"/>
  <c r="K1036" i="9" s="1"/>
  <c r="K1488" i="9" a="1"/>
  <c r="K1488" i="9" s="1"/>
  <c r="K1978" i="9" a="1"/>
  <c r="K1978" i="9" s="1"/>
  <c r="K2468" i="9" a="1"/>
  <c r="K2468" i="9" s="1"/>
  <c r="K2934" i="9" a="1"/>
  <c r="K2934" i="9" s="1"/>
  <c r="K193" i="9" a="1"/>
  <c r="K193" i="9" s="1"/>
  <c r="K616" i="9" a="1"/>
  <c r="K616" i="9" s="1"/>
  <c r="K1037" i="9" a="1"/>
  <c r="K1037" i="9" s="1"/>
  <c r="K1489" i="9" a="1"/>
  <c r="K1489" i="9" s="1"/>
  <c r="K1979" i="9" a="1"/>
  <c r="K1979" i="9" s="1"/>
  <c r="K2469" i="9" a="1"/>
  <c r="K2469" i="9" s="1"/>
  <c r="K2935" i="9" a="1"/>
  <c r="K2935" i="9" s="1"/>
  <c r="K194" i="9" a="1"/>
  <c r="K194" i="9" s="1"/>
  <c r="K617" i="9" a="1"/>
  <c r="K617" i="9" s="1"/>
  <c r="K1038" i="9" a="1"/>
  <c r="K1038" i="9" s="1"/>
  <c r="K1490" i="9" a="1"/>
  <c r="K1490" i="9" s="1"/>
  <c r="K1980" i="9" a="1"/>
  <c r="K1980" i="9" s="1"/>
  <c r="K2470" i="9" a="1"/>
  <c r="K2470" i="9" s="1"/>
  <c r="K2936" i="9" a="1"/>
  <c r="K2936" i="9" s="1"/>
  <c r="K195" i="9" a="1"/>
  <c r="K195" i="9" s="1"/>
  <c r="K618" i="9" a="1"/>
  <c r="K618" i="9" s="1"/>
  <c r="K1039" i="9" a="1"/>
  <c r="K1039" i="9" s="1"/>
  <c r="K1491" i="9" a="1"/>
  <c r="K1491" i="9" s="1"/>
  <c r="K1981" i="9" a="1"/>
  <c r="K1981" i="9" s="1"/>
  <c r="K2471" i="9" a="1"/>
  <c r="K2471" i="9" s="1"/>
  <c r="K2937" i="9" a="1"/>
  <c r="K2937" i="9" s="1"/>
  <c r="K196" i="9" a="1"/>
  <c r="K196" i="9" s="1"/>
  <c r="K619" i="9" a="1"/>
  <c r="K619" i="9" s="1"/>
  <c r="K1040" i="9" a="1"/>
  <c r="K1040" i="9" s="1"/>
  <c r="K1492" i="9" a="1"/>
  <c r="K1492" i="9" s="1"/>
  <c r="K1982" i="9" a="1"/>
  <c r="K1982" i="9" s="1"/>
  <c r="K2472" i="9" a="1"/>
  <c r="K2472" i="9" s="1"/>
  <c r="K2938" i="9" a="1"/>
  <c r="K2938" i="9" s="1"/>
  <c r="K197" i="9" a="1"/>
  <c r="K197" i="9" s="1"/>
  <c r="K620" i="9" a="1"/>
  <c r="K620" i="9" s="1"/>
  <c r="K1041" i="9" a="1"/>
  <c r="K1041" i="9" s="1"/>
  <c r="K1493" i="9" a="1"/>
  <c r="K1493" i="9" s="1"/>
  <c r="K1983" i="9" a="1"/>
  <c r="K1983" i="9" s="1"/>
  <c r="K2473" i="9" a="1"/>
  <c r="K2473" i="9" s="1"/>
  <c r="K1494" i="9" a="1"/>
  <c r="K1494" i="9" s="1"/>
  <c r="K1984" i="9" a="1"/>
  <c r="K1984" i="9" s="1"/>
  <c r="K2474" i="9" a="1"/>
  <c r="K2474" i="9" s="1"/>
  <c r="K2939" i="9" a="1"/>
  <c r="K2939" i="9" s="1"/>
  <c r="K198" i="9" a="1"/>
  <c r="K198" i="9" s="1"/>
  <c r="K621" i="9" a="1"/>
  <c r="K621" i="9" s="1"/>
  <c r="K1042" i="9" a="1"/>
  <c r="K1042" i="9" s="1"/>
  <c r="K1495" i="9" a="1"/>
  <c r="K1495" i="9" s="1"/>
  <c r="K1985" i="9" a="1"/>
  <c r="K1985" i="9" s="1"/>
  <c r="K2475" i="9" a="1"/>
  <c r="K2475" i="9" s="1"/>
  <c r="K2940" i="9" a="1"/>
  <c r="K2940" i="9" s="1"/>
  <c r="K199" i="9" a="1"/>
  <c r="K199" i="9" s="1"/>
  <c r="K622" i="9" a="1"/>
  <c r="K622" i="9" s="1"/>
  <c r="K1043" i="9" a="1"/>
  <c r="K1043" i="9" s="1"/>
  <c r="K1496" i="9" a="1"/>
  <c r="K1496" i="9" s="1"/>
  <c r="K1986" i="9" a="1"/>
  <c r="K1986" i="9" s="1"/>
  <c r="K2476" i="9" a="1"/>
  <c r="K2476" i="9" s="1"/>
  <c r="K2941" i="9" a="1"/>
  <c r="K2941" i="9" s="1"/>
  <c r="K200" i="9" a="1"/>
  <c r="K200" i="9" s="1"/>
  <c r="K623" i="9" a="1"/>
  <c r="K623" i="9" s="1"/>
  <c r="K1044" i="9" a="1"/>
  <c r="K1044" i="9" s="1"/>
  <c r="K1497" i="9" a="1"/>
  <c r="K1497" i="9" s="1"/>
  <c r="K1987" i="9" a="1"/>
  <c r="K1987" i="9" s="1"/>
  <c r="K2477" i="9" a="1"/>
  <c r="K2477" i="9" s="1"/>
  <c r="K2942" i="9" a="1"/>
  <c r="K2942" i="9" s="1"/>
  <c r="K201" i="9" a="1"/>
  <c r="K201" i="9" s="1"/>
  <c r="K624" i="9" a="1"/>
  <c r="K624" i="9" s="1"/>
  <c r="K1045" i="9" a="1"/>
  <c r="K1045" i="9" s="1"/>
  <c r="K1498" i="9" a="1"/>
  <c r="K1498" i="9" s="1"/>
  <c r="K1988" i="9" a="1"/>
  <c r="K1988" i="9" s="1"/>
  <c r="K2478" i="9" a="1"/>
  <c r="K2478" i="9" s="1"/>
  <c r="K2943" i="9" a="1"/>
  <c r="K2943" i="9" s="1"/>
  <c r="K202" i="9" a="1"/>
  <c r="K202" i="9" s="1"/>
  <c r="K625" i="9" a="1"/>
  <c r="K625" i="9" s="1"/>
  <c r="K1046" i="9" a="1"/>
  <c r="K1046" i="9" s="1"/>
  <c r="K1499" i="9" a="1"/>
  <c r="K1499" i="9" s="1"/>
  <c r="K1989" i="9" a="1"/>
  <c r="K1989" i="9" s="1"/>
  <c r="K2479" i="9" a="1"/>
  <c r="K2479" i="9" s="1"/>
  <c r="K2944" i="9" a="1"/>
  <c r="K2944" i="9" s="1"/>
  <c r="K203" i="9" a="1"/>
  <c r="K203" i="9" s="1"/>
  <c r="K626" i="9" a="1"/>
  <c r="K626" i="9" s="1"/>
  <c r="K1047" i="9" a="1"/>
  <c r="K1047" i="9" s="1"/>
  <c r="K1500" i="9" a="1"/>
  <c r="K1500" i="9" s="1"/>
  <c r="K1990" i="9" a="1"/>
  <c r="K1990" i="9" s="1"/>
  <c r="K2480" i="9" a="1"/>
  <c r="K2480" i="9" s="1"/>
  <c r="K1501" i="9" a="1"/>
  <c r="K1501" i="9" s="1"/>
  <c r="K1991" i="9" a="1"/>
  <c r="K1991" i="9" s="1"/>
  <c r="K2481" i="9" a="1"/>
  <c r="K2481" i="9" s="1"/>
  <c r="K2945" i="9" a="1"/>
  <c r="K2945" i="9" s="1"/>
  <c r="K204" i="9" a="1"/>
  <c r="K204" i="9" s="1"/>
  <c r="K627" i="9" a="1"/>
  <c r="K627" i="9" s="1"/>
  <c r="K1048" i="9" a="1"/>
  <c r="K1048" i="9" s="1"/>
  <c r="K1502" i="9" a="1"/>
  <c r="K1502" i="9" s="1"/>
  <c r="K1992" i="9" a="1"/>
  <c r="K1992" i="9" s="1"/>
  <c r="K2482" i="9" a="1"/>
  <c r="K2482" i="9" s="1"/>
  <c r="K2946" i="9" a="1"/>
  <c r="K2946" i="9" s="1"/>
  <c r="K205" i="9" a="1"/>
  <c r="K205" i="9" s="1"/>
  <c r="K628" i="9" a="1"/>
  <c r="K628" i="9" s="1"/>
  <c r="K1049" i="9" a="1"/>
  <c r="K1049" i="9" s="1"/>
  <c r="K1503" i="9" a="1"/>
  <c r="K1503" i="9" s="1"/>
  <c r="K1993" i="9" a="1"/>
  <c r="K1993" i="9" s="1"/>
  <c r="K2483" i="9" a="1"/>
  <c r="K2483" i="9" s="1"/>
  <c r="K2947" i="9" a="1"/>
  <c r="K2947" i="9" s="1"/>
  <c r="K206" i="9" a="1"/>
  <c r="K206" i="9" s="1"/>
  <c r="K629" i="9" a="1"/>
  <c r="K629" i="9" s="1"/>
  <c r="K1050" i="9" a="1"/>
  <c r="K1050" i="9" s="1"/>
  <c r="K1504" i="9" a="1"/>
  <c r="K1504" i="9" s="1"/>
  <c r="K1994" i="9" a="1"/>
  <c r="K1994" i="9" s="1"/>
  <c r="K2484" i="9" a="1"/>
  <c r="K2484" i="9" s="1"/>
  <c r="K2948" i="9" a="1"/>
  <c r="K2948" i="9" s="1"/>
  <c r="K207" i="9" a="1"/>
  <c r="K207" i="9" s="1"/>
  <c r="K630" i="9" a="1"/>
  <c r="K630" i="9" s="1"/>
  <c r="K1051" i="9" a="1"/>
  <c r="K1051" i="9" s="1"/>
  <c r="K1505" i="9" a="1"/>
  <c r="K1505" i="9" s="1"/>
  <c r="K1995" i="9" a="1"/>
  <c r="K1995" i="9" s="1"/>
  <c r="K2485" i="9" a="1"/>
  <c r="K2485" i="9" s="1"/>
  <c r="K2949" i="9" a="1"/>
  <c r="K2949" i="9" s="1"/>
  <c r="K208" i="9" a="1"/>
  <c r="K208" i="9" s="1"/>
  <c r="K631" i="9" a="1"/>
  <c r="K631" i="9" s="1"/>
  <c r="K1052" i="9" a="1"/>
  <c r="K1052" i="9" s="1"/>
  <c r="K1506" i="9" a="1"/>
  <c r="K1506" i="9" s="1"/>
  <c r="K1996" i="9" a="1"/>
  <c r="K1996" i="9" s="1"/>
  <c r="K2486" i="9" a="1"/>
  <c r="K2486" i="9" s="1"/>
  <c r="K2950" i="9" a="1"/>
  <c r="K2950" i="9" s="1"/>
  <c r="K209" i="9" a="1"/>
  <c r="K209" i="9" s="1"/>
  <c r="K632" i="9" a="1"/>
  <c r="K632" i="9" s="1"/>
  <c r="K1053" i="9" a="1"/>
  <c r="K1053" i="9" s="1"/>
  <c r="K1507" i="9" a="1"/>
  <c r="K1507" i="9" s="1"/>
  <c r="K1997" i="9" a="1"/>
  <c r="K1997" i="9" s="1"/>
  <c r="K2487" i="9" a="1"/>
  <c r="K2487" i="9" s="1"/>
  <c r="K1508" i="9" a="1"/>
  <c r="K1508" i="9" s="1"/>
  <c r="K1998" i="9" a="1"/>
  <c r="K1998" i="9" s="1"/>
  <c r="K2488" i="9" a="1"/>
  <c r="K2488" i="9" s="1"/>
  <c r="K2951" i="9" a="1"/>
  <c r="K2951" i="9" s="1"/>
  <c r="K210" i="9" a="1"/>
  <c r="K210" i="9" s="1"/>
  <c r="K633" i="9" a="1"/>
  <c r="K633" i="9" s="1"/>
  <c r="K1054" i="9" a="1"/>
  <c r="K1054" i="9" s="1"/>
  <c r="K1509" i="9" a="1"/>
  <c r="K1509" i="9" s="1"/>
  <c r="K1999" i="9" a="1"/>
  <c r="K1999" i="9" s="1"/>
  <c r="K2489" i="9" a="1"/>
  <c r="K2489" i="9" s="1"/>
  <c r="K2952" i="9" a="1"/>
  <c r="K2952" i="9" s="1"/>
  <c r="K211" i="9" a="1"/>
  <c r="K211" i="9" s="1"/>
  <c r="K634" i="9" a="1"/>
  <c r="K634" i="9" s="1"/>
  <c r="K1055" i="9" a="1"/>
  <c r="K1055" i="9" s="1"/>
  <c r="K1510" i="9" a="1"/>
  <c r="K1510" i="9" s="1"/>
  <c r="K2000" i="9" a="1"/>
  <c r="K2000" i="9" s="1"/>
  <c r="K2490" i="9" a="1"/>
  <c r="K2490" i="9" s="1"/>
  <c r="K2953" i="9" a="1"/>
  <c r="K2953" i="9" s="1"/>
  <c r="K212" i="9" a="1"/>
  <c r="K212" i="9" s="1"/>
  <c r="K635" i="9" a="1"/>
  <c r="K635" i="9" s="1"/>
  <c r="K1056" i="9" a="1"/>
  <c r="K1056" i="9" s="1"/>
  <c r="K1511" i="9" a="1"/>
  <c r="K1511" i="9" s="1"/>
  <c r="K2001" i="9" a="1"/>
  <c r="K2001" i="9" s="1"/>
  <c r="K2491" i="9" a="1"/>
  <c r="K2491" i="9" s="1"/>
  <c r="K2954" i="9" a="1"/>
  <c r="K2954" i="9" s="1"/>
  <c r="K213" i="9" a="1"/>
  <c r="K213" i="9" s="1"/>
  <c r="K636" i="9" a="1"/>
  <c r="K636" i="9" s="1"/>
  <c r="K1057" i="9" a="1"/>
  <c r="K1057" i="9" s="1"/>
  <c r="K1512" i="9" a="1"/>
  <c r="K1512" i="9" s="1"/>
  <c r="K2002" i="9" a="1"/>
  <c r="K2002" i="9" s="1"/>
  <c r="K2492" i="9" a="1"/>
  <c r="K2492" i="9" s="1"/>
  <c r="K2955" i="9" a="1"/>
  <c r="K2955" i="9" s="1"/>
  <c r="K214" i="9" a="1"/>
  <c r="K214" i="9" s="1"/>
  <c r="K637" i="9" a="1"/>
  <c r="K637" i="9" s="1"/>
  <c r="K1058" i="9" a="1"/>
  <c r="K1058" i="9" s="1"/>
  <c r="K1513" i="9" a="1"/>
  <c r="K1513" i="9" s="1"/>
  <c r="K2003" i="9" a="1"/>
  <c r="K2003" i="9" s="1"/>
  <c r="K2493" i="9" a="1"/>
  <c r="K2493" i="9" s="1"/>
  <c r="K2956" i="9" a="1"/>
  <c r="K2956" i="9" s="1"/>
  <c r="K215" i="9" a="1"/>
  <c r="K215" i="9" s="1"/>
  <c r="K638" i="9" a="1"/>
  <c r="K638" i="9" s="1"/>
  <c r="K1059" i="9" a="1"/>
  <c r="K1059" i="9" s="1"/>
  <c r="K1514" i="9" a="1"/>
  <c r="K1514" i="9" s="1"/>
  <c r="K2004" i="9" a="1"/>
  <c r="K2004" i="9" s="1"/>
  <c r="K2494" i="9" a="1"/>
  <c r="K2494" i="9" s="1"/>
  <c r="K1515" i="9" a="1"/>
  <c r="K1515" i="9" s="1"/>
  <c r="K2005" i="9" a="1"/>
  <c r="K2005" i="9" s="1"/>
  <c r="K2495" i="9" a="1"/>
  <c r="K2495" i="9" s="1"/>
  <c r="K2957" i="9" a="1"/>
  <c r="K2957" i="9"/>
  <c r="K216" i="9" a="1"/>
  <c r="K216" i="9" s="1"/>
  <c r="K639" i="9" a="1"/>
  <c r="K639" i="9" s="1"/>
  <c r="K1060" i="9" a="1"/>
  <c r="K1060" i="9" s="1"/>
  <c r="K1516" i="9" a="1"/>
  <c r="K1516" i="9" s="1"/>
  <c r="K2006" i="9" a="1"/>
  <c r="K2006" i="9" s="1"/>
  <c r="K2496" i="9" a="1"/>
  <c r="K2496" i="9" s="1"/>
  <c r="K2958" i="9" a="1"/>
  <c r="K2958" i="9" s="1"/>
  <c r="K217" i="9" a="1"/>
  <c r="K217" i="9" s="1"/>
  <c r="K640" i="9" a="1"/>
  <c r="K640" i="9" s="1"/>
  <c r="K1061" i="9" a="1"/>
  <c r="K1061" i="9" s="1"/>
  <c r="K1517" i="9" a="1"/>
  <c r="K1517" i="9" s="1"/>
  <c r="K2007" i="9" a="1"/>
  <c r="K2007" i="9" s="1"/>
  <c r="K2497" i="9" a="1"/>
  <c r="K2497" i="9" s="1"/>
  <c r="K2959" i="9" a="1"/>
  <c r="K2959" i="9" s="1"/>
  <c r="K218" i="9" a="1"/>
  <c r="K218" i="9" s="1"/>
  <c r="K641" i="9" a="1"/>
  <c r="K641" i="9"/>
  <c r="K1062" i="9" a="1"/>
  <c r="K1062" i="9" s="1"/>
  <c r="K1518" i="9" a="1"/>
  <c r="K1518" i="9" s="1"/>
  <c r="K2008" i="9" a="1"/>
  <c r="K2008" i="9" s="1"/>
  <c r="K2498" i="9" a="1"/>
  <c r="K2498" i="9" s="1"/>
  <c r="K2960" i="9" a="1"/>
  <c r="K2960" i="9" s="1"/>
  <c r="K219" i="9" a="1"/>
  <c r="K219" i="9" s="1"/>
  <c r="K642" i="9" a="1"/>
  <c r="K642" i="9" s="1"/>
  <c r="K1063" i="9" a="1"/>
  <c r="K1063" i="9" s="1"/>
  <c r="K1519" i="9" a="1"/>
  <c r="K1519" i="9" s="1"/>
  <c r="K2009" i="9" a="1"/>
  <c r="K2009" i="9" s="1"/>
  <c r="K2499" i="9" a="1"/>
  <c r="K2499" i="9" s="1"/>
  <c r="K2961" i="9" a="1"/>
  <c r="K2961" i="9" s="1"/>
  <c r="K220" i="9" a="1"/>
  <c r="K220" i="9" s="1"/>
  <c r="K643" i="9" a="1"/>
  <c r="K643" i="9" s="1"/>
  <c r="K1064" i="9" a="1"/>
  <c r="K1064" i="9" s="1"/>
  <c r="K1520" i="9" a="1"/>
  <c r="K1520" i="9" s="1"/>
  <c r="K2010" i="9" a="1"/>
  <c r="K2010" i="9" s="1"/>
  <c r="K2500" i="9" a="1"/>
  <c r="K2500" i="9" s="1"/>
  <c r="K2962" i="9" a="1"/>
  <c r="K2962" i="9" s="1"/>
  <c r="K221" i="9" a="1"/>
  <c r="K221" i="9" s="1"/>
  <c r="K644" i="9" a="1"/>
  <c r="K644" i="9" s="1"/>
  <c r="K1065" i="9" a="1"/>
  <c r="K1065" i="9" s="1"/>
  <c r="K1521" i="9" a="1"/>
  <c r="K1521" i="9" s="1"/>
  <c r="K2011" i="9" a="1"/>
  <c r="K2011" i="9" s="1"/>
  <c r="K2501" i="9" a="1"/>
  <c r="K2501" i="9" s="1"/>
  <c r="K1522" i="9" a="1"/>
  <c r="K1522" i="9" s="1"/>
  <c r="K2012" i="9" a="1"/>
  <c r="K2012" i="9" s="1"/>
  <c r="K2502" i="9" a="1"/>
  <c r="K2502" i="9" s="1"/>
  <c r="K2963" i="9" a="1"/>
  <c r="K2963" i="9" s="1"/>
  <c r="K222" i="9" a="1"/>
  <c r="K222" i="9" s="1"/>
  <c r="K645" i="9" a="1"/>
  <c r="K645" i="9" s="1"/>
  <c r="K1066" i="9" a="1"/>
  <c r="K1066" i="9" s="1"/>
  <c r="K1523" i="9" a="1"/>
  <c r="K1523" i="9" s="1"/>
  <c r="K2013" i="9" a="1"/>
  <c r="K2013" i="9" s="1"/>
  <c r="K2503" i="9" a="1"/>
  <c r="K2503" i="9" s="1"/>
  <c r="K2964" i="9" a="1"/>
  <c r="K2964" i="9" s="1"/>
  <c r="K223" i="9" a="1"/>
  <c r="K223" i="9" s="1"/>
  <c r="K646" i="9" a="1"/>
  <c r="K646" i="9" s="1"/>
  <c r="K1067" i="9" a="1"/>
  <c r="K1067" i="9" s="1"/>
  <c r="K1524" i="9" a="1"/>
  <c r="K1524" i="9" s="1"/>
  <c r="K2014" i="9" a="1"/>
  <c r="K2014" i="9" s="1"/>
  <c r="K2504" i="9" a="1"/>
  <c r="K2504" i="9" s="1"/>
  <c r="K2965" i="9" a="1"/>
  <c r="K2965" i="9" s="1"/>
  <c r="K224" i="9" a="1"/>
  <c r="K224" i="9" s="1"/>
  <c r="K647" i="9" a="1"/>
  <c r="K647" i="9" s="1"/>
  <c r="K1068" i="9" a="1"/>
  <c r="K1068" i="9" s="1"/>
  <c r="K1525" i="9" a="1"/>
  <c r="K1525" i="9" s="1"/>
  <c r="K2015" i="9" a="1"/>
  <c r="K2015" i="9" s="1"/>
  <c r="K2505" i="9" a="1"/>
  <c r="K2505" i="9" s="1"/>
  <c r="K2966" i="9" a="1"/>
  <c r="K2966" i="9" s="1"/>
  <c r="K225" i="9" a="1"/>
  <c r="K225" i="9" s="1"/>
  <c r="K648" i="9" a="1"/>
  <c r="K648" i="9" s="1"/>
  <c r="K1069" i="9" a="1"/>
  <c r="K1069" i="9" s="1"/>
  <c r="K1526" i="9" a="1"/>
  <c r="K1526" i="9" s="1"/>
  <c r="K2016" i="9" a="1"/>
  <c r="K2016" i="9" s="1"/>
  <c r="K2506" i="9" a="1"/>
  <c r="K2506" i="9" s="1"/>
  <c r="K2967" i="9" a="1"/>
  <c r="K2967" i="9" s="1"/>
  <c r="K226" i="9" a="1"/>
  <c r="K226" i="9"/>
  <c r="K649" i="9" a="1"/>
  <c r="K649" i="9" s="1"/>
  <c r="K1070" i="9" a="1"/>
  <c r="K1070" i="9" s="1"/>
  <c r="K1527" i="9" a="1"/>
  <c r="K1527" i="9" s="1"/>
  <c r="K2017" i="9" a="1"/>
  <c r="K2017" i="9" s="1"/>
  <c r="K2507" i="9" a="1"/>
  <c r="K2507" i="9" s="1"/>
  <c r="K2968" i="9" a="1"/>
  <c r="K2968" i="9" s="1"/>
  <c r="K227" i="9" a="1"/>
  <c r="K227" i="9" s="1"/>
  <c r="K650" i="9" a="1"/>
  <c r="K650" i="9" s="1"/>
  <c r="K1071" i="9" a="1"/>
  <c r="K1071" i="9" s="1"/>
  <c r="K1528" i="9" a="1"/>
  <c r="K1528" i="9" s="1"/>
  <c r="K2018" i="9" a="1"/>
  <c r="K2018" i="9" s="1"/>
  <c r="K2508" i="9" a="1"/>
  <c r="K2508" i="9" s="1"/>
  <c r="K1529" i="9" a="1"/>
  <c r="K1529" i="9" s="1"/>
  <c r="K2019" i="9" a="1"/>
  <c r="K2019" i="9" s="1"/>
  <c r="K2509" i="9" a="1"/>
  <c r="K2509" i="9" s="1"/>
  <c r="K2969" i="9" a="1"/>
  <c r="K2969" i="9" s="1"/>
  <c r="K228" i="9" a="1"/>
  <c r="K228" i="9" s="1"/>
  <c r="K651" i="9" a="1"/>
  <c r="K651" i="9" s="1"/>
  <c r="K1072" i="9" a="1"/>
  <c r="K1072" i="9" s="1"/>
  <c r="K1530" i="9" a="1"/>
  <c r="K1530" i="9" s="1"/>
  <c r="K2020" i="9" a="1"/>
  <c r="K2020" i="9" s="1"/>
  <c r="K2510" i="9" a="1"/>
  <c r="K2510" i="9" s="1"/>
  <c r="K2970" i="9" a="1"/>
  <c r="K2970" i="9" s="1"/>
  <c r="K229" i="9" a="1"/>
  <c r="K229" i="9" s="1"/>
  <c r="K652" i="9" a="1"/>
  <c r="K652" i="9" s="1"/>
  <c r="K1073" i="9" a="1"/>
  <c r="K1073" i="9" s="1"/>
  <c r="K1531" i="9" a="1"/>
  <c r="K1531" i="9" s="1"/>
  <c r="K2021" i="9" a="1"/>
  <c r="K2021" i="9" s="1"/>
  <c r="K2511" i="9" a="1"/>
  <c r="K2511" i="9" s="1"/>
  <c r="K2971" i="9" a="1"/>
  <c r="K2971" i="9" s="1"/>
  <c r="K230" i="9" a="1"/>
  <c r="K230" i="9" s="1"/>
  <c r="K653" i="9" a="1"/>
  <c r="K653" i="9" s="1"/>
  <c r="K1074" i="9" a="1"/>
  <c r="K1074" i="9" s="1"/>
  <c r="K1532" i="9" a="1"/>
  <c r="K1532" i="9" s="1"/>
  <c r="K2022" i="9" a="1"/>
  <c r="K2022" i="9" s="1"/>
  <c r="K2512" i="9" a="1"/>
  <c r="K2512" i="9" s="1"/>
  <c r="K2972" i="9" a="1"/>
  <c r="K2972" i="9" s="1"/>
  <c r="K231" i="9" a="1"/>
  <c r="K231" i="9" s="1"/>
  <c r="K654" i="9" a="1"/>
  <c r="K654" i="9" s="1"/>
  <c r="K1075" i="9" a="1"/>
  <c r="K1075" i="9" s="1"/>
  <c r="K1533" i="9" a="1"/>
  <c r="K1533" i="9" s="1"/>
  <c r="K2023" i="9" a="1"/>
  <c r="K2023" i="9" s="1"/>
  <c r="K2513" i="9" a="1"/>
  <c r="K2513" i="9" s="1"/>
  <c r="K2973" i="9" a="1"/>
  <c r="K2973" i="9" s="1"/>
  <c r="K232" i="9" a="1"/>
  <c r="K232" i="9" s="1"/>
  <c r="K655" i="9" a="1"/>
  <c r="K655" i="9" s="1"/>
  <c r="K1076" i="9" a="1"/>
  <c r="K1076" i="9" s="1"/>
  <c r="K1534" i="9" a="1"/>
  <c r="K1534" i="9" s="1"/>
  <c r="K2024" i="9" a="1"/>
  <c r="K2024" i="9" s="1"/>
  <c r="K2514" i="9" a="1"/>
  <c r="K2514" i="9" s="1"/>
  <c r="K2974" i="9" a="1"/>
  <c r="K2974" i="9" s="1"/>
  <c r="K233" i="9" a="1"/>
  <c r="K233" i="9" s="1"/>
  <c r="K656" i="9" a="1"/>
  <c r="K656" i="9" s="1"/>
  <c r="K1077" i="9" a="1"/>
  <c r="K1077" i="9" s="1"/>
  <c r="K1535" i="9" a="1"/>
  <c r="K1535" i="9" s="1"/>
  <c r="K2025" i="9" a="1"/>
  <c r="K2025" i="9" s="1"/>
  <c r="K2515" i="9" a="1"/>
  <c r="K2515" i="9" s="1"/>
  <c r="K1536" i="9" a="1"/>
  <c r="K1536" i="9" s="1"/>
  <c r="K2026" i="9" a="1"/>
  <c r="K2026" i="9" s="1"/>
  <c r="K2516" i="9" a="1"/>
  <c r="K2516" i="9" s="1"/>
  <c r="K2975" i="9" a="1"/>
  <c r="K2975" i="9" s="1"/>
  <c r="K234" i="9" a="1"/>
  <c r="K234" i="9" s="1"/>
  <c r="K657" i="9" a="1"/>
  <c r="K657" i="9" s="1"/>
  <c r="K1078" i="9" a="1"/>
  <c r="K1078" i="9"/>
  <c r="K1537" i="9" a="1"/>
  <c r="K1537" i="9" s="1"/>
  <c r="K2027" i="9" a="1"/>
  <c r="K2027" i="9" s="1"/>
  <c r="K2517" i="9" a="1"/>
  <c r="K2517" i="9" s="1"/>
  <c r="K2976" i="9" a="1"/>
  <c r="K2976" i="9" s="1"/>
  <c r="K235" i="9" a="1"/>
  <c r="K235" i="9" s="1"/>
  <c r="K658" i="9" a="1"/>
  <c r="K658" i="9" s="1"/>
  <c r="K1079" i="9" a="1"/>
  <c r="K1079" i="9" s="1"/>
  <c r="K1538" i="9" a="1"/>
  <c r="K1538" i="9" s="1"/>
  <c r="K2028" i="9" a="1"/>
  <c r="K2028" i="9" s="1"/>
  <c r="K2518" i="9" a="1"/>
  <c r="K2518" i="9" s="1"/>
  <c r="K2977" i="9" a="1"/>
  <c r="K2977" i="9" s="1"/>
  <c r="K236" i="9" a="1"/>
  <c r="K236" i="9" s="1"/>
  <c r="K659" i="9" a="1"/>
  <c r="K659" i="9" s="1"/>
  <c r="K1080" i="9" a="1"/>
  <c r="K1080" i="9" s="1"/>
  <c r="K1539" i="9" a="1"/>
  <c r="K1539" i="9" s="1"/>
  <c r="K2029" i="9" a="1"/>
  <c r="K2029" i="9" s="1"/>
  <c r="K2519" i="9" a="1"/>
  <c r="K2519" i="9" s="1"/>
  <c r="K2978" i="9" a="1"/>
  <c r="K2978" i="9" s="1"/>
  <c r="K237" i="9" a="1"/>
  <c r="K237" i="9" s="1"/>
  <c r="K660" i="9" a="1"/>
  <c r="K660" i="9" s="1"/>
  <c r="K1081" i="9" a="1"/>
  <c r="K1081" i="9" s="1"/>
  <c r="K1540" i="9" a="1"/>
  <c r="K1540" i="9" s="1"/>
  <c r="K2030" i="9" a="1"/>
  <c r="K2030" i="9" s="1"/>
  <c r="K2520" i="9" a="1"/>
  <c r="K2520" i="9" s="1"/>
  <c r="K2979" i="9" a="1"/>
  <c r="K2979" i="9" s="1"/>
  <c r="K238" i="9" a="1"/>
  <c r="K238" i="9" s="1"/>
  <c r="K661" i="9" a="1"/>
  <c r="K661" i="9" s="1"/>
  <c r="K1082" i="9" a="1"/>
  <c r="K1082" i="9" s="1"/>
  <c r="K1541" i="9" a="1"/>
  <c r="K1541" i="9" s="1"/>
  <c r="K2031" i="9" a="1"/>
  <c r="K2031" i="9" s="1"/>
  <c r="K2521" i="9" a="1"/>
  <c r="K2521" i="9" s="1"/>
  <c r="K2980" i="9" a="1"/>
  <c r="K2980" i="9" s="1"/>
  <c r="K239" i="9" a="1"/>
  <c r="K239" i="9" s="1"/>
  <c r="K662" i="9" a="1"/>
  <c r="K662" i="9" s="1"/>
  <c r="K1083" i="9" a="1"/>
  <c r="K1083" i="9" s="1"/>
  <c r="K1542" i="9" a="1"/>
  <c r="K1542" i="9" s="1"/>
  <c r="K2032" i="9" a="1"/>
  <c r="K2032" i="9" s="1"/>
  <c r="K2522" i="9" a="1"/>
  <c r="K2522" i="9" s="1"/>
  <c r="K1543" i="9" a="1"/>
  <c r="K1543" i="9" s="1"/>
  <c r="K2033" i="9" a="1"/>
  <c r="K2033" i="9" s="1"/>
  <c r="K2523" i="9" a="1"/>
  <c r="K2523" i="9" s="1"/>
  <c r="K2981" i="9" a="1"/>
  <c r="K2981" i="9" s="1"/>
  <c r="K240" i="9" a="1"/>
  <c r="K240" i="9" s="1"/>
  <c r="K663" i="9" a="1"/>
  <c r="K663" i="9" s="1"/>
  <c r="K1084" i="9" a="1"/>
  <c r="K1084" i="9" s="1"/>
  <c r="K1544" i="9" a="1"/>
  <c r="K1544" i="9" s="1"/>
  <c r="K2034" i="9" a="1"/>
  <c r="K2034" i="9" s="1"/>
  <c r="K2524" i="9" a="1"/>
  <c r="K2524" i="9" s="1"/>
  <c r="K2982" i="9" a="1"/>
  <c r="K2982" i="9" s="1"/>
  <c r="K241" i="9" a="1"/>
  <c r="K241" i="9" s="1"/>
  <c r="K664" i="9" a="1"/>
  <c r="K664" i="9" s="1"/>
  <c r="K1085" i="9" a="1"/>
  <c r="K1085" i="9" s="1"/>
  <c r="K1545" i="9" a="1"/>
  <c r="K1545" i="9" s="1"/>
  <c r="K2035" i="9" a="1"/>
  <c r="K2035" i="9" s="1"/>
  <c r="K2525" i="9" a="1"/>
  <c r="K2525" i="9" s="1"/>
  <c r="K2983" i="9" a="1"/>
  <c r="K2983" i="9" s="1"/>
  <c r="K242" i="9" a="1"/>
  <c r="K242" i="9" s="1"/>
  <c r="K665" i="9" a="1"/>
  <c r="K665" i="9" s="1"/>
  <c r="K1086" i="9" a="1"/>
  <c r="K1086" i="9" s="1"/>
  <c r="K1546" i="9" a="1"/>
  <c r="K1546" i="9" s="1"/>
  <c r="K2036" i="9" a="1"/>
  <c r="K2036" i="9" s="1"/>
  <c r="K2526" i="9" a="1"/>
  <c r="K2526" i="9" s="1"/>
  <c r="K2984" i="9" a="1"/>
  <c r="K2984" i="9" s="1"/>
  <c r="K243" i="9" a="1"/>
  <c r="K243" i="9" s="1"/>
  <c r="K666" i="9" a="1"/>
  <c r="K666" i="9" s="1"/>
  <c r="K1087" i="9" a="1"/>
  <c r="K1087" i="9" s="1"/>
  <c r="K1547" i="9" a="1"/>
  <c r="K1547" i="9" s="1"/>
  <c r="K2037" i="9" a="1"/>
  <c r="K2037" i="9" s="1"/>
  <c r="K2527" i="9" a="1"/>
  <c r="K2527" i="9" s="1"/>
  <c r="K2985" i="9" a="1"/>
  <c r="K2985" i="9" s="1"/>
  <c r="K244" i="9" a="1"/>
  <c r="K244" i="9" s="1"/>
  <c r="K667" i="9" a="1"/>
  <c r="K667" i="9" s="1"/>
  <c r="K1088" i="9" a="1"/>
  <c r="K1088" i="9" s="1"/>
  <c r="K1548" i="9" a="1"/>
  <c r="K1548" i="9" s="1"/>
  <c r="K2038" i="9" a="1"/>
  <c r="K2038" i="9" s="1"/>
  <c r="K2528" i="9" a="1"/>
  <c r="K2528" i="9" s="1"/>
  <c r="K2986" i="9" a="1"/>
  <c r="K2986" i="9" s="1"/>
  <c r="K245" i="9" a="1"/>
  <c r="K245" i="9" s="1"/>
  <c r="K668" i="9" a="1"/>
  <c r="K668" i="9" s="1"/>
  <c r="K1089" i="9" a="1"/>
  <c r="K1089" i="9" s="1"/>
  <c r="K1549" i="9" a="1"/>
  <c r="K1549" i="9" s="1"/>
  <c r="K2039" i="9" a="1"/>
  <c r="K2039" i="9" s="1"/>
  <c r="K2529" i="9" a="1"/>
  <c r="K2529" i="9" s="1"/>
  <c r="K1550" i="9" a="1"/>
  <c r="K1550" i="9" s="1"/>
  <c r="K2040" i="9" a="1"/>
  <c r="K2040" i="9" s="1"/>
  <c r="K2530" i="9" a="1"/>
  <c r="K2530" i="9" s="1"/>
  <c r="K2987" i="9" a="1"/>
  <c r="K2987" i="9" s="1"/>
  <c r="K246" i="9" a="1"/>
  <c r="K246" i="9" s="1"/>
  <c r="K669" i="9" a="1"/>
  <c r="K669" i="9" s="1"/>
  <c r="K1090" i="9" a="1"/>
  <c r="K1090" i="9" s="1"/>
  <c r="K1551" i="9" a="1"/>
  <c r="K1551" i="9" s="1"/>
  <c r="K2041" i="9" a="1"/>
  <c r="K2041" i="9" s="1"/>
  <c r="K2531" i="9" a="1"/>
  <c r="K2531" i="9" s="1"/>
  <c r="K2988" i="9" a="1"/>
  <c r="K2988" i="9" s="1"/>
  <c r="K247" i="9" a="1"/>
  <c r="K247" i="9" s="1"/>
  <c r="K670" i="9" a="1"/>
  <c r="K670" i="9" s="1"/>
  <c r="K1091" i="9" a="1"/>
  <c r="K1091" i="9" s="1"/>
  <c r="K1552" i="9" a="1"/>
  <c r="K1552" i="9" s="1"/>
  <c r="K2042" i="9" a="1"/>
  <c r="K2042" i="9" s="1"/>
  <c r="K2532" i="9" a="1"/>
  <c r="K2532" i="9" s="1"/>
  <c r="K2989" i="9" a="1"/>
  <c r="K2989" i="9" s="1"/>
  <c r="K248" i="9" a="1"/>
  <c r="K248" i="9" s="1"/>
  <c r="K671" i="9" a="1"/>
  <c r="K671" i="9" s="1"/>
  <c r="K1092" i="9" a="1"/>
  <c r="K1092" i="9" s="1"/>
  <c r="K1553" i="9" a="1"/>
  <c r="K1553" i="9" s="1"/>
  <c r="K2043" i="9" a="1"/>
  <c r="K2043" i="9" s="1"/>
  <c r="K2533" i="9" a="1"/>
  <c r="K2533" i="9" s="1"/>
  <c r="K2990" i="9" a="1"/>
  <c r="K2990" i="9" s="1"/>
  <c r="K249" i="9" a="1"/>
  <c r="K249" i="9" s="1"/>
  <c r="K672" i="9" a="1"/>
  <c r="K672" i="9" s="1"/>
  <c r="K1093" i="9" a="1"/>
  <c r="K1093" i="9" s="1"/>
  <c r="K1554" i="9" a="1"/>
  <c r="K1554" i="9" s="1"/>
  <c r="K2044" i="9" a="1"/>
  <c r="K2044" i="9" s="1"/>
  <c r="K2534" i="9" a="1"/>
  <c r="K2534" i="9" s="1"/>
  <c r="K2991" i="9" a="1"/>
  <c r="K2991" i="9" s="1"/>
  <c r="K250" i="9" a="1"/>
  <c r="K250" i="9" s="1"/>
  <c r="K673" i="9" a="1"/>
  <c r="K673" i="9" s="1"/>
  <c r="K1094" i="9" a="1"/>
  <c r="K1094" i="9" s="1"/>
  <c r="K1555" i="9" a="1"/>
  <c r="K1555" i="9" s="1"/>
  <c r="K2045" i="9" a="1"/>
  <c r="K2045" i="9" s="1"/>
  <c r="K2535" i="9" a="1"/>
  <c r="K2535" i="9" s="1"/>
  <c r="K2992" i="9" a="1"/>
  <c r="K2992" i="9" s="1"/>
  <c r="K251" i="9" a="1"/>
  <c r="K251" i="9" s="1"/>
  <c r="K674" i="9" a="1"/>
  <c r="K674" i="9" s="1"/>
  <c r="K1095" i="9" a="1"/>
  <c r="K1095" i="9" s="1"/>
  <c r="K1556" i="9" a="1"/>
  <c r="K1556" i="9" s="1"/>
  <c r="K2046" i="9" a="1"/>
  <c r="K2046" i="9" s="1"/>
  <c r="K2536" i="9" a="1"/>
  <c r="K2536" i="9" s="1"/>
  <c r="K1557" i="9" a="1"/>
  <c r="K1557" i="9" s="1"/>
  <c r="K2047" i="9" a="1"/>
  <c r="K2047" i="9" s="1"/>
  <c r="K2537" i="9" a="1"/>
  <c r="K2537" i="9" s="1"/>
  <c r="K2993" i="9" a="1"/>
  <c r="K2993" i="9" s="1"/>
  <c r="K252" i="9" a="1"/>
  <c r="K252" i="9" s="1"/>
  <c r="K675" i="9" a="1"/>
  <c r="K675" i="9" s="1"/>
  <c r="K1096" i="9" a="1"/>
  <c r="K1096" i="9" s="1"/>
  <c r="K1558" i="9" a="1"/>
  <c r="K1558" i="9" s="1"/>
  <c r="K2048" i="9" a="1"/>
  <c r="K2048" i="9" s="1"/>
  <c r="K2538" i="9" a="1"/>
  <c r="K2538" i="9" s="1"/>
  <c r="K2994" i="9" a="1"/>
  <c r="K2994" i="9" s="1"/>
  <c r="K253" i="9" a="1"/>
  <c r="K253" i="9" s="1"/>
  <c r="K676" i="9" a="1"/>
  <c r="K676" i="9" s="1"/>
  <c r="K1097" i="9" a="1"/>
  <c r="K1097" i="9" s="1"/>
  <c r="K1559" i="9" a="1"/>
  <c r="K1559" i="9" s="1"/>
  <c r="K2049" i="9" a="1"/>
  <c r="K2049" i="9" s="1"/>
  <c r="K2539" i="9" a="1"/>
  <c r="K2539" i="9" s="1"/>
  <c r="K2995" i="9" a="1"/>
  <c r="K2995" i="9" s="1"/>
  <c r="K254" i="9" a="1"/>
  <c r="K254" i="9" s="1"/>
  <c r="K677" i="9" a="1"/>
  <c r="K677" i="9" s="1"/>
  <c r="K1098" i="9" a="1"/>
  <c r="K1098" i="9" s="1"/>
  <c r="K1560" i="9" a="1"/>
  <c r="K1560" i="9" s="1"/>
  <c r="K2050" i="9" a="1"/>
  <c r="K2050" i="9" s="1"/>
  <c r="K2540" i="9" a="1"/>
  <c r="K2540" i="9" s="1"/>
  <c r="K2996" i="9" a="1"/>
  <c r="K2996" i="9" s="1"/>
  <c r="K255" i="9" a="1"/>
  <c r="K255" i="9" s="1"/>
  <c r="K678" i="9" a="1"/>
  <c r="K678" i="9" s="1"/>
  <c r="K1099" i="9" a="1"/>
  <c r="K1099" i="9" s="1"/>
  <c r="K1561" i="9" a="1"/>
  <c r="K1561" i="9" s="1"/>
  <c r="K2051" i="9" a="1"/>
  <c r="K2051" i="9" s="1"/>
  <c r="K2541" i="9" a="1"/>
  <c r="K2541" i="9" s="1"/>
  <c r="K2997" i="9" a="1"/>
  <c r="K2997" i="9" s="1"/>
  <c r="K256" i="9" a="1"/>
  <c r="K256" i="9" s="1"/>
  <c r="K679" i="9" a="1"/>
  <c r="K679" i="9" s="1"/>
  <c r="K1100" i="9" a="1"/>
  <c r="K1100" i="9" s="1"/>
  <c r="K1562" i="9" a="1"/>
  <c r="K1562" i="9" s="1"/>
  <c r="K2052" i="9" a="1"/>
  <c r="K2052" i="9" s="1"/>
  <c r="K2542" i="9" a="1"/>
  <c r="K2542" i="9" s="1"/>
  <c r="K2998" i="9" a="1"/>
  <c r="K2998" i="9" s="1"/>
  <c r="K257" i="9" a="1"/>
  <c r="K257" i="9" s="1"/>
  <c r="K680" i="9" a="1"/>
  <c r="K680" i="9" s="1"/>
  <c r="K1101" i="9" a="1"/>
  <c r="K1101" i="9" s="1"/>
  <c r="K1563" i="9" a="1"/>
  <c r="K1563" i="9" s="1"/>
  <c r="K2053" i="9" a="1"/>
  <c r="K2053" i="9" s="1"/>
  <c r="K2543" i="9" a="1"/>
  <c r="K2543" i="9" s="1"/>
  <c r="K1564" i="9" a="1"/>
  <c r="K1564" i="9" s="1"/>
  <c r="K2054" i="9" a="1"/>
  <c r="K2054" i="9" s="1"/>
  <c r="K2544" i="9" a="1"/>
  <c r="K2544" i="9" s="1"/>
  <c r="K2999" i="9" a="1"/>
  <c r="K2999" i="9" s="1"/>
  <c r="K258" i="9" a="1"/>
  <c r="K258" i="9" s="1"/>
  <c r="K681" i="9" a="1"/>
  <c r="K681" i="9" s="1"/>
  <c r="K1102" i="9" a="1"/>
  <c r="K1102" i="9" s="1"/>
  <c r="K1565" i="9" a="1"/>
  <c r="K1565" i="9" s="1"/>
  <c r="K2055" i="9" a="1"/>
  <c r="K2055" i="9" s="1"/>
  <c r="K2545" i="9" a="1"/>
  <c r="K2545" i="9" s="1"/>
  <c r="K3000" i="9" a="1"/>
  <c r="K3000" i="9" s="1"/>
  <c r="K259" i="9" a="1"/>
  <c r="K259" i="9" s="1"/>
  <c r="K682" i="9" a="1"/>
  <c r="K682" i="9" s="1"/>
  <c r="K1103" i="9" a="1"/>
  <c r="K1103" i="9" s="1"/>
  <c r="K1566" i="9" a="1"/>
  <c r="K1566" i="9" s="1"/>
  <c r="K2056" i="9" a="1"/>
  <c r="K2056" i="9" s="1"/>
  <c r="K2546" i="9" a="1"/>
  <c r="K2546" i="9" s="1"/>
  <c r="K3001" i="9" a="1"/>
  <c r="K3001" i="9" s="1"/>
  <c r="K260" i="9" a="1"/>
  <c r="K260" i="9" s="1"/>
  <c r="K683" i="9" a="1"/>
  <c r="K683" i="9" s="1"/>
  <c r="K1104" i="9" a="1"/>
  <c r="K1104" i="9" s="1"/>
  <c r="K1567" i="9" a="1"/>
  <c r="K1567" i="9" s="1"/>
  <c r="K2057" i="9" a="1"/>
  <c r="K2057" i="9" s="1"/>
  <c r="K2547" i="9" a="1"/>
  <c r="K2547" i="9" s="1"/>
  <c r="K3002" i="9" a="1"/>
  <c r="K3002" i="9" s="1"/>
  <c r="K261" i="9" a="1"/>
  <c r="K261" i="9" s="1"/>
  <c r="K684" i="9" a="1"/>
  <c r="K684" i="9" s="1"/>
  <c r="K1105" i="9" a="1"/>
  <c r="K1105" i="9" s="1"/>
  <c r="K1568" i="9" a="1"/>
  <c r="K1568" i="9" s="1"/>
  <c r="K2058" i="9" a="1"/>
  <c r="K2058" i="9" s="1"/>
  <c r="K2548" i="9" a="1"/>
  <c r="K2548" i="9" s="1"/>
  <c r="K3003" i="9" a="1"/>
  <c r="K3003" i="9" s="1"/>
  <c r="K262" i="9" a="1"/>
  <c r="K262" i="9" s="1"/>
  <c r="K685" i="9" a="1"/>
  <c r="K685" i="9" s="1"/>
  <c r="K1106" i="9" a="1"/>
  <c r="K1106" i="9" s="1"/>
  <c r="K1569" i="9" a="1"/>
  <c r="K1569" i="9" s="1"/>
  <c r="K2059" i="9" a="1"/>
  <c r="K2059" i="9" s="1"/>
  <c r="K2549" i="9" a="1"/>
  <c r="K2549" i="9" s="1"/>
  <c r="K3004" i="9" a="1"/>
  <c r="K3004" i="9" s="1"/>
  <c r="K263" i="9" a="1"/>
  <c r="K263" i="9" s="1"/>
  <c r="K686" i="9" a="1"/>
  <c r="K686" i="9" s="1"/>
  <c r="K1107" i="9" a="1"/>
  <c r="K1107" i="9" s="1"/>
  <c r="K1570" i="9" a="1"/>
  <c r="K1570" i="9" s="1"/>
  <c r="K2060" i="9" a="1"/>
  <c r="K2060" i="9" s="1"/>
  <c r="K2550" i="9" a="1"/>
  <c r="K2550" i="9" s="1"/>
  <c r="K1571" i="9" a="1"/>
  <c r="K1571" i="9" s="1"/>
  <c r="K2061" i="9" a="1"/>
  <c r="K2061" i="9" s="1"/>
  <c r="K2551" i="9" a="1"/>
  <c r="K2551" i="9" s="1"/>
  <c r="K3005" i="9" a="1"/>
  <c r="K3005" i="9" s="1"/>
  <c r="K264" i="9" a="1"/>
  <c r="K264" i="9" s="1"/>
  <c r="K687" i="9" a="1"/>
  <c r="K687" i="9" s="1"/>
  <c r="K1108" i="9" a="1"/>
  <c r="K1108" i="9" s="1"/>
  <c r="K1572" i="9" a="1"/>
  <c r="K1572" i="9" s="1"/>
  <c r="K2062" i="9" a="1"/>
  <c r="K2062" i="9" s="1"/>
  <c r="K2552" i="9" a="1"/>
  <c r="K2552" i="9" s="1"/>
  <c r="K3006" i="9" a="1"/>
  <c r="K3006" i="9" s="1"/>
  <c r="K265" i="9" a="1"/>
  <c r="K265" i="9" s="1"/>
  <c r="K688" i="9" a="1"/>
  <c r="K688" i="9" s="1"/>
  <c r="K1109" i="9" a="1"/>
  <c r="K1109" i="9" s="1"/>
  <c r="K1573" i="9" a="1"/>
  <c r="K1573" i="9" s="1"/>
  <c r="K2063" i="9" a="1"/>
  <c r="K2063" i="9" s="1"/>
  <c r="K2553" i="9" a="1"/>
  <c r="K2553" i="9" s="1"/>
  <c r="K3007" i="9" a="1"/>
  <c r="K3007" i="9" s="1"/>
  <c r="K266" i="9" a="1"/>
  <c r="K266" i="9" s="1"/>
  <c r="K689" i="9" a="1"/>
  <c r="K689" i="9" s="1"/>
  <c r="K1110" i="9" a="1"/>
  <c r="K1110" i="9" s="1"/>
  <c r="K1574" i="9" a="1"/>
  <c r="K1574" i="9" s="1"/>
  <c r="K2064" i="9" a="1"/>
  <c r="K2064" i="9" s="1"/>
  <c r="K2554" i="9" a="1"/>
  <c r="K2554" i="9" s="1"/>
  <c r="K3008" i="9" a="1"/>
  <c r="K3008" i="9" s="1"/>
  <c r="K267" i="9" a="1"/>
  <c r="K267" i="9" s="1"/>
  <c r="K690" i="9" a="1"/>
  <c r="K690" i="9" s="1"/>
  <c r="K1111" i="9" a="1"/>
  <c r="K1111" i="9" s="1"/>
  <c r="K1575" i="9" a="1"/>
  <c r="K1575" i="9" s="1"/>
  <c r="K2065" i="9" a="1"/>
  <c r="K2065" i="9" s="1"/>
  <c r="K2555" i="9" a="1"/>
  <c r="K2555" i="9" s="1"/>
  <c r="K3009" i="9" a="1"/>
  <c r="K3009" i="9" s="1"/>
  <c r="K268" i="9" a="1"/>
  <c r="K268" i="9" s="1"/>
  <c r="K691" i="9" a="1"/>
  <c r="K691" i="9" s="1"/>
  <c r="K1112" i="9" a="1"/>
  <c r="K1112" i="9" s="1"/>
  <c r="K1576" i="9" a="1"/>
  <c r="K1576" i="9" s="1"/>
  <c r="K2066" i="9" a="1"/>
  <c r="K2066" i="9" s="1"/>
  <c r="K2556" i="9" a="1"/>
  <c r="K2556" i="9" s="1"/>
  <c r="K3010" i="9" a="1"/>
  <c r="K3010" i="9" s="1"/>
  <c r="K269" i="9" a="1"/>
  <c r="K269" i="9" s="1"/>
  <c r="K692" i="9" a="1"/>
  <c r="K692" i="9" s="1"/>
  <c r="K1113" i="9" a="1"/>
  <c r="K1113" i="9" s="1"/>
  <c r="K1577" i="9" a="1"/>
  <c r="K1577" i="9" s="1"/>
  <c r="K2067" i="9" a="1"/>
  <c r="K2067" i="9" s="1"/>
  <c r="K2557" i="9" a="1"/>
  <c r="K2557" i="9" s="1"/>
  <c r="K1578" i="9" a="1"/>
  <c r="K1578" i="9" s="1"/>
  <c r="K2068" i="9" a="1"/>
  <c r="K2068" i="9" s="1"/>
  <c r="K2558" i="9" a="1"/>
  <c r="K2558" i="9" s="1"/>
  <c r="K3011" i="9" a="1"/>
  <c r="K3011" i="9" s="1"/>
  <c r="K270" i="9" a="1"/>
  <c r="K270" i="9" s="1"/>
  <c r="K693" i="9" a="1"/>
  <c r="K693" i="9" s="1"/>
  <c r="K1114" i="9" a="1"/>
  <c r="K1114" i="9" s="1"/>
  <c r="K1579" i="9" a="1"/>
  <c r="K1579" i="9" s="1"/>
  <c r="K2069" i="9" a="1"/>
  <c r="K2069" i="9" s="1"/>
  <c r="K2559" i="9" a="1"/>
  <c r="K2559" i="9" s="1"/>
  <c r="K3012" i="9" a="1"/>
  <c r="K3012" i="9" s="1"/>
  <c r="K271" i="9" a="1"/>
  <c r="K271" i="9" s="1"/>
  <c r="K694" i="9" a="1"/>
  <c r="K694" i="9" s="1"/>
  <c r="K1115" i="9" a="1"/>
  <c r="K1115" i="9" s="1"/>
  <c r="K1580" i="9" a="1"/>
  <c r="K1580" i="9" s="1"/>
  <c r="K2070" i="9" a="1"/>
  <c r="K2070" i="9" s="1"/>
  <c r="K2560" i="9" a="1"/>
  <c r="K2560" i="9" s="1"/>
  <c r="K3013" i="9" a="1"/>
  <c r="K3013" i="9" s="1"/>
  <c r="K272" i="9" a="1"/>
  <c r="K272" i="9" s="1"/>
  <c r="K695" i="9" a="1"/>
  <c r="K695" i="9" s="1"/>
  <c r="K1116" i="9" a="1"/>
  <c r="K1116" i="9" s="1"/>
  <c r="K1581" i="9" a="1"/>
  <c r="K1581" i="9" s="1"/>
  <c r="K2071" i="9" a="1"/>
  <c r="K2071" i="9" s="1"/>
  <c r="K2561" i="9" a="1"/>
  <c r="K2561" i="9" s="1"/>
  <c r="K3014" i="9" a="1"/>
  <c r="K3014" i="9" s="1"/>
  <c r="K273" i="9" a="1"/>
  <c r="K273" i="9" s="1"/>
  <c r="K696" i="9" a="1"/>
  <c r="K696" i="9" s="1"/>
  <c r="K1117" i="9" a="1"/>
  <c r="K1117" i="9" s="1"/>
  <c r="K1582" i="9" a="1"/>
  <c r="K1582" i="9" s="1"/>
  <c r="K2072" i="9" a="1"/>
  <c r="K2072" i="9" s="1"/>
  <c r="K2562" i="9" a="1"/>
  <c r="K2562" i="9" s="1"/>
  <c r="K3015" i="9" a="1"/>
  <c r="K3015" i="9" s="1"/>
  <c r="K274" i="9" a="1"/>
  <c r="K274" i="9" s="1"/>
  <c r="K697" i="9" a="1"/>
  <c r="K697" i="9" s="1"/>
  <c r="K1118" i="9" a="1"/>
  <c r="K1118" i="9" s="1"/>
  <c r="K1583" i="9" a="1"/>
  <c r="K1583" i="9" s="1"/>
  <c r="K2073" i="9" a="1"/>
  <c r="K2073" i="9" s="1"/>
  <c r="K2563" i="9" a="1"/>
  <c r="K2563" i="9" s="1"/>
  <c r="K3016" i="9" a="1"/>
  <c r="K3016" i="9" s="1"/>
  <c r="K275" i="9" a="1"/>
  <c r="K275" i="9" s="1"/>
  <c r="K698" i="9" a="1"/>
  <c r="K698" i="9" s="1"/>
  <c r="K1119" i="9" a="1"/>
  <c r="K1119" i="9" s="1"/>
  <c r="K1584" i="9" a="1"/>
  <c r="K1584" i="9" s="1"/>
  <c r="K2074" i="9" a="1"/>
  <c r="K2074" i="9" s="1"/>
  <c r="K2564" i="9" a="1"/>
  <c r="K2564" i="9" s="1"/>
  <c r="K1585" i="9" a="1"/>
  <c r="K1585" i="9" s="1"/>
  <c r="K2075" i="9" a="1"/>
  <c r="K2075" i="9" s="1"/>
  <c r="K2565" i="9" a="1"/>
  <c r="K2565" i="9" s="1"/>
  <c r="K3017" i="9" a="1"/>
  <c r="K3017" i="9" s="1"/>
  <c r="K276" i="9" a="1"/>
  <c r="K276" i="9" s="1"/>
  <c r="K699" i="9" a="1"/>
  <c r="K699" i="9" s="1"/>
  <c r="K1120" i="9" a="1"/>
  <c r="K1120" i="9" s="1"/>
  <c r="K1586" i="9" a="1"/>
  <c r="K1586" i="9" s="1"/>
  <c r="K2076" i="9" a="1"/>
  <c r="K2076" i="9" s="1"/>
  <c r="K2566" i="9" a="1"/>
  <c r="K2566" i="9" s="1"/>
  <c r="K3018" i="9" a="1"/>
  <c r="K3018" i="9" s="1"/>
  <c r="K277" i="9" a="1"/>
  <c r="K277" i="9" s="1"/>
  <c r="K700" i="9" a="1"/>
  <c r="K700" i="9" s="1"/>
  <c r="K1121" i="9" a="1"/>
  <c r="K1121" i="9" s="1"/>
  <c r="K1587" i="9" a="1"/>
  <c r="K1587" i="9" s="1"/>
  <c r="K2077" i="9" a="1"/>
  <c r="K2077" i="9" s="1"/>
  <c r="K2567" i="9" a="1"/>
  <c r="K2567" i="9" s="1"/>
  <c r="K3019" i="9" a="1"/>
  <c r="K3019" i="9" s="1"/>
  <c r="K278" i="9" a="1"/>
  <c r="K278" i="9" s="1"/>
  <c r="K701" i="9" a="1"/>
  <c r="K701" i="9" s="1"/>
  <c r="K1122" i="9" a="1"/>
  <c r="K1122" i="9" s="1"/>
  <c r="K1588" i="9" a="1"/>
  <c r="K1588" i="9" s="1"/>
  <c r="K2078" i="9" a="1"/>
  <c r="K2078" i="9" s="1"/>
  <c r="K2568" i="9" a="1"/>
  <c r="K2568" i="9" s="1"/>
  <c r="K3020" i="9" a="1"/>
  <c r="K3020" i="9" s="1"/>
  <c r="K279" i="9" a="1"/>
  <c r="K279" i="9" s="1"/>
  <c r="K702" i="9" a="1"/>
  <c r="K702" i="9" s="1"/>
  <c r="K1123" i="9" a="1"/>
  <c r="K1123" i="9" s="1"/>
  <c r="K1589" i="9" a="1"/>
  <c r="K1589" i="9" s="1"/>
  <c r="K2079" i="9" a="1"/>
  <c r="K2079" i="9" s="1"/>
  <c r="K2569" i="9" a="1"/>
  <c r="K2569" i="9" s="1"/>
  <c r="K3021" i="9" a="1"/>
  <c r="K3021" i="9" s="1"/>
  <c r="K280" i="9" a="1"/>
  <c r="K280" i="9" s="1"/>
  <c r="K703" i="9" a="1"/>
  <c r="K703" i="9" s="1"/>
  <c r="K1124" i="9" a="1"/>
  <c r="K1124" i="9" s="1"/>
  <c r="K1590" i="9" a="1"/>
  <c r="K1590" i="9" s="1"/>
  <c r="K2080" i="9" a="1"/>
  <c r="K2080" i="9" s="1"/>
  <c r="K2570" i="9" a="1"/>
  <c r="K2570" i="9" s="1"/>
  <c r="K3022" i="9" a="1"/>
  <c r="K3022" i="9" s="1"/>
  <c r="K281" i="9" a="1"/>
  <c r="K281" i="9" s="1"/>
  <c r="K704" i="9" a="1"/>
  <c r="K704" i="9" s="1"/>
  <c r="K1125" i="9" a="1"/>
  <c r="K1125" i="9" s="1"/>
  <c r="K1591" i="9" a="1"/>
  <c r="K1591" i="9" s="1"/>
  <c r="K2081" i="9" a="1"/>
  <c r="K2081" i="9" s="1"/>
  <c r="K2571" i="9" a="1"/>
  <c r="K2571" i="9" s="1"/>
  <c r="K1592" i="9" a="1"/>
  <c r="K1592" i="9" s="1"/>
  <c r="K2082" i="9" a="1"/>
  <c r="K2082" i="9" s="1"/>
  <c r="K2572" i="9" a="1"/>
  <c r="K2572" i="9" s="1"/>
  <c r="K3023" i="9" a="1"/>
  <c r="K3023" i="9" s="1"/>
  <c r="K282" i="9" a="1"/>
  <c r="K282" i="9" s="1"/>
  <c r="K705" i="9" a="1"/>
  <c r="K705" i="9" s="1"/>
  <c r="K1126" i="9" a="1"/>
  <c r="K1126" i="9" s="1"/>
  <c r="K1593" i="9" a="1"/>
  <c r="K1593" i="9" s="1"/>
  <c r="K2083" i="9" a="1"/>
  <c r="K2083" i="9" s="1"/>
  <c r="K2573" i="9" a="1"/>
  <c r="K2573" i="9" s="1"/>
  <c r="K3024" i="9" a="1"/>
  <c r="K3024" i="9" s="1"/>
  <c r="K283" i="9" a="1"/>
  <c r="K283" i="9" s="1"/>
  <c r="K706" i="9" a="1"/>
  <c r="K706" i="9" s="1"/>
  <c r="K1127" i="9" a="1"/>
  <c r="K1127" i="9" s="1"/>
  <c r="K1594" i="9" a="1"/>
  <c r="K1594" i="9" s="1"/>
  <c r="K2084" i="9" a="1"/>
  <c r="K2084" i="9" s="1"/>
  <c r="K2574" i="9" a="1"/>
  <c r="K2574" i="9" s="1"/>
  <c r="K3025" i="9" a="1"/>
  <c r="K3025" i="9" s="1"/>
  <c r="K284" i="9" a="1"/>
  <c r="K284" i="9" s="1"/>
  <c r="K707" i="9" a="1"/>
  <c r="K707" i="9" s="1"/>
  <c r="K1128" i="9" a="1"/>
  <c r="K1128" i="9" s="1"/>
  <c r="K1595" i="9" a="1"/>
  <c r="K1595" i="9" s="1"/>
  <c r="K2085" i="9" a="1"/>
  <c r="K2085" i="9" s="1"/>
  <c r="K2575" i="9" a="1"/>
  <c r="K2575" i="9" s="1"/>
  <c r="K3026" i="9" a="1"/>
  <c r="K3026" i="9" s="1"/>
  <c r="K285" i="9" a="1"/>
  <c r="K285" i="9" s="1"/>
  <c r="K708" i="9" a="1"/>
  <c r="K708" i="9" s="1"/>
  <c r="K1129" i="9" a="1"/>
  <c r="K1129" i="9" s="1"/>
  <c r="K1596" i="9" a="1"/>
  <c r="K1596" i="9" s="1"/>
  <c r="K2086" i="9" a="1"/>
  <c r="K2086" i="9" s="1"/>
  <c r="K2576" i="9" a="1"/>
  <c r="K2576" i="9" s="1"/>
  <c r="K3027" i="9" a="1"/>
  <c r="K3027" i="9" s="1"/>
  <c r="K286" i="9" a="1"/>
  <c r="K286" i="9" s="1"/>
  <c r="K709" i="9" a="1"/>
  <c r="K709" i="9" s="1"/>
  <c r="K1130" i="9" a="1"/>
  <c r="K1130" i="9" s="1"/>
  <c r="K1597" i="9" a="1"/>
  <c r="K1597" i="9" s="1"/>
  <c r="K2087" i="9" a="1"/>
  <c r="K2087" i="9" s="1"/>
  <c r="K2577" i="9" a="1"/>
  <c r="K2577" i="9" s="1"/>
  <c r="K3028" i="9" a="1"/>
  <c r="K3028" i="9" s="1"/>
  <c r="K287" i="9" a="1"/>
  <c r="K287" i="9" s="1"/>
  <c r="K710" i="9" a="1"/>
  <c r="K710" i="9" s="1"/>
  <c r="K1131" i="9" a="1"/>
  <c r="K1131" i="9" s="1"/>
  <c r="K1598" i="9" a="1"/>
  <c r="K1598" i="9" s="1"/>
  <c r="K2088" i="9" a="1"/>
  <c r="K2088" i="9" s="1"/>
  <c r="K2578" i="9" a="1"/>
  <c r="K2578" i="9" s="1"/>
  <c r="K1599" i="9" a="1"/>
  <c r="K1599" i="9" s="1"/>
  <c r="K2089" i="9" a="1"/>
  <c r="K2089" i="9" s="1"/>
  <c r="K2579" i="9" a="1"/>
  <c r="K2579" i="9" s="1"/>
  <c r="K3029" i="9" a="1"/>
  <c r="K3029" i="9" s="1"/>
  <c r="K288" i="9" a="1"/>
  <c r="K288" i="9" s="1"/>
  <c r="K711" i="9" a="1"/>
  <c r="K711" i="9" s="1"/>
  <c r="K1132" i="9" a="1"/>
  <c r="K1132" i="9" s="1"/>
  <c r="K1600" i="9" a="1"/>
  <c r="K1600" i="9" s="1"/>
  <c r="K2090" i="9" a="1"/>
  <c r="K2090" i="9" s="1"/>
  <c r="K2580" i="9" a="1"/>
  <c r="K2580" i="9" s="1"/>
  <c r="K3030" i="9" a="1"/>
  <c r="K3030" i="9" s="1"/>
  <c r="K289" i="9" a="1"/>
  <c r="K289" i="9" s="1"/>
  <c r="K712" i="9" a="1"/>
  <c r="K712" i="9" s="1"/>
  <c r="K1133" i="9" a="1"/>
  <c r="K1133" i="9" s="1"/>
  <c r="K1601" i="9" a="1"/>
  <c r="K1601" i="9" s="1"/>
  <c r="K2091" i="9" a="1"/>
  <c r="K2091" i="9" s="1"/>
  <c r="K2581" i="9" a="1"/>
  <c r="K2581" i="9" s="1"/>
  <c r="K3031" i="9" a="1"/>
  <c r="K3031" i="9" s="1"/>
  <c r="K290" i="9" a="1"/>
  <c r="K290" i="9" s="1"/>
  <c r="K713" i="9" a="1"/>
  <c r="K713" i="9" s="1"/>
  <c r="K1134" i="9" a="1"/>
  <c r="K1134" i="9" s="1"/>
  <c r="K1602" i="9" a="1"/>
  <c r="K1602" i="9" s="1"/>
  <c r="K2092" i="9" a="1"/>
  <c r="K2092" i="9" s="1"/>
  <c r="K2582" i="9" a="1"/>
  <c r="K2582" i="9" s="1"/>
  <c r="K3032" i="9" a="1"/>
  <c r="K3032" i="9" s="1"/>
  <c r="K291" i="9" a="1"/>
  <c r="K291" i="9" s="1"/>
  <c r="K714" i="9" a="1"/>
  <c r="K714" i="9" s="1"/>
  <c r="K1135" i="9" a="1"/>
  <c r="K1135" i="9" s="1"/>
  <c r="K1603" i="9" a="1"/>
  <c r="K1603" i="9" s="1"/>
  <c r="K2093" i="9" a="1"/>
  <c r="K2093" i="9" s="1"/>
  <c r="K2583" i="9" a="1"/>
  <c r="K2583" i="9" s="1"/>
  <c r="K3033" i="9" a="1"/>
  <c r="K3033" i="9" s="1"/>
  <c r="K292" i="9" a="1"/>
  <c r="K292" i="9" s="1"/>
  <c r="K715" i="9" a="1"/>
  <c r="K715" i="9" s="1"/>
  <c r="K1136" i="9" a="1"/>
  <c r="K1136" i="9" s="1"/>
  <c r="K1604" i="9" a="1"/>
  <c r="K1604" i="9" s="1"/>
  <c r="K2094" i="9" a="1"/>
  <c r="K2094" i="9" s="1"/>
  <c r="K2584" i="9" a="1"/>
  <c r="K2584" i="9" s="1"/>
  <c r="K3034" i="9" a="1"/>
  <c r="K3034" i="9" s="1"/>
  <c r="K293" i="9" a="1"/>
  <c r="K293" i="9" s="1"/>
  <c r="K716" i="9" a="1"/>
  <c r="K716" i="9" s="1"/>
  <c r="K1137" i="9" a="1"/>
  <c r="K1137" i="9" s="1"/>
  <c r="K1605" i="9" a="1"/>
  <c r="K1605" i="9" s="1"/>
  <c r="K2095" i="9" a="1"/>
  <c r="K2095" i="9" s="1"/>
  <c r="K2585" i="9" a="1"/>
  <c r="K2585" i="9" s="1"/>
  <c r="K3035" i="9" a="1"/>
  <c r="K3035" i="9" s="1"/>
  <c r="K294" i="9" a="1"/>
  <c r="K294" i="9" s="1"/>
  <c r="K1606" i="9" a="1"/>
  <c r="K1606" i="9" s="1"/>
  <c r="K2096" i="9" a="1"/>
  <c r="K2096" i="9" s="1"/>
  <c r="K2586" i="9" a="1"/>
  <c r="K2586" i="9" s="1"/>
  <c r="K3036" i="9" a="1"/>
  <c r="K3036" i="9" s="1"/>
  <c r="K295" i="9" a="1"/>
  <c r="K295" i="9" s="1"/>
  <c r="K717" i="9" a="1"/>
  <c r="K717" i="9" s="1"/>
  <c r="K1138" i="9" a="1"/>
  <c r="K1138" i="9" s="1"/>
  <c r="K1607" i="9" a="1"/>
  <c r="K1607" i="9" s="1"/>
  <c r="K2097" i="9" a="1"/>
  <c r="K2097" i="9" s="1"/>
  <c r="K2587" i="9" a="1"/>
  <c r="K2587" i="9" s="1"/>
  <c r="K3037" i="9" a="1"/>
  <c r="K3037" i="9" s="1"/>
  <c r="K296" i="9" a="1"/>
  <c r="K296" i="9" s="1"/>
  <c r="K718" i="9" a="1"/>
  <c r="K718" i="9" s="1"/>
  <c r="K1139" i="9" a="1"/>
  <c r="K1139" i="9" s="1"/>
  <c r="K1608" i="9" a="1"/>
  <c r="K1608" i="9" s="1"/>
  <c r="K2098" i="9" a="1"/>
  <c r="K2098" i="9" s="1"/>
  <c r="K2588" i="9" a="1"/>
  <c r="K2588" i="9" s="1"/>
  <c r="K3038" i="9" a="1"/>
  <c r="K3038" i="9" s="1"/>
  <c r="K297" i="9" a="1"/>
  <c r="K297" i="9" s="1"/>
  <c r="K719" i="9" a="1"/>
  <c r="K719" i="9" s="1"/>
  <c r="K1140" i="9" a="1"/>
  <c r="K1140" i="9" s="1"/>
  <c r="K1609" i="9" a="1"/>
  <c r="K1609" i="9" s="1"/>
  <c r="K2099" i="9" a="1"/>
  <c r="K2099" i="9" s="1"/>
  <c r="K2589" i="9" a="1"/>
  <c r="K2589" i="9" s="1"/>
  <c r="K3039" i="9" a="1"/>
  <c r="K3039" i="9" s="1"/>
  <c r="K298" i="9" a="1"/>
  <c r="K298" i="9" s="1"/>
  <c r="K720" i="9" a="1"/>
  <c r="K720" i="9" s="1"/>
  <c r="K1141" i="9" a="1"/>
  <c r="K1141" i="9" s="1"/>
  <c r="K1610" i="9" a="1"/>
  <c r="K1610" i="9" s="1"/>
  <c r="K2100" i="9" a="1"/>
  <c r="K2100" i="9" s="1"/>
  <c r="K2590" i="9" a="1"/>
  <c r="K2590" i="9" s="1"/>
  <c r="K3040" i="9" a="1"/>
  <c r="K3040" i="9" s="1"/>
  <c r="K299" i="9" a="1"/>
  <c r="K299" i="9" s="1"/>
  <c r="K721" i="9" a="1"/>
  <c r="K721" i="9" s="1"/>
  <c r="K1142" i="9" a="1"/>
  <c r="K1142" i="9" s="1"/>
  <c r="K1611" i="9" a="1"/>
  <c r="K1611" i="9" s="1"/>
  <c r="K2101" i="9" a="1"/>
  <c r="K2101" i="9" s="1"/>
  <c r="K2591" i="9" a="1"/>
  <c r="K2591" i="9" s="1"/>
  <c r="K3041" i="9" a="1"/>
  <c r="K3041" i="9" s="1"/>
  <c r="K300" i="9" a="1"/>
  <c r="K300" i="9" s="1"/>
  <c r="K722" i="9" a="1"/>
  <c r="K722" i="9" s="1"/>
  <c r="K1143" i="9" a="1"/>
  <c r="K1143" i="9" s="1"/>
  <c r="K1612" i="9" a="1"/>
  <c r="K1612" i="9" s="1"/>
  <c r="K2102" i="9" a="1"/>
  <c r="K2102" i="9" s="1"/>
  <c r="K2592" i="9" a="1"/>
  <c r="K2592" i="9" s="1"/>
  <c r="K1613" i="9" a="1"/>
  <c r="K1613" i="9" s="1"/>
  <c r="K2103" i="9" a="1"/>
  <c r="K2103" i="9" s="1"/>
  <c r="K2593" i="9" a="1"/>
  <c r="K2593" i="9" s="1"/>
  <c r="K3042" i="9" a="1"/>
  <c r="K3042" i="9" s="1"/>
  <c r="K301" i="9" a="1"/>
  <c r="K301" i="9" s="1"/>
  <c r="K723" i="9" a="1"/>
  <c r="K723" i="9" s="1"/>
  <c r="K1144" i="9" a="1"/>
  <c r="K1144" i="9" s="1"/>
  <c r="K1614" i="9" a="1"/>
  <c r="K1614" i="9" s="1"/>
  <c r="K2104" i="9" a="1"/>
  <c r="K2104" i="9" s="1"/>
  <c r="K2594" i="9" a="1"/>
  <c r="K2594" i="9" s="1"/>
  <c r="K3043" i="9" a="1"/>
  <c r="K3043" i="9" s="1"/>
  <c r="K302" i="9" a="1"/>
  <c r="K302" i="9" s="1"/>
  <c r="K724" i="9" a="1"/>
  <c r="K724" i="9" s="1"/>
  <c r="K1145" i="9" a="1"/>
  <c r="K1145" i="9" s="1"/>
  <c r="K1615" i="9" a="1"/>
  <c r="K1615" i="9" s="1"/>
  <c r="K2105" i="9" a="1"/>
  <c r="K2105" i="9" s="1"/>
  <c r="K2595" i="9" a="1"/>
  <c r="K2595" i="9" s="1"/>
  <c r="K3044" i="9" a="1"/>
  <c r="K3044" i="9" s="1"/>
  <c r="K303" i="9" a="1"/>
  <c r="K303" i="9" s="1"/>
  <c r="K725" i="9" a="1"/>
  <c r="K725" i="9" s="1"/>
  <c r="K1146" i="9" a="1"/>
  <c r="K1146" i="9" s="1"/>
  <c r="K1616" i="9" a="1"/>
  <c r="K1616" i="9" s="1"/>
  <c r="K2106" i="9" a="1"/>
  <c r="K2106" i="9" s="1"/>
  <c r="K2596" i="9" a="1"/>
  <c r="K2596" i="9" s="1"/>
  <c r="K3045" i="9" a="1"/>
  <c r="K3045" i="9" s="1"/>
  <c r="K304" i="9" a="1"/>
  <c r="K304" i="9" s="1"/>
  <c r="K726" i="9" a="1"/>
  <c r="K726" i="9" s="1"/>
  <c r="K1147" i="9" a="1"/>
  <c r="K1147" i="9" s="1"/>
  <c r="K1617" i="9" a="1"/>
  <c r="K1617" i="9" s="1"/>
  <c r="K2107" i="9" a="1"/>
  <c r="K2107" i="9" s="1"/>
  <c r="K2597" i="9" a="1"/>
  <c r="K2597" i="9" s="1"/>
  <c r="K3046" i="9" a="1"/>
  <c r="K3046" i="9" s="1"/>
  <c r="K305" i="9" a="1"/>
  <c r="K305" i="9" s="1"/>
  <c r="K727" i="9" a="1"/>
  <c r="K727" i="9" s="1"/>
  <c r="K1148" i="9" a="1"/>
  <c r="K1148" i="9" s="1"/>
  <c r="K1618" i="9" a="1"/>
  <c r="K1618" i="9" s="1"/>
  <c r="K2108" i="9" a="1"/>
  <c r="K2108" i="9" s="1"/>
  <c r="K2598" i="9" a="1"/>
  <c r="K2598" i="9" s="1"/>
  <c r="K3047" i="9" a="1"/>
  <c r="K3047" i="9" s="1"/>
  <c r="K306" i="9" a="1"/>
  <c r="K306" i="9" s="1"/>
  <c r="K728" i="9" a="1"/>
  <c r="K728" i="9" s="1"/>
  <c r="K1149" i="9" a="1"/>
  <c r="K1149" i="9" s="1"/>
  <c r="K1619" i="9" a="1"/>
  <c r="K1619" i="9" s="1"/>
  <c r="K2109" i="9" a="1"/>
  <c r="K2109" i="9" s="1"/>
  <c r="K2599" i="9" a="1"/>
  <c r="K2599" i="9" s="1"/>
  <c r="K1620" i="9" a="1"/>
  <c r="K1620" i="9" s="1"/>
  <c r="K2110" i="9" a="1"/>
  <c r="K2110" i="9" s="1"/>
  <c r="K2600" i="9" a="1"/>
  <c r="K2600" i="9" s="1"/>
  <c r="K3048" i="9" a="1"/>
  <c r="K3048" i="9" s="1"/>
  <c r="K307" i="9" a="1"/>
  <c r="K307" i="9" s="1"/>
  <c r="K729" i="9" a="1"/>
  <c r="K729" i="9" s="1"/>
  <c r="K1150" i="9" a="1"/>
  <c r="K1150" i="9" s="1"/>
  <c r="K1621" i="9" a="1"/>
  <c r="K1621" i="9" s="1"/>
  <c r="K2111" i="9" a="1"/>
  <c r="K2111" i="9" s="1"/>
  <c r="K2601" i="9" a="1"/>
  <c r="K2601" i="9" s="1"/>
  <c r="K3049" i="9" a="1"/>
  <c r="K3049" i="9" s="1"/>
  <c r="K308" i="9" a="1"/>
  <c r="K308" i="9" s="1"/>
  <c r="K730" i="9" a="1"/>
  <c r="K730" i="9" s="1"/>
  <c r="K1151" i="9" a="1"/>
  <c r="K1151" i="9" s="1"/>
  <c r="K1622" i="9" a="1"/>
  <c r="K1622" i="9" s="1"/>
  <c r="K2112" i="9" a="1"/>
  <c r="K2112" i="9" s="1"/>
  <c r="K2602" i="9" a="1"/>
  <c r="K2602" i="9" s="1"/>
  <c r="K3050" i="9" a="1"/>
  <c r="K3050" i="9" s="1"/>
  <c r="K309" i="9" a="1"/>
  <c r="K309" i="9" s="1"/>
  <c r="K731" i="9" a="1"/>
  <c r="K731" i="9" s="1"/>
  <c r="K1152" i="9" a="1"/>
  <c r="K1152" i="9" s="1"/>
  <c r="K1623" i="9" a="1"/>
  <c r="K1623" i="9" s="1"/>
  <c r="K2113" i="9" a="1"/>
  <c r="K2113" i="9" s="1"/>
  <c r="K2603" i="9" a="1"/>
  <c r="K2603" i="9" s="1"/>
  <c r="K3051" i="9" a="1"/>
  <c r="K3051" i="9" s="1"/>
  <c r="K310" i="9" a="1"/>
  <c r="K310" i="9" s="1"/>
  <c r="K732" i="9" a="1"/>
  <c r="K732" i="9" s="1"/>
  <c r="K1153" i="9" a="1"/>
  <c r="K1153" i="9" s="1"/>
  <c r="K1624" i="9" a="1"/>
  <c r="K1624" i="9" s="1"/>
  <c r="K2114" i="9" a="1"/>
  <c r="K2114" i="9" s="1"/>
  <c r="K2604" i="9" a="1"/>
  <c r="K2604" i="9" s="1"/>
  <c r="K3052" i="9" a="1"/>
  <c r="K3052" i="9" s="1"/>
  <c r="K311" i="9" a="1"/>
  <c r="K311" i="9" s="1"/>
  <c r="K733" i="9" a="1"/>
  <c r="K733" i="9" s="1"/>
  <c r="K1154" i="9" a="1"/>
  <c r="K1154" i="9" s="1"/>
  <c r="K1625" i="9" a="1"/>
  <c r="K1625" i="9" s="1"/>
  <c r="K2115" i="9" a="1"/>
  <c r="K2115" i="9" s="1"/>
  <c r="K2605" i="9" a="1"/>
  <c r="K2605" i="9" s="1"/>
  <c r="K3053" i="9" a="1"/>
  <c r="K3053" i="9" s="1"/>
  <c r="K312" i="9" a="1"/>
  <c r="K312" i="9" s="1"/>
  <c r="K734" i="9" a="1"/>
  <c r="K734" i="9" s="1"/>
  <c r="K1155" i="9" a="1"/>
  <c r="K1155" i="9" s="1"/>
  <c r="K1626" i="9" a="1"/>
  <c r="K1626" i="9" s="1"/>
  <c r="K2116" i="9" a="1"/>
  <c r="K2116" i="9" s="1"/>
  <c r="K2606" i="9" a="1"/>
  <c r="K2606" i="9" s="1"/>
  <c r="K1627" i="9" a="1"/>
  <c r="K1627" i="9" s="1"/>
  <c r="K2117" i="9" a="1"/>
  <c r="K2117" i="9" s="1"/>
  <c r="K2607" i="9" a="1"/>
  <c r="K2607" i="9" s="1"/>
  <c r="K3054" i="9" a="1"/>
  <c r="K3054" i="9" s="1"/>
  <c r="K313" i="9" a="1"/>
  <c r="K313" i="9" s="1"/>
  <c r="K735" i="9" a="1"/>
  <c r="K735" i="9" s="1"/>
  <c r="K1156" i="9" a="1"/>
  <c r="K1156" i="9" s="1"/>
  <c r="K1628" i="9" a="1"/>
  <c r="K1628" i="9" s="1"/>
  <c r="K2118" i="9" a="1"/>
  <c r="K2118" i="9" s="1"/>
  <c r="K2608" i="9" a="1"/>
  <c r="K2608" i="9" s="1"/>
  <c r="K3055" i="9" a="1"/>
  <c r="K3055" i="9" s="1"/>
  <c r="K314" i="9" a="1"/>
  <c r="K314" i="9" s="1"/>
  <c r="K736" i="9" a="1"/>
  <c r="K736" i="9" s="1"/>
  <c r="K1157" i="9" a="1"/>
  <c r="K1157" i="9" s="1"/>
  <c r="K1629" i="9" a="1"/>
  <c r="K1629" i="9" s="1"/>
  <c r="K2119" i="9" a="1"/>
  <c r="K2119" i="9" s="1"/>
  <c r="K2609" i="9" a="1"/>
  <c r="K2609" i="9" s="1"/>
  <c r="K3056" i="9" a="1"/>
  <c r="K3056" i="9" s="1"/>
  <c r="K315" i="9" a="1"/>
  <c r="K315" i="9" s="1"/>
  <c r="K737" i="9" a="1"/>
  <c r="K737" i="9" s="1"/>
  <c r="K1158" i="9" a="1"/>
  <c r="K1158" i="9" s="1"/>
  <c r="K1630" i="9" a="1"/>
  <c r="K1630" i="9" s="1"/>
  <c r="K2120" i="9" a="1"/>
  <c r="K2120" i="9" s="1"/>
  <c r="K2610" i="9" a="1"/>
  <c r="K2610" i="9" s="1"/>
  <c r="K3057" i="9" a="1"/>
  <c r="K3057" i="9" s="1"/>
  <c r="K316" i="9" a="1"/>
  <c r="K316" i="9" s="1"/>
  <c r="K738" i="9" a="1"/>
  <c r="K738" i="9" s="1"/>
  <c r="K1159" i="9" a="1"/>
  <c r="K1159" i="9" s="1"/>
  <c r="K1631" i="9" a="1"/>
  <c r="K1631" i="9" s="1"/>
  <c r="K2121" i="9" a="1"/>
  <c r="K2121" i="9" s="1"/>
  <c r="K2611" i="9" a="1"/>
  <c r="K2611" i="9" s="1"/>
  <c r="K3058" i="9" a="1"/>
  <c r="K3058" i="9" s="1"/>
  <c r="K317" i="9" a="1"/>
  <c r="K317" i="9" s="1"/>
  <c r="K739" i="9" a="1"/>
  <c r="K739" i="9" s="1"/>
  <c r="K1160" i="9" a="1"/>
  <c r="K1160" i="9" s="1"/>
  <c r="K1632" i="9" a="1"/>
  <c r="K1632" i="9" s="1"/>
  <c r="K2122" i="9" a="1"/>
  <c r="K2122" i="9" s="1"/>
  <c r="K2612" i="9" a="1"/>
  <c r="K2612" i="9" s="1"/>
  <c r="K3059" i="9" a="1"/>
  <c r="K3059" i="9" s="1"/>
  <c r="K318" i="9" a="1"/>
  <c r="K318" i="9" s="1"/>
  <c r="K740" i="9" a="1"/>
  <c r="K740" i="9" s="1"/>
  <c r="K1161" i="9" a="1"/>
  <c r="K1161" i="9" s="1"/>
  <c r="K1633" i="9" a="1"/>
  <c r="K1633" i="9" s="1"/>
  <c r="K2123" i="9" a="1"/>
  <c r="K2123" i="9" s="1"/>
  <c r="K2613" i="9" a="1"/>
  <c r="K2613" i="9" s="1"/>
  <c r="K1634" i="9" a="1"/>
  <c r="K1634" i="9" s="1"/>
  <c r="K2124" i="9" a="1"/>
  <c r="K2124" i="9" s="1"/>
  <c r="K2614" i="9" a="1"/>
  <c r="K2614" i="9" s="1"/>
  <c r="K3060" i="9" a="1"/>
  <c r="K3060" i="9" s="1"/>
  <c r="K319" i="9" a="1"/>
  <c r="K319" i="9" s="1"/>
  <c r="K741" i="9" a="1"/>
  <c r="K741" i="9" s="1"/>
  <c r="K1162" i="9" a="1"/>
  <c r="K1162" i="9" s="1"/>
  <c r="K1635" i="9" a="1"/>
  <c r="K1635" i="9" s="1"/>
  <c r="K2125" i="9" a="1"/>
  <c r="K2125" i="9" s="1"/>
  <c r="K2615" i="9" a="1"/>
  <c r="K2615" i="9" s="1"/>
  <c r="K3061" i="9" a="1"/>
  <c r="K3061" i="9" s="1"/>
  <c r="K320" i="9" a="1"/>
  <c r="K320" i="9" s="1"/>
  <c r="K742" i="9" a="1"/>
  <c r="K742" i="9" s="1"/>
  <c r="K1163" i="9" a="1"/>
  <c r="K1163" i="9" s="1"/>
  <c r="K1636" i="9" a="1"/>
  <c r="K1636" i="9" s="1"/>
  <c r="K2126" i="9" a="1"/>
  <c r="K2126" i="9" s="1"/>
  <c r="K2616" i="9" a="1"/>
  <c r="K2616" i="9" s="1"/>
  <c r="K3062" i="9" a="1"/>
  <c r="K3062" i="9" s="1"/>
  <c r="K321" i="9" a="1"/>
  <c r="K321" i="9" s="1"/>
  <c r="K743" i="9" a="1"/>
  <c r="K743" i="9" s="1"/>
  <c r="K1164" i="9" a="1"/>
  <c r="K1164" i="9" s="1"/>
  <c r="K1637" i="9" a="1"/>
  <c r="K1637" i="9" s="1"/>
  <c r="K2127" i="9" a="1"/>
  <c r="K2127" i="9" s="1"/>
  <c r="K2617" i="9" a="1"/>
  <c r="K2617" i="9" s="1"/>
  <c r="K3063" i="9" a="1"/>
  <c r="K3063" i="9" s="1"/>
  <c r="K322" i="9" a="1"/>
  <c r="K322" i="9" s="1"/>
  <c r="K744" i="9" a="1"/>
  <c r="K744" i="9" s="1"/>
  <c r="K1165" i="9" a="1"/>
  <c r="K1165" i="9" s="1"/>
  <c r="K1638" i="9" a="1"/>
  <c r="K1638" i="9" s="1"/>
  <c r="K2128" i="9" a="1"/>
  <c r="K2128" i="9" s="1"/>
  <c r="K2618" i="9" a="1"/>
  <c r="K2618" i="9" s="1"/>
  <c r="K3064" i="9" a="1"/>
  <c r="K3064" i="9" s="1"/>
  <c r="K323" i="9" a="1"/>
  <c r="K323" i="9" s="1"/>
  <c r="K745" i="9" a="1"/>
  <c r="K745" i="9" s="1"/>
  <c r="K1166" i="9" a="1"/>
  <c r="K1166" i="9" s="1"/>
  <c r="K1639" i="9" a="1"/>
  <c r="K1639" i="9" s="1"/>
  <c r="K2129" i="9" a="1"/>
  <c r="K2129" i="9" s="1"/>
  <c r="K2619" i="9" a="1"/>
  <c r="K2619" i="9" s="1"/>
  <c r="K3065" i="9" a="1"/>
  <c r="K3065" i="9" s="1"/>
  <c r="K324" i="9" a="1"/>
  <c r="K324" i="9" s="1"/>
  <c r="K746" i="9" a="1"/>
  <c r="K746" i="9" s="1"/>
  <c r="K1167" i="9" a="1"/>
  <c r="K1167" i="9" s="1"/>
  <c r="K1640" i="9" a="1"/>
  <c r="K1640" i="9" s="1"/>
  <c r="K2130" i="9" a="1"/>
  <c r="K2130" i="9" s="1"/>
  <c r="K2620" i="9" a="1"/>
  <c r="K2620" i="9" s="1"/>
  <c r="K1641" i="9" a="1"/>
  <c r="K1641" i="9" s="1"/>
  <c r="K2131" i="9" a="1"/>
  <c r="K2131" i="9" s="1"/>
  <c r="K2621" i="9" a="1"/>
  <c r="K2621" i="9" s="1"/>
  <c r="K3066" i="9" a="1"/>
  <c r="K3066" i="9" s="1"/>
  <c r="K325" i="9" a="1"/>
  <c r="K325" i="9" s="1"/>
  <c r="K747" i="9" a="1"/>
  <c r="K747" i="9" s="1"/>
  <c r="K1168" i="9" a="1"/>
  <c r="K1168" i="9" s="1"/>
  <c r="K1642" i="9" a="1"/>
  <c r="K1642" i="9" s="1"/>
  <c r="K2132" i="9" a="1"/>
  <c r="K2132" i="9" s="1"/>
  <c r="K2622" i="9" a="1"/>
  <c r="K2622" i="9" s="1"/>
  <c r="K3067" i="9" a="1"/>
  <c r="K3067" i="9" s="1"/>
  <c r="K326" i="9" a="1"/>
  <c r="K326" i="9" s="1"/>
  <c r="K748" i="9" a="1"/>
  <c r="K748" i="9" s="1"/>
  <c r="K1169" i="9" a="1"/>
  <c r="K1169" i="9" s="1"/>
  <c r="K1643" i="9" a="1"/>
  <c r="K1643" i="9" s="1"/>
  <c r="K2133" i="9" a="1"/>
  <c r="K2133" i="9" s="1"/>
  <c r="K2623" i="9" a="1"/>
  <c r="K2623" i="9" s="1"/>
  <c r="K3068" i="9" a="1"/>
  <c r="K3068" i="9" s="1"/>
  <c r="K327" i="9" a="1"/>
  <c r="K327" i="9" s="1"/>
  <c r="K749" i="9" a="1"/>
  <c r="K749" i="9" s="1"/>
  <c r="K1170" i="9" a="1"/>
  <c r="K1170" i="9" s="1"/>
  <c r="K1644" i="9" a="1"/>
  <c r="K1644" i="9" s="1"/>
  <c r="K2134" i="9" a="1"/>
  <c r="K2134" i="9" s="1"/>
  <c r="K2624" i="9" a="1"/>
  <c r="K2624" i="9" s="1"/>
  <c r="K3069" i="9" a="1"/>
  <c r="K3069" i="9" s="1"/>
  <c r="K328" i="9" a="1"/>
  <c r="K328" i="9" s="1"/>
  <c r="K750" i="9" a="1"/>
  <c r="K750" i="9" s="1"/>
  <c r="K1171" i="9" a="1"/>
  <c r="K1171" i="9" s="1"/>
  <c r="K1645" i="9" a="1"/>
  <c r="K1645" i="9" s="1"/>
  <c r="K2135" i="9" a="1"/>
  <c r="K2135" i="9" s="1"/>
  <c r="K2625" i="9" a="1"/>
  <c r="K2625" i="9" s="1"/>
  <c r="K3070" i="9" a="1"/>
  <c r="K3070" i="9" s="1"/>
  <c r="K329" i="9" a="1"/>
  <c r="K329" i="9" s="1"/>
  <c r="K751" i="9" a="1"/>
  <c r="K751" i="9"/>
  <c r="K1172" i="9" a="1"/>
  <c r="K1172" i="9" s="1"/>
  <c r="K1646" i="9" a="1"/>
  <c r="K1646" i="9" s="1"/>
  <c r="K2136" i="9" a="1"/>
  <c r="K2136" i="9" s="1"/>
  <c r="K2626" i="9" a="1"/>
  <c r="K2626" i="9" s="1"/>
  <c r="K3071" i="9" a="1"/>
  <c r="K3071" i="9" s="1"/>
  <c r="K330" i="9" a="1"/>
  <c r="K330" i="9" s="1"/>
  <c r="K752" i="9" a="1"/>
  <c r="K752" i="9" s="1"/>
  <c r="K1173" i="9" a="1"/>
  <c r="K1173" i="9" s="1"/>
  <c r="K1647" i="9" a="1"/>
  <c r="K1647" i="9" s="1"/>
  <c r="K2137" i="9" a="1"/>
  <c r="K2137" i="9" s="1"/>
  <c r="K2627" i="9" a="1"/>
  <c r="K2627" i="9" s="1"/>
  <c r="K1648" i="9" a="1"/>
  <c r="K1648" i="9" s="1"/>
  <c r="K2138" i="9" a="1"/>
  <c r="K2138" i="9" s="1"/>
  <c r="K2628" i="9" a="1"/>
  <c r="K2628" i="9" s="1"/>
  <c r="K3072" i="9" a="1"/>
  <c r="K3072" i="9" s="1"/>
  <c r="K331" i="9" a="1"/>
  <c r="K331" i="9"/>
  <c r="K753" i="9" a="1"/>
  <c r="K753" i="9" s="1"/>
  <c r="K1174" i="9" a="1"/>
  <c r="K1174" i="9" s="1"/>
  <c r="K1649" i="9" a="1"/>
  <c r="K1649" i="9" s="1"/>
  <c r="K2139" i="9" a="1"/>
  <c r="K2139" i="9" s="1"/>
  <c r="K2629" i="9" a="1"/>
  <c r="K2629" i="9" s="1"/>
  <c r="K3073" i="9" a="1"/>
  <c r="K3073" i="9" s="1"/>
  <c r="K332" i="9" a="1"/>
  <c r="K332" i="9" s="1"/>
  <c r="K754" i="9" a="1"/>
  <c r="K754" i="9" s="1"/>
  <c r="K1175" i="9" a="1"/>
  <c r="K1175" i="9" s="1"/>
  <c r="K1650" i="9" a="1"/>
  <c r="K1650" i="9" s="1"/>
  <c r="K2140" i="9" a="1"/>
  <c r="K2140" i="9" s="1"/>
  <c r="K2630" i="9" a="1"/>
  <c r="K2630" i="9" s="1"/>
  <c r="K3074" i="9" a="1"/>
  <c r="K3074" i="9" s="1"/>
  <c r="K333" i="9" a="1"/>
  <c r="K333" i="9" s="1"/>
  <c r="K755" i="9" a="1"/>
  <c r="K755" i="9" s="1"/>
  <c r="K1176" i="9" a="1"/>
  <c r="K1176" i="9" s="1"/>
  <c r="K1651" i="9" a="1"/>
  <c r="K1651" i="9" s="1"/>
  <c r="K2141" i="9" a="1"/>
  <c r="K2141" i="9" s="1"/>
  <c r="K2631" i="9" a="1"/>
  <c r="K2631" i="9" s="1"/>
  <c r="K3075" i="9" a="1"/>
  <c r="K3075" i="9" s="1"/>
  <c r="K334" i="9" a="1"/>
  <c r="K334" i="9" s="1"/>
  <c r="K756" i="9" a="1"/>
  <c r="K756" i="9" s="1"/>
  <c r="K1177" i="9" a="1"/>
  <c r="K1177" i="9" s="1"/>
  <c r="K1652" i="9" a="1"/>
  <c r="K1652" i="9" s="1"/>
  <c r="K2142" i="9" a="1"/>
  <c r="K2142" i="9" s="1"/>
  <c r="K2632" i="9" a="1"/>
  <c r="K2632" i="9" s="1"/>
  <c r="K3076" i="9" a="1"/>
  <c r="K3076" i="9" s="1"/>
  <c r="K335" i="9" a="1"/>
  <c r="K335" i="9" s="1"/>
  <c r="K757" i="9" a="1"/>
  <c r="K757" i="9" s="1"/>
  <c r="K1178" i="9" a="1"/>
  <c r="K1178" i="9" s="1"/>
  <c r="K1653" i="9" a="1"/>
  <c r="K1653" i="9" s="1"/>
  <c r="K2143" i="9" a="1"/>
  <c r="K2143" i="9" s="1"/>
  <c r="K2633" i="9" a="1"/>
  <c r="K2633" i="9" s="1"/>
  <c r="K3077" i="9" a="1"/>
  <c r="K3077" i="9" s="1"/>
  <c r="K336" i="9" a="1"/>
  <c r="K336" i="9" s="1"/>
  <c r="K758" i="9" a="1"/>
  <c r="K758" i="9" s="1"/>
  <c r="K1179" i="9" a="1"/>
  <c r="K1179" i="9" s="1"/>
  <c r="K1654" i="9" a="1"/>
  <c r="K1654" i="9" s="1"/>
  <c r="K2144" i="9" a="1"/>
  <c r="K2144" i="9" s="1"/>
  <c r="K2634" i="9" a="1"/>
  <c r="K2634" i="9" s="1"/>
  <c r="K3078" i="9" a="1"/>
  <c r="K3078" i="9" s="1"/>
  <c r="K337" i="9" a="1"/>
  <c r="K337" i="9" s="1"/>
  <c r="K759" i="9" a="1"/>
  <c r="K759" i="9" s="1"/>
  <c r="K1655" i="9" a="1"/>
  <c r="K1655" i="9" s="1"/>
  <c r="K2145" i="9" a="1"/>
  <c r="K2145" i="9" s="1"/>
  <c r="K2635" i="9" a="1"/>
  <c r="K2635" i="9" s="1"/>
  <c r="K3079" i="9" a="1"/>
  <c r="K3079" i="9" s="1"/>
  <c r="K338" i="9" a="1"/>
  <c r="K338" i="9" s="1"/>
  <c r="K760" i="9" a="1"/>
  <c r="K760" i="9" s="1"/>
  <c r="K1180" i="9" a="1"/>
  <c r="K1180" i="9" s="1"/>
  <c r="K1656" i="9" a="1"/>
  <c r="K1656" i="9" s="1"/>
  <c r="K2146" i="9" a="1"/>
  <c r="K2146" i="9" s="1"/>
  <c r="K2636" i="9" a="1"/>
  <c r="K2636" i="9" s="1"/>
  <c r="K3080" i="9" a="1"/>
  <c r="K3080" i="9" s="1"/>
  <c r="K339" i="9" a="1"/>
  <c r="K339" i="9" s="1"/>
  <c r="K761" i="9" a="1"/>
  <c r="K761" i="9" s="1"/>
  <c r="K1181" i="9" a="1"/>
  <c r="K1181" i="9" s="1"/>
  <c r="K1657" i="9" a="1"/>
  <c r="K1657" i="9" s="1"/>
  <c r="K2147" i="9" a="1"/>
  <c r="K2147" i="9" s="1"/>
  <c r="K2637" i="9" a="1"/>
  <c r="K2637" i="9" s="1"/>
  <c r="K3081" i="9" a="1"/>
  <c r="K3081" i="9" s="1"/>
  <c r="K340" i="9" a="1"/>
  <c r="K340" i="9" s="1"/>
  <c r="K762" i="9" a="1"/>
  <c r="K762" i="9" s="1"/>
  <c r="K1182" i="9" a="1"/>
  <c r="K1182" i="9"/>
  <c r="K1658" i="9" a="1"/>
  <c r="K1658" i="9" s="1"/>
  <c r="K2148" i="9" a="1"/>
  <c r="K2148" i="9" s="1"/>
  <c r="K2638" i="9" a="1"/>
  <c r="K2638" i="9" s="1"/>
  <c r="K3082" i="9" a="1"/>
  <c r="K3082" i="9" s="1"/>
  <c r="K341" i="9" a="1"/>
  <c r="K341" i="9" s="1"/>
  <c r="K763" i="9" a="1"/>
  <c r="K763" i="9" s="1"/>
  <c r="K1183" i="9" a="1"/>
  <c r="K1183" i="9" s="1"/>
  <c r="K1659" i="9" a="1"/>
  <c r="K1659" i="9"/>
  <c r="K2149" i="9" a="1"/>
  <c r="K2149" i="9" s="1"/>
  <c r="K2639" i="9" a="1"/>
  <c r="K2639" i="9" s="1"/>
  <c r="K3083" i="9" a="1"/>
  <c r="K3083" i="9" s="1"/>
  <c r="K342" i="9" a="1"/>
  <c r="K342" i="9" s="1"/>
  <c r="K764" i="9" a="1"/>
  <c r="K764" i="9" s="1"/>
  <c r="K1184" i="9" a="1"/>
  <c r="K1184" i="9" s="1"/>
  <c r="K1660" i="9" a="1"/>
  <c r="K1660" i="9" s="1"/>
  <c r="K2150" i="9" a="1"/>
  <c r="K2150" i="9" s="1"/>
  <c r="K2640" i="9" a="1"/>
  <c r="K2640" i="9" s="1"/>
  <c r="K3084" i="9" a="1"/>
  <c r="K3084" i="9" s="1"/>
  <c r="K343" i="9" a="1"/>
  <c r="K343" i="9" s="1"/>
  <c r="K765" i="9" a="1"/>
  <c r="K765" i="9" s="1"/>
  <c r="K1185" i="9" a="1"/>
  <c r="K1185" i="9" s="1"/>
  <c r="K1661" i="9" a="1"/>
  <c r="K1661" i="9" s="1"/>
  <c r="K2151" i="9" a="1"/>
  <c r="K2151" i="9" s="1"/>
  <c r="K2641" i="9" a="1"/>
  <c r="K2641" i="9" s="1"/>
  <c r="K1662" i="9" a="1"/>
  <c r="K1662" i="9" s="1"/>
  <c r="K2152" i="9" a="1"/>
  <c r="K2152" i="9" s="1"/>
  <c r="K2642" i="9" a="1"/>
  <c r="K2642" i="9" s="1"/>
  <c r="K3085" i="9" a="1"/>
  <c r="K3085" i="9" s="1"/>
  <c r="K344" i="9" a="1"/>
  <c r="K344" i="9" s="1"/>
  <c r="K766" i="9" a="1"/>
  <c r="K766" i="9" s="1"/>
  <c r="K1186" i="9" a="1"/>
  <c r="K1186" i="9" s="1"/>
  <c r="K1663" i="9" a="1"/>
  <c r="K1663" i="9" s="1"/>
  <c r="K2153" i="9" a="1"/>
  <c r="K2153" i="9" s="1"/>
  <c r="K2643" i="9" a="1"/>
  <c r="K2643" i="9" s="1"/>
  <c r="K3086" i="9" a="1"/>
  <c r="K3086" i="9" s="1"/>
  <c r="K345" i="9" a="1"/>
  <c r="K345" i="9" s="1"/>
  <c r="K767" i="9" a="1"/>
  <c r="K767" i="9" s="1"/>
  <c r="K1187" i="9" a="1"/>
  <c r="K1187" i="9" s="1"/>
  <c r="K1664" i="9" a="1"/>
  <c r="K1664" i="9" s="1"/>
  <c r="K2154" i="9" a="1"/>
  <c r="K2154" i="9" s="1"/>
  <c r="K2644" i="9" a="1"/>
  <c r="K2644" i="9" s="1"/>
  <c r="K3087" i="9" a="1"/>
  <c r="K3087" i="9" s="1"/>
  <c r="K346" i="9" a="1"/>
  <c r="K346" i="9" s="1"/>
  <c r="K768" i="9" a="1"/>
  <c r="K768" i="9" s="1"/>
  <c r="K1188" i="9" a="1"/>
  <c r="K1188" i="9" s="1"/>
  <c r="K1665" i="9" a="1"/>
  <c r="K1665" i="9" s="1"/>
  <c r="K2155" i="9" a="1"/>
  <c r="K2155" i="9" s="1"/>
  <c r="K2645" i="9" a="1"/>
  <c r="K2645" i="9" s="1"/>
  <c r="K3088" i="9" a="1"/>
  <c r="K3088" i="9" s="1"/>
  <c r="K347" i="9" a="1"/>
  <c r="K347" i="9" s="1"/>
  <c r="K769" i="9" a="1"/>
  <c r="K769" i="9" s="1"/>
  <c r="K1189" i="9" a="1"/>
  <c r="K1189" i="9" s="1"/>
  <c r="K1666" i="9" a="1"/>
  <c r="K1666" i="9" s="1"/>
  <c r="K2156" i="9" a="1"/>
  <c r="K2156" i="9" s="1"/>
  <c r="K2646" i="9" a="1"/>
  <c r="K2646" i="9" s="1"/>
  <c r="K3089" i="9" a="1"/>
  <c r="K3089" i="9" s="1"/>
  <c r="K348" i="9" a="1"/>
  <c r="K348" i="9" s="1"/>
  <c r="K770" i="9" a="1"/>
  <c r="K770" i="9" s="1"/>
  <c r="K1190" i="9" a="1"/>
  <c r="K1190" i="9" s="1"/>
  <c r="K1667" i="9" a="1"/>
  <c r="K1667" i="9" s="1"/>
  <c r="K2157" i="9" a="1"/>
  <c r="K2157" i="9" s="1"/>
  <c r="K2647" i="9" a="1"/>
  <c r="K2647" i="9" s="1"/>
  <c r="K3090" i="9" a="1"/>
  <c r="K3090" i="9" s="1"/>
  <c r="K349" i="9" a="1"/>
  <c r="K349" i="9" s="1"/>
  <c r="K771" i="9" a="1"/>
  <c r="K771" i="9" s="1"/>
  <c r="K1191" i="9" a="1"/>
  <c r="K1191" i="9" s="1"/>
  <c r="K1668" i="9" a="1"/>
  <c r="K1668" i="9" s="1"/>
  <c r="K2158" i="9" a="1"/>
  <c r="K2158" i="9" s="1"/>
  <c r="K2648" i="9" a="1"/>
  <c r="K2648" i="9" s="1"/>
  <c r="K3091" i="9" a="1"/>
  <c r="K3091" i="9" s="1"/>
  <c r="K1669" i="9" a="1"/>
  <c r="K1669" i="9" s="1"/>
  <c r="K2159" i="9" a="1"/>
  <c r="K2159" i="9"/>
  <c r="K2649" i="9" a="1"/>
  <c r="K2649" i="9" s="1"/>
  <c r="K3092" i="9" a="1"/>
  <c r="K3092" i="9" s="1"/>
  <c r="K350" i="9" a="1"/>
  <c r="K350" i="9" s="1"/>
  <c r="K772" i="9" a="1"/>
  <c r="K772" i="9" s="1"/>
  <c r="K1192" i="9" a="1"/>
  <c r="K1192" i="9" s="1"/>
  <c r="K1670" i="9" a="1"/>
  <c r="K1670" i="9" s="1"/>
  <c r="K2160" i="9" a="1"/>
  <c r="K2160" i="9" s="1"/>
  <c r="K2650" i="9" a="1"/>
  <c r="K2650" i="9" s="1"/>
  <c r="K3093" i="9" a="1"/>
  <c r="K3093" i="9" s="1"/>
  <c r="K351" i="9" a="1"/>
  <c r="K351" i="9" s="1"/>
  <c r="K773" i="9" a="1"/>
  <c r="K773" i="9" s="1"/>
  <c r="K1193" i="9" a="1"/>
  <c r="K1193" i="9" s="1"/>
  <c r="K1671" i="9" a="1"/>
  <c r="K1671" i="9" s="1"/>
  <c r="K2161" i="9" a="1"/>
  <c r="K2161" i="9" s="1"/>
  <c r="K2651" i="9" a="1"/>
  <c r="K2651" i="9" s="1"/>
  <c r="K3094" i="9" a="1"/>
  <c r="K3094" i="9"/>
  <c r="K352" i="9" a="1"/>
  <c r="K352" i="9" s="1"/>
  <c r="K774" i="9" a="1"/>
  <c r="K774" i="9" s="1"/>
  <c r="K1194" i="9" a="1"/>
  <c r="K1194" i="9" s="1"/>
  <c r="K1672" i="9" a="1"/>
  <c r="K1672" i="9" s="1"/>
  <c r="K2162" i="9" a="1"/>
  <c r="K2162" i="9" s="1"/>
  <c r="K2652" i="9" a="1"/>
  <c r="K2652" i="9" s="1"/>
  <c r="K3095" i="9" a="1"/>
  <c r="K3095" i="9" s="1"/>
  <c r="K353" i="9" a="1"/>
  <c r="K353" i="9" s="1"/>
  <c r="K775" i="9" a="1"/>
  <c r="K775" i="9" s="1"/>
  <c r="K1195" i="9" a="1"/>
  <c r="K1195" i="9" s="1"/>
  <c r="K1673" i="9" a="1"/>
  <c r="K1673" i="9" s="1"/>
  <c r="K2163" i="9" a="1"/>
  <c r="K2163" i="9" s="1"/>
  <c r="K2653" i="9" a="1"/>
  <c r="K2653" i="9" s="1"/>
  <c r="K3096" i="9" a="1"/>
  <c r="K3096" i="9" s="1"/>
  <c r="K354" i="9" a="1"/>
  <c r="K354" i="9" s="1"/>
  <c r="K776" i="9" a="1"/>
  <c r="K776" i="9" s="1"/>
  <c r="K1196" i="9" a="1"/>
  <c r="K1196" i="9" s="1"/>
  <c r="K1674" i="9" a="1"/>
  <c r="K1674" i="9" s="1"/>
  <c r="K2164" i="9" a="1"/>
  <c r="K2164" i="9" s="1"/>
  <c r="K2654" i="9" a="1"/>
  <c r="K2654" i="9" s="1"/>
  <c r="K3097" i="9" a="1"/>
  <c r="K3097" i="9" s="1"/>
  <c r="K355" i="9" a="1"/>
  <c r="K355" i="9" s="1"/>
  <c r="K777" i="9" a="1"/>
  <c r="K777" i="9" s="1"/>
  <c r="K1197" i="9" a="1"/>
  <c r="K1197" i="9" s="1"/>
  <c r="K1675" i="9" a="1"/>
  <c r="K1675" i="9" s="1"/>
  <c r="K2165" i="9" a="1"/>
  <c r="K2165" i="9" s="1"/>
  <c r="K2655" i="9" a="1"/>
  <c r="K2655" i="9" s="1"/>
  <c r="K1676" i="9" a="1"/>
  <c r="K1676" i="9" s="1"/>
  <c r="K2166" i="9" a="1"/>
  <c r="K2166" i="9" s="1"/>
  <c r="K2656" i="9" a="1"/>
  <c r="K2656" i="9" s="1"/>
  <c r="K3098" i="9" a="1"/>
  <c r="K3098" i="9" s="1"/>
  <c r="K356" i="9" a="1"/>
  <c r="K356" i="9" s="1"/>
  <c r="K778" i="9" a="1"/>
  <c r="K778" i="9" s="1"/>
  <c r="K1198" i="9" a="1"/>
  <c r="K1198" i="9" s="1"/>
  <c r="K1677" i="9" a="1"/>
  <c r="K1677" i="9" s="1"/>
  <c r="K2167" i="9" a="1"/>
  <c r="K2167" i="9" s="1"/>
  <c r="K2657" i="9" a="1"/>
  <c r="K2657" i="9" s="1"/>
  <c r="K3099" i="9" a="1"/>
  <c r="K3099" i="9" s="1"/>
  <c r="K357" i="9" a="1"/>
  <c r="K357" i="9" s="1"/>
  <c r="K779" i="9" a="1"/>
  <c r="K779" i="9" s="1"/>
  <c r="K1199" i="9" a="1"/>
  <c r="K1199" i="9" s="1"/>
  <c r="K1678" i="9" a="1"/>
  <c r="K1678" i="9" s="1"/>
  <c r="K2168" i="9" a="1"/>
  <c r="K2168" i="9" s="1"/>
  <c r="K2658" i="9" a="1"/>
  <c r="K2658" i="9" s="1"/>
  <c r="K3100" i="9" a="1"/>
  <c r="K3100" i="9" s="1"/>
  <c r="K358" i="9" a="1"/>
  <c r="K358" i="9" s="1"/>
  <c r="K780" i="9" a="1"/>
  <c r="K780" i="9" s="1"/>
  <c r="K1200" i="9" a="1"/>
  <c r="K1200" i="9" s="1"/>
  <c r="K1679" i="9" a="1"/>
  <c r="K1679" i="9" s="1"/>
  <c r="K2169" i="9" a="1"/>
  <c r="K2169" i="9" s="1"/>
  <c r="K2659" i="9" a="1"/>
  <c r="K2659" i="9" s="1"/>
  <c r="K3101" i="9" a="1"/>
  <c r="K3101" i="9" s="1"/>
  <c r="K359" i="9" a="1"/>
  <c r="K359" i="9" s="1"/>
  <c r="K781" i="9" a="1"/>
  <c r="K781" i="9" s="1"/>
  <c r="K1201" i="9" a="1"/>
  <c r="K1201" i="9" s="1"/>
  <c r="K1680" i="9" a="1"/>
  <c r="K1680" i="9" s="1"/>
  <c r="K2170" i="9" a="1"/>
  <c r="K2170" i="9" s="1"/>
  <c r="K2660" i="9" a="1"/>
  <c r="K2660" i="9" s="1"/>
  <c r="K3102" i="9" a="1"/>
  <c r="K3102" i="9" s="1"/>
  <c r="K360" i="9" a="1"/>
  <c r="K360" i="9" s="1"/>
  <c r="K782" i="9" a="1"/>
  <c r="K782" i="9" s="1"/>
  <c r="K1202" i="9" a="1"/>
  <c r="K1202" i="9" s="1"/>
  <c r="K1681" i="9" a="1"/>
  <c r="K1681" i="9" s="1"/>
  <c r="K2171" i="9" a="1"/>
  <c r="K2171" i="9" s="1"/>
  <c r="K2661" i="9" a="1"/>
  <c r="K2661" i="9" s="1"/>
  <c r="K3103" i="9" a="1"/>
  <c r="K3103" i="9" s="1"/>
  <c r="K361" i="9" a="1"/>
  <c r="K361" i="9" s="1"/>
  <c r="K783" i="9" a="1"/>
  <c r="K783" i="9" s="1"/>
  <c r="K1203" i="9" a="1"/>
  <c r="K1203" i="9" s="1"/>
  <c r="K1682" i="9" a="1"/>
  <c r="K1682" i="9" s="1"/>
  <c r="K2172" i="9" a="1"/>
  <c r="K2172" i="9" s="1"/>
  <c r="K2662" i="9" a="1"/>
  <c r="K2662" i="9" s="1"/>
  <c r="K1683" i="9" a="1"/>
  <c r="K1683" i="9" s="1"/>
  <c r="K2173" i="9" a="1"/>
  <c r="K2173" i="9" s="1"/>
  <c r="K2663" i="9" a="1"/>
  <c r="K2663" i="9" s="1"/>
  <c r="K3104" i="9" a="1"/>
  <c r="K3104" i="9" s="1"/>
  <c r="K362" i="9" a="1"/>
  <c r="K362" i="9" s="1"/>
  <c r="K784" i="9" a="1"/>
  <c r="K784" i="9" s="1"/>
  <c r="K1204" i="9" a="1"/>
  <c r="K1204" i="9" s="1"/>
  <c r="K1684" i="9" a="1"/>
  <c r="K1684" i="9" s="1"/>
  <c r="K2174" i="9" a="1"/>
  <c r="K2174" i="9" s="1"/>
  <c r="K2664" i="9" a="1"/>
  <c r="K2664" i="9" s="1"/>
  <c r="K3105" i="9" a="1"/>
  <c r="K3105" i="9" s="1"/>
  <c r="K363" i="9" a="1"/>
  <c r="K363" i="9" s="1"/>
  <c r="K785" i="9" a="1"/>
  <c r="K785" i="9" s="1"/>
  <c r="K1205" i="9" a="1"/>
  <c r="K1205" i="9" s="1"/>
  <c r="K1685" i="9" a="1"/>
  <c r="K1685" i="9" s="1"/>
  <c r="K2175" i="9" a="1"/>
  <c r="K2175" i="9" s="1"/>
  <c r="K2665" i="9" a="1"/>
  <c r="K2665" i="9" s="1"/>
  <c r="K3106" i="9" a="1"/>
  <c r="K3106" i="9" s="1"/>
  <c r="K364" i="9" a="1"/>
  <c r="K364" i="9" s="1"/>
  <c r="K786" i="9" a="1"/>
  <c r="K786" i="9" s="1"/>
  <c r="K1206" i="9" a="1"/>
  <c r="K1206" i="9" s="1"/>
  <c r="K1686" i="9" a="1"/>
  <c r="K1686" i="9" s="1"/>
  <c r="K2176" i="9" a="1"/>
  <c r="K2176" i="9" s="1"/>
  <c r="K2666" i="9" a="1"/>
  <c r="K2666" i="9" s="1"/>
  <c r="K3107" i="9" a="1"/>
  <c r="K3107" i="9" s="1"/>
  <c r="K365" i="9" a="1"/>
  <c r="K365" i="9" s="1"/>
  <c r="K787" i="9" a="1"/>
  <c r="K787" i="9" s="1"/>
  <c r="K1207" i="9" a="1"/>
  <c r="K1207" i="9" s="1"/>
  <c r="K1687" i="9" a="1"/>
  <c r="K1687" i="9" s="1"/>
  <c r="K2177" i="9" a="1"/>
  <c r="K2177" i="9" s="1"/>
  <c r="K2667" i="9" a="1"/>
  <c r="K2667" i="9" s="1"/>
  <c r="K3108" i="9" a="1"/>
  <c r="K3108" i="9" s="1"/>
  <c r="K366" i="9" a="1"/>
  <c r="K366" i="9" s="1"/>
  <c r="K788" i="9" a="1"/>
  <c r="K788" i="9" s="1"/>
  <c r="K1208" i="9" a="1"/>
  <c r="K1208" i="9" s="1"/>
  <c r="K1688" i="9" a="1"/>
  <c r="K1688" i="9" s="1"/>
  <c r="K2178" i="9" a="1"/>
  <c r="K2178" i="9" s="1"/>
  <c r="K2668" i="9" a="1"/>
  <c r="K2668" i="9" s="1"/>
  <c r="K3109" i="9" a="1"/>
  <c r="K3109" i="9" s="1"/>
  <c r="K367" i="9" a="1"/>
  <c r="K367" i="9" s="1"/>
  <c r="K789" i="9" a="1"/>
  <c r="K789" i="9" s="1"/>
  <c r="K1209" i="9" a="1"/>
  <c r="K1209" i="9" s="1"/>
  <c r="K1689" i="9" a="1"/>
  <c r="K1689" i="9" s="1"/>
  <c r="K2179" i="9" a="1"/>
  <c r="K2179" i="9" s="1"/>
  <c r="K2669" i="9" a="1"/>
  <c r="K2669" i="9" s="1"/>
  <c r="K1690" i="9" a="1"/>
  <c r="K1690" i="9" s="1"/>
  <c r="K2180" i="9" a="1"/>
  <c r="K2180" i="9" s="1"/>
  <c r="K2670" i="9" a="1"/>
  <c r="K2670" i="9" s="1"/>
  <c r="K3110" i="9" a="1"/>
  <c r="K3110" i="9" s="1"/>
  <c r="K368" i="9" a="1"/>
  <c r="K368" i="9" s="1"/>
  <c r="K790" i="9" a="1"/>
  <c r="K790" i="9" s="1"/>
  <c r="K1210" i="9" a="1"/>
  <c r="K1210" i="9" s="1"/>
  <c r="K1691" i="9" a="1"/>
  <c r="K1691" i="9" s="1"/>
  <c r="K2181" i="9" a="1"/>
  <c r="K2181" i="9" s="1"/>
  <c r="K2671" i="9" a="1"/>
  <c r="K2671" i="9" s="1"/>
  <c r="K3111" i="9" a="1"/>
  <c r="K3111" i="9" s="1"/>
  <c r="K369" i="9" a="1"/>
  <c r="K369" i="9" s="1"/>
  <c r="K791" i="9" a="1"/>
  <c r="K791" i="9" s="1"/>
  <c r="K1211" i="9" a="1"/>
  <c r="K1211" i="9" s="1"/>
  <c r="K1692" i="9" a="1"/>
  <c r="K1692" i="9" s="1"/>
  <c r="K2182" i="9" a="1"/>
  <c r="K2182" i="9" s="1"/>
  <c r="K2672" i="9" a="1"/>
  <c r="K2672" i="9" s="1"/>
  <c r="K3112" i="9" a="1"/>
  <c r="K3112" i="9" s="1"/>
  <c r="K370" i="9" a="1"/>
  <c r="K370" i="9" s="1"/>
  <c r="K792" i="9" a="1"/>
  <c r="K792" i="9" s="1"/>
  <c r="K1212" i="9" a="1"/>
  <c r="K1212" i="9" s="1"/>
  <c r="K1693" i="9" a="1"/>
  <c r="K1693" i="9" s="1"/>
  <c r="K2183" i="9" a="1"/>
  <c r="K2183" i="9" s="1"/>
  <c r="K2673" i="9" a="1"/>
  <c r="K2673" i="9" s="1"/>
  <c r="K3113" i="9" a="1"/>
  <c r="K3113" i="9" s="1"/>
  <c r="K371" i="9" a="1"/>
  <c r="K371" i="9" s="1"/>
  <c r="K793" i="9" a="1"/>
  <c r="K793" i="9" s="1"/>
  <c r="K1213" i="9" a="1"/>
  <c r="K1213" i="9" s="1"/>
  <c r="K1694" i="9" a="1"/>
  <c r="K1694" i="9" s="1"/>
  <c r="K2184" i="9" a="1"/>
  <c r="K2184" i="9" s="1"/>
  <c r="K2674" i="9" a="1"/>
  <c r="K2674" i="9" s="1"/>
  <c r="K3114" i="9" a="1"/>
  <c r="K3114" i="9" s="1"/>
  <c r="K372" i="9" a="1"/>
  <c r="K372" i="9" s="1"/>
  <c r="K794" i="9" a="1"/>
  <c r="K794" i="9" s="1"/>
  <c r="K1214" i="9" a="1"/>
  <c r="K1214" i="9" s="1"/>
  <c r="K1695" i="9" a="1"/>
  <c r="K1695" i="9" s="1"/>
  <c r="K2185" i="9" a="1"/>
  <c r="K2185" i="9" s="1"/>
  <c r="K2675" i="9" a="1"/>
  <c r="K2675" i="9" s="1"/>
  <c r="K3115" i="9" a="1"/>
  <c r="K3115" i="9" s="1"/>
  <c r="K373" i="9" a="1"/>
  <c r="K373" i="9" s="1"/>
  <c r="K795" i="9" a="1"/>
  <c r="K795" i="9" s="1"/>
  <c r="K1215" i="9" a="1"/>
  <c r="K1215" i="9" s="1"/>
  <c r="K1696" i="9" a="1"/>
  <c r="K1696" i="9" s="1"/>
  <c r="K2186" i="9" a="1"/>
  <c r="K2186" i="9" s="1"/>
  <c r="K2676" i="9" a="1"/>
  <c r="K2676" i="9" s="1"/>
  <c r="K1697" i="9" a="1"/>
  <c r="K1697" i="9" s="1"/>
  <c r="K2187" i="9" a="1"/>
  <c r="K2187" i="9" s="1"/>
  <c r="K2677" i="9" a="1"/>
  <c r="K2677" i="9" s="1"/>
  <c r="K3116" i="9" a="1"/>
  <c r="K3116" i="9" s="1"/>
  <c r="K374" i="9" a="1"/>
  <c r="K374" i="9" s="1"/>
  <c r="K796" i="9" a="1"/>
  <c r="K796" i="9" s="1"/>
  <c r="K1216" i="9" a="1"/>
  <c r="K1216" i="9" s="1"/>
  <c r="K1698" i="9" a="1"/>
  <c r="K1698" i="9" s="1"/>
  <c r="K2188" i="9" a="1"/>
  <c r="K2188" i="9" s="1"/>
  <c r="K2678" i="9" a="1"/>
  <c r="K2678" i="9" s="1"/>
  <c r="K3117" i="9" a="1"/>
  <c r="K3117" i="9" s="1"/>
  <c r="K375" i="9" a="1"/>
  <c r="K375" i="9" s="1"/>
  <c r="K797" i="9" a="1"/>
  <c r="K797" i="9" s="1"/>
  <c r="K1217" i="9" a="1"/>
  <c r="K1217" i="9" s="1"/>
  <c r="K1699" i="9" a="1"/>
  <c r="K1699" i="9" s="1"/>
  <c r="K2189" i="9" a="1"/>
  <c r="K2189" i="9" s="1"/>
  <c r="K2679" i="9" a="1"/>
  <c r="K2679" i="9" s="1"/>
  <c r="K3118" i="9" a="1"/>
  <c r="K3118" i="9" s="1"/>
  <c r="K376" i="9" a="1"/>
  <c r="K376" i="9" s="1"/>
  <c r="K798" i="9" a="1"/>
  <c r="K798" i="9" s="1"/>
  <c r="K1218" i="9" a="1"/>
  <c r="K1218" i="9" s="1"/>
  <c r="K1700" i="9" a="1"/>
  <c r="K1700" i="9" s="1"/>
  <c r="K2190" i="9" a="1"/>
  <c r="K2190" i="9" s="1"/>
  <c r="K2680" i="9" a="1"/>
  <c r="K2680" i="9" s="1"/>
  <c r="K3119" i="9" a="1"/>
  <c r="K3119" i="9" s="1"/>
  <c r="K377" i="9" a="1"/>
  <c r="K377" i="9" s="1"/>
  <c r="K799" i="9" a="1"/>
  <c r="K799" i="9" s="1"/>
  <c r="K1219" i="9" a="1"/>
  <c r="K1219" i="9" s="1"/>
  <c r="K1701" i="9" a="1"/>
  <c r="K1701" i="9" s="1"/>
  <c r="K2191" i="9" a="1"/>
  <c r="K2191" i="9" s="1"/>
  <c r="K2681" i="9" a="1"/>
  <c r="K2681" i="9" s="1"/>
  <c r="K3120" i="9" a="1"/>
  <c r="K3120" i="9" s="1"/>
  <c r="K378" i="9" a="1"/>
  <c r="K378" i="9" s="1"/>
  <c r="K800" i="9" a="1"/>
  <c r="K800" i="9" s="1"/>
  <c r="K1220" i="9" a="1"/>
  <c r="K1220" i="9" s="1"/>
  <c r="K1702" i="9" a="1"/>
  <c r="K1702" i="9" s="1"/>
  <c r="K2192" i="9" a="1"/>
  <c r="K2192" i="9" s="1"/>
  <c r="K2682" i="9" a="1"/>
  <c r="K2682" i="9" s="1"/>
  <c r="K3121" i="9" a="1"/>
  <c r="K3121" i="9" s="1"/>
  <c r="K379" i="9" a="1"/>
  <c r="K379" i="9" s="1"/>
  <c r="K801" i="9" a="1"/>
  <c r="K801" i="9" s="1"/>
  <c r="K1221" i="9" a="1"/>
  <c r="K1221" i="9" s="1"/>
  <c r="K1703" i="9" a="1"/>
  <c r="K1703" i="9" s="1"/>
  <c r="K2193" i="9" a="1"/>
  <c r="K2193" i="9" s="1"/>
  <c r="K2683" i="9" a="1"/>
  <c r="K2683" i="9" s="1"/>
  <c r="K1704" i="9" a="1"/>
  <c r="K1704" i="9" s="1"/>
  <c r="K2194" i="9" a="1"/>
  <c r="K2194" i="9" s="1"/>
  <c r="K2684" i="9" a="1"/>
  <c r="K2684" i="9" s="1"/>
  <c r="K3122" i="9" a="1"/>
  <c r="K3122" i="9" s="1"/>
  <c r="K380" i="9" a="1"/>
  <c r="K380" i="9" s="1"/>
  <c r="K802" i="9" a="1"/>
  <c r="K802" i="9" s="1"/>
  <c r="K1222" i="9" a="1"/>
  <c r="K1222" i="9" s="1"/>
  <c r="K1705" i="9" a="1"/>
  <c r="K1705" i="9" s="1"/>
  <c r="K2195" i="9" a="1"/>
  <c r="K2195" i="9" s="1"/>
  <c r="K2685" i="9" a="1"/>
  <c r="K2685" i="9" s="1"/>
  <c r="K3123" i="9" a="1"/>
  <c r="K3123" i="9" s="1"/>
  <c r="K381" i="9" a="1"/>
  <c r="K381" i="9" s="1"/>
  <c r="K803" i="9" a="1"/>
  <c r="K803" i="9" s="1"/>
  <c r="K1223" i="9" a="1"/>
  <c r="K1223" i="9" s="1"/>
  <c r="K1706" i="9" a="1"/>
  <c r="K1706" i="9" s="1"/>
  <c r="K2196" i="9" a="1"/>
  <c r="K2196" i="9" s="1"/>
  <c r="K2686" i="9" a="1"/>
  <c r="K2686" i="9" s="1"/>
  <c r="K3124" i="9" a="1"/>
  <c r="K3124" i="9" s="1"/>
  <c r="K382" i="9" a="1"/>
  <c r="K382" i="9" s="1"/>
  <c r="K804" i="9" a="1"/>
  <c r="K804" i="9" s="1"/>
  <c r="K1224" i="9" a="1"/>
  <c r="K1224" i="9" s="1"/>
  <c r="K1707" i="9" a="1"/>
  <c r="K1707" i="9" s="1"/>
  <c r="K2197" i="9" a="1"/>
  <c r="K2197" i="9" s="1"/>
  <c r="K2687" i="9" a="1"/>
  <c r="K2687" i="9" s="1"/>
  <c r="K3125" i="9" a="1"/>
  <c r="K3125" i="9" s="1"/>
  <c r="K383" i="9" a="1"/>
  <c r="K383" i="9" s="1"/>
  <c r="K805" i="9" a="1"/>
  <c r="K805" i="9" s="1"/>
  <c r="K1225" i="9" a="1"/>
  <c r="K1225" i="9" s="1"/>
  <c r="K1708" i="9" a="1"/>
  <c r="K1708" i="9" s="1"/>
  <c r="K2198" i="9" a="1"/>
  <c r="K2198" i="9" s="1"/>
  <c r="K2688" i="9" a="1"/>
  <c r="K2688" i="9" s="1"/>
  <c r="K3126" i="9" a="1"/>
  <c r="K3126" i="9" s="1"/>
  <c r="K384" i="9" a="1"/>
  <c r="K384" i="9" s="1"/>
  <c r="K806" i="9" a="1"/>
  <c r="K806" i="9" s="1"/>
  <c r="K1226" i="9" a="1"/>
  <c r="K1226" i="9" s="1"/>
  <c r="K1709" i="9" a="1"/>
  <c r="K1709" i="9" s="1"/>
  <c r="K2199" i="9" a="1"/>
  <c r="K2199" i="9" s="1"/>
  <c r="K2689" i="9" a="1"/>
  <c r="K2689" i="9" s="1"/>
  <c r="K3127" i="9" a="1"/>
  <c r="K3127" i="9" s="1"/>
  <c r="K385" i="9" a="1"/>
  <c r="K385" i="9" s="1"/>
  <c r="K807" i="9" a="1"/>
  <c r="K807" i="9" s="1"/>
  <c r="K1227" i="9" a="1"/>
  <c r="K1227" i="9" s="1"/>
  <c r="K1710" i="9" a="1"/>
  <c r="K1710" i="9" s="1"/>
  <c r="K2200" i="9" a="1"/>
  <c r="K2200" i="9" s="1"/>
  <c r="K2690" i="9" a="1"/>
  <c r="K2690" i="9" s="1"/>
  <c r="K1711" i="9" a="1"/>
  <c r="K1711" i="9" s="1"/>
  <c r="K2201" i="9" a="1"/>
  <c r="K2201" i="9" s="1"/>
  <c r="K2691" i="9" a="1"/>
  <c r="K2691" i="9" s="1"/>
  <c r="K3128" i="9" a="1"/>
  <c r="K3128" i="9" s="1"/>
  <c r="K386" i="9" a="1"/>
  <c r="K386" i="9" s="1"/>
  <c r="K808" i="9" a="1"/>
  <c r="K808" i="9" s="1"/>
  <c r="K1228" i="9" a="1"/>
  <c r="K1228" i="9" s="1"/>
  <c r="K1712" i="9" a="1"/>
  <c r="K1712" i="9" s="1"/>
  <c r="K2202" i="9" a="1"/>
  <c r="K2202" i="9" s="1"/>
  <c r="K2692" i="9" a="1"/>
  <c r="K2692" i="9" s="1"/>
  <c r="K3129" i="9" a="1"/>
  <c r="K3129" i="9" s="1"/>
  <c r="K387" i="9" a="1"/>
  <c r="K387" i="9" s="1"/>
  <c r="K809" i="9" a="1"/>
  <c r="K809" i="9" s="1"/>
  <c r="K1229" i="9" a="1"/>
  <c r="K1229" i="9" s="1"/>
  <c r="K1713" i="9" a="1"/>
  <c r="K1713" i="9" s="1"/>
  <c r="K2203" i="9" a="1"/>
  <c r="K2203" i="9" s="1"/>
  <c r="K2693" i="9" a="1"/>
  <c r="K2693" i="9" s="1"/>
  <c r="K3130" i="9" a="1"/>
  <c r="K3130" i="9" s="1"/>
  <c r="K388" i="9" a="1"/>
  <c r="K388" i="9" s="1"/>
  <c r="K810" i="9" a="1"/>
  <c r="K810" i="9" s="1"/>
  <c r="K1230" i="9" a="1"/>
  <c r="K1230" i="9" s="1"/>
  <c r="K1714" i="9" a="1"/>
  <c r="K1714" i="9" s="1"/>
  <c r="K2204" i="9" a="1"/>
  <c r="K2204" i="9" s="1"/>
  <c r="K2694" i="9" a="1"/>
  <c r="K2694" i="9" s="1"/>
  <c r="K3131" i="9" a="1"/>
  <c r="K3131" i="9" s="1"/>
  <c r="K389" i="9" a="1"/>
  <c r="K389" i="9" s="1"/>
  <c r="K811" i="9" a="1"/>
  <c r="K811" i="9" s="1"/>
  <c r="K1231" i="9" a="1"/>
  <c r="K1231" i="9" s="1"/>
  <c r="K1715" i="9" a="1"/>
  <c r="K1715" i="9" s="1"/>
  <c r="K2205" i="9" a="1"/>
  <c r="K2205" i="9" s="1"/>
  <c r="K2695" i="9" a="1"/>
  <c r="K2695" i="9" s="1"/>
  <c r="K3132" i="9" a="1"/>
  <c r="K3132" i="9" s="1"/>
  <c r="K390" i="9" a="1"/>
  <c r="K390" i="9" s="1"/>
  <c r="K812" i="9" a="1"/>
  <c r="K812" i="9" s="1"/>
  <c r="K1232" i="9" a="1"/>
  <c r="K1232" i="9" s="1"/>
  <c r="K1716" i="9" a="1"/>
  <c r="K1716" i="9" s="1"/>
  <c r="K2206" i="9" a="1"/>
  <c r="K2206" i="9" s="1"/>
  <c r="K2696" i="9" a="1"/>
  <c r="K2696" i="9" s="1"/>
  <c r="K3133" i="9" a="1"/>
  <c r="K3133" i="9" s="1"/>
  <c r="K391" i="9" a="1"/>
  <c r="K391" i="9" s="1"/>
  <c r="K813" i="9" a="1"/>
  <c r="K813" i="9" s="1"/>
  <c r="K1233" i="9" a="1"/>
  <c r="K1233" i="9" s="1"/>
  <c r="K1717" i="9" a="1"/>
  <c r="K1717" i="9" s="1"/>
  <c r="K2207" i="9" a="1"/>
  <c r="K2207" i="9" s="1"/>
  <c r="K2697" i="9" a="1"/>
  <c r="K2697" i="9" s="1"/>
  <c r="K1718" i="9" a="1"/>
  <c r="K1718" i="9" s="1"/>
  <c r="K2208" i="9" a="1"/>
  <c r="K2208" i="9" s="1"/>
  <c r="K2698" i="9" a="1"/>
  <c r="K2698" i="9" s="1"/>
  <c r="K3134" i="9" a="1"/>
  <c r="K3134" i="9" s="1"/>
  <c r="K392" i="9" a="1"/>
  <c r="K392" i="9" s="1"/>
  <c r="K814" i="9" a="1"/>
  <c r="K814" i="9" s="1"/>
  <c r="K1234" i="9" a="1"/>
  <c r="K1234" i="9" s="1"/>
  <c r="K1719" i="9" a="1"/>
  <c r="K1719" i="9" s="1"/>
  <c r="K2209" i="9" a="1"/>
  <c r="K2209" i="9" s="1"/>
  <c r="K2699" i="9" a="1"/>
  <c r="K2699" i="9" s="1"/>
  <c r="K3135" i="9" a="1"/>
  <c r="K3135" i="9" s="1"/>
  <c r="K393" i="9" a="1"/>
  <c r="K393" i="9" s="1"/>
  <c r="K815" i="9" a="1"/>
  <c r="K815" i="9" s="1"/>
  <c r="K1235" i="9" a="1"/>
  <c r="K1235" i="9" s="1"/>
  <c r="K1720" i="9" a="1"/>
  <c r="K1720" i="9" s="1"/>
  <c r="K2210" i="9" a="1"/>
  <c r="K2210" i="9" s="1"/>
  <c r="K2700" i="9" a="1"/>
  <c r="K2700" i="9" s="1"/>
  <c r="K3136" i="9" a="1"/>
  <c r="K3136" i="9" s="1"/>
  <c r="K394" i="9" a="1"/>
  <c r="K394" i="9" s="1"/>
  <c r="K816" i="9" a="1"/>
  <c r="K816" i="9" s="1"/>
  <c r="K1236" i="9" a="1"/>
  <c r="K1236" i="9" s="1"/>
  <c r="K1721" i="9" a="1"/>
  <c r="K1721" i="9" s="1"/>
  <c r="K2211" i="9" a="1"/>
  <c r="K2211" i="9" s="1"/>
  <c r="K2701" i="9" a="1"/>
  <c r="K2701" i="9" s="1"/>
  <c r="K3137" i="9" a="1"/>
  <c r="K3137" i="9" s="1"/>
  <c r="K395" i="9" a="1"/>
  <c r="K395" i="9" s="1"/>
  <c r="K817" i="9" a="1"/>
  <c r="K817" i="9" s="1"/>
  <c r="K1237" i="9" a="1"/>
  <c r="K1237" i="9" s="1"/>
  <c r="K1722" i="9" a="1"/>
  <c r="K1722" i="9" s="1"/>
  <c r="K2212" i="9" a="1"/>
  <c r="K2212" i="9" s="1"/>
  <c r="K2702" i="9" a="1"/>
  <c r="K2702" i="9" s="1"/>
  <c r="K3138" i="9" a="1"/>
  <c r="K3138" i="9" s="1"/>
  <c r="K396" i="9" a="1"/>
  <c r="K396" i="9" s="1"/>
  <c r="K818" i="9" a="1"/>
  <c r="K818" i="9" s="1"/>
  <c r="K1238" i="9" a="1"/>
  <c r="K1238" i="9" s="1"/>
  <c r="K1723" i="9" a="1"/>
  <c r="K1723" i="9" s="1"/>
  <c r="K2213" i="9" a="1"/>
  <c r="K2213" i="9" s="1"/>
  <c r="K2703" i="9" a="1"/>
  <c r="K2703" i="9" s="1"/>
  <c r="K3139" i="9" a="1"/>
  <c r="K3139" i="9" s="1"/>
  <c r="K397" i="9" a="1"/>
  <c r="K397" i="9" s="1"/>
  <c r="K819" i="9" a="1"/>
  <c r="K819" i="9" s="1"/>
  <c r="K1239" i="9" a="1"/>
  <c r="K1239" i="9" s="1"/>
  <c r="K1724" i="9" a="1"/>
  <c r="K1724" i="9" s="1"/>
  <c r="K2214" i="9" a="1"/>
  <c r="K2214" i="9" s="1"/>
  <c r="K2704" i="9" a="1"/>
  <c r="K2704" i="9" s="1"/>
  <c r="K1725" i="9" a="1"/>
  <c r="K1725" i="9" s="1"/>
  <c r="K2215" i="9" a="1"/>
  <c r="K2215" i="9" s="1"/>
  <c r="K2705" i="9" a="1"/>
  <c r="K2705" i="9" s="1"/>
  <c r="K3140" i="9" a="1"/>
  <c r="K3140" i="9" s="1"/>
  <c r="K398" i="9" a="1"/>
  <c r="K398" i="9" s="1"/>
  <c r="K820" i="9" a="1"/>
  <c r="K820" i="9" s="1"/>
  <c r="K1240" i="9" a="1"/>
  <c r="K1240" i="9" s="1"/>
  <c r="K1726" i="9" a="1"/>
  <c r="K1726" i="9" s="1"/>
  <c r="K2216" i="9" a="1"/>
  <c r="K2216" i="9" s="1"/>
  <c r="K2706" i="9" a="1"/>
  <c r="K2706" i="9" s="1"/>
  <c r="K3141" i="9" a="1"/>
  <c r="K3141" i="9" s="1"/>
  <c r="K399" i="9" a="1"/>
  <c r="K399" i="9" s="1"/>
  <c r="K821" i="9" a="1"/>
  <c r="K821" i="9" s="1"/>
  <c r="K1241" i="9" a="1"/>
  <c r="K1241" i="9" s="1"/>
  <c r="K1727" i="9" a="1"/>
  <c r="K1727" i="9" s="1"/>
  <c r="K2217" i="9" a="1"/>
  <c r="K2217" i="9" s="1"/>
  <c r="K2707" i="9" a="1"/>
  <c r="K2707" i="9" s="1"/>
  <c r="K3142" i="9" a="1"/>
  <c r="K3142" i="9" s="1"/>
  <c r="K400" i="9" a="1"/>
  <c r="K400" i="9" s="1"/>
  <c r="K822" i="9" a="1"/>
  <c r="K822" i="9" s="1"/>
  <c r="K1242" i="9" a="1"/>
  <c r="K1242" i="9" s="1"/>
  <c r="K1728" i="9" a="1"/>
  <c r="K1728" i="9" s="1"/>
  <c r="K2218" i="9" a="1"/>
  <c r="K2218" i="9" s="1"/>
  <c r="K2708" i="9" a="1"/>
  <c r="K2708" i="9" s="1"/>
  <c r="K3143" i="9" a="1"/>
  <c r="K3143" i="9" s="1"/>
  <c r="K401" i="9" a="1"/>
  <c r="K401" i="9" s="1"/>
  <c r="K823" i="9" a="1"/>
  <c r="K823" i="9" s="1"/>
  <c r="K1243" i="9" a="1"/>
  <c r="K1243" i="9" s="1"/>
  <c r="K1729" i="9" a="1"/>
  <c r="K1729" i="9" s="1"/>
  <c r="K2219" i="9" a="1"/>
  <c r="K2219" i="9" s="1"/>
  <c r="K2709" i="9" a="1"/>
  <c r="K2709" i="9" s="1"/>
  <c r="K3144" i="9" a="1"/>
  <c r="K3144" i="9" s="1"/>
  <c r="K402" i="9" a="1"/>
  <c r="K402" i="9" s="1"/>
  <c r="K824" i="9" a="1"/>
  <c r="K824" i="9" s="1"/>
  <c r="K1244" i="9" a="1"/>
  <c r="K1244" i="9" s="1"/>
  <c r="K1730" i="9" a="1"/>
  <c r="K1730" i="9" s="1"/>
  <c r="K2220" i="9" a="1"/>
  <c r="K2220" i="9" s="1"/>
  <c r="K2710" i="9" a="1"/>
  <c r="K2710" i="9" s="1"/>
  <c r="K3145" i="9" a="1"/>
  <c r="K3145" i="9" s="1"/>
  <c r="K403" i="9" a="1"/>
  <c r="K403" i="9" s="1"/>
  <c r="K825" i="9" a="1"/>
  <c r="K825" i="9" s="1"/>
  <c r="K1245" i="9" a="1"/>
  <c r="K1245" i="9" s="1"/>
  <c r="K1731" i="9" a="1"/>
  <c r="K1731" i="9" s="1"/>
  <c r="K2221" i="9" a="1"/>
  <c r="K2221" i="9" s="1"/>
  <c r="K2711" i="9" a="1"/>
  <c r="K2711" i="9" s="1"/>
  <c r="K1732" i="9" a="1"/>
  <c r="K1732" i="9" s="1"/>
  <c r="K2222" i="9" a="1"/>
  <c r="K2222" i="9" s="1"/>
  <c r="K2712" i="9" a="1"/>
  <c r="K2712" i="9" s="1"/>
  <c r="K3146" i="9" a="1"/>
  <c r="K3146" i="9" s="1"/>
  <c r="K404" i="9" a="1"/>
  <c r="K404" i="9" s="1"/>
  <c r="K826" i="9" a="1"/>
  <c r="K826" i="9" s="1"/>
  <c r="K1246" i="9" a="1"/>
  <c r="K1246" i="9" s="1"/>
  <c r="K1733" i="9" a="1"/>
  <c r="K1733" i="9" s="1"/>
  <c r="K2223" i="9" a="1"/>
  <c r="K2223" i="9" s="1"/>
  <c r="K2713" i="9" a="1"/>
  <c r="K2713" i="9" s="1"/>
  <c r="K3147" i="9" a="1"/>
  <c r="K3147" i="9" s="1"/>
  <c r="K405" i="9" a="1"/>
  <c r="K405" i="9" s="1"/>
  <c r="K827" i="9" a="1"/>
  <c r="K827" i="9" s="1"/>
  <c r="K1247" i="9" a="1"/>
  <c r="K1247" i="9" s="1"/>
  <c r="K1734" i="9" a="1"/>
  <c r="K1734" i="9" s="1"/>
  <c r="K2224" i="9" a="1"/>
  <c r="K2224" i="9" s="1"/>
  <c r="K2714" i="9" a="1"/>
  <c r="K2714" i="9" s="1"/>
  <c r="K3148" i="9" a="1"/>
  <c r="K3148" i="9" s="1"/>
  <c r="K406" i="9" a="1"/>
  <c r="K406" i="9" s="1"/>
  <c r="K828" i="9" a="1"/>
  <c r="K828" i="9" s="1"/>
  <c r="K1248" i="9" a="1"/>
  <c r="K1248" i="9" s="1"/>
  <c r="K1735" i="9" a="1"/>
  <c r="K1735" i="9" s="1"/>
  <c r="K2225" i="9" a="1"/>
  <c r="K2225" i="9" s="1"/>
  <c r="K2715" i="9" a="1"/>
  <c r="K2715" i="9" s="1"/>
  <c r="K3149" i="9" a="1"/>
  <c r="K3149" i="9" s="1"/>
  <c r="K407" i="9" a="1"/>
  <c r="K407" i="9" s="1"/>
  <c r="K829" i="9" a="1"/>
  <c r="K829" i="9" s="1"/>
  <c r="K1249" i="9" a="1"/>
  <c r="K1249" i="9" s="1"/>
  <c r="K1736" i="9" a="1"/>
  <c r="K1736" i="9" s="1"/>
  <c r="K2226" i="9" a="1"/>
  <c r="K2226" i="9" s="1"/>
  <c r="K2716" i="9" a="1"/>
  <c r="K2716" i="9" s="1"/>
  <c r="K3150" i="9" a="1"/>
  <c r="K3150" i="9" s="1"/>
  <c r="K408" i="9" a="1"/>
  <c r="K408" i="9" s="1"/>
  <c r="K830" i="9" a="1"/>
  <c r="K830" i="9" s="1"/>
  <c r="K1250" i="9" a="1"/>
  <c r="K1250" i="9" s="1"/>
  <c r="K1737" i="9" a="1"/>
  <c r="K1737" i="9" s="1"/>
  <c r="K2227" i="9" a="1"/>
  <c r="K2227" i="9" s="1"/>
  <c r="K2717" i="9" a="1"/>
  <c r="K2717" i="9" s="1"/>
  <c r="K3151" i="9" a="1"/>
  <c r="K3151" i="9" s="1"/>
  <c r="K409" i="9" a="1"/>
  <c r="K409" i="9" s="1"/>
  <c r="K831" i="9" a="1"/>
  <c r="K831" i="9" s="1"/>
  <c r="K1251" i="9" a="1"/>
  <c r="K1251" i="9" s="1"/>
  <c r="K1738" i="9" a="1"/>
  <c r="K1738" i="9" s="1"/>
  <c r="K2228" i="9" a="1"/>
  <c r="K2228" i="9" s="1"/>
  <c r="K2718" i="9" a="1"/>
  <c r="K2718" i="9" s="1"/>
  <c r="K1739" i="9" a="1"/>
  <c r="K1739" i="9" s="1"/>
  <c r="K2229" i="9" a="1"/>
  <c r="K2229" i="9" s="1"/>
  <c r="K2719" i="9" a="1"/>
  <c r="K2719" i="9" s="1"/>
  <c r="K3152" i="9" a="1"/>
  <c r="K3152" i="9" s="1"/>
  <c r="K410" i="9" a="1"/>
  <c r="K410" i="9" s="1"/>
  <c r="K832" i="9" a="1"/>
  <c r="K832" i="9" s="1"/>
  <c r="K1252" i="9" a="1"/>
  <c r="K1252" i="9" s="1"/>
  <c r="K1740" i="9" a="1"/>
  <c r="K1740" i="9" s="1"/>
  <c r="K2230" i="9" a="1"/>
  <c r="K2230" i="9" s="1"/>
  <c r="K2720" i="9" a="1"/>
  <c r="K2720" i="9" s="1"/>
  <c r="K3153" i="9" a="1"/>
  <c r="K3153" i="9" s="1"/>
  <c r="K411" i="9" a="1"/>
  <c r="K411" i="9" s="1"/>
  <c r="K833" i="9" a="1"/>
  <c r="K833" i="9" s="1"/>
  <c r="K1253" i="9" a="1"/>
  <c r="K1253" i="9" s="1"/>
  <c r="K1741" i="9" a="1"/>
  <c r="K1741" i="9" s="1"/>
  <c r="K2231" i="9" a="1"/>
  <c r="K2231" i="9" s="1"/>
  <c r="K2721" i="9" a="1"/>
  <c r="K2721" i="9" s="1"/>
  <c r="K3154" i="9" a="1"/>
  <c r="K3154" i="9" s="1"/>
  <c r="K412" i="9" a="1"/>
  <c r="K412" i="9" s="1"/>
  <c r="K834" i="9" a="1"/>
  <c r="K834" i="9" s="1"/>
  <c r="K1254" i="9" a="1"/>
  <c r="K1254" i="9" s="1"/>
  <c r="K1742" i="9" a="1"/>
  <c r="K1742" i="9" s="1"/>
  <c r="K2232" i="9" a="1"/>
  <c r="K2232" i="9" s="1"/>
  <c r="K2722" i="9" a="1"/>
  <c r="K2722" i="9" s="1"/>
  <c r="K3155" i="9" a="1"/>
  <c r="K3155" i="9" s="1"/>
  <c r="K413" i="9" a="1"/>
  <c r="K413" i="9" s="1"/>
  <c r="K835" i="9" a="1"/>
  <c r="K835" i="9" s="1"/>
  <c r="K1255" i="9" a="1"/>
  <c r="K1255" i="9"/>
  <c r="K1743" i="9" a="1"/>
  <c r="K1743" i="9" s="1"/>
  <c r="K2233" i="9" a="1"/>
  <c r="K2233" i="9" s="1"/>
  <c r="K2723" i="9" a="1"/>
  <c r="K2723" i="9" s="1"/>
  <c r="K3156" i="9" a="1"/>
  <c r="K3156" i="9" s="1"/>
  <c r="K414" i="9" a="1"/>
  <c r="K414" i="9" s="1"/>
  <c r="K836" i="9" a="1"/>
  <c r="K836" i="9" s="1"/>
  <c r="K1256" i="9" a="1"/>
  <c r="K1256" i="9" s="1"/>
  <c r="K1744" i="9" a="1"/>
  <c r="K1744" i="9" s="1"/>
  <c r="K2234" i="9" a="1"/>
  <c r="K2234" i="9" s="1"/>
  <c r="K2724" i="9" a="1"/>
  <c r="K2724" i="9" s="1"/>
  <c r="K3157" i="9" a="1"/>
  <c r="K3157" i="9" s="1"/>
  <c r="K415" i="9" a="1"/>
  <c r="K415" i="9" s="1"/>
  <c r="K837" i="9" a="1"/>
  <c r="K837" i="9" s="1"/>
  <c r="K1257" i="9" a="1"/>
  <c r="K1257" i="9" s="1"/>
  <c r="K1745" i="9" a="1"/>
  <c r="K1745" i="9" s="1"/>
  <c r="K2235" i="9" a="1"/>
  <c r="K2235" i="9" s="1"/>
  <c r="K2725" i="9" a="1"/>
  <c r="K2725" i="9" s="1"/>
  <c r="K1746" i="9" a="1"/>
  <c r="K1746" i="9" s="1"/>
  <c r="K2236" i="9" a="1"/>
  <c r="K2236" i="9" s="1"/>
  <c r="K2726" i="9" a="1"/>
  <c r="K2726" i="9" s="1"/>
  <c r="K3158" i="9" a="1"/>
  <c r="K3158" i="9" s="1"/>
  <c r="K416" i="9" a="1"/>
  <c r="K416" i="9" s="1"/>
  <c r="K838" i="9" a="1"/>
  <c r="K838" i="9" s="1"/>
  <c r="K1258" i="9" a="1"/>
  <c r="K1258" i="9" s="1"/>
  <c r="K1747" i="9" a="1"/>
  <c r="K1747" i="9" s="1"/>
  <c r="K2237" i="9" a="1"/>
  <c r="K2237" i="9" s="1"/>
  <c r="K2727" i="9" a="1"/>
  <c r="K2727" i="9" s="1"/>
  <c r="K3159" i="9" a="1"/>
  <c r="K3159" i="9" s="1"/>
  <c r="K417" i="9" a="1"/>
  <c r="K417" i="9" s="1"/>
  <c r="K839" i="9" a="1"/>
  <c r="K839" i="9" s="1"/>
  <c r="K1259" i="9" a="1"/>
  <c r="K1259" i="9" s="1"/>
  <c r="K1748" i="9" a="1"/>
  <c r="K1748" i="9" s="1"/>
  <c r="K2238" i="9" a="1"/>
  <c r="K2238" i="9" s="1"/>
  <c r="K2728" i="9" a="1"/>
  <c r="K2728" i="9" s="1"/>
  <c r="K3160" i="9" a="1"/>
  <c r="K3160" i="9" s="1"/>
  <c r="K418" i="9" a="1"/>
  <c r="K418" i="9" s="1"/>
  <c r="K840" i="9" a="1"/>
  <c r="K840" i="9" s="1"/>
  <c r="K1260" i="9" a="1"/>
  <c r="K1260" i="9" s="1"/>
  <c r="K1749" i="9" a="1"/>
  <c r="K1749" i="9" s="1"/>
  <c r="K2239" i="9" a="1"/>
  <c r="K2239" i="9" s="1"/>
  <c r="K2729" i="9" a="1"/>
  <c r="K2729" i="9" s="1"/>
  <c r="K3161" i="9" a="1"/>
  <c r="K3161" i="9" s="1"/>
  <c r="K419" i="9" a="1"/>
  <c r="K419" i="9" s="1"/>
  <c r="K841" i="9" a="1"/>
  <c r="K841" i="9" s="1"/>
  <c r="K1261" i="9" a="1"/>
  <c r="K1261" i="9" s="1"/>
  <c r="K1750" i="9" a="1"/>
  <c r="K1750" i="9" s="1"/>
  <c r="K2240" i="9" a="1"/>
  <c r="K2240" i="9" s="1"/>
  <c r="K2730" i="9" a="1"/>
  <c r="K2730" i="9" s="1"/>
  <c r="K3162" i="9" a="1"/>
  <c r="K3162" i="9" s="1"/>
  <c r="K420" i="9" a="1"/>
  <c r="K420" i="9" s="1"/>
  <c r="K842" i="9" a="1"/>
  <c r="K842" i="9" s="1"/>
  <c r="K1262" i="9" a="1"/>
  <c r="K1262" i="9" s="1"/>
  <c r="K1751" i="9" a="1"/>
  <c r="K1751" i="9" s="1"/>
  <c r="K2241" i="9" a="1"/>
  <c r="K2241" i="9" s="1"/>
  <c r="K2731" i="9" a="1"/>
  <c r="K2731" i="9" s="1"/>
  <c r="K3163" i="9" a="1"/>
  <c r="K3163" i="9" s="1"/>
  <c r="K421" i="9" a="1"/>
  <c r="K421" i="9" s="1"/>
  <c r="K843" i="9" a="1"/>
  <c r="K843" i="9" s="1"/>
  <c r="K1263" i="9" a="1"/>
  <c r="K1263" i="9" s="1"/>
  <c r="K1752" i="9" a="1"/>
  <c r="K1752" i="9" s="1"/>
  <c r="K2242" i="9" a="1"/>
  <c r="K2242" i="9" s="1"/>
  <c r="K2732" i="9" a="1"/>
  <c r="K2732" i="9" s="1"/>
  <c r="K1753" i="9" a="1"/>
  <c r="K1753" i="9" s="1"/>
  <c r="K2243" i="9" a="1"/>
  <c r="K2243" i="9"/>
  <c r="K2733" i="9" a="1"/>
  <c r="K2733" i="9" s="1"/>
  <c r="K3164" i="9" a="1"/>
  <c r="K3164" i="9" s="1"/>
  <c r="K422" i="9" a="1"/>
  <c r="K422" i="9" s="1"/>
  <c r="K844" i="9" a="1"/>
  <c r="K844" i="9" s="1"/>
  <c r="K1264" i="9" a="1"/>
  <c r="K1264" i="9" s="1"/>
  <c r="K1754" i="9" a="1"/>
  <c r="K1754" i="9" s="1"/>
  <c r="K2244" i="9" a="1"/>
  <c r="K2244" i="9" s="1"/>
  <c r="K2734" i="9" a="1"/>
  <c r="K2734" i="9" s="1"/>
  <c r="K3165" i="9" a="1"/>
  <c r="K3165" i="9" s="1"/>
  <c r="K423" i="9" a="1"/>
  <c r="K423" i="9" s="1"/>
  <c r="K845" i="9" a="1"/>
  <c r="K845" i="9" s="1"/>
  <c r="K1265" i="9" a="1"/>
  <c r="K1265" i="9" s="1"/>
  <c r="K1755" i="9" a="1"/>
  <c r="K1755" i="9" s="1"/>
  <c r="K2245" i="9" a="1"/>
  <c r="K2245" i="9" s="1"/>
  <c r="K2735" i="9" a="1"/>
  <c r="K2735" i="9" s="1"/>
  <c r="K3166" i="9" a="1"/>
  <c r="K3166" i="9"/>
  <c r="K424" i="9" a="1"/>
  <c r="K424" i="9" s="1"/>
  <c r="K846" i="9" a="1"/>
  <c r="K846" i="9" s="1"/>
  <c r="K1266" i="9" a="1"/>
  <c r="K1266" i="9" s="1"/>
  <c r="K1756" i="9" a="1"/>
  <c r="K1756" i="9" s="1"/>
  <c r="K2246" i="9" a="1"/>
  <c r="K2246" i="9" s="1"/>
  <c r="K2736" i="9" a="1"/>
  <c r="K2736" i="9" s="1"/>
  <c r="K3167" i="9" a="1"/>
  <c r="K3167" i="9" s="1"/>
  <c r="K425" i="9" a="1"/>
  <c r="K425" i="9" s="1"/>
  <c r="K847" i="9" a="1"/>
  <c r="K847" i="9" s="1"/>
  <c r="K1267" i="9" a="1"/>
  <c r="K1267" i="9" s="1"/>
  <c r="K1757" i="9" a="1"/>
  <c r="K1757" i="9" s="1"/>
  <c r="K2247" i="9" a="1"/>
  <c r="K2247" i="9" s="1"/>
  <c r="K2737" i="9" a="1"/>
  <c r="K2737" i="9" s="1"/>
  <c r="K3168" i="9" a="1"/>
  <c r="K3168" i="9" s="1"/>
  <c r="K426" i="9" a="1"/>
  <c r="K426" i="9" s="1"/>
  <c r="K848" i="9" a="1"/>
  <c r="K848" i="9" s="1"/>
  <c r="K1268" i="9" a="1"/>
  <c r="K1268" i="9" s="1"/>
  <c r="K1758" i="9" a="1"/>
  <c r="K1758" i="9" s="1"/>
  <c r="K2248" i="9" a="1"/>
  <c r="K2248" i="9" s="1"/>
  <c r="K2738" i="9" a="1"/>
  <c r="K2738" i="9" s="1"/>
  <c r="K3169" i="9" a="1"/>
  <c r="K3169" i="9" s="1"/>
  <c r="K427" i="9" a="1"/>
  <c r="K427" i="9" s="1"/>
  <c r="K849" i="9" a="1"/>
  <c r="K849" i="9" s="1"/>
  <c r="K1269" i="9" a="1"/>
  <c r="K1269" i="9" s="1"/>
  <c r="K1759" i="9" a="1"/>
  <c r="K1759" i="9" s="1"/>
  <c r="K2249" i="9" a="1"/>
  <c r="K2249" i="9" s="1"/>
  <c r="K2739" i="9" a="1"/>
  <c r="K2739" i="9" s="1"/>
  <c r="K3170" i="9" a="1"/>
  <c r="K3170" i="9" s="1"/>
  <c r="L1270" i="9"/>
  <c r="L1760" i="9"/>
  <c r="L2250" i="9"/>
  <c r="L2740" i="9"/>
  <c r="L428" i="9"/>
  <c r="L850" i="9"/>
  <c r="L1271" i="9"/>
  <c r="L1761" i="9"/>
  <c r="L2251" i="9"/>
  <c r="L2741" i="9"/>
  <c r="L3" i="9"/>
  <c r="L429" i="9"/>
  <c r="L851" i="9"/>
  <c r="L1272" i="9"/>
  <c r="L1762" i="9"/>
  <c r="L2252" i="9"/>
  <c r="L2742" i="9"/>
  <c r="L4" i="9"/>
  <c r="L430" i="9"/>
  <c r="L852" i="9"/>
  <c r="L1273" i="9"/>
  <c r="L1763" i="9"/>
  <c r="L2253" i="9"/>
  <c r="L2743" i="9"/>
  <c r="L5" i="9"/>
  <c r="L431" i="9"/>
  <c r="L853" i="9"/>
  <c r="L1274" i="9"/>
  <c r="L1764" i="9"/>
  <c r="L2254" i="9"/>
  <c r="L2744" i="9"/>
  <c r="L6" i="9"/>
  <c r="L432" i="9"/>
  <c r="L854" i="9"/>
  <c r="L1275" i="9"/>
  <c r="L1765" i="9"/>
  <c r="L2255" i="9"/>
  <c r="L2745" i="9"/>
  <c r="L7" i="9"/>
  <c r="L433" i="9"/>
  <c r="L855" i="9"/>
  <c r="L1276" i="9"/>
  <c r="L1766" i="9"/>
  <c r="L2256" i="9"/>
  <c r="L1277" i="9"/>
  <c r="L1767" i="9"/>
  <c r="L2257" i="9"/>
  <c r="L2746" i="9"/>
  <c r="L8" i="9"/>
  <c r="L434" i="9"/>
  <c r="L856" i="9"/>
  <c r="L1278" i="9"/>
  <c r="L1768" i="9"/>
  <c r="L2258" i="9"/>
  <c r="L2747" i="9"/>
  <c r="L9" i="9"/>
  <c r="L435" i="9"/>
  <c r="L857" i="9"/>
  <c r="L1279" i="9"/>
  <c r="L1769" i="9"/>
  <c r="L2259" i="9"/>
  <c r="L2748" i="9"/>
  <c r="L10" i="9"/>
  <c r="L436" i="9"/>
  <c r="L858" i="9"/>
  <c r="L1280" i="9"/>
  <c r="L1770" i="9"/>
  <c r="L2260" i="9"/>
  <c r="L2749" i="9"/>
  <c r="L11" i="9"/>
  <c r="L437" i="9"/>
  <c r="L859" i="9"/>
  <c r="L1281" i="9"/>
  <c r="L1771" i="9"/>
  <c r="L2261" i="9"/>
  <c r="L2750" i="9"/>
  <c r="L12" i="9"/>
  <c r="L438" i="9"/>
  <c r="L860" i="9"/>
  <c r="L1282" i="9"/>
  <c r="L1772" i="9"/>
  <c r="L2262" i="9"/>
  <c r="L2751" i="9"/>
  <c r="L13" i="9"/>
  <c r="L439" i="9"/>
  <c r="L861" i="9"/>
  <c r="L1283" i="9"/>
  <c r="L1773" i="9"/>
  <c r="L2263" i="9"/>
  <c r="L1284" i="9"/>
  <c r="L1774" i="9"/>
  <c r="L2264" i="9"/>
  <c r="L2752" i="9"/>
  <c r="L14" i="9"/>
  <c r="L440" i="9"/>
  <c r="L862" i="9"/>
  <c r="L1285" i="9"/>
  <c r="L1775" i="9"/>
  <c r="L2265" i="9"/>
  <c r="L2753" i="9"/>
  <c r="L15" i="9"/>
  <c r="L441" i="9"/>
  <c r="L863" i="9"/>
  <c r="L1286" i="9"/>
  <c r="L1776" i="9"/>
  <c r="L2266" i="9"/>
  <c r="L2754" i="9"/>
  <c r="L16" i="9"/>
  <c r="L442" i="9"/>
  <c r="L864" i="9"/>
  <c r="L1287" i="9"/>
  <c r="L1777" i="9"/>
  <c r="L2267" i="9"/>
  <c r="L2755" i="9"/>
  <c r="L17" i="9"/>
  <c r="L443" i="9"/>
  <c r="L865" i="9"/>
  <c r="L1288" i="9"/>
  <c r="L1778" i="9"/>
  <c r="L2268" i="9"/>
  <c r="L2756" i="9"/>
  <c r="L18" i="9"/>
  <c r="L444" i="9"/>
  <c r="L866" i="9"/>
  <c r="L1289" i="9"/>
  <c r="L1779" i="9"/>
  <c r="L2269" i="9"/>
  <c r="L2757" i="9"/>
  <c r="L19" i="9"/>
  <c r="L445" i="9"/>
  <c r="L867" i="9"/>
  <c r="L1290" i="9"/>
  <c r="L1780" i="9"/>
  <c r="L2270" i="9"/>
  <c r="L2758" i="9"/>
  <c r="L20" i="9"/>
  <c r="L1291" i="9"/>
  <c r="L1781" i="9"/>
  <c r="L2271" i="9"/>
  <c r="L2759" i="9"/>
  <c r="L21" i="9"/>
  <c r="L446" i="9"/>
  <c r="L868" i="9"/>
  <c r="L1292" i="9"/>
  <c r="L1782" i="9"/>
  <c r="L2272" i="9"/>
  <c r="L2760" i="9"/>
  <c r="L22" i="9"/>
  <c r="L447" i="9"/>
  <c r="L869" i="9"/>
  <c r="L1293" i="9"/>
  <c r="L1783" i="9"/>
  <c r="L2273" i="9"/>
  <c r="L2761" i="9"/>
  <c r="L23" i="9"/>
  <c r="L448" i="9"/>
  <c r="L870" i="9"/>
  <c r="L1294" i="9"/>
  <c r="L1784" i="9"/>
  <c r="L2274" i="9"/>
  <c r="L2762" i="9"/>
  <c r="L24" i="9"/>
  <c r="L449" i="9"/>
  <c r="L871" i="9"/>
  <c r="L1295" i="9"/>
  <c r="L1785" i="9"/>
  <c r="L2275" i="9"/>
  <c r="L2763" i="9"/>
  <c r="L25" i="9"/>
  <c r="L450" i="9"/>
  <c r="L872" i="9"/>
  <c r="L1296" i="9"/>
  <c r="L1786" i="9"/>
  <c r="L2276" i="9"/>
  <c r="L2764" i="9"/>
  <c r="L26" i="9"/>
  <c r="L451" i="9"/>
  <c r="L873" i="9"/>
  <c r="L1297" i="9"/>
  <c r="L1787" i="9"/>
  <c r="L2277" i="9"/>
  <c r="L2765" i="9"/>
  <c r="L27" i="9"/>
  <c r="L452" i="9"/>
  <c r="L1298" i="9"/>
  <c r="L1788" i="9"/>
  <c r="L2278" i="9"/>
  <c r="L2766" i="9"/>
  <c r="L28" i="9"/>
  <c r="L453" i="9"/>
  <c r="L874" i="9"/>
  <c r="L1299" i="9"/>
  <c r="L1789" i="9"/>
  <c r="L2279" i="9"/>
  <c r="L2767" i="9"/>
  <c r="L29" i="9"/>
  <c r="L454" i="9"/>
  <c r="L875" i="9"/>
  <c r="L1300" i="9"/>
  <c r="L1790" i="9"/>
  <c r="L2280" i="9"/>
  <c r="L2768" i="9"/>
  <c r="L30" i="9"/>
  <c r="L455" i="9"/>
  <c r="L876" i="9"/>
  <c r="L1301" i="9"/>
  <c r="L1791" i="9"/>
  <c r="L2281" i="9"/>
  <c r="L2769" i="9"/>
  <c r="L31" i="9"/>
  <c r="L456" i="9"/>
  <c r="L877" i="9"/>
  <c r="L1302" i="9"/>
  <c r="L1792" i="9"/>
  <c r="L2282" i="9"/>
  <c r="L2770" i="9"/>
  <c r="L32" i="9"/>
  <c r="L457" i="9"/>
  <c r="L878" i="9"/>
  <c r="L1303" i="9"/>
  <c r="L1793" i="9"/>
  <c r="L2283" i="9"/>
  <c r="L2771" i="9"/>
  <c r="L33" i="9"/>
  <c r="L458" i="9"/>
  <c r="L879" i="9"/>
  <c r="L1304" i="9"/>
  <c r="L1794" i="9"/>
  <c r="L2284" i="9"/>
  <c r="L1305" i="9"/>
  <c r="L1795" i="9"/>
  <c r="L2285" i="9"/>
  <c r="L2772" i="9"/>
  <c r="L34" i="9"/>
  <c r="L459" i="9"/>
  <c r="L880" i="9"/>
  <c r="L1306" i="9"/>
  <c r="L1796" i="9"/>
  <c r="L2286" i="9"/>
  <c r="L2773" i="9"/>
  <c r="L35" i="9"/>
  <c r="L460" i="9"/>
  <c r="L881" i="9"/>
  <c r="L1307" i="9"/>
  <c r="L1797" i="9"/>
  <c r="L2287" i="9"/>
  <c r="L2774" i="9"/>
  <c r="L36" i="9"/>
  <c r="L461" i="9"/>
  <c r="L882" i="9"/>
  <c r="L1308" i="9"/>
  <c r="L1798" i="9"/>
  <c r="L2288" i="9"/>
  <c r="L2775" i="9"/>
  <c r="L37" i="9"/>
  <c r="L462" i="9"/>
  <c r="L883" i="9"/>
  <c r="L1309" i="9"/>
  <c r="L1799" i="9"/>
  <c r="L2289" i="9"/>
  <c r="L2776" i="9"/>
  <c r="L38" i="9"/>
  <c r="L463" i="9"/>
  <c r="L884" i="9"/>
  <c r="L1310" i="9"/>
  <c r="L1800" i="9"/>
  <c r="L2290" i="9"/>
  <c r="L2777" i="9"/>
  <c r="L39" i="9"/>
  <c r="L464" i="9"/>
  <c r="L885" i="9"/>
  <c r="L1311" i="9"/>
  <c r="L1801" i="9"/>
  <c r="L2291" i="9"/>
  <c r="L1312" i="9"/>
  <c r="L1802" i="9"/>
  <c r="L2292" i="9"/>
  <c r="L2778" i="9"/>
  <c r="L40" i="9"/>
  <c r="L465" i="9"/>
  <c r="L886" i="9"/>
  <c r="L1313" i="9"/>
  <c r="L1803" i="9"/>
  <c r="L2293" i="9"/>
  <c r="L2779" i="9"/>
  <c r="L41" i="9"/>
  <c r="L466" i="9"/>
  <c r="L887" i="9"/>
  <c r="L1314" i="9"/>
  <c r="L1804" i="9"/>
  <c r="L2294" i="9"/>
  <c r="L2780" i="9"/>
  <c r="L42" i="9"/>
  <c r="L467" i="9"/>
  <c r="L888" i="9"/>
  <c r="L1315" i="9"/>
  <c r="L1805" i="9"/>
  <c r="L2295" i="9"/>
  <c r="L2781" i="9"/>
  <c r="L43" i="9"/>
  <c r="L468" i="9"/>
  <c r="L889" i="9"/>
  <c r="L1316" i="9"/>
  <c r="L1806" i="9"/>
  <c r="L2296" i="9"/>
  <c r="L2782" i="9"/>
  <c r="L44" i="9"/>
  <c r="L469" i="9"/>
  <c r="L890" i="9"/>
  <c r="L1317" i="9"/>
  <c r="L1807" i="9"/>
  <c r="L2297" i="9"/>
  <c r="L2783" i="9"/>
  <c r="L45" i="9"/>
  <c r="L470" i="9"/>
  <c r="L891" i="9"/>
  <c r="L1318" i="9"/>
  <c r="L1808" i="9"/>
  <c r="L2298" i="9"/>
  <c r="L2784" i="9"/>
  <c r="L46" i="9"/>
  <c r="L1319" i="9"/>
  <c r="L1809" i="9"/>
  <c r="L2299" i="9"/>
  <c r="L2785" i="9"/>
  <c r="L47" i="9"/>
  <c r="L471" i="9"/>
  <c r="L892" i="9"/>
  <c r="L1320" i="9"/>
  <c r="L1810" i="9"/>
  <c r="L2300" i="9"/>
  <c r="L2786" i="9"/>
  <c r="L48" i="9"/>
  <c r="L472" i="9"/>
  <c r="L893" i="9"/>
  <c r="L1321" i="9"/>
  <c r="L1811" i="9"/>
  <c r="L2301" i="9"/>
  <c r="L2787" i="9"/>
  <c r="L49" i="9"/>
  <c r="L473" i="9"/>
  <c r="L894" i="9"/>
  <c r="L1322" i="9"/>
  <c r="L1812" i="9"/>
  <c r="L2302" i="9"/>
  <c r="L2788" i="9"/>
  <c r="L50" i="9"/>
  <c r="L474" i="9"/>
  <c r="L895" i="9"/>
  <c r="L1323" i="9"/>
  <c r="L1813" i="9"/>
  <c r="L2303" i="9"/>
  <c r="L2789" i="9"/>
  <c r="L51" i="9"/>
  <c r="L475" i="9"/>
  <c r="L896" i="9"/>
  <c r="L1324" i="9"/>
  <c r="L1814" i="9"/>
  <c r="L2304" i="9"/>
  <c r="L2790" i="9"/>
  <c r="L52" i="9"/>
  <c r="L476" i="9"/>
  <c r="L897" i="9"/>
  <c r="L1325" i="9"/>
  <c r="L1815" i="9"/>
  <c r="L2305" i="9"/>
  <c r="L1326" i="9"/>
  <c r="L1816" i="9"/>
  <c r="L2306" i="9"/>
  <c r="L2791" i="9"/>
  <c r="L53" i="9"/>
  <c r="L477" i="9"/>
  <c r="L898" i="9"/>
  <c r="L1327" i="9"/>
  <c r="L1817" i="9"/>
  <c r="L2307" i="9"/>
  <c r="L2792" i="9"/>
  <c r="L54" i="9"/>
  <c r="L478" i="9"/>
  <c r="L899" i="9"/>
  <c r="L1328" i="9"/>
  <c r="L1818" i="9"/>
  <c r="L2308" i="9"/>
  <c r="L2793" i="9"/>
  <c r="L55" i="9"/>
  <c r="L479" i="9"/>
  <c r="L900" i="9"/>
  <c r="L1329" i="9"/>
  <c r="L1819" i="9"/>
  <c r="L2309" i="9"/>
  <c r="L2794" i="9"/>
  <c r="L56" i="9"/>
  <c r="L480" i="9"/>
  <c r="L901" i="9"/>
  <c r="L1330" i="9"/>
  <c r="L1820" i="9"/>
  <c r="L2310" i="9"/>
  <c r="L2795" i="9"/>
  <c r="L57" i="9"/>
  <c r="L481" i="9"/>
  <c r="L902" i="9"/>
  <c r="L1331" i="9"/>
  <c r="L1821" i="9"/>
  <c r="L2311" i="9"/>
  <c r="L2796" i="9"/>
  <c r="L58" i="9"/>
  <c r="L482" i="9"/>
  <c r="L903" i="9"/>
  <c r="L1332" i="9"/>
  <c r="L1822" i="9"/>
  <c r="L2312" i="9"/>
  <c r="L2797" i="9"/>
  <c r="L1333" i="9"/>
  <c r="L1823" i="9"/>
  <c r="L2313" i="9"/>
  <c r="L2798" i="9"/>
  <c r="L59" i="9"/>
  <c r="L483" i="9"/>
  <c r="L904" i="9"/>
  <c r="L1334" i="9"/>
  <c r="L1824" i="9"/>
  <c r="L2314" i="9"/>
  <c r="L2799" i="9"/>
  <c r="L60" i="9"/>
  <c r="L484" i="9"/>
  <c r="L905" i="9"/>
  <c r="L1335" i="9"/>
  <c r="L1825" i="9"/>
  <c r="L2315" i="9"/>
  <c r="L2800" i="9"/>
  <c r="L61" i="9"/>
  <c r="L485" i="9"/>
  <c r="L906" i="9"/>
  <c r="L1336" i="9"/>
  <c r="L1826" i="9"/>
  <c r="L2316" i="9"/>
  <c r="L2801" i="9"/>
  <c r="L62" i="9"/>
  <c r="L486" i="9"/>
  <c r="L907" i="9"/>
  <c r="L1337" i="9"/>
  <c r="L1827" i="9"/>
  <c r="L2317" i="9"/>
  <c r="L2802" i="9"/>
  <c r="L63" i="9"/>
  <c r="L487" i="9"/>
  <c r="L908" i="9"/>
  <c r="L1338" i="9"/>
  <c r="L1828" i="9"/>
  <c r="L2318" i="9"/>
  <c r="L2803" i="9"/>
  <c r="L64" i="9"/>
  <c r="L488" i="9"/>
  <c r="L909" i="9"/>
  <c r="L1339" i="9"/>
  <c r="L1829" i="9"/>
  <c r="L2319" i="9"/>
  <c r="L1340" i="9"/>
  <c r="L1830" i="9"/>
  <c r="L2320" i="9"/>
  <c r="L2804" i="9"/>
  <c r="L65" i="9"/>
  <c r="L489" i="9"/>
  <c r="L910" i="9"/>
  <c r="L1341" i="9"/>
  <c r="L1831" i="9"/>
  <c r="L2321" i="9"/>
  <c r="L2805" i="9"/>
  <c r="L66" i="9"/>
  <c r="L490" i="9"/>
  <c r="L911" i="9"/>
  <c r="L1342" i="9"/>
  <c r="L1832" i="9"/>
  <c r="L2322" i="9"/>
  <c r="L2806" i="9"/>
  <c r="L67" i="9"/>
  <c r="L491" i="9"/>
  <c r="L912" i="9"/>
  <c r="L1343" i="9"/>
  <c r="L1833" i="9"/>
  <c r="L2323" i="9"/>
  <c r="L2807" i="9"/>
  <c r="L68" i="9"/>
  <c r="L492" i="9"/>
  <c r="L913" i="9"/>
  <c r="L1344" i="9"/>
  <c r="L1834" i="9"/>
  <c r="L2324" i="9"/>
  <c r="L2808" i="9"/>
  <c r="L69" i="9"/>
  <c r="L493" i="9"/>
  <c r="L914" i="9"/>
  <c r="L1345" i="9"/>
  <c r="L1835" i="9"/>
  <c r="L2325" i="9"/>
  <c r="L2809" i="9"/>
  <c r="L70" i="9"/>
  <c r="L494" i="9"/>
  <c r="L915" i="9"/>
  <c r="L1346" i="9"/>
  <c r="L1836" i="9"/>
  <c r="L2326" i="9"/>
  <c r="L2810" i="9"/>
  <c r="L71" i="9"/>
  <c r="L1347" i="9"/>
  <c r="L1837" i="9"/>
  <c r="L2327" i="9"/>
  <c r="L2811" i="9"/>
  <c r="L72" i="9"/>
  <c r="L495" i="9"/>
  <c r="L916" i="9"/>
  <c r="L1348" i="9"/>
  <c r="L1838" i="9"/>
  <c r="L2328" i="9"/>
  <c r="L2812" i="9"/>
  <c r="L73" i="9"/>
  <c r="L496" i="9"/>
  <c r="L917" i="9"/>
  <c r="L1349" i="9"/>
  <c r="L1839" i="9"/>
  <c r="L2329" i="9"/>
  <c r="L2813" i="9"/>
  <c r="L74" i="9"/>
  <c r="L497" i="9"/>
  <c r="L918" i="9"/>
  <c r="L1350" i="9"/>
  <c r="L1840" i="9"/>
  <c r="L2330" i="9"/>
  <c r="L2814" i="9"/>
  <c r="L75" i="9"/>
  <c r="L498" i="9"/>
  <c r="L919" i="9"/>
  <c r="L1351" i="9"/>
  <c r="L1841" i="9"/>
  <c r="L2331" i="9"/>
  <c r="L2815" i="9"/>
  <c r="L76" i="9"/>
  <c r="L499" i="9"/>
  <c r="L920" i="9"/>
  <c r="L1352" i="9"/>
  <c r="L1842" i="9"/>
  <c r="L2332" i="9"/>
  <c r="L2816" i="9"/>
  <c r="L77" i="9"/>
  <c r="L500" i="9"/>
  <c r="L921" i="9"/>
  <c r="L1353" i="9"/>
  <c r="L1843" i="9"/>
  <c r="L2333" i="9"/>
  <c r="L1354" i="9"/>
  <c r="L1844" i="9"/>
  <c r="L2334" i="9"/>
  <c r="L2817" i="9"/>
  <c r="L78" i="9"/>
  <c r="L501" i="9"/>
  <c r="L922" i="9"/>
  <c r="L1355" i="9"/>
  <c r="L1845" i="9"/>
  <c r="L2335" i="9"/>
  <c r="L2818" i="9"/>
  <c r="L79" i="9"/>
  <c r="L502" i="9"/>
  <c r="L923" i="9"/>
  <c r="L1356" i="9"/>
  <c r="L1846" i="9"/>
  <c r="L2336" i="9"/>
  <c r="L2819" i="9"/>
  <c r="L80" i="9"/>
  <c r="L503" i="9"/>
  <c r="L924" i="9"/>
  <c r="L1357" i="9"/>
  <c r="L1847" i="9"/>
  <c r="L2337" i="9"/>
  <c r="L2820" i="9"/>
  <c r="L81" i="9"/>
  <c r="L504" i="9"/>
  <c r="L925" i="9"/>
  <c r="L1358" i="9"/>
  <c r="L1848" i="9"/>
  <c r="L2338" i="9"/>
  <c r="L2821" i="9"/>
  <c r="L82" i="9"/>
  <c r="L505" i="9"/>
  <c r="L926" i="9"/>
  <c r="L1359" i="9"/>
  <c r="L1849" i="9"/>
  <c r="L2339" i="9"/>
  <c r="L2822" i="9"/>
  <c r="L83" i="9"/>
  <c r="L506" i="9"/>
  <c r="L927" i="9"/>
  <c r="L1360" i="9"/>
  <c r="L1850" i="9"/>
  <c r="L2340" i="9"/>
  <c r="L1361" i="9"/>
  <c r="L1851" i="9"/>
  <c r="L2341" i="9"/>
  <c r="L2823" i="9"/>
  <c r="L84" i="9"/>
  <c r="L507" i="9"/>
  <c r="L928" i="9"/>
  <c r="L1362" i="9"/>
  <c r="L1852" i="9"/>
  <c r="L2342" i="9"/>
  <c r="L2824" i="9"/>
  <c r="L85" i="9"/>
  <c r="L508" i="9"/>
  <c r="L929" i="9"/>
  <c r="L1363" i="9"/>
  <c r="L1853" i="9"/>
  <c r="L2343" i="9"/>
  <c r="L2825" i="9"/>
  <c r="L86" i="9"/>
  <c r="L509" i="9"/>
  <c r="L930" i="9"/>
  <c r="L1364" i="9"/>
  <c r="L1854" i="9"/>
  <c r="L2344" i="9"/>
  <c r="L2826" i="9"/>
  <c r="L87" i="9"/>
  <c r="L510" i="9"/>
  <c r="L931" i="9"/>
  <c r="L1365" i="9"/>
  <c r="L1855" i="9"/>
  <c r="L2345" i="9"/>
  <c r="L2827" i="9"/>
  <c r="L88" i="9"/>
  <c r="L511" i="9"/>
  <c r="L932" i="9"/>
  <c r="L1366" i="9"/>
  <c r="L1856" i="9"/>
  <c r="L2346" i="9"/>
  <c r="L2828" i="9"/>
  <c r="L89" i="9"/>
  <c r="L512" i="9"/>
  <c r="L933" i="9"/>
  <c r="L1367" i="9"/>
  <c r="L1857" i="9"/>
  <c r="L2347" i="9"/>
  <c r="L1368" i="9"/>
  <c r="L1858" i="9"/>
  <c r="L2348" i="9"/>
  <c r="L2829" i="9"/>
  <c r="L90" i="9"/>
  <c r="L513" i="9"/>
  <c r="L934" i="9"/>
  <c r="L1369" i="9"/>
  <c r="L1859" i="9"/>
  <c r="L2349" i="9"/>
  <c r="L2830" i="9"/>
  <c r="L91" i="9"/>
  <c r="L514" i="9"/>
  <c r="L935" i="9"/>
  <c r="L1370" i="9"/>
  <c r="L1860" i="9"/>
  <c r="L2350" i="9"/>
  <c r="L2831" i="9"/>
  <c r="L92" i="9"/>
  <c r="L515" i="9"/>
  <c r="L936" i="9"/>
  <c r="L1371" i="9"/>
  <c r="L1861" i="9"/>
  <c r="L2351" i="9"/>
  <c r="L2832" i="9"/>
  <c r="L93" i="9"/>
  <c r="L516" i="9"/>
  <c r="L937" i="9"/>
  <c r="L1372" i="9"/>
  <c r="L1862" i="9"/>
  <c r="L2352" i="9"/>
  <c r="L2833" i="9"/>
  <c r="L94" i="9"/>
  <c r="L517" i="9"/>
  <c r="L938" i="9"/>
  <c r="L1373" i="9"/>
  <c r="L1863" i="9"/>
  <c r="L2353" i="9"/>
  <c r="L2834" i="9"/>
  <c r="L95" i="9"/>
  <c r="L518" i="9"/>
  <c r="L939" i="9"/>
  <c r="L1374" i="9"/>
  <c r="L1864" i="9"/>
  <c r="L2354" i="9"/>
  <c r="L1375" i="9"/>
  <c r="L1865" i="9"/>
  <c r="L2355" i="9"/>
  <c r="L2835" i="9"/>
  <c r="L96" i="9"/>
  <c r="L519" i="9"/>
  <c r="L940" i="9"/>
  <c r="L1376" i="9"/>
  <c r="L1866" i="9"/>
  <c r="L2356" i="9"/>
  <c r="L2836" i="9"/>
  <c r="L97" i="9"/>
  <c r="L520" i="9"/>
  <c r="L941" i="9"/>
  <c r="L1377" i="9"/>
  <c r="L1867" i="9"/>
  <c r="L2357" i="9"/>
  <c r="L2837" i="9"/>
  <c r="L98" i="9"/>
  <c r="L521" i="9"/>
  <c r="L942" i="9"/>
  <c r="L1378" i="9"/>
  <c r="L1868" i="9"/>
  <c r="L2358" i="9"/>
  <c r="L2838" i="9"/>
  <c r="L99" i="9"/>
  <c r="L522" i="9"/>
  <c r="L943" i="9"/>
  <c r="L1379" i="9"/>
  <c r="L1869" i="9"/>
  <c r="L2359" i="9"/>
  <c r="L2839" i="9"/>
  <c r="L100" i="9"/>
  <c r="L523" i="9"/>
  <c r="L944" i="9"/>
  <c r="L1380" i="9"/>
  <c r="L1870" i="9"/>
  <c r="L2360" i="9"/>
  <c r="L2840" i="9"/>
  <c r="L101" i="9"/>
  <c r="L524" i="9"/>
  <c r="L945" i="9"/>
  <c r="L1381" i="9"/>
  <c r="L1871" i="9"/>
  <c r="L2361" i="9"/>
  <c r="L2841" i="9"/>
  <c r="L1382" i="9"/>
  <c r="L1872" i="9"/>
  <c r="L2362" i="9"/>
  <c r="L2842" i="9"/>
  <c r="L102" i="9"/>
  <c r="L525" i="9"/>
  <c r="L946" i="9"/>
  <c r="L1383" i="9"/>
  <c r="L1873" i="9"/>
  <c r="L2363" i="9"/>
  <c r="L2843" i="9"/>
  <c r="L103" i="9"/>
  <c r="L526" i="9"/>
  <c r="L947" i="9"/>
  <c r="L1384" i="9"/>
  <c r="L1874" i="9"/>
  <c r="L2364" i="9"/>
  <c r="L2844" i="9"/>
  <c r="L104" i="9"/>
  <c r="L527" i="9"/>
  <c r="L948" i="9"/>
  <c r="L1385" i="9"/>
  <c r="L1875" i="9"/>
  <c r="L2365" i="9"/>
  <c r="L2845" i="9"/>
  <c r="L105" i="9"/>
  <c r="L528" i="9"/>
  <c r="L949" i="9"/>
  <c r="L1386" i="9"/>
  <c r="L1876" i="9"/>
  <c r="L2366" i="9"/>
  <c r="L2846" i="9"/>
  <c r="L106" i="9"/>
  <c r="L529" i="9"/>
  <c r="L950" i="9"/>
  <c r="L1387" i="9"/>
  <c r="L1877" i="9"/>
  <c r="L2367" i="9"/>
  <c r="L2847" i="9"/>
  <c r="L107" i="9"/>
  <c r="L530" i="9"/>
  <c r="L951" i="9"/>
  <c r="L1388" i="9"/>
  <c r="L1878" i="9"/>
  <c r="L2368" i="9"/>
  <c r="L1389" i="9"/>
  <c r="L1879" i="9"/>
  <c r="L2369" i="9"/>
  <c r="L2848" i="9"/>
  <c r="L108" i="9"/>
  <c r="L531" i="9"/>
  <c r="L952" i="9"/>
  <c r="L1390" i="9"/>
  <c r="L1880" i="9"/>
  <c r="L2370" i="9"/>
  <c r="L2849" i="9"/>
  <c r="L109" i="9"/>
  <c r="L532" i="9"/>
  <c r="L953" i="9"/>
  <c r="L1391" i="9"/>
  <c r="L1881" i="9"/>
  <c r="L2371" i="9"/>
  <c r="L2850" i="9"/>
  <c r="L110" i="9"/>
  <c r="L533" i="9"/>
  <c r="L954" i="9"/>
  <c r="L1392" i="9"/>
  <c r="L1882" i="9"/>
  <c r="L2372" i="9"/>
  <c r="L2851" i="9"/>
  <c r="L111" i="9"/>
  <c r="L534" i="9"/>
  <c r="L955" i="9"/>
  <c r="L1393" i="9"/>
  <c r="L1883" i="9"/>
  <c r="L2373" i="9"/>
  <c r="L2852" i="9"/>
  <c r="L112" i="9"/>
  <c r="L535" i="9"/>
  <c r="L956" i="9"/>
  <c r="L1394" i="9"/>
  <c r="L1884" i="9"/>
  <c r="L2374" i="9"/>
  <c r="L2853" i="9"/>
  <c r="L113" i="9"/>
  <c r="L536" i="9"/>
  <c r="L957" i="9"/>
  <c r="L1395" i="9"/>
  <c r="L1885" i="9"/>
  <c r="L2375" i="9"/>
  <c r="L1396" i="9"/>
  <c r="L1886" i="9"/>
  <c r="L2376" i="9"/>
  <c r="L2854" i="9"/>
  <c r="L114" i="9"/>
  <c r="L537" i="9"/>
  <c r="L958" i="9"/>
  <c r="L1397" i="9"/>
  <c r="L1887" i="9"/>
  <c r="L2377" i="9"/>
  <c r="L2855" i="9"/>
  <c r="L115" i="9"/>
  <c r="L538" i="9"/>
  <c r="L959" i="9"/>
  <c r="L1398" i="9"/>
  <c r="L1888" i="9"/>
  <c r="L2378" i="9"/>
  <c r="L2856" i="9"/>
  <c r="L116" i="9"/>
  <c r="L539" i="9"/>
  <c r="L960" i="9"/>
  <c r="L1399" i="9"/>
  <c r="L1889" i="9"/>
  <c r="L2379" i="9"/>
  <c r="L2857" i="9"/>
  <c r="L117" i="9"/>
  <c r="L540" i="9"/>
  <c r="L961" i="9"/>
  <c r="L1400" i="9"/>
  <c r="L1890" i="9"/>
  <c r="L2380" i="9"/>
  <c r="L2858" i="9"/>
  <c r="L118" i="9"/>
  <c r="L541" i="9"/>
  <c r="L962" i="9"/>
  <c r="L1401" i="9"/>
  <c r="L1891" i="9"/>
  <c r="L2381" i="9"/>
  <c r="L2859" i="9"/>
  <c r="L119" i="9"/>
  <c r="L542" i="9"/>
  <c r="L963" i="9"/>
  <c r="L1402" i="9"/>
  <c r="L1892" i="9"/>
  <c r="L2382" i="9"/>
  <c r="L1403" i="9"/>
  <c r="L1893" i="9"/>
  <c r="L2383" i="9"/>
  <c r="L2860" i="9"/>
  <c r="L120" i="9"/>
  <c r="L543" i="9"/>
  <c r="L964" i="9"/>
  <c r="L1404" i="9"/>
  <c r="L1894" i="9"/>
  <c r="L2384" i="9"/>
  <c r="L2861" i="9"/>
  <c r="L121" i="9"/>
  <c r="L544" i="9"/>
  <c r="L965" i="9"/>
  <c r="L1405" i="9"/>
  <c r="L1895" i="9"/>
  <c r="L2385" i="9"/>
  <c r="L2862" i="9"/>
  <c r="L122" i="9"/>
  <c r="L545" i="9"/>
  <c r="L966" i="9"/>
  <c r="L1406" i="9"/>
  <c r="L1896" i="9"/>
  <c r="L2386" i="9"/>
  <c r="L2863" i="9"/>
  <c r="L123" i="9"/>
  <c r="L546" i="9"/>
  <c r="L967" i="9"/>
  <c r="L1407" i="9"/>
  <c r="L1897" i="9"/>
  <c r="L2387" i="9"/>
  <c r="L2864" i="9"/>
  <c r="L124" i="9"/>
  <c r="L547" i="9"/>
  <c r="L968" i="9"/>
  <c r="L1408" i="9"/>
  <c r="L1898" i="9"/>
  <c r="L2388" i="9"/>
  <c r="L2865" i="9"/>
  <c r="L125" i="9"/>
  <c r="L548" i="9"/>
  <c r="L969" i="9"/>
  <c r="L1409" i="9"/>
  <c r="L1899" i="9"/>
  <c r="L2389" i="9"/>
  <c r="L1410" i="9"/>
  <c r="L1900" i="9"/>
  <c r="L2390" i="9"/>
  <c r="L2866" i="9"/>
  <c r="L126" i="9"/>
  <c r="L549" i="9"/>
  <c r="L970" i="9"/>
  <c r="L1411" i="9"/>
  <c r="L1901" i="9"/>
  <c r="L2391" i="9"/>
  <c r="L2867" i="9"/>
  <c r="L127" i="9"/>
  <c r="L550" i="9"/>
  <c r="L971" i="9"/>
  <c r="L1412" i="9"/>
  <c r="L1902" i="9"/>
  <c r="L2392" i="9"/>
  <c r="L2868" i="9"/>
  <c r="L128" i="9"/>
  <c r="L551" i="9"/>
  <c r="L972" i="9"/>
  <c r="L1413" i="9"/>
  <c r="L1903" i="9"/>
  <c r="L2393" i="9"/>
  <c r="L2869" i="9"/>
  <c r="L129" i="9"/>
  <c r="L552" i="9"/>
  <c r="L973" i="9"/>
  <c r="L1414" i="9"/>
  <c r="L1904" i="9"/>
  <c r="L2394" i="9"/>
  <c r="L2870" i="9"/>
  <c r="L130" i="9"/>
  <c r="L553" i="9"/>
  <c r="L974" i="9"/>
  <c r="L1415" i="9"/>
  <c r="L1905" i="9"/>
  <c r="L2395" i="9"/>
  <c r="L2871" i="9"/>
  <c r="L131" i="9"/>
  <c r="L554" i="9"/>
  <c r="L975" i="9"/>
  <c r="L1416" i="9"/>
  <c r="L1906" i="9"/>
  <c r="L2396" i="9"/>
  <c r="L1417" i="9"/>
  <c r="L1907" i="9"/>
  <c r="L2397" i="9"/>
  <c r="L2872" i="9"/>
  <c r="L132" i="9"/>
  <c r="L555" i="9"/>
  <c r="L976" i="9"/>
  <c r="L1418" i="9"/>
  <c r="L1908" i="9"/>
  <c r="L2398" i="9"/>
  <c r="L2873" i="9"/>
  <c r="L133" i="9"/>
  <c r="L556" i="9"/>
  <c r="L977" i="9"/>
  <c r="L1419" i="9"/>
  <c r="L1909" i="9"/>
  <c r="L2399" i="9"/>
  <c r="L2874" i="9"/>
  <c r="L134" i="9"/>
  <c r="L557" i="9"/>
  <c r="L978" i="9"/>
  <c r="L1420" i="9"/>
  <c r="L1910" i="9"/>
  <c r="L2400" i="9"/>
  <c r="L2875" i="9"/>
  <c r="L135" i="9"/>
  <c r="L558" i="9"/>
  <c r="L979" i="9"/>
  <c r="L1421" i="9"/>
  <c r="L1911" i="9"/>
  <c r="L2401" i="9"/>
  <c r="L2876" i="9"/>
  <c r="L136" i="9"/>
  <c r="L559" i="9"/>
  <c r="L980" i="9"/>
  <c r="L1422" i="9"/>
  <c r="L1912" i="9"/>
  <c r="L2402" i="9"/>
  <c r="L2877" i="9"/>
  <c r="L137" i="9"/>
  <c r="L560" i="9"/>
  <c r="L981" i="9"/>
  <c r="L1423" i="9"/>
  <c r="L1913" i="9"/>
  <c r="L2403" i="9"/>
  <c r="L1424" i="9"/>
  <c r="L1914" i="9"/>
  <c r="L2404" i="9"/>
  <c r="L2878" i="9"/>
  <c r="L138" i="9"/>
  <c r="L561" i="9"/>
  <c r="L982" i="9"/>
  <c r="L1425" i="9"/>
  <c r="L1915" i="9"/>
  <c r="L2405" i="9"/>
  <c r="L2879" i="9"/>
  <c r="L139" i="9"/>
  <c r="L562" i="9"/>
  <c r="L983" i="9"/>
  <c r="L1426" i="9"/>
  <c r="L1916" i="9"/>
  <c r="L2406" i="9"/>
  <c r="L2880" i="9"/>
  <c r="L140" i="9"/>
  <c r="L563" i="9"/>
  <c r="L984" i="9"/>
  <c r="L1427" i="9"/>
  <c r="L1917" i="9"/>
  <c r="L2407" i="9"/>
  <c r="L2881" i="9"/>
  <c r="L141" i="9"/>
  <c r="L564" i="9"/>
  <c r="L985" i="9"/>
  <c r="L1428" i="9"/>
  <c r="L1918" i="9"/>
  <c r="L2408" i="9"/>
  <c r="L2882" i="9"/>
  <c r="L142" i="9"/>
  <c r="L565" i="9"/>
  <c r="L986" i="9"/>
  <c r="L1429" i="9"/>
  <c r="L1919" i="9"/>
  <c r="L2409" i="9"/>
  <c r="L2883" i="9"/>
  <c r="L143" i="9"/>
  <c r="L566" i="9"/>
  <c r="L987" i="9"/>
  <c r="L1430" i="9"/>
  <c r="L1920" i="9"/>
  <c r="L2410" i="9"/>
  <c r="L2884" i="9"/>
  <c r="L1431" i="9"/>
  <c r="L1921" i="9"/>
  <c r="L2411" i="9"/>
  <c r="L2885" i="9"/>
  <c r="L144" i="9"/>
  <c r="L567" i="9"/>
  <c r="L988" i="9"/>
  <c r="L1432" i="9"/>
  <c r="L1922" i="9"/>
  <c r="L2412" i="9"/>
  <c r="L2886" i="9"/>
  <c r="L145" i="9"/>
  <c r="L568" i="9"/>
  <c r="L989" i="9"/>
  <c r="L1433" i="9"/>
  <c r="L1923" i="9"/>
  <c r="L2413" i="9"/>
  <c r="L2887" i="9"/>
  <c r="L146" i="9"/>
  <c r="L569" i="9"/>
  <c r="L990" i="9"/>
  <c r="L1434" i="9"/>
  <c r="L1924" i="9"/>
  <c r="L2414" i="9"/>
  <c r="L2888" i="9"/>
  <c r="L147" i="9"/>
  <c r="L570" i="9"/>
  <c r="L991" i="9"/>
  <c r="L1435" i="9"/>
  <c r="L1925" i="9"/>
  <c r="L2415" i="9"/>
  <c r="L2889" i="9"/>
  <c r="L148" i="9"/>
  <c r="L571" i="9"/>
  <c r="L992" i="9"/>
  <c r="L1436" i="9"/>
  <c r="L1926" i="9"/>
  <c r="L2416" i="9"/>
  <c r="L2890" i="9"/>
  <c r="L149" i="9"/>
  <c r="L572" i="9"/>
  <c r="L993" i="9"/>
  <c r="L1437" i="9"/>
  <c r="L1927" i="9"/>
  <c r="L2417" i="9"/>
  <c r="L1438" i="9"/>
  <c r="L1928" i="9"/>
  <c r="L2418" i="9"/>
  <c r="L2891" i="9"/>
  <c r="L150" i="9"/>
  <c r="L573" i="9"/>
  <c r="L994" i="9"/>
  <c r="L1439" i="9"/>
  <c r="L1929" i="9"/>
  <c r="L2419" i="9"/>
  <c r="L2892" i="9"/>
  <c r="L151" i="9"/>
  <c r="L574" i="9"/>
  <c r="L995" i="9"/>
  <c r="L1440" i="9"/>
  <c r="L1930" i="9"/>
  <c r="L2420" i="9"/>
  <c r="L2893" i="9"/>
  <c r="L152" i="9"/>
  <c r="L575" i="9"/>
  <c r="L996" i="9"/>
  <c r="L1441" i="9"/>
  <c r="L1931" i="9"/>
  <c r="L2421" i="9"/>
  <c r="L2894" i="9"/>
  <c r="L153" i="9"/>
  <c r="L576" i="9"/>
  <c r="L997" i="9"/>
  <c r="L1442" i="9"/>
  <c r="L1932" i="9"/>
  <c r="L2422" i="9"/>
  <c r="L2895" i="9"/>
  <c r="L154" i="9"/>
  <c r="L577" i="9"/>
  <c r="L998" i="9"/>
  <c r="L1443" i="9"/>
  <c r="L1933" i="9"/>
  <c r="L2423" i="9"/>
  <c r="L2896" i="9"/>
  <c r="L155" i="9"/>
  <c r="L578" i="9"/>
  <c r="L999" i="9"/>
  <c r="L1444" i="9"/>
  <c r="L1934" i="9"/>
  <c r="L2424" i="9"/>
  <c r="L1445" i="9"/>
  <c r="L1935" i="9"/>
  <c r="L2425" i="9"/>
  <c r="L2897" i="9"/>
  <c r="L156" i="9"/>
  <c r="L579" i="9"/>
  <c r="L1000" i="9"/>
  <c r="L1446" i="9"/>
  <c r="L1936" i="9"/>
  <c r="L2426" i="9"/>
  <c r="L2898" i="9"/>
  <c r="L157" i="9"/>
  <c r="L580" i="9"/>
  <c r="L1001" i="9"/>
  <c r="L1447" i="9"/>
  <c r="L1937" i="9"/>
  <c r="L2427" i="9"/>
  <c r="L2899" i="9"/>
  <c r="L158" i="9"/>
  <c r="L581" i="9"/>
  <c r="L1002" i="9"/>
  <c r="L1448" i="9"/>
  <c r="L1938" i="9"/>
  <c r="L2428" i="9"/>
  <c r="L2900" i="9"/>
  <c r="L159" i="9"/>
  <c r="L582" i="9"/>
  <c r="L1003" i="9"/>
  <c r="L1449" i="9"/>
  <c r="L1939" i="9"/>
  <c r="L2429" i="9"/>
  <c r="L2901" i="9"/>
  <c r="L160" i="9"/>
  <c r="L583" i="9"/>
  <c r="L1004" i="9"/>
  <c r="L1450" i="9"/>
  <c r="L1940" i="9"/>
  <c r="L2430" i="9"/>
  <c r="L2902" i="9"/>
  <c r="L161" i="9"/>
  <c r="L584" i="9"/>
  <c r="L1005" i="9"/>
  <c r="L1451" i="9"/>
  <c r="L1941" i="9"/>
  <c r="L2431" i="9"/>
  <c r="L1452" i="9"/>
  <c r="L1942" i="9"/>
  <c r="L2432" i="9"/>
  <c r="L2903" i="9"/>
  <c r="L162" i="9"/>
  <c r="L585" i="9"/>
  <c r="L1006" i="9"/>
  <c r="L1453" i="9"/>
  <c r="L1943" i="9"/>
  <c r="L2433" i="9"/>
  <c r="L2904" i="9"/>
  <c r="L163" i="9"/>
  <c r="L586" i="9"/>
  <c r="L1007" i="9"/>
  <c r="L1454" i="9"/>
  <c r="L1944" i="9"/>
  <c r="L2434" i="9"/>
  <c r="L2905" i="9"/>
  <c r="L164" i="9"/>
  <c r="L587" i="9"/>
  <c r="L1008" i="9"/>
  <c r="L1455" i="9"/>
  <c r="L1945" i="9"/>
  <c r="L2435" i="9"/>
  <c r="L2906" i="9"/>
  <c r="L165" i="9"/>
  <c r="L588" i="9"/>
  <c r="L1009" i="9"/>
  <c r="L1456" i="9"/>
  <c r="L1946" i="9"/>
  <c r="L2436" i="9"/>
  <c r="L2907" i="9"/>
  <c r="L166" i="9"/>
  <c r="L589" i="9"/>
  <c r="L1010" i="9"/>
  <c r="L1457" i="9"/>
  <c r="L1947" i="9"/>
  <c r="L2437" i="9"/>
  <c r="L2908" i="9"/>
  <c r="L167" i="9"/>
  <c r="L590" i="9"/>
  <c r="L1011" i="9"/>
  <c r="L1458" i="9"/>
  <c r="L1948" i="9"/>
  <c r="L2438" i="9"/>
  <c r="L1459" i="9"/>
  <c r="L1949" i="9"/>
  <c r="L2439" i="9"/>
  <c r="L2909" i="9"/>
  <c r="L168" i="9"/>
  <c r="L591" i="9"/>
  <c r="L1012" i="9"/>
  <c r="L1460" i="9"/>
  <c r="L1950" i="9"/>
  <c r="L2440" i="9"/>
  <c r="L2910" i="9"/>
  <c r="L169" i="9"/>
  <c r="L592" i="9"/>
  <c r="L1013" i="9"/>
  <c r="L1461" i="9"/>
  <c r="L1951" i="9"/>
  <c r="L2441" i="9"/>
  <c r="L2911" i="9"/>
  <c r="L170" i="9"/>
  <c r="L593" i="9"/>
  <c r="L1014" i="9"/>
  <c r="L1462" i="9"/>
  <c r="L1952" i="9"/>
  <c r="L2442" i="9"/>
  <c r="L2912" i="9"/>
  <c r="L171" i="9"/>
  <c r="L594" i="9"/>
  <c r="L1015" i="9"/>
  <c r="L1463" i="9"/>
  <c r="L1953" i="9"/>
  <c r="L2443" i="9"/>
  <c r="L2913" i="9"/>
  <c r="L172" i="9"/>
  <c r="L595" i="9"/>
  <c r="L1016" i="9"/>
  <c r="L1464" i="9"/>
  <c r="L1954" i="9"/>
  <c r="L2444" i="9"/>
  <c r="L2914" i="9"/>
  <c r="L173" i="9"/>
  <c r="L596" i="9"/>
  <c r="L1017" i="9"/>
  <c r="L1465" i="9"/>
  <c r="L1955" i="9"/>
  <c r="L2445" i="9"/>
  <c r="L1466" i="9"/>
  <c r="L1956" i="9"/>
  <c r="L2446" i="9"/>
  <c r="L2915" i="9"/>
  <c r="L174" i="9"/>
  <c r="L597" i="9"/>
  <c r="L1018" i="9"/>
  <c r="L1467" i="9"/>
  <c r="L1957" i="9"/>
  <c r="L2447" i="9"/>
  <c r="L2916" i="9"/>
  <c r="L175" i="9"/>
  <c r="L598" i="9"/>
  <c r="L1019" i="9"/>
  <c r="L1468" i="9"/>
  <c r="L1958" i="9"/>
  <c r="L2448" i="9"/>
  <c r="L2917" i="9"/>
  <c r="L176" i="9"/>
  <c r="L599" i="9"/>
  <c r="L1020" i="9"/>
  <c r="L1469" i="9"/>
  <c r="L1959" i="9"/>
  <c r="L2449" i="9"/>
  <c r="L2918" i="9"/>
  <c r="L177" i="9"/>
  <c r="L600" i="9"/>
  <c r="L1021" i="9"/>
  <c r="L1470" i="9"/>
  <c r="L1960" i="9"/>
  <c r="L2450" i="9"/>
  <c r="L2919" i="9"/>
  <c r="L178" i="9"/>
  <c r="L601" i="9"/>
  <c r="L1022" i="9"/>
  <c r="L1471" i="9"/>
  <c r="L1961" i="9"/>
  <c r="L2451" i="9"/>
  <c r="L2920" i="9"/>
  <c r="L179" i="9"/>
  <c r="L602" i="9"/>
  <c r="L1023" i="9"/>
  <c r="L1472" i="9"/>
  <c r="L1962" i="9"/>
  <c r="L2452" i="9"/>
  <c r="L1473" i="9"/>
  <c r="L1963" i="9"/>
  <c r="L2453" i="9"/>
  <c r="L2921" i="9"/>
  <c r="L180" i="9"/>
  <c r="L603" i="9"/>
  <c r="L1024" i="9"/>
  <c r="L1474" i="9"/>
  <c r="L1964" i="9"/>
  <c r="L2454" i="9"/>
  <c r="L2922" i="9"/>
  <c r="L181" i="9"/>
  <c r="L604" i="9"/>
  <c r="L1025" i="9"/>
  <c r="L1475" i="9"/>
  <c r="L1965" i="9"/>
  <c r="L2455" i="9"/>
  <c r="L2923" i="9"/>
  <c r="L182" i="9"/>
  <c r="L605" i="9"/>
  <c r="L1026" i="9"/>
  <c r="L1476" i="9"/>
  <c r="L1966" i="9"/>
  <c r="L2456" i="9"/>
  <c r="L2924" i="9"/>
  <c r="L183" i="9"/>
  <c r="L606" i="9"/>
  <c r="L1027" i="9"/>
  <c r="L1477" i="9"/>
  <c r="L1967" i="9"/>
  <c r="L2457" i="9"/>
  <c r="L2925" i="9"/>
  <c r="L184" i="9"/>
  <c r="L607" i="9"/>
  <c r="L1028" i="9"/>
  <c r="L1478" i="9"/>
  <c r="L1968" i="9"/>
  <c r="L2458" i="9"/>
  <c r="L2926" i="9"/>
  <c r="L185" i="9"/>
  <c r="L608" i="9"/>
  <c r="L1029" i="9"/>
  <c r="L1479" i="9"/>
  <c r="L1969" i="9"/>
  <c r="L2459" i="9"/>
  <c r="L1480" i="9"/>
  <c r="L1970" i="9"/>
  <c r="L2460" i="9"/>
  <c r="L2927" i="9"/>
  <c r="L186" i="9"/>
  <c r="L609" i="9"/>
  <c r="L1030" i="9"/>
  <c r="L1481" i="9"/>
  <c r="L1971" i="9"/>
  <c r="L2461" i="9"/>
  <c r="L2928" i="9"/>
  <c r="L187" i="9"/>
  <c r="L610" i="9"/>
  <c r="L1031" i="9"/>
  <c r="L1482" i="9"/>
  <c r="L1972" i="9"/>
  <c r="L2462" i="9"/>
  <c r="L2929" i="9"/>
  <c r="L188" i="9"/>
  <c r="L611" i="9"/>
  <c r="L1032" i="9"/>
  <c r="L1483" i="9"/>
  <c r="L1973" i="9"/>
  <c r="L2463" i="9"/>
  <c r="L2930" i="9"/>
  <c r="L189" i="9"/>
  <c r="L612" i="9"/>
  <c r="L1033" i="9"/>
  <c r="L1484" i="9"/>
  <c r="L1974" i="9"/>
  <c r="L2464" i="9"/>
  <c r="L2931" i="9"/>
  <c r="L190" i="9"/>
  <c r="L613" i="9"/>
  <c r="L1034" i="9"/>
  <c r="L1485" i="9"/>
  <c r="L1975" i="9"/>
  <c r="L2465" i="9"/>
  <c r="L2932" i="9"/>
  <c r="L191" i="9"/>
  <c r="L614" i="9"/>
  <c r="L1035" i="9"/>
  <c r="L1486" i="9"/>
  <c r="L1976" i="9"/>
  <c r="L2466" i="9"/>
  <c r="L1487" i="9"/>
  <c r="L1977" i="9"/>
  <c r="L2467" i="9"/>
  <c r="L2933" i="9"/>
  <c r="L192" i="9"/>
  <c r="L615" i="9"/>
  <c r="L1036" i="9"/>
  <c r="L1488" i="9"/>
  <c r="L1978" i="9"/>
  <c r="L2468" i="9"/>
  <c r="L2934" i="9"/>
  <c r="L193" i="9"/>
  <c r="L616" i="9"/>
  <c r="L1037" i="9"/>
  <c r="L1489" i="9"/>
  <c r="L1979" i="9"/>
  <c r="L2469" i="9"/>
  <c r="L2935" i="9"/>
  <c r="L194" i="9"/>
  <c r="L617" i="9"/>
  <c r="L1038" i="9"/>
  <c r="L1490" i="9"/>
  <c r="L1980" i="9"/>
  <c r="L2470" i="9"/>
  <c r="L2936" i="9"/>
  <c r="L195" i="9"/>
  <c r="L618" i="9"/>
  <c r="L1039" i="9"/>
  <c r="L1491" i="9"/>
  <c r="L1981" i="9"/>
  <c r="L2471" i="9"/>
  <c r="L2937" i="9"/>
  <c r="L196" i="9"/>
  <c r="L619" i="9"/>
  <c r="L1040" i="9"/>
  <c r="L1492" i="9"/>
  <c r="L1982" i="9"/>
  <c r="L2472" i="9"/>
  <c r="L2938" i="9"/>
  <c r="L197" i="9"/>
  <c r="L620" i="9"/>
  <c r="L1041" i="9"/>
  <c r="L1493" i="9"/>
  <c r="L1983" i="9"/>
  <c r="L2473" i="9"/>
  <c r="L1494" i="9"/>
  <c r="L1984" i="9"/>
  <c r="L2474" i="9"/>
  <c r="L2939" i="9"/>
  <c r="L198" i="9"/>
  <c r="L621" i="9"/>
  <c r="L1042" i="9"/>
  <c r="L1495" i="9"/>
  <c r="L1985" i="9"/>
  <c r="L2475" i="9"/>
  <c r="L2940" i="9"/>
  <c r="L199" i="9"/>
  <c r="L622" i="9"/>
  <c r="L1043" i="9"/>
  <c r="L1496" i="9"/>
  <c r="L1986" i="9"/>
  <c r="L2476" i="9"/>
  <c r="L2941" i="9"/>
  <c r="L200" i="9"/>
  <c r="L623" i="9"/>
  <c r="L1044" i="9"/>
  <c r="L1497" i="9"/>
  <c r="L1987" i="9"/>
  <c r="L2477" i="9"/>
  <c r="L2942" i="9"/>
  <c r="L201" i="9"/>
  <c r="L624" i="9"/>
  <c r="L1045" i="9"/>
  <c r="L1498" i="9"/>
  <c r="L1988" i="9"/>
  <c r="L2478" i="9"/>
  <c r="L2943" i="9"/>
  <c r="L202" i="9"/>
  <c r="L625" i="9"/>
  <c r="L1046" i="9"/>
  <c r="L1499" i="9"/>
  <c r="L1989" i="9"/>
  <c r="L2479" i="9"/>
  <c r="L2944" i="9"/>
  <c r="L203" i="9"/>
  <c r="L626" i="9"/>
  <c r="L1047" i="9"/>
  <c r="L1500" i="9"/>
  <c r="L1990" i="9"/>
  <c r="L2480" i="9"/>
  <c r="L1501" i="9"/>
  <c r="L1991" i="9"/>
  <c r="L2481" i="9"/>
  <c r="L2945" i="9"/>
  <c r="L204" i="9"/>
  <c r="L627" i="9"/>
  <c r="L1048" i="9"/>
  <c r="L1502" i="9"/>
  <c r="L1992" i="9"/>
  <c r="L2482" i="9"/>
  <c r="L2946" i="9"/>
  <c r="L205" i="9"/>
  <c r="L628" i="9"/>
  <c r="L1049" i="9"/>
  <c r="L1503" i="9"/>
  <c r="L1993" i="9"/>
  <c r="L2483" i="9"/>
  <c r="L2947" i="9"/>
  <c r="L206" i="9"/>
  <c r="L629" i="9"/>
  <c r="L1050" i="9"/>
  <c r="L1504" i="9"/>
  <c r="L1994" i="9"/>
  <c r="L2484" i="9"/>
  <c r="L2948" i="9"/>
  <c r="L207" i="9"/>
  <c r="L630" i="9"/>
  <c r="L1051" i="9"/>
  <c r="L1505" i="9"/>
  <c r="L1995" i="9"/>
  <c r="L2485" i="9"/>
  <c r="L2949" i="9"/>
  <c r="L208" i="9"/>
  <c r="L631" i="9"/>
  <c r="L1052" i="9"/>
  <c r="L1506" i="9"/>
  <c r="L1996" i="9"/>
  <c r="L2486" i="9"/>
  <c r="L2950" i="9"/>
  <c r="L209" i="9"/>
  <c r="L632" i="9"/>
  <c r="L1053" i="9"/>
  <c r="L1507" i="9"/>
  <c r="L1997" i="9"/>
  <c r="L2487" i="9"/>
  <c r="L1508" i="9"/>
  <c r="L1998" i="9"/>
  <c r="L2488" i="9"/>
  <c r="L2951" i="9"/>
  <c r="L210" i="9"/>
  <c r="L633" i="9"/>
  <c r="L1054" i="9"/>
  <c r="L1509" i="9"/>
  <c r="L1999" i="9"/>
  <c r="L2489" i="9"/>
  <c r="L2952" i="9"/>
  <c r="L211" i="9"/>
  <c r="L634" i="9"/>
  <c r="L1055" i="9"/>
  <c r="L1510" i="9"/>
  <c r="L2000" i="9"/>
  <c r="L2490" i="9"/>
  <c r="L2953" i="9"/>
  <c r="L212" i="9"/>
  <c r="L635" i="9"/>
  <c r="L1056" i="9"/>
  <c r="L1511" i="9"/>
  <c r="L2001" i="9"/>
  <c r="L2491" i="9"/>
  <c r="L2954" i="9"/>
  <c r="L213" i="9"/>
  <c r="L636" i="9"/>
  <c r="L1057" i="9"/>
  <c r="L1512" i="9"/>
  <c r="L2002" i="9"/>
  <c r="L2492" i="9"/>
  <c r="L2955" i="9"/>
  <c r="L214" i="9"/>
  <c r="L637" i="9"/>
  <c r="L1058" i="9"/>
  <c r="L1513" i="9"/>
  <c r="L2003" i="9"/>
  <c r="L2493" i="9"/>
  <c r="L2956" i="9"/>
  <c r="L215" i="9"/>
  <c r="L638" i="9"/>
  <c r="L1059" i="9"/>
  <c r="L1514" i="9"/>
  <c r="L2004" i="9"/>
  <c r="L2494" i="9"/>
  <c r="L1515" i="9"/>
  <c r="L2005" i="9"/>
  <c r="L2495" i="9"/>
  <c r="L2957" i="9"/>
  <c r="L216" i="9"/>
  <c r="L639" i="9"/>
  <c r="L1060" i="9"/>
  <c r="L1516" i="9"/>
  <c r="L2006" i="9"/>
  <c r="L2496" i="9"/>
  <c r="L2958" i="9"/>
  <c r="L217" i="9"/>
  <c r="L640" i="9"/>
  <c r="L1061" i="9"/>
  <c r="L1517" i="9"/>
  <c r="L2007" i="9"/>
  <c r="L2497" i="9"/>
  <c r="L2959" i="9"/>
  <c r="L218" i="9"/>
  <c r="L641" i="9"/>
  <c r="L1062" i="9"/>
  <c r="L1518" i="9"/>
  <c r="L2008" i="9"/>
  <c r="L2498" i="9"/>
  <c r="L2960" i="9"/>
  <c r="L219" i="9"/>
  <c r="L642" i="9"/>
  <c r="L1063" i="9"/>
  <c r="L1519" i="9"/>
  <c r="L2009" i="9"/>
  <c r="L2499" i="9"/>
  <c r="L2961" i="9"/>
  <c r="L220" i="9"/>
  <c r="L643" i="9"/>
  <c r="L1064" i="9"/>
  <c r="L1520" i="9"/>
  <c r="L2010" i="9"/>
  <c r="L2500" i="9"/>
  <c r="L2962" i="9"/>
  <c r="L221" i="9"/>
  <c r="L644" i="9"/>
  <c r="L1065" i="9"/>
  <c r="L1521" i="9"/>
  <c r="L2011" i="9"/>
  <c r="L2501" i="9"/>
  <c r="L1522" i="9"/>
  <c r="L2012" i="9"/>
  <c r="L2502" i="9"/>
  <c r="L2963" i="9"/>
  <c r="L222" i="9"/>
  <c r="L645" i="9"/>
  <c r="L1066" i="9"/>
  <c r="L1523" i="9"/>
  <c r="L2013" i="9"/>
  <c r="L2503" i="9"/>
  <c r="L2964" i="9"/>
  <c r="L223" i="9"/>
  <c r="L646" i="9"/>
  <c r="L1067" i="9"/>
  <c r="L1524" i="9"/>
  <c r="L2014" i="9"/>
  <c r="L2504" i="9"/>
  <c r="L2965" i="9"/>
  <c r="L224" i="9"/>
  <c r="L647" i="9"/>
  <c r="L1068" i="9"/>
  <c r="L1525" i="9"/>
  <c r="L2015" i="9"/>
  <c r="L2505" i="9"/>
  <c r="L2966" i="9"/>
  <c r="L225" i="9"/>
  <c r="L648" i="9"/>
  <c r="L1069" i="9"/>
  <c r="L1526" i="9"/>
  <c r="L2016" i="9"/>
  <c r="L2506" i="9"/>
  <c r="L2967" i="9"/>
  <c r="L226" i="9"/>
  <c r="L649" i="9"/>
  <c r="L1070" i="9"/>
  <c r="L1527" i="9"/>
  <c r="L2017" i="9"/>
  <c r="L2507" i="9"/>
  <c r="L2968" i="9"/>
  <c r="L227" i="9"/>
  <c r="L650" i="9"/>
  <c r="L1071" i="9"/>
  <c r="L1528" i="9"/>
  <c r="L2018" i="9"/>
  <c r="L2508" i="9"/>
  <c r="L1529" i="9"/>
  <c r="L2019" i="9"/>
  <c r="L2509" i="9"/>
  <c r="L2969" i="9"/>
  <c r="L228" i="9"/>
  <c r="L651" i="9"/>
  <c r="L1072" i="9"/>
  <c r="L1530" i="9"/>
  <c r="L2020" i="9"/>
  <c r="L2510" i="9"/>
  <c r="L2970" i="9"/>
  <c r="L229" i="9"/>
  <c r="L652" i="9"/>
  <c r="L1073" i="9"/>
  <c r="L1531" i="9"/>
  <c r="L2021" i="9"/>
  <c r="L2511" i="9"/>
  <c r="L2971" i="9"/>
  <c r="L230" i="9"/>
  <c r="L653" i="9"/>
  <c r="L1074" i="9"/>
  <c r="L1532" i="9"/>
  <c r="L2022" i="9"/>
  <c r="L2512" i="9"/>
  <c r="L2972" i="9"/>
  <c r="L231" i="9"/>
  <c r="L654" i="9"/>
  <c r="L1075" i="9"/>
  <c r="L1533" i="9"/>
  <c r="L2023" i="9"/>
  <c r="L2513" i="9"/>
  <c r="L2973" i="9"/>
  <c r="L232" i="9"/>
  <c r="L655" i="9"/>
  <c r="L1076" i="9"/>
  <c r="L1534" i="9"/>
  <c r="L2024" i="9"/>
  <c r="L2514" i="9"/>
  <c r="L2974" i="9"/>
  <c r="L233" i="9"/>
  <c r="L656" i="9"/>
  <c r="L1077" i="9"/>
  <c r="L1535" i="9"/>
  <c r="L2025" i="9"/>
  <c r="L2515" i="9"/>
  <c r="L1536" i="9"/>
  <c r="L2026" i="9"/>
  <c r="L2516" i="9"/>
  <c r="L2975" i="9"/>
  <c r="L234" i="9"/>
  <c r="L657" i="9"/>
  <c r="L1078" i="9"/>
  <c r="L1537" i="9"/>
  <c r="L2027" i="9"/>
  <c r="L2517" i="9"/>
  <c r="L2976" i="9"/>
  <c r="L235" i="9"/>
  <c r="L658" i="9"/>
  <c r="L1079" i="9"/>
  <c r="L1538" i="9"/>
  <c r="L2028" i="9"/>
  <c r="L2518" i="9"/>
  <c r="L2977" i="9"/>
  <c r="L236" i="9"/>
  <c r="L659" i="9"/>
  <c r="L1080" i="9"/>
  <c r="L1539" i="9"/>
  <c r="L2029" i="9"/>
  <c r="L2519" i="9"/>
  <c r="L2978" i="9"/>
  <c r="L237" i="9"/>
  <c r="L660" i="9"/>
  <c r="L1081" i="9"/>
  <c r="L1540" i="9"/>
  <c r="L2030" i="9"/>
  <c r="L2520" i="9"/>
  <c r="L2979" i="9"/>
  <c r="L238" i="9"/>
  <c r="L661" i="9"/>
  <c r="L1082" i="9"/>
  <c r="L1541" i="9"/>
  <c r="L2031" i="9"/>
  <c r="L2521" i="9"/>
  <c r="L2980" i="9"/>
  <c r="L239" i="9"/>
  <c r="L662" i="9"/>
  <c r="L1083" i="9"/>
  <c r="L1542" i="9"/>
  <c r="L2032" i="9"/>
  <c r="L2522" i="9"/>
  <c r="L1543" i="9"/>
  <c r="L2033" i="9"/>
  <c r="L2523" i="9"/>
  <c r="L2981" i="9"/>
  <c r="L240" i="9"/>
  <c r="L663" i="9"/>
  <c r="L1084" i="9"/>
  <c r="L1544" i="9"/>
  <c r="L2034" i="9"/>
  <c r="L2524" i="9"/>
  <c r="L2982" i="9"/>
  <c r="L241" i="9"/>
  <c r="L664" i="9"/>
  <c r="L1085" i="9"/>
  <c r="L1545" i="9"/>
  <c r="L2035" i="9"/>
  <c r="L2525" i="9"/>
  <c r="L2983" i="9"/>
  <c r="L242" i="9"/>
  <c r="L665" i="9"/>
  <c r="L1086" i="9"/>
  <c r="L1546" i="9"/>
  <c r="L2036" i="9"/>
  <c r="L2526" i="9"/>
  <c r="L2984" i="9"/>
  <c r="L243" i="9"/>
  <c r="L666" i="9"/>
  <c r="L1087" i="9"/>
  <c r="L1547" i="9"/>
  <c r="L2037" i="9"/>
  <c r="L2527" i="9"/>
  <c r="L2985" i="9"/>
  <c r="L244" i="9"/>
  <c r="L667" i="9"/>
  <c r="L1088" i="9"/>
  <c r="L1548" i="9"/>
  <c r="L2038" i="9"/>
  <c r="L2528" i="9"/>
  <c r="L2986" i="9"/>
  <c r="L245" i="9"/>
  <c r="L668" i="9"/>
  <c r="L1089" i="9"/>
  <c r="L1549" i="9"/>
  <c r="L2039" i="9"/>
  <c r="L2529" i="9"/>
  <c r="L1550" i="9"/>
  <c r="L2040" i="9"/>
  <c r="L2530" i="9"/>
  <c r="L2987" i="9"/>
  <c r="L246" i="9"/>
  <c r="L669" i="9"/>
  <c r="L1090" i="9"/>
  <c r="L1551" i="9"/>
  <c r="L2041" i="9"/>
  <c r="L2531" i="9"/>
  <c r="L2988" i="9"/>
  <c r="L247" i="9"/>
  <c r="L670" i="9"/>
  <c r="L1091" i="9"/>
  <c r="L1552" i="9"/>
  <c r="L2042" i="9"/>
  <c r="L2532" i="9"/>
  <c r="L2989" i="9"/>
  <c r="L248" i="9"/>
  <c r="L671" i="9"/>
  <c r="L1092" i="9"/>
  <c r="L1553" i="9"/>
  <c r="L2043" i="9"/>
  <c r="L2533" i="9"/>
  <c r="L2990" i="9"/>
  <c r="L249" i="9"/>
  <c r="L672" i="9"/>
  <c r="L1093" i="9"/>
  <c r="L1554" i="9"/>
  <c r="L2044" i="9"/>
  <c r="L2534" i="9"/>
  <c r="L2991" i="9"/>
  <c r="L250" i="9"/>
  <c r="L673" i="9"/>
  <c r="L1094" i="9"/>
  <c r="L1555" i="9"/>
  <c r="L2045" i="9"/>
  <c r="L2535" i="9"/>
  <c r="L2992" i="9"/>
  <c r="L251" i="9"/>
  <c r="L674" i="9"/>
  <c r="L1095" i="9"/>
  <c r="L1556" i="9"/>
  <c r="L2046" i="9"/>
  <c r="L2536" i="9"/>
  <c r="L1557" i="9"/>
  <c r="L2047" i="9"/>
  <c r="L2537" i="9"/>
  <c r="L2993" i="9"/>
  <c r="L252" i="9"/>
  <c r="L675" i="9"/>
  <c r="L1096" i="9"/>
  <c r="L1558" i="9"/>
  <c r="L2048" i="9"/>
  <c r="L2538" i="9"/>
  <c r="L2994" i="9"/>
  <c r="L253" i="9"/>
  <c r="L676" i="9"/>
  <c r="L1097" i="9"/>
  <c r="L1559" i="9"/>
  <c r="L2049" i="9"/>
  <c r="L2539" i="9"/>
  <c r="L2995" i="9"/>
  <c r="L254" i="9"/>
  <c r="L677" i="9"/>
  <c r="L1098" i="9"/>
  <c r="L1560" i="9"/>
  <c r="L2050" i="9"/>
  <c r="L2540" i="9"/>
  <c r="L2996" i="9"/>
  <c r="L255" i="9"/>
  <c r="L678" i="9"/>
  <c r="L1099" i="9"/>
  <c r="L1561" i="9"/>
  <c r="L2051" i="9"/>
  <c r="L2541" i="9"/>
  <c r="L2997" i="9"/>
  <c r="L256" i="9"/>
  <c r="L679" i="9"/>
  <c r="L1100" i="9"/>
  <c r="L1562" i="9"/>
  <c r="L2052" i="9"/>
  <c r="L2542" i="9"/>
  <c r="L2998" i="9"/>
  <c r="L257" i="9"/>
  <c r="L680" i="9"/>
  <c r="L1101" i="9"/>
  <c r="L1563" i="9"/>
  <c r="L2053" i="9"/>
  <c r="L2543" i="9"/>
  <c r="L1564" i="9"/>
  <c r="L2054" i="9"/>
  <c r="L2544" i="9"/>
  <c r="L2999" i="9"/>
  <c r="L258" i="9"/>
  <c r="L681" i="9"/>
  <c r="L1102" i="9"/>
  <c r="L1565" i="9"/>
  <c r="L2055" i="9"/>
  <c r="L2545" i="9"/>
  <c r="L3000" i="9"/>
  <c r="L259" i="9"/>
  <c r="L682" i="9"/>
  <c r="L1103" i="9"/>
  <c r="L1566" i="9"/>
  <c r="L2056" i="9"/>
  <c r="L2546" i="9"/>
  <c r="L3001" i="9"/>
  <c r="L260" i="9"/>
  <c r="L683" i="9"/>
  <c r="L1104" i="9"/>
  <c r="L1567" i="9"/>
  <c r="L2057" i="9"/>
  <c r="L2547" i="9"/>
  <c r="L3002" i="9"/>
  <c r="L261" i="9"/>
  <c r="L684" i="9"/>
  <c r="L1105" i="9"/>
  <c r="L1568" i="9"/>
  <c r="L2058" i="9"/>
  <c r="L2548" i="9"/>
  <c r="L3003" i="9"/>
  <c r="L262" i="9"/>
  <c r="L685" i="9"/>
  <c r="L1106" i="9"/>
  <c r="L1569" i="9"/>
  <c r="L2059" i="9"/>
  <c r="L2549" i="9"/>
  <c r="L3004" i="9"/>
  <c r="L263" i="9"/>
  <c r="L686" i="9"/>
  <c r="L1107" i="9"/>
  <c r="L1570" i="9"/>
  <c r="L2060" i="9"/>
  <c r="L2550" i="9"/>
  <c r="L1571" i="9"/>
  <c r="L2061" i="9"/>
  <c r="L2551" i="9"/>
  <c r="L3005" i="9"/>
  <c r="L264" i="9"/>
  <c r="L687" i="9"/>
  <c r="L1108" i="9"/>
  <c r="L1572" i="9"/>
  <c r="L2062" i="9"/>
  <c r="L2552" i="9"/>
  <c r="L3006" i="9"/>
  <c r="L265" i="9"/>
  <c r="L688" i="9"/>
  <c r="L1109" i="9"/>
  <c r="L1573" i="9"/>
  <c r="L2063" i="9"/>
  <c r="L2553" i="9"/>
  <c r="L3007" i="9"/>
  <c r="L266" i="9"/>
  <c r="L689" i="9"/>
  <c r="L1110" i="9"/>
  <c r="L1574" i="9"/>
  <c r="L2064" i="9"/>
  <c r="L2554" i="9"/>
  <c r="L3008" i="9"/>
  <c r="L267" i="9"/>
  <c r="L690" i="9"/>
  <c r="L1111" i="9"/>
  <c r="L1575" i="9"/>
  <c r="L2065" i="9"/>
  <c r="L2555" i="9"/>
  <c r="L3009" i="9"/>
  <c r="L268" i="9"/>
  <c r="L691" i="9"/>
  <c r="L1112" i="9"/>
  <c r="L1576" i="9"/>
  <c r="L2066" i="9"/>
  <c r="L2556" i="9"/>
  <c r="L3010" i="9"/>
  <c r="L269" i="9"/>
  <c r="L692" i="9"/>
  <c r="L1113" i="9"/>
  <c r="L1577" i="9"/>
  <c r="L2067" i="9"/>
  <c r="L2557" i="9"/>
  <c r="L1578" i="9"/>
  <c r="L2068" i="9"/>
  <c r="L2558" i="9"/>
  <c r="L3011" i="9"/>
  <c r="L270" i="9"/>
  <c r="L693" i="9"/>
  <c r="L1114" i="9"/>
  <c r="L1579" i="9"/>
  <c r="L2069" i="9"/>
  <c r="L2559" i="9"/>
  <c r="L3012" i="9"/>
  <c r="L271" i="9"/>
  <c r="L694" i="9"/>
  <c r="L1115" i="9"/>
  <c r="L1580" i="9"/>
  <c r="L2070" i="9"/>
  <c r="L2560" i="9"/>
  <c r="L3013" i="9"/>
  <c r="L272" i="9"/>
  <c r="L695" i="9"/>
  <c r="L1116" i="9"/>
  <c r="L1581" i="9"/>
  <c r="L2071" i="9"/>
  <c r="L2561" i="9"/>
  <c r="L3014" i="9"/>
  <c r="L273" i="9"/>
  <c r="L696" i="9"/>
  <c r="L1117" i="9"/>
  <c r="L1582" i="9"/>
  <c r="L2072" i="9"/>
  <c r="L2562" i="9"/>
  <c r="L3015" i="9"/>
  <c r="L274" i="9"/>
  <c r="L697" i="9"/>
  <c r="L1118" i="9"/>
  <c r="L1583" i="9"/>
  <c r="L2073" i="9"/>
  <c r="L2563" i="9"/>
  <c r="L3016" i="9"/>
  <c r="L275" i="9"/>
  <c r="L698" i="9"/>
  <c r="L1119" i="9"/>
  <c r="L1584" i="9"/>
  <c r="L2074" i="9"/>
  <c r="L2564" i="9"/>
  <c r="L1585" i="9"/>
  <c r="L2075" i="9"/>
  <c r="L2565" i="9"/>
  <c r="L3017" i="9"/>
  <c r="L276" i="9"/>
  <c r="L699" i="9"/>
  <c r="L1120" i="9"/>
  <c r="L1586" i="9"/>
  <c r="L2076" i="9"/>
  <c r="L2566" i="9"/>
  <c r="L3018" i="9"/>
  <c r="L277" i="9"/>
  <c r="L700" i="9"/>
  <c r="L1121" i="9"/>
  <c r="L1587" i="9"/>
  <c r="L2077" i="9"/>
  <c r="L2567" i="9"/>
  <c r="L3019" i="9"/>
  <c r="L278" i="9"/>
  <c r="L701" i="9"/>
  <c r="L1122" i="9"/>
  <c r="L1588" i="9"/>
  <c r="L2078" i="9"/>
  <c r="L2568" i="9"/>
  <c r="L3020" i="9"/>
  <c r="L279" i="9"/>
  <c r="L702" i="9"/>
  <c r="L1123" i="9"/>
  <c r="L1589" i="9"/>
  <c r="L2079" i="9"/>
  <c r="L2569" i="9"/>
  <c r="L3021" i="9"/>
  <c r="L280" i="9"/>
  <c r="L703" i="9"/>
  <c r="L1124" i="9"/>
  <c r="L1590" i="9"/>
  <c r="L2080" i="9"/>
  <c r="L2570" i="9"/>
  <c r="L3022" i="9"/>
  <c r="L281" i="9"/>
  <c r="L704" i="9"/>
  <c r="L1125" i="9"/>
  <c r="L1591" i="9"/>
  <c r="L2081" i="9"/>
  <c r="L2571" i="9"/>
  <c r="L1592" i="9"/>
  <c r="L2082" i="9"/>
  <c r="L2572" i="9"/>
  <c r="L3023" i="9"/>
  <c r="L282" i="9"/>
  <c r="L705" i="9"/>
  <c r="L1126" i="9"/>
  <c r="L1593" i="9"/>
  <c r="L2083" i="9"/>
  <c r="L2573" i="9"/>
  <c r="L3024" i="9"/>
  <c r="L283" i="9"/>
  <c r="L706" i="9"/>
  <c r="L1127" i="9"/>
  <c r="L1594" i="9"/>
  <c r="L2084" i="9"/>
  <c r="L2574" i="9"/>
  <c r="L3025" i="9"/>
  <c r="L284" i="9"/>
  <c r="L707" i="9"/>
  <c r="L1128" i="9"/>
  <c r="L1595" i="9"/>
  <c r="L2085" i="9"/>
  <c r="L2575" i="9"/>
  <c r="L3026" i="9"/>
  <c r="L285" i="9"/>
  <c r="L708" i="9"/>
  <c r="L1129" i="9"/>
  <c r="L1596" i="9"/>
  <c r="L2086" i="9"/>
  <c r="L2576" i="9"/>
  <c r="L3027" i="9"/>
  <c r="L286" i="9"/>
  <c r="L709" i="9"/>
  <c r="L1130" i="9"/>
  <c r="L1597" i="9"/>
  <c r="L2087" i="9"/>
  <c r="L2577" i="9"/>
  <c r="L3028" i="9"/>
  <c r="L287" i="9"/>
  <c r="L710" i="9"/>
  <c r="L1131" i="9"/>
  <c r="L1598" i="9"/>
  <c r="L2088" i="9"/>
  <c r="L2578" i="9"/>
  <c r="L1599" i="9"/>
  <c r="L2089" i="9"/>
  <c r="L2579" i="9"/>
  <c r="L3029" i="9"/>
  <c r="L288" i="9"/>
  <c r="L711" i="9"/>
  <c r="L1132" i="9"/>
  <c r="L1600" i="9"/>
  <c r="L2090" i="9"/>
  <c r="L2580" i="9"/>
  <c r="L3030" i="9"/>
  <c r="L289" i="9"/>
  <c r="L712" i="9"/>
  <c r="L1133" i="9"/>
  <c r="L1601" i="9"/>
  <c r="L2091" i="9"/>
  <c r="L2581" i="9"/>
  <c r="L3031" i="9"/>
  <c r="L290" i="9"/>
  <c r="L713" i="9"/>
  <c r="L1134" i="9"/>
  <c r="L1602" i="9"/>
  <c r="L2092" i="9"/>
  <c r="L2582" i="9"/>
  <c r="L3032" i="9"/>
  <c r="L291" i="9"/>
  <c r="L714" i="9"/>
  <c r="L1135" i="9"/>
  <c r="L1603" i="9"/>
  <c r="L2093" i="9"/>
  <c r="L2583" i="9"/>
  <c r="L3033" i="9"/>
  <c r="L292" i="9"/>
  <c r="L715" i="9"/>
  <c r="L1136" i="9"/>
  <c r="L1604" i="9"/>
  <c r="L2094" i="9"/>
  <c r="L2584" i="9"/>
  <c r="L3034" i="9"/>
  <c r="L293" i="9"/>
  <c r="L716" i="9"/>
  <c r="L1137" i="9"/>
  <c r="L1605" i="9"/>
  <c r="L2095" i="9"/>
  <c r="L2585" i="9"/>
  <c r="L3035" i="9"/>
  <c r="L294" i="9"/>
  <c r="L1606" i="9"/>
  <c r="L2096" i="9"/>
  <c r="L2586" i="9"/>
  <c r="L3036" i="9"/>
  <c r="L295" i="9"/>
  <c r="L717" i="9"/>
  <c r="L1138" i="9"/>
  <c r="L1607" i="9"/>
  <c r="L2097" i="9"/>
  <c r="L2587" i="9"/>
  <c r="L3037" i="9"/>
  <c r="L296" i="9"/>
  <c r="L718" i="9"/>
  <c r="L1139" i="9"/>
  <c r="L1608" i="9"/>
  <c r="L2098" i="9"/>
  <c r="L2588" i="9"/>
  <c r="L3038" i="9"/>
  <c r="L297" i="9"/>
  <c r="L719" i="9"/>
  <c r="L1140" i="9"/>
  <c r="L1609" i="9"/>
  <c r="L2099" i="9"/>
  <c r="L2589" i="9"/>
  <c r="L3039" i="9"/>
  <c r="L298" i="9"/>
  <c r="L720" i="9"/>
  <c r="L1141" i="9"/>
  <c r="L1610" i="9"/>
  <c r="L2100" i="9"/>
  <c r="L2590" i="9"/>
  <c r="L3040" i="9"/>
  <c r="L299" i="9"/>
  <c r="L721" i="9"/>
  <c r="L1142" i="9"/>
  <c r="L1611" i="9"/>
  <c r="L2101" i="9"/>
  <c r="L2591" i="9"/>
  <c r="L3041" i="9"/>
  <c r="L300" i="9"/>
  <c r="L722" i="9"/>
  <c r="L1143" i="9"/>
  <c r="L1612" i="9"/>
  <c r="L2102" i="9"/>
  <c r="L2592" i="9"/>
  <c r="L1613" i="9"/>
  <c r="L2103" i="9"/>
  <c r="L2593" i="9"/>
  <c r="L3042" i="9"/>
  <c r="L301" i="9"/>
  <c r="L723" i="9"/>
  <c r="L1144" i="9"/>
  <c r="L1614" i="9"/>
  <c r="L2104" i="9"/>
  <c r="L2594" i="9"/>
  <c r="L3043" i="9"/>
  <c r="L302" i="9"/>
  <c r="L724" i="9"/>
  <c r="L1145" i="9"/>
  <c r="L1615" i="9"/>
  <c r="L2105" i="9"/>
  <c r="L2595" i="9"/>
  <c r="L3044" i="9"/>
  <c r="L303" i="9"/>
  <c r="L725" i="9"/>
  <c r="L1146" i="9"/>
  <c r="L1616" i="9"/>
  <c r="L2106" i="9"/>
  <c r="L2596" i="9"/>
  <c r="L3045" i="9"/>
  <c r="L304" i="9"/>
  <c r="L726" i="9"/>
  <c r="L1147" i="9"/>
  <c r="L1617" i="9"/>
  <c r="L2107" i="9"/>
  <c r="L2597" i="9"/>
  <c r="L3046" i="9"/>
  <c r="L305" i="9"/>
  <c r="L727" i="9"/>
  <c r="L1148" i="9"/>
  <c r="L1618" i="9"/>
  <c r="L2108" i="9"/>
  <c r="L2598" i="9"/>
  <c r="L3047" i="9"/>
  <c r="L306" i="9"/>
  <c r="L728" i="9"/>
  <c r="L1149" i="9"/>
  <c r="L1619" i="9"/>
  <c r="L2109" i="9"/>
  <c r="L2599" i="9"/>
  <c r="L1620" i="9"/>
  <c r="L2110" i="9"/>
  <c r="L2600" i="9"/>
  <c r="L3048" i="9"/>
  <c r="L307" i="9"/>
  <c r="L729" i="9"/>
  <c r="L1150" i="9"/>
  <c r="L1621" i="9"/>
  <c r="L2111" i="9"/>
  <c r="L2601" i="9"/>
  <c r="L3049" i="9"/>
  <c r="L308" i="9"/>
  <c r="L730" i="9"/>
  <c r="L1151" i="9"/>
  <c r="L1622" i="9"/>
  <c r="L2112" i="9"/>
  <c r="L2602" i="9"/>
  <c r="L3050" i="9"/>
  <c r="L309" i="9"/>
  <c r="L731" i="9"/>
  <c r="L1152" i="9"/>
  <c r="L1623" i="9"/>
  <c r="L2113" i="9"/>
  <c r="L2603" i="9"/>
  <c r="L3051" i="9"/>
  <c r="L310" i="9"/>
  <c r="L732" i="9"/>
  <c r="L1153" i="9"/>
  <c r="L1624" i="9"/>
  <c r="L2114" i="9"/>
  <c r="L2604" i="9"/>
  <c r="L3052" i="9"/>
  <c r="L311" i="9"/>
  <c r="L733" i="9"/>
  <c r="L1154" i="9"/>
  <c r="L1625" i="9"/>
  <c r="L2115" i="9"/>
  <c r="L2605" i="9"/>
  <c r="L3053" i="9"/>
  <c r="L312" i="9"/>
  <c r="L734" i="9"/>
  <c r="L1155" i="9"/>
  <c r="L1626" i="9"/>
  <c r="L2116" i="9"/>
  <c r="L2606" i="9"/>
  <c r="L1627" i="9"/>
  <c r="L2117" i="9"/>
  <c r="L2607" i="9"/>
  <c r="L3054" i="9"/>
  <c r="L313" i="9"/>
  <c r="L735" i="9"/>
  <c r="L1156" i="9"/>
  <c r="L1628" i="9"/>
  <c r="L2118" i="9"/>
  <c r="L2608" i="9"/>
  <c r="L3055" i="9"/>
  <c r="L314" i="9"/>
  <c r="L736" i="9"/>
  <c r="L1157" i="9"/>
  <c r="L1629" i="9"/>
  <c r="L2119" i="9"/>
  <c r="L2609" i="9"/>
  <c r="L3056" i="9"/>
  <c r="L315" i="9"/>
  <c r="L737" i="9"/>
  <c r="L1158" i="9"/>
  <c r="L1630" i="9"/>
  <c r="L2120" i="9"/>
  <c r="L2610" i="9"/>
  <c r="L3057" i="9"/>
  <c r="L316" i="9"/>
  <c r="L738" i="9"/>
  <c r="L1159" i="9"/>
  <c r="L1631" i="9"/>
  <c r="L2121" i="9"/>
  <c r="L2611" i="9"/>
  <c r="L3058" i="9"/>
  <c r="L317" i="9"/>
  <c r="L739" i="9"/>
  <c r="L1160" i="9"/>
  <c r="L1632" i="9"/>
  <c r="L2122" i="9"/>
  <c r="L2612" i="9"/>
  <c r="L3059" i="9"/>
  <c r="L318" i="9"/>
  <c r="L740" i="9"/>
  <c r="L1161" i="9"/>
  <c r="L1633" i="9"/>
  <c r="L2123" i="9"/>
  <c r="L2613" i="9"/>
  <c r="L1634" i="9"/>
  <c r="L2124" i="9"/>
  <c r="L2614" i="9"/>
  <c r="L3060" i="9"/>
  <c r="L319" i="9"/>
  <c r="L741" i="9"/>
  <c r="L1162" i="9"/>
  <c r="L1635" i="9"/>
  <c r="L2125" i="9"/>
  <c r="L2615" i="9"/>
  <c r="L3061" i="9"/>
  <c r="L320" i="9"/>
  <c r="L742" i="9"/>
  <c r="L1163" i="9"/>
  <c r="L1636" i="9"/>
  <c r="L2126" i="9"/>
  <c r="L2616" i="9"/>
  <c r="L3062" i="9"/>
  <c r="L321" i="9"/>
  <c r="L743" i="9"/>
  <c r="L1164" i="9"/>
  <c r="L1637" i="9"/>
  <c r="L2127" i="9"/>
  <c r="L2617" i="9"/>
  <c r="L3063" i="9"/>
  <c r="L322" i="9"/>
  <c r="L744" i="9"/>
  <c r="L1165" i="9"/>
  <c r="L1638" i="9"/>
  <c r="L2128" i="9"/>
  <c r="L2618" i="9"/>
  <c r="L3064" i="9"/>
  <c r="L323" i="9"/>
  <c r="L745" i="9"/>
  <c r="L1166" i="9"/>
  <c r="L1639" i="9"/>
  <c r="L2129" i="9"/>
  <c r="L2619" i="9"/>
  <c r="L3065" i="9"/>
  <c r="L324" i="9"/>
  <c r="L746" i="9"/>
  <c r="L1167" i="9"/>
  <c r="L1640" i="9"/>
  <c r="L2130" i="9"/>
  <c r="L2620" i="9"/>
  <c r="L1641" i="9"/>
  <c r="L2131" i="9"/>
  <c r="L2621" i="9"/>
  <c r="L3066" i="9"/>
  <c r="L325" i="9"/>
  <c r="L747" i="9"/>
  <c r="L1168" i="9"/>
  <c r="L1642" i="9"/>
  <c r="L2132" i="9"/>
  <c r="L2622" i="9"/>
  <c r="L3067" i="9"/>
  <c r="L326" i="9"/>
  <c r="L748" i="9"/>
  <c r="L1169" i="9"/>
  <c r="L1643" i="9"/>
  <c r="L2133" i="9"/>
  <c r="L2623" i="9"/>
  <c r="L3068" i="9"/>
  <c r="L327" i="9"/>
  <c r="L749" i="9"/>
  <c r="L1170" i="9"/>
  <c r="L1644" i="9"/>
  <c r="L2134" i="9"/>
  <c r="L2624" i="9"/>
  <c r="L3069" i="9"/>
  <c r="L328" i="9"/>
  <c r="L750" i="9"/>
  <c r="L1171" i="9"/>
  <c r="L1645" i="9"/>
  <c r="L2135" i="9"/>
  <c r="L2625" i="9"/>
  <c r="L3070" i="9"/>
  <c r="L329" i="9"/>
  <c r="L751" i="9"/>
  <c r="L1172" i="9"/>
  <c r="L1646" i="9"/>
  <c r="L2136" i="9"/>
  <c r="L2626" i="9"/>
  <c r="L3071" i="9"/>
  <c r="L330" i="9"/>
  <c r="L752" i="9"/>
  <c r="L1173" i="9"/>
  <c r="L1647" i="9"/>
  <c r="L2137" i="9"/>
  <c r="L2627" i="9"/>
  <c r="L1648" i="9"/>
  <c r="L2138" i="9"/>
  <c r="L2628" i="9"/>
  <c r="L3072" i="9"/>
  <c r="L331" i="9"/>
  <c r="L753" i="9"/>
  <c r="L1174" i="9"/>
  <c r="L1649" i="9"/>
  <c r="L2139" i="9"/>
  <c r="L2629" i="9"/>
  <c r="L3073" i="9"/>
  <c r="L332" i="9"/>
  <c r="L754" i="9"/>
  <c r="L1175" i="9"/>
  <c r="L1650" i="9"/>
  <c r="L2140" i="9"/>
  <c r="L2630" i="9"/>
  <c r="L3074" i="9"/>
  <c r="L333" i="9"/>
  <c r="L755" i="9"/>
  <c r="L1176" i="9"/>
  <c r="L1651" i="9"/>
  <c r="L2141" i="9"/>
  <c r="L2631" i="9"/>
  <c r="L3075" i="9"/>
  <c r="L334" i="9"/>
  <c r="L756" i="9"/>
  <c r="L1177" i="9"/>
  <c r="L1652" i="9"/>
  <c r="L2142" i="9"/>
  <c r="L2632" i="9"/>
  <c r="L3076" i="9"/>
  <c r="L335" i="9"/>
  <c r="L757" i="9"/>
  <c r="L1178" i="9"/>
  <c r="L1653" i="9"/>
  <c r="L2143" i="9"/>
  <c r="L2633" i="9"/>
  <c r="L3077" i="9"/>
  <c r="L336" i="9"/>
  <c r="L758" i="9"/>
  <c r="L1179" i="9"/>
  <c r="L1654" i="9"/>
  <c r="L2144" i="9"/>
  <c r="L2634" i="9"/>
  <c r="L3078" i="9"/>
  <c r="L337" i="9"/>
  <c r="L759" i="9"/>
  <c r="L1655" i="9"/>
  <c r="L2145" i="9"/>
  <c r="L2635" i="9"/>
  <c r="L3079" i="9"/>
  <c r="L338" i="9"/>
  <c r="L760" i="9"/>
  <c r="L1180" i="9"/>
  <c r="L1656" i="9"/>
  <c r="L2146" i="9"/>
  <c r="L2636" i="9"/>
  <c r="L3080" i="9"/>
  <c r="L339" i="9"/>
  <c r="L761" i="9"/>
  <c r="L1181" i="9"/>
  <c r="L1657" i="9"/>
  <c r="L2147" i="9"/>
  <c r="L2637" i="9"/>
  <c r="L3081" i="9"/>
  <c r="L340" i="9"/>
  <c r="L762" i="9"/>
  <c r="L1182" i="9"/>
  <c r="L1658" i="9"/>
  <c r="L2148" i="9"/>
  <c r="L2638" i="9"/>
  <c r="L3082" i="9"/>
  <c r="L341" i="9"/>
  <c r="L763" i="9"/>
  <c r="L1183" i="9"/>
  <c r="L1659" i="9"/>
  <c r="L2149" i="9"/>
  <c r="L2639" i="9"/>
  <c r="L3083" i="9"/>
  <c r="L342" i="9"/>
  <c r="L764" i="9"/>
  <c r="L1184" i="9"/>
  <c r="L1660" i="9"/>
  <c r="L2150" i="9"/>
  <c r="L2640" i="9"/>
  <c r="L3084" i="9"/>
  <c r="L343" i="9"/>
  <c r="L765" i="9"/>
  <c r="L1185" i="9"/>
  <c r="L1661" i="9"/>
  <c r="L2151" i="9"/>
  <c r="L2641" i="9"/>
  <c r="L1662" i="9"/>
  <c r="L2152" i="9"/>
  <c r="L2642" i="9"/>
  <c r="L3085" i="9"/>
  <c r="L344" i="9"/>
  <c r="L766" i="9"/>
  <c r="L1186" i="9"/>
  <c r="L1663" i="9"/>
  <c r="L2153" i="9"/>
  <c r="L2643" i="9"/>
  <c r="L3086" i="9"/>
  <c r="L345" i="9"/>
  <c r="L767" i="9"/>
  <c r="L1187" i="9"/>
  <c r="L1664" i="9"/>
  <c r="L2154" i="9"/>
  <c r="L2644" i="9"/>
  <c r="L3087" i="9"/>
  <c r="L346" i="9"/>
  <c r="L768" i="9"/>
  <c r="L1188" i="9"/>
  <c r="L1665" i="9"/>
  <c r="L2155" i="9"/>
  <c r="L2645" i="9"/>
  <c r="L3088" i="9"/>
  <c r="L347" i="9"/>
  <c r="L769" i="9"/>
  <c r="L1189" i="9"/>
  <c r="L1666" i="9"/>
  <c r="L2156" i="9"/>
  <c r="L2646" i="9"/>
  <c r="L3089" i="9"/>
  <c r="L348" i="9"/>
  <c r="L770" i="9"/>
  <c r="L1190" i="9"/>
  <c r="L1667" i="9"/>
  <c r="L2157" i="9"/>
  <c r="L2647" i="9"/>
  <c r="L3090" i="9"/>
  <c r="L349" i="9"/>
  <c r="L771" i="9"/>
  <c r="L1191" i="9"/>
  <c r="L1668" i="9"/>
  <c r="L2158" i="9"/>
  <c r="L2648" i="9"/>
  <c r="L3091" i="9"/>
  <c r="L1669" i="9"/>
  <c r="L2159" i="9"/>
  <c r="L2649" i="9"/>
  <c r="L3092" i="9"/>
  <c r="L350" i="9"/>
  <c r="L772" i="9"/>
  <c r="L1192" i="9"/>
  <c r="L1670" i="9"/>
  <c r="L2160" i="9"/>
  <c r="L2650" i="9"/>
  <c r="L3093" i="9"/>
  <c r="L351" i="9"/>
  <c r="L773" i="9"/>
  <c r="L1193" i="9"/>
  <c r="L1671" i="9"/>
  <c r="L2161" i="9"/>
  <c r="L2651" i="9"/>
  <c r="L3094" i="9"/>
  <c r="L352" i="9"/>
  <c r="L774" i="9"/>
  <c r="L1194" i="9"/>
  <c r="L1672" i="9"/>
  <c r="L2162" i="9"/>
  <c r="L2652" i="9"/>
  <c r="L3095" i="9"/>
  <c r="L353" i="9"/>
  <c r="L775" i="9"/>
  <c r="L1195" i="9"/>
  <c r="L1673" i="9"/>
  <c r="L2163" i="9"/>
  <c r="L2653" i="9"/>
  <c r="L3096" i="9"/>
  <c r="L354" i="9"/>
  <c r="L776" i="9"/>
  <c r="L1196" i="9"/>
  <c r="L1674" i="9"/>
  <c r="L2164" i="9"/>
  <c r="L2654" i="9"/>
  <c r="L3097" i="9"/>
  <c r="L355" i="9"/>
  <c r="L777" i="9"/>
  <c r="L1197" i="9"/>
  <c r="L1675" i="9"/>
  <c r="L2165" i="9"/>
  <c r="L2655" i="9"/>
  <c r="L1676" i="9"/>
  <c r="L2166" i="9"/>
  <c r="L2656" i="9"/>
  <c r="L3098" i="9"/>
  <c r="L356" i="9"/>
  <c r="L778" i="9"/>
  <c r="L1198" i="9"/>
  <c r="L1677" i="9"/>
  <c r="L2167" i="9"/>
  <c r="L2657" i="9"/>
  <c r="L3099" i="9"/>
  <c r="L357" i="9"/>
  <c r="L779" i="9"/>
  <c r="L1199" i="9"/>
  <c r="L1678" i="9"/>
  <c r="L2168" i="9"/>
  <c r="L2658" i="9"/>
  <c r="L3100" i="9"/>
  <c r="L358" i="9"/>
  <c r="L780" i="9"/>
  <c r="L1200" i="9"/>
  <c r="L1679" i="9"/>
  <c r="L2169" i="9"/>
  <c r="L2659" i="9"/>
  <c r="L3101" i="9"/>
  <c r="L359" i="9"/>
  <c r="L781" i="9"/>
  <c r="L1201" i="9"/>
  <c r="L1680" i="9"/>
  <c r="L2170" i="9"/>
  <c r="L2660" i="9"/>
  <c r="L3102" i="9"/>
  <c r="L360" i="9"/>
  <c r="L782" i="9"/>
  <c r="L1202" i="9"/>
  <c r="L1681" i="9"/>
  <c r="L2171" i="9"/>
  <c r="L2661" i="9"/>
  <c r="L3103" i="9"/>
  <c r="L361" i="9"/>
  <c r="L783" i="9"/>
  <c r="L1203" i="9"/>
  <c r="L1682" i="9"/>
  <c r="L2172" i="9"/>
  <c r="L2662" i="9"/>
  <c r="L1683" i="9"/>
  <c r="L2173" i="9"/>
  <c r="L2663" i="9"/>
  <c r="L3104" i="9"/>
  <c r="L362" i="9"/>
  <c r="L784" i="9"/>
  <c r="L1204" i="9"/>
  <c r="L1684" i="9"/>
  <c r="L2174" i="9"/>
  <c r="L2664" i="9"/>
  <c r="L3105" i="9"/>
  <c r="L363" i="9"/>
  <c r="L785" i="9"/>
  <c r="L1205" i="9"/>
  <c r="L1685" i="9"/>
  <c r="L2175" i="9"/>
  <c r="L2665" i="9"/>
  <c r="L3106" i="9"/>
  <c r="L364" i="9"/>
  <c r="L786" i="9"/>
  <c r="L1206" i="9"/>
  <c r="L1686" i="9"/>
  <c r="L2176" i="9"/>
  <c r="L2666" i="9"/>
  <c r="L3107" i="9"/>
  <c r="L365" i="9"/>
  <c r="L787" i="9"/>
  <c r="L1207" i="9"/>
  <c r="L1687" i="9"/>
  <c r="L2177" i="9"/>
  <c r="L2667" i="9"/>
  <c r="L3108" i="9"/>
  <c r="L366" i="9"/>
  <c r="L788" i="9"/>
  <c r="L1208" i="9"/>
  <c r="L1688" i="9"/>
  <c r="L2178" i="9"/>
  <c r="L2668" i="9"/>
  <c r="L3109" i="9"/>
  <c r="L367" i="9"/>
  <c r="L789" i="9"/>
  <c r="L1209" i="9"/>
  <c r="L1689" i="9"/>
  <c r="L2179" i="9"/>
  <c r="L2669" i="9"/>
  <c r="L1690" i="9"/>
  <c r="L2180" i="9"/>
  <c r="L2670" i="9"/>
  <c r="L3110" i="9"/>
  <c r="L368" i="9"/>
  <c r="L790" i="9"/>
  <c r="L1210" i="9"/>
  <c r="L1691" i="9"/>
  <c r="L2181" i="9"/>
  <c r="L2671" i="9"/>
  <c r="L3111" i="9"/>
  <c r="L369" i="9"/>
  <c r="L791" i="9"/>
  <c r="L1211" i="9"/>
  <c r="L1692" i="9"/>
  <c r="L2182" i="9"/>
  <c r="L2672" i="9"/>
  <c r="L3112" i="9"/>
  <c r="L370" i="9"/>
  <c r="L792" i="9"/>
  <c r="L1212" i="9"/>
  <c r="L1693" i="9"/>
  <c r="L2183" i="9"/>
  <c r="L2673" i="9"/>
  <c r="L3113" i="9"/>
  <c r="L371" i="9"/>
  <c r="L793" i="9"/>
  <c r="L1213" i="9"/>
  <c r="L1694" i="9"/>
  <c r="L2184" i="9"/>
  <c r="L2674" i="9"/>
  <c r="L3114" i="9"/>
  <c r="L372" i="9"/>
  <c r="L794" i="9"/>
  <c r="L1214" i="9"/>
  <c r="L1695" i="9"/>
  <c r="L2185" i="9"/>
  <c r="L2675" i="9"/>
  <c r="L3115" i="9"/>
  <c r="L373" i="9"/>
  <c r="L795" i="9"/>
  <c r="L1215" i="9"/>
  <c r="L1696" i="9"/>
  <c r="L2186" i="9"/>
  <c r="L2676" i="9"/>
  <c r="L1697" i="9"/>
  <c r="L2187" i="9"/>
  <c r="L2677" i="9"/>
  <c r="L3116" i="9"/>
  <c r="L374" i="9"/>
  <c r="L796" i="9"/>
  <c r="L1216" i="9"/>
  <c r="L1698" i="9"/>
  <c r="L2188" i="9"/>
  <c r="L2678" i="9"/>
  <c r="L3117" i="9"/>
  <c r="L375" i="9"/>
  <c r="L797" i="9"/>
  <c r="L1217" i="9"/>
  <c r="L1699" i="9"/>
  <c r="L2189" i="9"/>
  <c r="L2679" i="9"/>
  <c r="L3118" i="9"/>
  <c r="L376" i="9"/>
  <c r="L798" i="9"/>
  <c r="L1218" i="9"/>
  <c r="L1700" i="9"/>
  <c r="L2190" i="9"/>
  <c r="L2680" i="9"/>
  <c r="L3119" i="9"/>
  <c r="L377" i="9"/>
  <c r="L799" i="9"/>
  <c r="L1219" i="9"/>
  <c r="L1701" i="9"/>
  <c r="L2191" i="9"/>
  <c r="L2681" i="9"/>
  <c r="L3120" i="9"/>
  <c r="L378" i="9"/>
  <c r="L800" i="9"/>
  <c r="L1220" i="9"/>
  <c r="L1702" i="9"/>
  <c r="L2192" i="9"/>
  <c r="L2682" i="9"/>
  <c r="L3121" i="9"/>
  <c r="L379" i="9"/>
  <c r="L801" i="9"/>
  <c r="L1221" i="9"/>
  <c r="L1703" i="9"/>
  <c r="L2193" i="9"/>
  <c r="L2683" i="9"/>
  <c r="L1704" i="9"/>
  <c r="L2194" i="9"/>
  <c r="L2684" i="9"/>
  <c r="L3122" i="9"/>
  <c r="L380" i="9"/>
  <c r="L802" i="9"/>
  <c r="L1222" i="9"/>
  <c r="L1705" i="9"/>
  <c r="L2195" i="9"/>
  <c r="L2685" i="9"/>
  <c r="L3123" i="9"/>
  <c r="L381" i="9"/>
  <c r="L803" i="9"/>
  <c r="L1223" i="9"/>
  <c r="L1706" i="9"/>
  <c r="L2196" i="9"/>
  <c r="L2686" i="9"/>
  <c r="L3124" i="9"/>
  <c r="L382" i="9"/>
  <c r="L804" i="9"/>
  <c r="L1224" i="9"/>
  <c r="L1707" i="9"/>
  <c r="L2197" i="9"/>
  <c r="L2687" i="9"/>
  <c r="L3125" i="9"/>
  <c r="L383" i="9"/>
  <c r="L805" i="9"/>
  <c r="L1225" i="9"/>
  <c r="L1708" i="9"/>
  <c r="L2198" i="9"/>
  <c r="L2688" i="9"/>
  <c r="L3126" i="9"/>
  <c r="L384" i="9"/>
  <c r="L806" i="9"/>
  <c r="L1226" i="9"/>
  <c r="L1709" i="9"/>
  <c r="L2199" i="9"/>
  <c r="L2689" i="9"/>
  <c r="L3127" i="9"/>
  <c r="L385" i="9"/>
  <c r="L807" i="9"/>
  <c r="L1227" i="9"/>
  <c r="L1710" i="9"/>
  <c r="L2200" i="9"/>
  <c r="L2690" i="9"/>
  <c r="L1711" i="9"/>
  <c r="L2201" i="9"/>
  <c r="L2691" i="9"/>
  <c r="L3128" i="9"/>
  <c r="L386" i="9"/>
  <c r="L808" i="9"/>
  <c r="L1228" i="9"/>
  <c r="L1712" i="9"/>
  <c r="L2202" i="9"/>
  <c r="L2692" i="9"/>
  <c r="L3129" i="9"/>
  <c r="L387" i="9"/>
  <c r="L809" i="9"/>
  <c r="L1229" i="9"/>
  <c r="L1713" i="9"/>
  <c r="L2203" i="9"/>
  <c r="L2693" i="9"/>
  <c r="L3130" i="9"/>
  <c r="L388" i="9"/>
  <c r="L810" i="9"/>
  <c r="L1230" i="9"/>
  <c r="L1714" i="9"/>
  <c r="L2204" i="9"/>
  <c r="L2694" i="9"/>
  <c r="L3131" i="9"/>
  <c r="L389" i="9"/>
  <c r="L811" i="9"/>
  <c r="L1231" i="9"/>
  <c r="L1715" i="9"/>
  <c r="L2205" i="9"/>
  <c r="L2695" i="9"/>
  <c r="L3132" i="9"/>
  <c r="L390" i="9"/>
  <c r="L812" i="9"/>
  <c r="L1232" i="9"/>
  <c r="L1716" i="9"/>
  <c r="L2206" i="9"/>
  <c r="L2696" i="9"/>
  <c r="L3133" i="9"/>
  <c r="L391" i="9"/>
  <c r="L813" i="9"/>
  <c r="L1233" i="9"/>
  <c r="L1717" i="9"/>
  <c r="L2207" i="9"/>
  <c r="L2697" i="9"/>
  <c r="L1718" i="9"/>
  <c r="L2208" i="9"/>
  <c r="L2698" i="9"/>
  <c r="L3134" i="9"/>
  <c r="L392" i="9"/>
  <c r="L814" i="9"/>
  <c r="L1234" i="9"/>
  <c r="L1719" i="9"/>
  <c r="L2209" i="9"/>
  <c r="L2699" i="9"/>
  <c r="L3135" i="9"/>
  <c r="L393" i="9"/>
  <c r="L815" i="9"/>
  <c r="L1235" i="9"/>
  <c r="L1720" i="9"/>
  <c r="L2210" i="9"/>
  <c r="L2700" i="9"/>
  <c r="L3136" i="9"/>
  <c r="L394" i="9"/>
  <c r="L816" i="9"/>
  <c r="L1236" i="9"/>
  <c r="L1721" i="9"/>
  <c r="L2211" i="9"/>
  <c r="L2701" i="9"/>
  <c r="L3137" i="9"/>
  <c r="L395" i="9"/>
  <c r="L817" i="9"/>
  <c r="L1237" i="9"/>
  <c r="L1722" i="9"/>
  <c r="L2212" i="9"/>
  <c r="L2702" i="9"/>
  <c r="L3138" i="9"/>
  <c r="L396" i="9"/>
  <c r="L818" i="9"/>
  <c r="L1238" i="9"/>
  <c r="L1723" i="9"/>
  <c r="L2213" i="9"/>
  <c r="L2703" i="9"/>
  <c r="L3139" i="9"/>
  <c r="L397" i="9"/>
  <c r="L819" i="9"/>
  <c r="L1239" i="9"/>
  <c r="L1724" i="9"/>
  <c r="L2214" i="9"/>
  <c r="L2704" i="9"/>
  <c r="L1725" i="9"/>
  <c r="L2215" i="9"/>
  <c r="L2705" i="9"/>
  <c r="L3140" i="9"/>
  <c r="L398" i="9"/>
  <c r="L820" i="9"/>
  <c r="L1240" i="9"/>
  <c r="L1726" i="9"/>
  <c r="L2216" i="9"/>
  <c r="L2706" i="9"/>
  <c r="L3141" i="9"/>
  <c r="L399" i="9"/>
  <c r="L821" i="9"/>
  <c r="L1241" i="9"/>
  <c r="L1727" i="9"/>
  <c r="L2217" i="9"/>
  <c r="L2707" i="9"/>
  <c r="L3142" i="9"/>
  <c r="L400" i="9"/>
  <c r="L822" i="9"/>
  <c r="L1242" i="9"/>
  <c r="L1728" i="9"/>
  <c r="L2218" i="9"/>
  <c r="L2708" i="9"/>
  <c r="L3143" i="9"/>
  <c r="L401" i="9"/>
  <c r="L823" i="9"/>
  <c r="L1243" i="9"/>
  <c r="L1729" i="9"/>
  <c r="L2219" i="9"/>
  <c r="L2709" i="9"/>
  <c r="L3144" i="9"/>
  <c r="L402" i="9"/>
  <c r="L824" i="9"/>
  <c r="L1244" i="9"/>
  <c r="L1730" i="9"/>
  <c r="L2220" i="9"/>
  <c r="L2710" i="9"/>
  <c r="L3145" i="9"/>
  <c r="L403" i="9"/>
  <c r="L825" i="9"/>
  <c r="L1245" i="9"/>
  <c r="L1731" i="9"/>
  <c r="L2221" i="9"/>
  <c r="L2711" i="9"/>
  <c r="L1732" i="9"/>
  <c r="L2222" i="9"/>
  <c r="L2712" i="9"/>
  <c r="L3146" i="9"/>
  <c r="L404" i="9"/>
  <c r="L826" i="9"/>
  <c r="L1246" i="9"/>
  <c r="L1733" i="9"/>
  <c r="L2223" i="9"/>
  <c r="L2713" i="9"/>
  <c r="L3147" i="9"/>
  <c r="L405" i="9"/>
  <c r="L827" i="9"/>
  <c r="L1247" i="9"/>
  <c r="L1734" i="9"/>
  <c r="L2224" i="9"/>
  <c r="L2714" i="9"/>
  <c r="L3148" i="9"/>
  <c r="L406" i="9"/>
  <c r="L828" i="9"/>
  <c r="L1248" i="9"/>
  <c r="L1735" i="9"/>
  <c r="L2225" i="9"/>
  <c r="L2715" i="9"/>
  <c r="L3149" i="9"/>
  <c r="L407" i="9"/>
  <c r="L829" i="9"/>
  <c r="L1249" i="9"/>
  <c r="L1736" i="9"/>
  <c r="L2226" i="9"/>
  <c r="L2716" i="9"/>
  <c r="L3150" i="9"/>
  <c r="L408" i="9"/>
  <c r="L830" i="9"/>
  <c r="L1250" i="9"/>
  <c r="L1737" i="9"/>
  <c r="L2227" i="9"/>
  <c r="L2717" i="9"/>
  <c r="L3151" i="9"/>
  <c r="L409" i="9"/>
  <c r="L831" i="9"/>
  <c r="L1251" i="9"/>
  <c r="L1738" i="9"/>
  <c r="L2228" i="9"/>
  <c r="L2718" i="9"/>
  <c r="L1739" i="9"/>
  <c r="L2229" i="9"/>
  <c r="L2719" i="9"/>
  <c r="L3152" i="9"/>
  <c r="L410" i="9"/>
  <c r="L832" i="9"/>
  <c r="L1252" i="9"/>
  <c r="L1740" i="9"/>
  <c r="L2230" i="9"/>
  <c r="L2720" i="9"/>
  <c r="L3153" i="9"/>
  <c r="L411" i="9"/>
  <c r="L833" i="9"/>
  <c r="L1253" i="9"/>
  <c r="L1741" i="9"/>
  <c r="L2231" i="9"/>
  <c r="L2721" i="9"/>
  <c r="L3154" i="9"/>
  <c r="L412" i="9"/>
  <c r="L834" i="9"/>
  <c r="L1254" i="9"/>
  <c r="L1742" i="9"/>
  <c r="L2232" i="9"/>
  <c r="L2722" i="9"/>
  <c r="L3155" i="9"/>
  <c r="L413" i="9"/>
  <c r="L835" i="9"/>
  <c r="L1255" i="9"/>
  <c r="L1743" i="9"/>
  <c r="L2233" i="9"/>
  <c r="L2723" i="9"/>
  <c r="L3156" i="9"/>
  <c r="L414" i="9"/>
  <c r="L836" i="9"/>
  <c r="L1256" i="9"/>
  <c r="L1744" i="9"/>
  <c r="L2234" i="9"/>
  <c r="L2724" i="9"/>
  <c r="L3157" i="9"/>
  <c r="L415" i="9"/>
  <c r="L837" i="9"/>
  <c r="L1257" i="9"/>
  <c r="L1745" i="9"/>
  <c r="L2235" i="9"/>
  <c r="L2725" i="9"/>
  <c r="L1746" i="9"/>
  <c r="L2236" i="9"/>
  <c r="L2726" i="9"/>
  <c r="L3158" i="9"/>
  <c r="L416" i="9"/>
  <c r="L838" i="9"/>
  <c r="L1258" i="9"/>
  <c r="L1747" i="9"/>
  <c r="L2237" i="9"/>
  <c r="L2727" i="9"/>
  <c r="L3159" i="9"/>
  <c r="L417" i="9"/>
  <c r="L839" i="9"/>
  <c r="L1259" i="9"/>
  <c r="L1748" i="9"/>
  <c r="L2238" i="9"/>
  <c r="L2728" i="9"/>
  <c r="L3160" i="9"/>
  <c r="L418" i="9"/>
  <c r="L840" i="9"/>
  <c r="L1260" i="9"/>
  <c r="L1749" i="9"/>
  <c r="L2239" i="9"/>
  <c r="L2729" i="9"/>
  <c r="L3161" i="9"/>
  <c r="L419" i="9"/>
  <c r="L841" i="9"/>
  <c r="L1261" i="9"/>
  <c r="L1750" i="9"/>
  <c r="L2240" i="9"/>
  <c r="L2730" i="9"/>
  <c r="L3162" i="9"/>
  <c r="L420" i="9"/>
  <c r="L842" i="9"/>
  <c r="L1262" i="9"/>
  <c r="L1751" i="9"/>
  <c r="L2241" i="9"/>
  <c r="L2731" i="9"/>
  <c r="L3163" i="9"/>
  <c r="L421" i="9"/>
  <c r="L843" i="9"/>
  <c r="L1263" i="9"/>
  <c r="L1752" i="9"/>
  <c r="L2242" i="9"/>
  <c r="L2732" i="9"/>
  <c r="L1753" i="9"/>
  <c r="L2243" i="9"/>
  <c r="L2733" i="9"/>
  <c r="L3164" i="9"/>
  <c r="L422" i="9"/>
  <c r="L844" i="9"/>
  <c r="L1264" i="9"/>
  <c r="L1754" i="9"/>
  <c r="L2244" i="9"/>
  <c r="L2734" i="9"/>
  <c r="L3165" i="9"/>
  <c r="L423" i="9"/>
  <c r="L845" i="9"/>
  <c r="L1265" i="9"/>
  <c r="L1755" i="9"/>
  <c r="L2245" i="9"/>
  <c r="L2735" i="9"/>
  <c r="L3166" i="9"/>
  <c r="L424" i="9"/>
  <c r="L846" i="9"/>
  <c r="L1266" i="9"/>
  <c r="L1756" i="9"/>
  <c r="L2246" i="9"/>
  <c r="L2736" i="9"/>
  <c r="L3167" i="9"/>
  <c r="L425" i="9"/>
  <c r="L847" i="9"/>
  <c r="L1267" i="9"/>
  <c r="L1757" i="9"/>
  <c r="L2247" i="9"/>
  <c r="L2737" i="9"/>
  <c r="L3168" i="9"/>
  <c r="L426" i="9"/>
  <c r="L848" i="9"/>
  <c r="L1268" i="9"/>
  <c r="L1758" i="9"/>
  <c r="L2248" i="9"/>
  <c r="L2738" i="9"/>
  <c r="L3169" i="9"/>
  <c r="L427" i="9"/>
  <c r="L849" i="9"/>
  <c r="L1269" i="9"/>
  <c r="L1759" i="9"/>
  <c r="L2249" i="9"/>
  <c r="L2739" i="9"/>
  <c r="L317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B3A2CF-2911-402F-979A-5FF9992B7A2B}"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6ECADA3F-9C82-46CB-9904-DC5048C1B28A}"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1B1FFD11-1CB0-46A6-AE80-999CA8055567}"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4" xr16:uid="{0D5EA5CE-DCB9-452B-BB32-C844D6E78892}" keepAlive="1" name="Query - Table4_1" description="Connection to the 'Table4_1' query in the workbook." type="5" refreshedVersion="8" background="1" saveData="1">
    <dbPr connection="Provider=Microsoft.Mashup.OleDb.1;Data Source=$Workbook$;Location=Table4_1;Extended Properties=&quot;&quot;" command="SELECT * FROM [Table4_1]"/>
  </connection>
  <connection id="5" xr16:uid="{AB02C540-4143-4FF1-974C-CD3C978691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2D21DB8-F48F-4F58-954B-ED41AC7248BC}" name="WorksheetConnection_lettuce_dataset_updated.csv!Table4_2" type="102" refreshedVersion="8" minRefreshableVersion="5">
    <extLst>
      <ext xmlns:x15="http://schemas.microsoft.com/office/spreadsheetml/2010/11/main" uri="{DE250136-89BD-433C-8126-D09CA5730AF9}">
        <x15:connection id="Table4_2" autoDelete="1">
          <x15:rangePr sourceName="_xlcn.WorksheetConnection_lettuce_dataset_updated.csvTable4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<sst xmlns="http://schemas.openxmlformats.org/spreadsheetml/2006/main" count="82" uniqueCount="31">
  <si>
    <t>Plant_ID</t>
  </si>
  <si>
    <t>Date</t>
  </si>
  <si>
    <t>Temperature (°C)</t>
  </si>
  <si>
    <t>Humidity (%)</t>
  </si>
  <si>
    <t>TDS Value (ppm)</t>
  </si>
  <si>
    <t>pH Level</t>
  </si>
  <si>
    <t>Growth Days</t>
  </si>
  <si>
    <t>Temperature (F)</t>
  </si>
  <si>
    <t>Humidity</t>
  </si>
  <si>
    <t>Row Labels</t>
  </si>
  <si>
    <t>Grand Total</t>
  </si>
  <si>
    <t>Count of Plant_ID</t>
  </si>
  <si>
    <t>Thursday</t>
  </si>
  <si>
    <t>Friday</t>
  </si>
  <si>
    <t>Saturday</t>
  </si>
  <si>
    <t>Sunday</t>
  </si>
  <si>
    <t>Monday</t>
  </si>
  <si>
    <t>Tuesday</t>
  </si>
  <si>
    <t>Wednesday</t>
  </si>
  <si>
    <t>Days Name</t>
  </si>
  <si>
    <t>Nutrient Adequacy</t>
  </si>
  <si>
    <t>Average of pH Level</t>
  </si>
  <si>
    <t>Average of TDS Value (ppm)</t>
  </si>
  <si>
    <t>Average of Humidity (%)</t>
  </si>
  <si>
    <t>Average of Temperature (°C)</t>
  </si>
  <si>
    <t>Seedling</t>
  </si>
  <si>
    <t>Low</t>
  </si>
  <si>
    <t>Optimal</t>
  </si>
  <si>
    <t>Growth Stage</t>
  </si>
  <si>
    <t>Vegetative</t>
  </si>
  <si>
    <t>Maturity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</si>
</sst>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quot;"/>
    <numFmt numFmtId="165" formatCode="0.00&quot;ppm&quot;"/>
    <numFmt numFmtId="166" formatCode="0.00&quot;pH&quot;"/>
    <numFmt numFmtId="167" formatCode="0.00&quot;C&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33" borderId="0" xfId="0" applyFill="1"/>
    <xf numFmtId="167"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14" fontId="0" fillId="0" borderId="10" xfId="0" applyNumberFormat="1" applyBorder="1"/>
    <xf numFmtId="0" fontId="0" fillId="0" borderId="10" xfId="0" applyBorder="1"/>
    <xf numFmtId="0" fontId="0" fillId="0" borderId="15" xfId="0" applyBorder="1"/>
    <xf numFmtId="0" fontId="0" fillId="0" borderId="16" xfId="0" applyBorder="1"/>
    <xf numFmtId="14" fontId="0" fillId="0" borderId="17" xfId="0" applyNumberFormat="1" applyBorder="1"/>
    <xf numFmtId="0" fontId="0" fillId="0" borderId="17" xfId="0" applyBorder="1"/>
    <xf numFmtId="0" fontId="0" fillId="0" borderId="18" xfId="0" applyBorder="1"/>
    <xf numFmtId="0" fontId="0" fillId="0" borderId="0" xfId="0" applyNumberFormat="1"/>
    <xf numFmtId="2"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2" formatCode="0.00"/>
    </dxf>
    <dxf>
      <numFmt numFmtId="2" formatCode="0.00"/>
    </dxf>
    <dxf>
      <numFmt numFmtId="2" formatCode="0.00"/>
    </dxf>
    <dxf>
      <numFmt numFmtId="2" formatCode="0.00"/>
    </dxf>
    <dxf>
      <numFmt numFmtId="0" formatCode="General"/>
    </dxf>
    <dxf>
      <numFmt numFmtId="0" formatCode="General"/>
    </dxf>
    <dxf>
      <numFmt numFmtId="19" formatCode="dd/mm/yyyy"/>
    </dxf>
    <dxf>
      <numFmt numFmtId="19" formatCode="dd/mm/yyyy"/>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z val="10"/>
        <color theme="0"/>
      </font>
      <border>
        <bottom style="thin">
          <color theme="9"/>
        </bottom>
        <vertical/>
        <horizontal/>
      </border>
    </dxf>
    <dxf>
      <font>
        <b/>
        <i val="0"/>
        <sz val="11"/>
        <color theme="1"/>
        <name val="Georgia"/>
        <family val="1"/>
      </font>
      <fill>
        <patternFill>
          <bgColor theme="9" tint="-0.24994659260841701"/>
        </patternFill>
      </fill>
      <border diagonalUp="0" diagonalDown="0">
        <left/>
        <right/>
        <top/>
        <bottom/>
        <vertical/>
        <horizontal/>
      </border>
    </dxf>
  </dxfs>
  <tableStyles count="1" defaultTableStyle="TableStyleMedium2" defaultPivotStyle="PivotStyleLight16">
    <tableStyle name="lettuce project" pivot="0" table="0" count="10" xr9:uid="{EFF55636-21C8-4FDA-A4E7-61D884D1123B}">
      <tableStyleElement type="wholeTable" dxfId="22"/>
      <tableStyleElement type="headerRow" dxfId="21"/>
    </tableStyle>
  </tableStyles>
  <colors>
    <mruColors>
      <color rgb="FFD6F6D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9" tint="-0.249977111117893"/>
          </font>
          <fill>
            <patternFill patternType="solid">
              <fgColor theme="9" tint="0.59999389629810485"/>
              <bgColor theme="9" tint="0.79998168889431442"/>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6" tint="-0.499984740745262"/>
          </font>
          <fill>
            <patternFill patternType="solid">
              <fgColor theme="9"/>
              <bgColor theme="9" tint="0.59996337778862885"/>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9" tint="0.7999816888943144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lettuce projec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[lettuce_dataset.xlsx]Nutrient adequacy perc!PivotTable2</c:name>
    <c:fmtId val="2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3">
              <a:lumMod val="75000"/>
            </a:schemeClr>
          </a:solidFill>
          <a:ln>
            <a:noFill/>
          </a:ln>
          <a:effectLst/>
        </c:spPr>
      </c:pivotFmt>
      <c:pivotFmt>
        <c:idx val="23"/>
        <c:spPr>
          <a:solidFill>
            <a:schemeClr val="accent3">
              <a:lumMod val="60000"/>
              <a:lumOff val="40000"/>
            </a:schemeClr>
          </a:solidFill>
          <a:ln>
            <a:noFill/>
          </a:ln>
          <a:effectLst/>
        </c:spPr>
      </c:pivotFmt>
      <c:pivotFmt>
        <c:idx val="24"/>
        <c:spPr>
          <a:solidFill>
            <a:schemeClr val="accent3">
              <a:lumMod val="40000"/>
              <a:lumOff val="6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60000"/>
              <a:lumOff val="40000"/>
            </a:schemeClr>
          </a:solidFill>
          <a:ln>
            <a:noFill/>
          </a:ln>
          <a:effectLst/>
        </c:spPr>
        <c:dLbl>
          <c:idx val="0"/>
          <c:layout>
            <c:manualLayout>
              <c:x val="9.9415204678362429E-2"/>
              <c:y val="4.0588527253278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3">
              <a:lumMod val="50000"/>
            </a:schemeClr>
          </a:solidFill>
          <a:ln>
            <a:noFill/>
          </a:ln>
          <a:effectLst/>
        </c:spPr>
        <c:dLbl>
          <c:idx val="0"/>
          <c:layout>
            <c:manualLayout>
              <c:x val="-0.1189083820662768"/>
              <c:y val="-0.227295752618359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3">
              <a:lumMod val="60000"/>
              <a:lumOff val="40000"/>
            </a:schemeClr>
          </a:solidFill>
          <a:ln>
            <a:noFill/>
          </a:ln>
          <a:effectLst/>
        </c:spPr>
        <c:dLbl>
          <c:idx val="0"/>
          <c:layout>
            <c:manualLayout>
              <c:x val="9.9415204678362429E-2"/>
              <c:y val="4.0588527253278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3">
              <a:lumMod val="50000"/>
            </a:schemeClr>
          </a:solidFill>
          <a:ln>
            <a:noFill/>
          </a:ln>
          <a:effectLst/>
        </c:spPr>
        <c:dLbl>
          <c:idx val="0"/>
          <c:layout>
            <c:manualLayout>
              <c:x val="-0.1189083820662768"/>
              <c:y val="-0.227295752618359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3">
              <a:lumMod val="60000"/>
              <a:lumOff val="40000"/>
            </a:schemeClr>
          </a:solidFill>
          <a:ln>
            <a:noFill/>
          </a:ln>
          <a:effectLst/>
        </c:spPr>
        <c:dLbl>
          <c:idx val="0"/>
          <c:layout>
            <c:manualLayout>
              <c:x val="0.15433522715141057"/>
              <c:y val="-8.5235907231884817E-2"/>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3">
              <a:lumMod val="50000"/>
            </a:schemeClr>
          </a:solidFill>
          <a:ln>
            <a:noFill/>
          </a:ln>
          <a:effectLst/>
        </c:spPr>
        <c:dLbl>
          <c:idx val="0"/>
          <c:layout>
            <c:manualLayout>
              <c:x val="-0.1189083820662768"/>
              <c:y val="-0.22729575261835958"/>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999640998855205"/>
          <c:y val="0.16902300650512714"/>
          <c:w val="0.48958696379018923"/>
          <c:h val="0.80385197433163957"/>
        </c:manualLayout>
      </c:layout>
      <c:doughnutChart>
        <c:varyColors val="1"/>
        <c:ser>
          <c:idx val="0"/>
          <c:order val="0"/>
          <c:tx>
            <c:strRef>
              <c:f>'Nutrient adequacy perc'!$B$3</c:f>
              <c:strCache>
                <c:ptCount val="1"/>
                <c:pt idx="0">
                  <c:v>Total</c:v>
                </c:pt>
              </c:strCache>
            </c:strRef>
          </c:tx>
          <c:spPr>
            <a:solidFill>
              <a:schemeClr val="accent3">
                <a:lumMod val="50000"/>
              </a:schemeClr>
            </a:solidFill>
          </c:spPr>
          <c:dPt>
            <c:idx val="0"/>
            <c:bubble3D val="0"/>
            <c:spPr>
              <a:solidFill>
                <a:schemeClr val="accent3">
                  <a:lumMod val="60000"/>
                  <a:lumOff val="40000"/>
                </a:schemeClr>
              </a:solidFill>
              <a:ln>
                <a:noFill/>
              </a:ln>
              <a:effectLst/>
            </c:spPr>
            <c:extLst>
              <c:ext xmlns:c16="http://schemas.microsoft.com/office/drawing/2014/chart" uri="{C3380CC4-5D6E-409C-BE32-E72D297353CC}">
                <c16:uniqueId val="{00000001-4035-407E-92CE-8EEB0CC01FC5}"/>
              </c:ext>
            </c:extLst>
          </c:dPt>
          <c:dPt>
            <c:idx val="1"/>
            <c:bubble3D val="0"/>
            <c:spPr>
              <a:solidFill>
                <a:schemeClr val="accent3">
                  <a:lumMod val="50000"/>
                </a:schemeClr>
              </a:solidFill>
              <a:ln>
                <a:noFill/>
              </a:ln>
              <a:effectLst/>
            </c:spPr>
            <c:extLst>
              <c:ext xmlns:c16="http://schemas.microsoft.com/office/drawing/2014/chart" uri="{C3380CC4-5D6E-409C-BE32-E72D297353CC}">
                <c16:uniqueId val="{00000003-4035-407E-92CE-8EEB0CC01FC5}"/>
              </c:ext>
            </c:extLst>
          </c:dPt>
          <c:dPt>
            <c:idx val="2"/>
            <c:bubble3D val="0"/>
            <c:spPr>
              <a:solidFill>
                <a:schemeClr val="accent3">
                  <a:lumMod val="50000"/>
                </a:schemeClr>
              </a:solidFill>
              <a:ln>
                <a:noFill/>
              </a:ln>
              <a:effectLst/>
            </c:spPr>
            <c:extLst>
              <c:ext xmlns:c16="http://schemas.microsoft.com/office/drawing/2014/chart" uri="{C3380CC4-5D6E-409C-BE32-E72D297353CC}">
                <c16:uniqueId val="{00000005-4035-407E-92CE-8EEB0CC01FC5}"/>
              </c:ext>
            </c:extLst>
          </c:dPt>
          <c:dPt>
            <c:idx val="3"/>
            <c:bubble3D val="0"/>
            <c:spPr>
              <a:solidFill>
                <a:schemeClr val="accent3">
                  <a:lumMod val="50000"/>
                </a:schemeClr>
              </a:solidFill>
              <a:ln>
                <a:noFill/>
              </a:ln>
              <a:effectLst/>
            </c:spPr>
            <c:extLst>
              <c:ext xmlns:c16="http://schemas.microsoft.com/office/drawing/2014/chart" uri="{C3380CC4-5D6E-409C-BE32-E72D297353CC}">
                <c16:uniqueId val="{00000007-4035-407E-92CE-8EEB0CC01FC5}"/>
              </c:ext>
            </c:extLst>
          </c:dPt>
          <c:dPt>
            <c:idx val="4"/>
            <c:bubble3D val="0"/>
            <c:spPr>
              <a:solidFill>
                <a:schemeClr val="accent3">
                  <a:lumMod val="50000"/>
                </a:schemeClr>
              </a:solidFill>
              <a:ln>
                <a:noFill/>
              </a:ln>
              <a:effectLst/>
            </c:spPr>
            <c:extLst>
              <c:ext xmlns:c16="http://schemas.microsoft.com/office/drawing/2014/chart" uri="{C3380CC4-5D6E-409C-BE32-E72D297353CC}">
                <c16:uniqueId val="{00000009-4035-407E-92CE-8EEB0CC01FC5}"/>
              </c:ext>
            </c:extLst>
          </c:dPt>
          <c:dPt>
            <c:idx val="5"/>
            <c:bubble3D val="0"/>
            <c:spPr>
              <a:solidFill>
                <a:schemeClr val="accent3">
                  <a:lumMod val="50000"/>
                </a:schemeClr>
              </a:solidFill>
              <a:ln>
                <a:noFill/>
              </a:ln>
              <a:effectLst/>
            </c:spPr>
            <c:extLst>
              <c:ext xmlns:c16="http://schemas.microsoft.com/office/drawing/2014/chart" uri="{C3380CC4-5D6E-409C-BE32-E72D297353CC}">
                <c16:uniqueId val="{0000000B-4035-407E-92CE-8EEB0CC01FC5}"/>
              </c:ext>
            </c:extLst>
          </c:dPt>
          <c:dPt>
            <c:idx val="6"/>
            <c:bubble3D val="0"/>
            <c:spPr>
              <a:solidFill>
                <a:schemeClr val="accent3">
                  <a:lumMod val="50000"/>
                </a:schemeClr>
              </a:solidFill>
              <a:ln>
                <a:noFill/>
              </a:ln>
              <a:effectLst/>
            </c:spPr>
            <c:extLst>
              <c:ext xmlns:c16="http://schemas.microsoft.com/office/drawing/2014/chart" uri="{C3380CC4-5D6E-409C-BE32-E72D297353CC}">
                <c16:uniqueId val="{0000000D-4035-407E-92CE-8EEB0CC01FC5}"/>
              </c:ext>
            </c:extLst>
          </c:dPt>
          <c:dLbls>
            <c:dLbl>
              <c:idx val="0"/>
              <c:layout>
                <c:manualLayout>
                  <c:x val="0.15433522715141057"/>
                  <c:y val="-8.5235907231884817E-2"/>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035-407E-92CE-8EEB0CC01FC5}"/>
                </c:ext>
              </c:extLst>
            </c:dLbl>
            <c:dLbl>
              <c:idx val="1"/>
              <c:layout>
                <c:manualLayout>
                  <c:x val="-0.1189083820662768"/>
                  <c:y val="-0.22729575261835958"/>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035-407E-92CE-8EEB0CC01FC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'Nutrient adequacy perc'!$A$4:$A$6</c:f>
              <c:strCache>
                <c:ptCount val="2"/>
                <c:pt idx="0">
                  <c:v>Low</c:v>
                </c:pt>
                <c:pt idx="1">
                  <c:v>Optimal</c:v>
                </c:pt>
              </c:strCache>
            </c:strRef>
          </c:cat>
          <c:val>
            <c:numRef>
              <c:f>'Nutrient adequacy perc'!$B$4:$B$6</c:f>
              <c:numCache>
                <c:formatCode>0.00%</c:formatCode>
                <c:ptCount val="2"/>
                <c:pt idx="0">
                  <c:v>0.40864626065004733</c:v>
                </c:pt>
                <c:pt idx="1">
                  <c:v>0.59135373934995261</c:v>
                </c:pt>
              </c:numCache>
            </c:numRef>
          </c:val>
          <c:extLst>
            <c:ext xmlns:c16="http://schemas.microsoft.com/office/drawing/2014/chart" uri="{C3380CC4-5D6E-409C-BE32-E72D297353CC}">
              <c16:uniqueId val="{0000000E-4035-407E-92CE-8EEB0CC01FC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50" b="0" i="0" u="none" strike="noStrike" kern="1200" baseline="0">
              <a:solidFill>
                <a:schemeClr val="accent3">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 Humidity !PivotTable2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69655236017677E-3"/>
          <c:y val="0.26964988006194984"/>
          <c:w val="0.98730601166616738"/>
          <c:h val="0.36829051469892538"/>
        </c:manualLayout>
      </c:layout>
      <c:lineChart>
        <c:grouping val="standard"/>
        <c:varyColors val="0"/>
        <c:ser>
          <c:idx val="0"/>
          <c:order val="0"/>
          <c:tx>
            <c:strRef>
              <c:f>'Trend of daily Humidity '!$B$3</c:f>
              <c:strCache>
                <c:ptCount val="1"/>
                <c:pt idx="0">
                  <c:v>Total</c:v>
                </c:pt>
              </c:strCache>
            </c:strRef>
          </c:tx>
          <c:spPr>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Pt>
            <c:idx val="2"/>
            <c:marker>
              <c:symbol val="diamond"/>
              <c:size val="7"/>
              <c:spPr>
                <a:solidFill>
                  <a:schemeClr val="bg1"/>
                </a:solidFill>
                <a:ln w="12700">
                  <a:solidFill>
                    <a:schemeClr val="accent1"/>
                  </a:solidFill>
                </a:ln>
                <a:effectLst/>
              </c:spPr>
            </c:marker>
            <c:bubble3D val="0"/>
            <c:extLst>
              <c:ext xmlns:c16="http://schemas.microsoft.com/office/drawing/2014/chart" uri="{C3380CC4-5D6E-409C-BE32-E72D297353CC}">
                <c16:uniqueId val="{00000000-FFEC-4D20-AA8B-783DA6DCBF45}"/>
              </c:ext>
            </c:extLst>
          </c:dPt>
          <c:dLbls>
            <c:dLbl>
              <c:idx val="2"/>
              <c:layout>
                <c:manualLayout>
                  <c:x val="-8.0309332467462233E-2"/>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EC-4D20-AA8B-783DA6DCBF45}"/>
                </c:ext>
              </c:extLst>
            </c:dLbl>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of daily Humidity '!$A$4:$A$11</c:f>
              <c:strCache>
                <c:ptCount val="7"/>
                <c:pt idx="0">
                  <c:v>Sunday</c:v>
                </c:pt>
                <c:pt idx="1">
                  <c:v>Monday</c:v>
                </c:pt>
                <c:pt idx="2">
                  <c:v>Tuesday</c:v>
                </c:pt>
                <c:pt idx="3">
                  <c:v>Wednesday</c:v>
                </c:pt>
                <c:pt idx="4">
                  <c:v>Thursday</c:v>
                </c:pt>
                <c:pt idx="5">
                  <c:v>Friday</c:v>
                </c:pt>
                <c:pt idx="6">
                  <c:v>Saturday</c:v>
                </c:pt>
              </c:strCache>
            </c:strRef>
          </c:cat>
          <c:val>
            <c:numRef>
              <c:f>'Trend of daily Humidity '!$B$4:$B$11</c:f>
              <c:numCache>
                <c:formatCode>0.00"%"</c:formatCode>
                <c:ptCount val="7"/>
                <c:pt idx="0">
                  <c:v>64.837587006960561</c:v>
                </c:pt>
                <c:pt idx="1">
                  <c:v>64.572769953051647</c:v>
                </c:pt>
                <c:pt idx="2">
                  <c:v>64.376777251184834</c:v>
                </c:pt>
                <c:pt idx="3">
                  <c:v>65.273809523809518</c:v>
                </c:pt>
                <c:pt idx="4">
                  <c:v>64.624489795918365</c:v>
                </c:pt>
                <c:pt idx="5">
                  <c:v>64.948979591836732</c:v>
                </c:pt>
                <c:pt idx="6">
                  <c:v>65.424489795918362</c:v>
                </c:pt>
              </c:numCache>
            </c:numRef>
          </c:val>
          <c:smooth val="0"/>
          <c:extLst>
            <c:ext xmlns:c16="http://schemas.microsoft.com/office/drawing/2014/chart" uri="{C3380CC4-5D6E-409C-BE32-E72D297353CC}">
              <c16:uniqueId val="{00000001-FFEC-4D20-AA8B-783DA6DCBF45}"/>
            </c:ext>
          </c:extLst>
        </c:ser>
        <c:dLbls>
          <c:dLblPos val="t"/>
          <c:showLegendKey val="0"/>
          <c:showVal val="1"/>
          <c:showCatName val="0"/>
          <c:showSerName val="0"/>
          <c:showPercent val="0"/>
          <c:showBubbleSize val="0"/>
        </c:dLbls>
        <c:marker val="1"/>
        <c:smooth val="0"/>
        <c:axId val="1351327263"/>
        <c:axId val="1351328703"/>
      </c:line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quot;"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[lettuce_dataset.xlsx]Growth rate number!PivotTable2</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50000"/>
            </a:schemeClr>
          </a:solidFill>
          <a:ln>
            <a:noFill/>
          </a:ln>
          <a:effectLst/>
        </c:spPr>
      </c:pivotFmt>
      <c:pivotFmt>
        <c:idx val="21"/>
        <c:spPr>
          <a:solidFill>
            <a:schemeClr val="accent3">
              <a:lumMod val="75000"/>
            </a:schemeClr>
          </a:solidFill>
          <a:ln>
            <a:noFill/>
          </a:ln>
          <a:effectLst/>
        </c:spPr>
      </c:pivotFmt>
      <c:pivotFmt>
        <c:idx val="22"/>
        <c:spPr>
          <a:solidFill>
            <a:schemeClr val="accent3">
              <a:lumMod val="60000"/>
              <a:lumOff val="40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50000"/>
            </a:schemeClr>
          </a:solidFill>
          <a:ln>
            <a:noFill/>
          </a:ln>
          <a:effectLst/>
        </c:spPr>
      </c:pivotFmt>
      <c:pivotFmt>
        <c:idx val="25"/>
        <c:spPr>
          <a:solidFill>
            <a:schemeClr val="accent3">
              <a:lumMod val="75000"/>
            </a:schemeClr>
          </a:solidFill>
          <a:ln>
            <a:noFill/>
          </a:ln>
          <a:effectLst/>
        </c:spPr>
      </c:pivotFmt>
      <c:pivotFmt>
        <c:idx val="26"/>
        <c:spPr>
          <a:solidFill>
            <a:schemeClr val="accent3">
              <a:lumMod val="60000"/>
              <a:lumOff val="40000"/>
            </a:schemeClr>
          </a:solidFill>
          <a:ln>
            <a:noFill/>
          </a:ln>
          <a:effectLst/>
        </c:spPr>
      </c:pivotFmt>
    </c:pivotFmts>
    <c:plotArea>
      <c:layout>
        <c:manualLayout>
          <c:layoutTarget val="inner"/>
          <c:xMode val="edge"/>
          <c:yMode val="edge"/>
          <c:x val="0.14270002171136537"/>
          <c:y val="0.15448295995607053"/>
          <c:w val="0.83584948711121843"/>
          <c:h val="0.80137905148505217"/>
        </c:manualLayout>
      </c:layout>
      <c:barChart>
        <c:barDir val="bar"/>
        <c:grouping val="clustered"/>
        <c:varyColors val="0"/>
        <c:ser>
          <c:idx val="0"/>
          <c:order val="0"/>
          <c:tx>
            <c:strRef>
              <c:f>'Growth rate number'!$B$3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14C7-4CB2-BDDE-D931FDBF9A50}"/>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14C7-4CB2-BDDE-D931FDBF9A50}"/>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14C7-4CB2-BDDE-D931FDBF9A50}"/>
              </c:ext>
            </c:extLst>
          </c:dPt>
          <c:dLbls>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rate number'!$A$4:$A$7</c:f>
              <c:strCache>
                <c:ptCount val="3"/>
                <c:pt idx="0">
                  <c:v>Vegetative</c:v>
                </c:pt>
                <c:pt idx="1">
                  <c:v>Seedling</c:v>
                </c:pt>
                <c:pt idx="2">
                  <c:v>Maturity</c:v>
                </c:pt>
              </c:strCache>
            </c:strRef>
          </c:cat>
          <c:val>
            <c:numRef>
              <c:f>'Growth rate number'!$B$4:$B$7</c:f>
              <c:numCache>
                <c:formatCode>General</c:formatCode>
                <c:ptCount val="3"/>
                <c:pt idx="0">
                  <c:v>1470</c:v>
                </c:pt>
                <c:pt idx="1">
                  <c:v>980</c:v>
                </c:pt>
                <c:pt idx="2">
                  <c:v>719</c:v>
                </c:pt>
              </c:numCache>
            </c:numRef>
          </c:val>
          <c:extLst>
            <c:ext xmlns:c16="http://schemas.microsoft.com/office/drawing/2014/chart" uri="{C3380CC4-5D6E-409C-BE32-E72D297353CC}">
              <c16:uniqueId val="{00000007-2F5F-47FF-94D5-B5115DD5D750}"/>
            </c:ext>
          </c:extLst>
        </c:ser>
        <c:dLbls>
          <c:dLblPos val="outEnd"/>
          <c:showLegendKey val="0"/>
          <c:showVal val="1"/>
          <c:showCatName val="0"/>
          <c:showSerName val="0"/>
          <c:showPercent val="0"/>
          <c:showBubbleSize val="0"/>
        </c:dLbls>
        <c:gapWidth val="20"/>
        <c:axId val="1351327263"/>
        <c:axId val="1351328703"/>
      </c:barChart>
      <c:catAx>
        <c:axId val="1351327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t"/>
        <c:numFmt formatCode="General"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[lettuce_dataset.xlsx]Total lettuce each day!PivotTable2</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c:spPr>
      </c:pivotFmt>
      <c:pivotFmt>
        <c:idx val="23"/>
        <c:spPr>
          <a:solidFill>
            <a:schemeClr val="accent3">
              <a:lumMod val="60000"/>
              <a:lumOff val="40000"/>
            </a:schemeClr>
          </a:solidFill>
          <a:ln>
            <a:noFill/>
          </a:ln>
          <a:effectLst/>
        </c:spPr>
      </c:pivotFmt>
      <c:pivotFmt>
        <c:idx val="24"/>
        <c:spPr>
          <a:solidFill>
            <a:schemeClr val="accent3">
              <a:lumMod val="40000"/>
              <a:lumOff val="6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lumMod val="75000"/>
            </a:schemeClr>
          </a:solidFill>
          <a:ln>
            <a:noFill/>
          </a:ln>
          <a:effectLst/>
        </c:spPr>
      </c:pivotFmt>
      <c:pivotFmt>
        <c:idx val="28"/>
        <c:spPr>
          <a:solidFill>
            <a:schemeClr val="accent3">
              <a:lumMod val="60000"/>
              <a:lumOff val="40000"/>
            </a:schemeClr>
          </a:solidFill>
          <a:ln>
            <a:noFill/>
          </a:ln>
          <a:effectLst/>
        </c:spPr>
      </c:pivotFmt>
      <c:pivotFmt>
        <c:idx val="29"/>
        <c:spPr>
          <a:solidFill>
            <a:schemeClr val="accent3">
              <a:lumMod val="40000"/>
              <a:lumOff val="60000"/>
            </a:schemeClr>
          </a:solidFill>
          <a:ln>
            <a:noFill/>
          </a:ln>
          <a:effectLst/>
        </c:spPr>
      </c:pivotFmt>
      <c:pivotFmt>
        <c:idx val="30"/>
        <c:spPr>
          <a:solidFill>
            <a:schemeClr val="accent3">
              <a:lumMod val="20000"/>
              <a:lumOff val="80000"/>
            </a:schemeClr>
          </a:solidFill>
          <a:ln>
            <a:noFill/>
          </a:ln>
          <a:effectLst/>
        </c:spPr>
      </c:pivotFmt>
    </c:pivotFmts>
    <c:plotArea>
      <c:layout>
        <c:manualLayout>
          <c:layoutTarget val="inner"/>
          <c:xMode val="edge"/>
          <c:yMode val="edge"/>
          <c:x val="3.0610476320484893E-2"/>
          <c:y val="0.20821266610806316"/>
          <c:w val="0.93877904735903017"/>
          <c:h val="0.63906864903934135"/>
        </c:manualLayout>
      </c:layout>
      <c:barChart>
        <c:barDir val="col"/>
        <c:grouping val="clustered"/>
        <c:varyColors val="0"/>
        <c:ser>
          <c:idx val="0"/>
          <c:order val="0"/>
          <c:tx>
            <c:strRef>
              <c:f>'Total lettuce each day'!$B$3</c:f>
              <c:strCache>
                <c:ptCount val="1"/>
                <c:pt idx="0">
                  <c:v>Total</c:v>
                </c:pt>
              </c:strCache>
            </c:strRef>
          </c:tx>
          <c:spPr>
            <a:solidFill>
              <a:schemeClr val="accent3">
                <a:lumMod val="50000"/>
              </a:schemeClr>
            </a:solidFill>
            <a:ln>
              <a:noFill/>
            </a:ln>
            <a:effectLst/>
          </c:spPr>
          <c:invertIfNegative val="0"/>
          <c:dPt>
            <c:idx val="1"/>
            <c:invertIfNegative val="0"/>
            <c:bubble3D val="0"/>
            <c:extLst>
              <c:ext xmlns:c16="http://schemas.microsoft.com/office/drawing/2014/chart" uri="{C3380CC4-5D6E-409C-BE32-E72D297353CC}">
                <c16:uniqueId val="{00000001-21AE-4054-9E42-D4CC74FC1AF3}"/>
              </c:ext>
            </c:extLst>
          </c:dPt>
          <c:dPt>
            <c:idx val="2"/>
            <c:invertIfNegative val="0"/>
            <c:bubble3D val="0"/>
            <c:extLst>
              <c:ext xmlns:c16="http://schemas.microsoft.com/office/drawing/2014/chart" uri="{C3380CC4-5D6E-409C-BE32-E72D297353CC}">
                <c16:uniqueId val="{00000003-21AE-4054-9E42-D4CC74FC1AF3}"/>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1-9936-45FF-8D10-6A778B61BBD9}"/>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9936-45FF-8D10-6A778B61BBD9}"/>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9936-45FF-8D10-6A778B61BBD9}"/>
              </c:ext>
            </c:extLst>
          </c:dPt>
          <c:dPt>
            <c:idx val="6"/>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7-9936-45FF-8D10-6A778B61BBD9}"/>
              </c:ext>
            </c:extLst>
          </c:dPt>
          <c:dLbls>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lettuce each day'!$A$4:$A$11</c:f>
              <c:strCache>
                <c:ptCount val="7"/>
                <c:pt idx="0">
                  <c:v>Thursday</c:v>
                </c:pt>
                <c:pt idx="1">
                  <c:v>Friday</c:v>
                </c:pt>
                <c:pt idx="2">
                  <c:v>Saturday</c:v>
                </c:pt>
                <c:pt idx="3">
                  <c:v>Sunday</c:v>
                </c:pt>
                <c:pt idx="4">
                  <c:v>Monday</c:v>
                </c:pt>
                <c:pt idx="5">
                  <c:v>Tuesday</c:v>
                </c:pt>
                <c:pt idx="6">
                  <c:v>Wednesday</c:v>
                </c:pt>
              </c:strCache>
            </c:strRef>
          </c:cat>
          <c:val>
            <c:numRef>
              <c:f>'Total lettuce each day'!$B$4:$B$11</c:f>
              <c:numCache>
                <c:formatCode>General</c:formatCode>
                <c:ptCount val="7"/>
                <c:pt idx="0">
                  <c:v>490</c:v>
                </c:pt>
                <c:pt idx="1">
                  <c:v>490</c:v>
                </c:pt>
                <c:pt idx="2">
                  <c:v>490</c:v>
                </c:pt>
                <c:pt idx="3">
                  <c:v>431</c:v>
                </c:pt>
                <c:pt idx="4">
                  <c:v>426</c:v>
                </c:pt>
                <c:pt idx="5">
                  <c:v>422</c:v>
                </c:pt>
                <c:pt idx="6">
                  <c:v>420</c:v>
                </c:pt>
              </c:numCache>
            </c:numRef>
          </c:val>
          <c:extLst>
            <c:ext xmlns:c16="http://schemas.microsoft.com/office/drawing/2014/chart" uri="{C3380CC4-5D6E-409C-BE32-E72D297353CC}">
              <c16:uniqueId val="{00000008-9936-45FF-8D10-6A778B61BBD9}"/>
            </c:ext>
          </c:extLst>
        </c:ser>
        <c:dLbls>
          <c:showLegendKey val="0"/>
          <c:showVal val="1"/>
          <c:showCatName val="0"/>
          <c:showSerName val="0"/>
          <c:showPercent val="0"/>
          <c:showBubbleSize val="0"/>
        </c:dLbls>
        <c:gapWidth val="20"/>
        <c:axId val="1351327263"/>
        <c:axId val="1351328703"/>
      </c:barChart>
      <c:catAx>
        <c:axId val="135132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General"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 TDS!PivotTable2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layout>
            <c:manualLayout>
              <c:x val="-8.7857668804150399E-2"/>
              <c:y val="9.5726853791369804E-2"/>
            </c:manualLayout>
          </c:layout>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layout>
            <c:manualLayout>
              <c:x val="-0.11346493336158368"/>
              <c:y val="-0.16684324713777735"/>
            </c:manualLayout>
          </c:layout>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layout>
            <c:manualLayout>
              <c:x val="-8.9698358866898309E-2"/>
              <c:y val="-0.10901187794595935"/>
            </c:manualLayout>
          </c:layout>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layout>
            <c:manualLayout>
              <c:x val="-1.4222227796638717E-2"/>
              <c:y val="0.14159072188525204"/>
            </c:manualLayout>
          </c:layout>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layout>
            <c:manualLayout>
              <c:x val="-0.1415539452459908"/>
              <c:y val="-8.9734754882019957E-2"/>
            </c:manualLayout>
          </c:layout>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3494107575454"/>
          <c:w val="0.99693340036429678"/>
          <c:h val="0.60727187725785203"/>
        </c:manualLayout>
      </c:layout>
      <c:lineChart>
        <c:grouping val="standard"/>
        <c:varyColors val="0"/>
        <c:ser>
          <c:idx val="0"/>
          <c:order val="0"/>
          <c:tx>
            <c:strRef>
              <c:f>'Trend of Daily TDS'!$B$3</c:f>
              <c:strCache>
                <c:ptCount val="1"/>
                <c:pt idx="0">
                  <c:v>Total</c:v>
                </c:pt>
              </c:strCache>
            </c:strRef>
          </c:tx>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Pt>
            <c:idx val="0"/>
            <c:marker>
              <c:symbol val="diamond"/>
              <c:size val="7"/>
              <c:spPr>
                <a:solidFill>
                  <a:schemeClr val="bg1"/>
                </a:solidFill>
                <a:ln w="12700">
                  <a:solidFill>
                    <a:schemeClr val="accent3">
                      <a:lumMod val="50000"/>
                    </a:schemeClr>
                  </a:solidFill>
                </a:ln>
                <a:effectLst/>
              </c:spPr>
            </c:marker>
            <c:bubble3D val="0"/>
            <c:extLst>
              <c:ext xmlns:c16="http://schemas.microsoft.com/office/drawing/2014/chart" uri="{C3380CC4-5D6E-409C-BE32-E72D297353CC}">
                <c16:uniqueId val="{00000002-E0A3-4A89-AC6A-D0AD076C10AF}"/>
              </c:ext>
            </c:extLst>
          </c:dPt>
          <c:dPt>
            <c:idx val="1"/>
            <c:marker>
              <c:symbol val="diamond"/>
              <c:size val="7"/>
              <c:spPr>
                <a:solidFill>
                  <a:schemeClr val="bg1"/>
                </a:solidFill>
                <a:ln w="12700">
                  <a:solidFill>
                    <a:schemeClr val="accent3">
                      <a:lumMod val="50000"/>
                    </a:schemeClr>
                  </a:solidFill>
                </a:ln>
                <a:effectLst/>
              </c:spPr>
            </c:marker>
            <c:bubble3D val="0"/>
            <c:extLst>
              <c:ext xmlns:c16="http://schemas.microsoft.com/office/drawing/2014/chart" uri="{C3380CC4-5D6E-409C-BE32-E72D297353CC}">
                <c16:uniqueId val="{00000001-E0A3-4A89-AC6A-D0AD076C10AF}"/>
              </c:ext>
            </c:extLst>
          </c:dPt>
          <c:dPt>
            <c:idx val="3"/>
            <c:marker>
              <c:symbol val="diamond"/>
              <c:size val="7"/>
              <c:spPr>
                <a:solidFill>
                  <a:schemeClr val="bg1"/>
                </a:solidFill>
                <a:ln w="12700">
                  <a:solidFill>
                    <a:schemeClr val="accent3">
                      <a:lumMod val="50000"/>
                    </a:schemeClr>
                  </a:solidFill>
                </a:ln>
                <a:effectLst/>
              </c:spPr>
            </c:marker>
            <c:bubble3D val="0"/>
            <c:extLst>
              <c:ext xmlns:c16="http://schemas.microsoft.com/office/drawing/2014/chart" uri="{C3380CC4-5D6E-409C-BE32-E72D297353CC}">
                <c16:uniqueId val="{00000000-B96B-43E3-B658-F57889126652}"/>
              </c:ext>
            </c:extLst>
          </c:dPt>
          <c:dPt>
            <c:idx val="4"/>
            <c:marker>
              <c:symbol val="diamond"/>
              <c:size val="7"/>
              <c:spPr>
                <a:solidFill>
                  <a:schemeClr val="bg1"/>
                </a:solidFill>
                <a:ln w="12700">
                  <a:solidFill>
                    <a:schemeClr val="accent3">
                      <a:lumMod val="50000"/>
                    </a:schemeClr>
                  </a:solidFill>
                </a:ln>
                <a:effectLst/>
              </c:spPr>
            </c:marker>
            <c:bubble3D val="0"/>
            <c:extLst>
              <c:ext xmlns:c16="http://schemas.microsoft.com/office/drawing/2014/chart" uri="{C3380CC4-5D6E-409C-BE32-E72D297353CC}">
                <c16:uniqueId val="{00000004-E0A3-4A89-AC6A-D0AD076C10AF}"/>
              </c:ext>
            </c:extLst>
          </c:dPt>
          <c:dPt>
            <c:idx val="6"/>
            <c:marker>
              <c:symbol val="diamond"/>
              <c:size val="7"/>
              <c:spPr>
                <a:solidFill>
                  <a:schemeClr val="bg1"/>
                </a:solidFill>
                <a:ln w="12700">
                  <a:solidFill>
                    <a:schemeClr val="accent3">
                      <a:lumMod val="50000"/>
                    </a:schemeClr>
                  </a:solidFill>
                </a:ln>
                <a:effectLst/>
              </c:spPr>
            </c:marker>
            <c:bubble3D val="0"/>
            <c:extLst>
              <c:ext xmlns:c16="http://schemas.microsoft.com/office/drawing/2014/chart" uri="{C3380CC4-5D6E-409C-BE32-E72D297353CC}">
                <c16:uniqueId val="{00000003-E0A3-4A89-AC6A-D0AD076C10AF}"/>
              </c:ext>
            </c:extLst>
          </c:dPt>
          <c:dLbls>
            <c:dLbl>
              <c:idx val="0"/>
              <c:layout>
                <c:manualLayout>
                  <c:x val="-8.9698358866898309E-2"/>
                  <c:y val="-0.109011877945959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A3-4A89-AC6A-D0AD076C10AF}"/>
                </c:ext>
              </c:extLst>
            </c:dLbl>
            <c:dLbl>
              <c:idx val="1"/>
              <c:layout>
                <c:manualLayout>
                  <c:x val="-0.11346493336158368"/>
                  <c:y val="-0.166843247137777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A3-4A89-AC6A-D0AD076C10AF}"/>
                </c:ext>
              </c:extLst>
            </c:dLbl>
            <c:dLbl>
              <c:idx val="3"/>
              <c:layout>
                <c:manualLayout>
                  <c:x val="-8.7857668804150399E-2"/>
                  <c:y val="9.57268537913698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6B-43E3-B658-F57889126652}"/>
                </c:ext>
              </c:extLst>
            </c:dLbl>
            <c:dLbl>
              <c:idx val="4"/>
              <c:layout>
                <c:manualLayout>
                  <c:x val="-0.1415539452459908"/>
                  <c:y val="-8.97347548820199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A3-4A89-AC6A-D0AD076C10AF}"/>
                </c:ext>
              </c:extLst>
            </c:dLbl>
            <c:dLbl>
              <c:idx val="6"/>
              <c:layout>
                <c:manualLayout>
                  <c:x val="-1.4222227796638717E-2"/>
                  <c:y val="0.141590721885252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A3-4A89-AC6A-D0AD076C10AF}"/>
                </c:ext>
              </c:extLst>
            </c:dLbl>
            <c:spPr>
              <a:noFill/>
              <a:ln>
                <a:noFill/>
              </a:ln>
              <a:effectLst/>
            </c:spPr>
            <c:txPr>
              <a:bodyPr rot="0" spcFirstLastPara="1" vertOverflow="ellipsis"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of Daily TDS'!$A$4:$A$11</c:f>
              <c:strCache>
                <c:ptCount val="7"/>
                <c:pt idx="0">
                  <c:v>Sunday</c:v>
                </c:pt>
                <c:pt idx="1">
                  <c:v>Monday</c:v>
                </c:pt>
                <c:pt idx="2">
                  <c:v>Tuesday</c:v>
                </c:pt>
                <c:pt idx="3">
                  <c:v>Wednesday</c:v>
                </c:pt>
                <c:pt idx="4">
                  <c:v>Thursday</c:v>
                </c:pt>
                <c:pt idx="5">
                  <c:v>Friday</c:v>
                </c:pt>
                <c:pt idx="6">
                  <c:v>Saturday</c:v>
                </c:pt>
              </c:strCache>
            </c:strRef>
          </c:cat>
          <c:val>
            <c:numRef>
              <c:f>'Trend of Daily TDS'!$B$4:$B$11</c:f>
              <c:numCache>
                <c:formatCode>0.00"ppm"</c:formatCode>
                <c:ptCount val="7"/>
                <c:pt idx="0">
                  <c:v>594.27146171693732</c:v>
                </c:pt>
                <c:pt idx="1">
                  <c:v>597.9084507042254</c:v>
                </c:pt>
                <c:pt idx="2">
                  <c:v>605.20142180094786</c:v>
                </c:pt>
                <c:pt idx="3">
                  <c:v>592.28809523809525</c:v>
                </c:pt>
                <c:pt idx="4">
                  <c:v>597.31020408163261</c:v>
                </c:pt>
                <c:pt idx="5">
                  <c:v>601.38979591836733</c:v>
                </c:pt>
                <c:pt idx="6">
                  <c:v>597.64693877551019</c:v>
                </c:pt>
              </c:numCache>
            </c:numRef>
          </c:val>
          <c:smooth val="0"/>
          <c:extLst>
            <c:ext xmlns:c16="http://schemas.microsoft.com/office/drawing/2014/chart" uri="{C3380CC4-5D6E-409C-BE32-E72D297353CC}">
              <c16:uniqueId val="{00000000-6BD8-486D-A788-9E5F4A06EDA8}"/>
            </c:ext>
          </c:extLst>
        </c:ser>
        <c:dLbls>
          <c:dLblPos val="t"/>
          <c:showLegendKey val="0"/>
          <c:showVal val="1"/>
          <c:showCatName val="0"/>
          <c:showSerName val="0"/>
          <c:showPercent val="0"/>
          <c:showBubbleSize val="0"/>
        </c:dLbls>
        <c:marker val="1"/>
        <c:smooth val="0"/>
        <c:axId val="1351327263"/>
        <c:axId val="1351328703"/>
      </c:line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ppm&quot;"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 Temp!PivotTable2</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pivotFmt>
      <c:pivotFmt>
        <c:idx val="14"/>
        <c:spPr>
          <a:solidFill>
            <a:schemeClr val="accent3">
              <a:lumMod val="50000"/>
            </a:schemeClr>
          </a:solidFill>
          <a:ln w="41275">
            <a:solidFill>
              <a:schemeClr val="accent3">
                <a:lumMod val="5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3">
              <a:lumMod val="50000"/>
            </a:schemeClr>
          </a:solidFill>
          <a:ln w="41275">
            <a:solidFill>
              <a:schemeClr val="accent3">
                <a:lumMod val="50000"/>
              </a:schemeClr>
            </a:solidFill>
          </a:ln>
          <a:effectLst/>
        </c:spPr>
        <c:marker>
          <c:symbol val="none"/>
        </c:marker>
        <c:dLbl>
          <c:idx val="0"/>
          <c:layout>
            <c:manualLayout>
              <c:x val="1.6692801196623499E-3"/>
              <c:y val="-0.38290598290598293"/>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3">
              <a:lumMod val="50000"/>
            </a:schemeClr>
          </a:solidFill>
          <a:ln w="41275">
            <a:solidFill>
              <a:schemeClr val="accent3">
                <a:lumMod val="50000"/>
              </a:schemeClr>
            </a:solidFill>
          </a:ln>
          <a:effectLst/>
        </c:spPr>
        <c:dLbl>
          <c:idx val="0"/>
          <c:layout>
            <c:manualLayout>
              <c:x val="-3.6711281955075893E-3"/>
              <c:y val="-0.3897435897435898"/>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3">
              <a:lumMod val="50000"/>
            </a:schemeClr>
          </a:solidFill>
          <a:ln w="41275">
            <a:solidFill>
              <a:schemeClr val="accent3">
                <a:lumMod val="50000"/>
              </a:schemeClr>
            </a:solidFill>
          </a:ln>
          <a:effectLst/>
        </c:spPr>
        <c:dLbl>
          <c:idx val="0"/>
          <c:layout>
            <c:manualLayout>
              <c:x val="7.3422899747344946E-3"/>
              <c:y val="-0.38974358974358975"/>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3">
              <a:lumMod val="50000"/>
            </a:schemeClr>
          </a:solidFill>
          <a:ln w="41275">
            <a:solidFill>
              <a:schemeClr val="accent3">
                <a:lumMod val="50000"/>
              </a:schemeClr>
            </a:solidFill>
          </a:ln>
          <a:effectLst/>
        </c:spPr>
        <c:dLbl>
          <c:idx val="0"/>
          <c:layout>
            <c:manualLayout>
              <c:x val="5.506644446693903E-3"/>
              <c:y val="-0.4102564102564102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3">
              <a:lumMod val="50000"/>
            </a:schemeClr>
          </a:solidFill>
          <a:ln w="41275">
            <a:solidFill>
              <a:schemeClr val="accent3">
                <a:lumMod val="50000"/>
              </a:schemeClr>
            </a:solidFill>
          </a:ln>
          <a:effectLst/>
        </c:spPr>
        <c:dLbl>
          <c:idx val="0"/>
          <c:layout>
            <c:manualLayout>
              <c:x val="0"/>
              <c:y val="-0.41709401709401711"/>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3">
              <a:lumMod val="50000"/>
            </a:schemeClr>
          </a:solidFill>
          <a:ln w="41275">
            <a:solidFill>
              <a:schemeClr val="accent3">
                <a:lumMod val="50000"/>
              </a:schemeClr>
            </a:solidFill>
          </a:ln>
          <a:effectLst/>
        </c:spPr>
        <c:dLbl>
          <c:idx val="0"/>
          <c:layout>
            <c:manualLayout>
              <c:x val="-1.503009304593675E-3"/>
              <c:y val="-0.36923076923076925"/>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3">
              <a:lumMod val="50000"/>
            </a:schemeClr>
          </a:solidFill>
          <a:ln w="41275">
            <a:solidFill>
              <a:schemeClr val="accent3">
                <a:lumMod val="50000"/>
              </a:schemeClr>
            </a:solidFill>
          </a:ln>
          <a:effectLst/>
        </c:spPr>
        <c:dLbl>
          <c:idx val="0"/>
          <c:layout>
            <c:manualLayout>
              <c:x val="-1.3460647884974572E-16"/>
              <c:y val="-0.32820512820512826"/>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5761272889515229E-2"/>
          <c:y val="0.21196581196581196"/>
          <c:w val="0.92358926470908298"/>
          <c:h val="0.62996056262197997"/>
        </c:manualLayout>
      </c:layout>
      <c:areaChart>
        <c:grouping val="standard"/>
        <c:varyColors val="0"/>
        <c:ser>
          <c:idx val="0"/>
          <c:order val="0"/>
          <c:tx>
            <c:strRef>
              <c:f>'Trend of daily Temp'!$B$3</c:f>
              <c:strCache>
                <c:ptCount val="1"/>
                <c:pt idx="0">
                  <c:v>Total</c:v>
                </c:pt>
              </c:strCache>
            </c:strRef>
          </c:tx>
          <c:spPr>
            <a:solidFill>
              <a:schemeClr val="accent3">
                <a:lumMod val="50000"/>
              </a:schemeClr>
            </a:solidFill>
            <a:ln w="41275">
              <a:solidFill>
                <a:schemeClr val="accent3">
                  <a:lumMod val="50000"/>
                </a:schemeClr>
              </a:solidFill>
            </a:ln>
            <a:effectLst/>
          </c:spPr>
          <c:dPt>
            <c:idx val="0"/>
            <c:bubble3D val="0"/>
            <c:extLst>
              <c:ext xmlns:c16="http://schemas.microsoft.com/office/drawing/2014/chart" uri="{C3380CC4-5D6E-409C-BE32-E72D297353CC}">
                <c16:uniqueId val="{00000004-1D1C-4CE2-AFAC-51F783B3F770}"/>
              </c:ext>
            </c:extLst>
          </c:dPt>
          <c:dPt>
            <c:idx val="1"/>
            <c:bubble3D val="0"/>
            <c:extLst>
              <c:ext xmlns:c16="http://schemas.microsoft.com/office/drawing/2014/chart" uri="{C3380CC4-5D6E-409C-BE32-E72D297353CC}">
                <c16:uniqueId val="{00000003-1D1C-4CE2-AFAC-51F783B3F770}"/>
              </c:ext>
            </c:extLst>
          </c:dPt>
          <c:dPt>
            <c:idx val="2"/>
            <c:bubble3D val="0"/>
            <c:extLst>
              <c:ext xmlns:c16="http://schemas.microsoft.com/office/drawing/2014/chart" uri="{C3380CC4-5D6E-409C-BE32-E72D297353CC}">
                <c16:uniqueId val="{00000000-1D1C-4CE2-AFAC-51F783B3F770}"/>
              </c:ext>
            </c:extLst>
          </c:dPt>
          <c:dPt>
            <c:idx val="3"/>
            <c:bubble3D val="0"/>
            <c:extLst>
              <c:ext xmlns:c16="http://schemas.microsoft.com/office/drawing/2014/chart" uri="{C3380CC4-5D6E-409C-BE32-E72D297353CC}">
                <c16:uniqueId val="{00000002-1D1C-4CE2-AFAC-51F783B3F770}"/>
              </c:ext>
            </c:extLst>
          </c:dPt>
          <c:dPt>
            <c:idx val="4"/>
            <c:bubble3D val="0"/>
            <c:extLst>
              <c:ext xmlns:c16="http://schemas.microsoft.com/office/drawing/2014/chart" uri="{C3380CC4-5D6E-409C-BE32-E72D297353CC}">
                <c16:uniqueId val="{00000005-1D1C-4CE2-AFAC-51F783B3F770}"/>
              </c:ext>
            </c:extLst>
          </c:dPt>
          <c:dPt>
            <c:idx val="5"/>
            <c:bubble3D val="0"/>
            <c:extLst>
              <c:ext xmlns:c16="http://schemas.microsoft.com/office/drawing/2014/chart" uri="{C3380CC4-5D6E-409C-BE32-E72D297353CC}">
                <c16:uniqueId val="{00000006-1D1C-4CE2-AFAC-51F783B3F770}"/>
              </c:ext>
            </c:extLst>
          </c:dPt>
          <c:dPt>
            <c:idx val="6"/>
            <c:bubble3D val="0"/>
            <c:extLst>
              <c:ext xmlns:c16="http://schemas.microsoft.com/office/drawing/2014/chart" uri="{C3380CC4-5D6E-409C-BE32-E72D297353CC}">
                <c16:uniqueId val="{00000007-1D1C-4CE2-AFAC-51F783B3F770}"/>
              </c:ext>
            </c:extLst>
          </c:dPt>
          <c:dLbls>
            <c:dLbl>
              <c:idx val="0"/>
              <c:layout>
                <c:manualLayout>
                  <c:x val="5.506644446693903E-3"/>
                  <c:y val="-0.41025641025641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1C-4CE2-AFAC-51F783B3F770}"/>
                </c:ext>
              </c:extLst>
            </c:dLbl>
            <c:dLbl>
              <c:idx val="1"/>
              <c:layout>
                <c:manualLayout>
                  <c:x val="7.3422899747344946E-3"/>
                  <c:y val="-0.389743589743589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1C-4CE2-AFAC-51F783B3F770}"/>
                </c:ext>
              </c:extLst>
            </c:dLbl>
            <c:dLbl>
              <c:idx val="2"/>
              <c:layout>
                <c:manualLayout>
                  <c:x val="1.6692801196623499E-3"/>
                  <c:y val="-0.38290598290598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1C-4CE2-AFAC-51F783B3F770}"/>
                </c:ext>
              </c:extLst>
            </c:dLbl>
            <c:dLbl>
              <c:idx val="3"/>
              <c:layout>
                <c:manualLayout>
                  <c:x val="-3.6711281955075893E-3"/>
                  <c:y val="-0.3897435897435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1C-4CE2-AFAC-51F783B3F770}"/>
                </c:ext>
              </c:extLst>
            </c:dLbl>
            <c:dLbl>
              <c:idx val="4"/>
              <c:layout>
                <c:manualLayout>
                  <c:x val="0"/>
                  <c:y val="-0.41709401709401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1C-4CE2-AFAC-51F783B3F770}"/>
                </c:ext>
              </c:extLst>
            </c:dLbl>
            <c:dLbl>
              <c:idx val="5"/>
              <c:layout>
                <c:manualLayout>
                  <c:x val="-1.503009304593675E-3"/>
                  <c:y val="-0.36923076923076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1C-4CE2-AFAC-51F783B3F770}"/>
                </c:ext>
              </c:extLst>
            </c:dLbl>
            <c:dLbl>
              <c:idx val="6"/>
              <c:layout>
                <c:manualLayout>
                  <c:x val="-1.3460647884974572E-16"/>
                  <c:y val="-0.32820512820512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1C-4CE2-AFAC-51F783B3F770}"/>
                </c:ext>
              </c:extLst>
            </c:dLbl>
            <c:spPr>
              <a:noFill/>
              <a:ln>
                <a:noFill/>
              </a:ln>
              <a:effectLst/>
            </c:spPr>
            <c:txPr>
              <a:bodyPr rot="0" spcFirstLastPara="1" vertOverflow="clip" horzOverflow="clip" vert="horz" wrap="square" lIns="38100" tIns="19050" rIns="38100" bIns="19050" anchor="ctr" anchorCtr="0">
                <a:spAutoFit/>
              </a:bodyPr>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'Trend of daily Temp'!$A$4:$A$11</c:f>
              <c:strCache>
                <c:ptCount val="7"/>
                <c:pt idx="0">
                  <c:v>Sunday</c:v>
                </c:pt>
                <c:pt idx="1">
                  <c:v>Monday</c:v>
                </c:pt>
                <c:pt idx="2">
                  <c:v>Tuesday</c:v>
                </c:pt>
                <c:pt idx="3">
                  <c:v>Wednesday</c:v>
                </c:pt>
                <c:pt idx="4">
                  <c:v>Thursday</c:v>
                </c:pt>
                <c:pt idx="5">
                  <c:v>Friday</c:v>
                </c:pt>
                <c:pt idx="6">
                  <c:v>Saturday</c:v>
                </c:pt>
              </c:strCache>
            </c:strRef>
          </c:cat>
          <c:val>
            <c:numRef>
              <c:f>'Trend of daily Temp'!$B$4:$B$11</c:f>
              <c:numCache>
                <c:formatCode>0.00"C"</c:formatCode>
                <c:ptCount val="7"/>
                <c:pt idx="0">
                  <c:v>28.568445475638082</c:v>
                </c:pt>
                <c:pt idx="1">
                  <c:v>28.440610328638474</c:v>
                </c:pt>
                <c:pt idx="2">
                  <c:v>28.351421800947882</c:v>
                </c:pt>
                <c:pt idx="3">
                  <c:v>28.205952380952368</c:v>
                </c:pt>
                <c:pt idx="4">
                  <c:v>27.317142857142894</c:v>
                </c:pt>
                <c:pt idx="5">
                  <c:v>28.666938775510154</c:v>
                </c:pt>
                <c:pt idx="6">
                  <c:v>27.573469387755093</c:v>
                </c:pt>
              </c:numCache>
            </c:numRef>
          </c:val>
          <c:extLst>
            <c:ext xmlns:c16="http://schemas.microsoft.com/office/drawing/2014/chart" uri="{C3380CC4-5D6E-409C-BE32-E72D297353CC}">
              <c16:uniqueId val="{00000001-1D1C-4CE2-AFAC-51F783B3F770}"/>
            </c:ext>
          </c:extLst>
        </c:ser>
        <c:dLbls>
          <c:showLegendKey val="0"/>
          <c:showVal val="0"/>
          <c:showCatName val="0"/>
          <c:showSerName val="0"/>
          <c:showPercent val="0"/>
          <c:showBubbleSize val="0"/>
        </c:dLbls>
        <c:axId val="1351327263"/>
        <c:axId val="1351328703"/>
      </c:area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C&quot;" sourceLinked="1"/>
        <c:majorTickMark val="none"/>
        <c:minorTickMark val="none"/>
        <c:tickLblPos val="nextTo"/>
        <c:crossAx val="135132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DailyPH!PivotTable2</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00638557286548E-3"/>
          <c:y val="0.26422018348623855"/>
          <c:w val="0.98813987228854272"/>
          <c:h val="0.53674665896120788"/>
        </c:manualLayout>
      </c:layout>
      <c:lineChart>
        <c:grouping val="standard"/>
        <c:varyColors val="0"/>
        <c:ser>
          <c:idx val="0"/>
          <c:order val="0"/>
          <c:tx>
            <c:strRef>
              <c:f>'Trend of DailyPH'!$B$3</c:f>
              <c:strCache>
                <c:ptCount val="1"/>
                <c:pt idx="0">
                  <c:v>Total</c:v>
                </c:pt>
              </c:strCache>
            </c:strRef>
          </c:tx>
          <c:spPr>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3">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of DailyPH'!$A$4:$A$11</c:f>
              <c:strCache>
                <c:ptCount val="7"/>
                <c:pt idx="0">
                  <c:v>Sunday</c:v>
                </c:pt>
                <c:pt idx="1">
                  <c:v>Monday</c:v>
                </c:pt>
                <c:pt idx="2">
                  <c:v>Tuesday</c:v>
                </c:pt>
                <c:pt idx="3">
                  <c:v>Wednesday</c:v>
                </c:pt>
                <c:pt idx="4">
                  <c:v>Thursday</c:v>
                </c:pt>
                <c:pt idx="5">
                  <c:v>Friday</c:v>
                </c:pt>
                <c:pt idx="6">
                  <c:v>Saturday</c:v>
                </c:pt>
              </c:strCache>
            </c:strRef>
          </c:cat>
          <c:val>
            <c:numRef>
              <c:f>'Trend of DailyPH'!$B$4:$B$11</c:f>
              <c:numCache>
                <c:formatCode>0.00"pH"</c:formatCode>
                <c:ptCount val="7"/>
                <c:pt idx="0">
                  <c:v>6.4032482598607841</c:v>
                </c:pt>
                <c:pt idx="1">
                  <c:v>6.3840375586854323</c:v>
                </c:pt>
                <c:pt idx="2">
                  <c:v>6.3973933649289005</c:v>
                </c:pt>
                <c:pt idx="3">
                  <c:v>6.3847619047618984</c:v>
                </c:pt>
                <c:pt idx="4">
                  <c:v>6.4057142857142741</c:v>
                </c:pt>
                <c:pt idx="5">
                  <c:v>6.4142857142857004</c:v>
                </c:pt>
                <c:pt idx="6">
                  <c:v>6.4012244897959016</c:v>
                </c:pt>
              </c:numCache>
            </c:numRef>
          </c:val>
          <c:smooth val="0"/>
          <c:extLst>
            <c:ext xmlns:c16="http://schemas.microsoft.com/office/drawing/2014/chart" uri="{C3380CC4-5D6E-409C-BE32-E72D297353CC}">
              <c16:uniqueId val="{00000000-C821-4675-AEB1-042022A3F4DE}"/>
            </c:ext>
          </c:extLst>
        </c:ser>
        <c:dLbls>
          <c:dLblPos val="t"/>
          <c:showLegendKey val="0"/>
          <c:showVal val="1"/>
          <c:showCatName val="0"/>
          <c:showSerName val="0"/>
          <c:showPercent val="0"/>
          <c:showBubbleSize val="0"/>
        </c:dLbls>
        <c:marker val="1"/>
        <c:smooth val="0"/>
        <c:axId val="1351327263"/>
        <c:axId val="1351328703"/>
      </c:line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solidFill>
                  <a:schemeClr val="accent3">
                    <a:lumMod val="50000"/>
                  </a:schemeClr>
                </a:solidFill>
                <a:latin typeface="Georgia" panose="02040502050405020303" pitchFamily="18" charset="0"/>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pH&quot;"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 Humidity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Daily Average Humidity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41275" cap="rnd">
            <a:solidFill>
              <a:schemeClr val="accent3">
                <a:lumMod val="50000"/>
              </a:schemeClr>
            </a:solidFill>
            <a:round/>
          </a:ln>
          <a:effectLst/>
        </c:spPr>
        <c:marker>
          <c:symbol val="diamond"/>
          <c:size val="7"/>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daily Humidity '!$B$3</c:f>
              <c:strCache>
                <c:ptCount val="1"/>
                <c:pt idx="0">
                  <c:v>Total</c:v>
                </c:pt>
              </c:strCache>
            </c:strRef>
          </c:tx>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Pt>
            <c:idx val="2"/>
            <c:marker>
              <c:symbol val="diamond"/>
              <c:size val="7"/>
              <c:spPr>
                <a:solidFill>
                  <a:schemeClr val="bg1"/>
                </a:solidFill>
                <a:ln w="12700">
                  <a:solidFill>
                    <a:schemeClr val="accent3">
                      <a:lumMod val="50000"/>
                    </a:schemeClr>
                  </a:solidFill>
                </a:ln>
                <a:effectLst/>
              </c:spPr>
            </c:marker>
            <c:bubble3D val="0"/>
            <c:extLst>
              <c:ext xmlns:c16="http://schemas.microsoft.com/office/drawing/2014/chart" uri="{C3380CC4-5D6E-409C-BE32-E72D297353CC}">
                <c16:uniqueId val="{00000003-D8E1-4C75-ACF9-6E6E55996BE0}"/>
              </c:ext>
            </c:extLst>
          </c:dPt>
          <c:dLbls>
            <c:dLbl>
              <c:idx val="2"/>
              <c:layout>
                <c:manualLayout>
                  <c:x val="-8.0309332467462233E-2"/>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E1-4C75-ACF9-6E6E55996B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of daily Humidity '!$A$4:$A$11</c:f>
              <c:strCache>
                <c:ptCount val="7"/>
                <c:pt idx="0">
                  <c:v>Sunday</c:v>
                </c:pt>
                <c:pt idx="1">
                  <c:v>Monday</c:v>
                </c:pt>
                <c:pt idx="2">
                  <c:v>Tuesday</c:v>
                </c:pt>
                <c:pt idx="3">
                  <c:v>Wednesday</c:v>
                </c:pt>
                <c:pt idx="4">
                  <c:v>Thursday</c:v>
                </c:pt>
                <c:pt idx="5">
                  <c:v>Friday</c:v>
                </c:pt>
                <c:pt idx="6">
                  <c:v>Saturday</c:v>
                </c:pt>
              </c:strCache>
            </c:strRef>
          </c:cat>
          <c:val>
            <c:numRef>
              <c:f>'Trend of daily Humidity '!$B$4:$B$11</c:f>
              <c:numCache>
                <c:formatCode>0.00"%"</c:formatCode>
                <c:ptCount val="7"/>
                <c:pt idx="0">
                  <c:v>64.837587006960561</c:v>
                </c:pt>
                <c:pt idx="1">
                  <c:v>64.572769953051647</c:v>
                </c:pt>
                <c:pt idx="2">
                  <c:v>64.376777251184834</c:v>
                </c:pt>
                <c:pt idx="3">
                  <c:v>65.273809523809518</c:v>
                </c:pt>
                <c:pt idx="4">
                  <c:v>64.624489795918365</c:v>
                </c:pt>
                <c:pt idx="5">
                  <c:v>64.948979591836732</c:v>
                </c:pt>
                <c:pt idx="6">
                  <c:v>65.424489795918362</c:v>
                </c:pt>
              </c:numCache>
            </c:numRef>
          </c:val>
          <c:smooth val="0"/>
          <c:extLst>
            <c:ext xmlns:c16="http://schemas.microsoft.com/office/drawing/2014/chart" uri="{C3380CC4-5D6E-409C-BE32-E72D297353CC}">
              <c16:uniqueId val="{00000000-D8E1-4C75-ACF9-6E6E55996BE0}"/>
            </c:ext>
          </c:extLst>
        </c:ser>
        <c:dLbls>
          <c:dLblPos val="t"/>
          <c:showLegendKey val="0"/>
          <c:showVal val="1"/>
          <c:showCatName val="0"/>
          <c:showSerName val="0"/>
          <c:showPercent val="0"/>
          <c:showBubbleSize val="0"/>
        </c:dLbls>
        <c:marker val="1"/>
        <c:smooth val="0"/>
        <c:axId val="1351327263"/>
        <c:axId val="1351328703"/>
      </c:line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quot;"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 Temp!PivotTable2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Daily Average Temperature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1275" cap="rnd">
            <a:solidFill>
              <a:schemeClr val="accent3">
                <a:lumMod val="50000"/>
              </a:schemeClr>
            </a:solidFill>
            <a:round/>
          </a:ln>
          <a:effectLst/>
        </c:spPr>
        <c:marker>
          <c:symbol val="diamond"/>
          <c:size val="7"/>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marker>
          <c:symbol val="diamond"/>
          <c:size val="7"/>
          <c:spPr>
            <a:solidFill>
              <a:schemeClr val="bg1"/>
            </a:solidFill>
            <a:ln w="12700">
              <a:solidFill>
                <a:schemeClr val="accent1"/>
              </a:solidFill>
            </a:ln>
            <a:effectLst/>
          </c:spPr>
        </c:marker>
        <c:dLbl>
          <c:idx val="0"/>
          <c:layout>
            <c:manualLayout>
              <c:x val="-8.0309332467462233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pivotFmt>
      <c:pivotFmt>
        <c:idx val="14"/>
        <c:spPr>
          <a:solidFill>
            <a:schemeClr val="accent3">
              <a:lumMod val="50000"/>
            </a:schemeClr>
          </a:solidFill>
          <a:ln w="41275">
            <a:solidFill>
              <a:schemeClr val="accent3">
                <a:lumMod val="5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3">
              <a:lumMod val="50000"/>
            </a:schemeClr>
          </a:solidFill>
          <a:ln w="41275">
            <a:solidFill>
              <a:schemeClr val="accent3">
                <a:lumMod val="50000"/>
              </a:schemeClr>
            </a:solidFill>
          </a:ln>
          <a:effectLst/>
        </c:spPr>
        <c:marker>
          <c:symbol val="none"/>
        </c:marker>
        <c:dLbl>
          <c:idx val="0"/>
          <c:layout>
            <c:manualLayout>
              <c:x val="0"/>
              <c:y val="-0.417094017094017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3">
              <a:lumMod val="50000"/>
            </a:schemeClr>
          </a:solidFill>
          <a:ln w="41275">
            <a:solidFill>
              <a:schemeClr val="accent3">
                <a:lumMod val="50000"/>
              </a:schemeClr>
            </a:solidFill>
          </a:ln>
          <a:effectLst/>
        </c:spPr>
        <c:dLbl>
          <c:idx val="0"/>
          <c:layout>
            <c:manualLayout>
              <c:x val="-3.6711281955075893E-3"/>
              <c:y val="-0.3897435897435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3">
              <a:lumMod val="50000"/>
            </a:schemeClr>
          </a:solidFill>
          <a:ln w="41275">
            <a:solidFill>
              <a:schemeClr val="accent3">
                <a:lumMod val="50000"/>
              </a:schemeClr>
            </a:solidFill>
          </a:ln>
          <a:effectLst/>
        </c:spPr>
        <c:dLbl>
          <c:idx val="0"/>
          <c:layout>
            <c:manualLayout>
              <c:x val="7.3422899747344946E-3"/>
              <c:y val="-0.389743589743589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3">
              <a:lumMod val="50000"/>
            </a:schemeClr>
          </a:solidFill>
          <a:ln w="41275">
            <a:solidFill>
              <a:schemeClr val="accent3">
                <a:lumMod val="50000"/>
              </a:schemeClr>
            </a:solidFill>
          </a:ln>
          <a:effectLst/>
        </c:spPr>
        <c:dLbl>
          <c:idx val="0"/>
          <c:layout>
            <c:manualLayout>
              <c:x val="5.506644446693903E-3"/>
              <c:y val="-0.4102564102564102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3">
              <a:lumMod val="50000"/>
            </a:schemeClr>
          </a:solidFill>
          <a:ln w="41275">
            <a:solidFill>
              <a:schemeClr val="accent3">
                <a:lumMod val="50000"/>
              </a:schemeClr>
            </a:solidFill>
          </a:ln>
          <a:effectLst/>
        </c:spPr>
        <c:dLbl>
          <c:idx val="0"/>
          <c:layout>
            <c:manualLayout>
              <c:x val="0"/>
              <c:y val="-0.4170940170940171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3">
              <a:lumMod val="50000"/>
            </a:schemeClr>
          </a:solidFill>
          <a:ln w="41275">
            <a:solidFill>
              <a:schemeClr val="accent3">
                <a:lumMod val="50000"/>
              </a:schemeClr>
            </a:solidFill>
          </a:ln>
          <a:effectLst/>
        </c:spPr>
        <c:dLbl>
          <c:idx val="0"/>
          <c:layout>
            <c:manualLayout>
              <c:x val="1.8354994593265193E-3"/>
              <c:y val="-0.3965811965811965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3">
              <a:lumMod val="50000"/>
            </a:schemeClr>
          </a:solidFill>
          <a:ln w="41275">
            <a:solidFill>
              <a:schemeClr val="accent3">
                <a:lumMod val="50000"/>
              </a:schemeClr>
            </a:solidFill>
          </a:ln>
          <a:effectLst/>
        </c:spPr>
        <c:dLbl>
          <c:idx val="0"/>
          <c:layout>
            <c:manualLayout>
              <c:x val="-1.3460647884974572E-16"/>
              <c:y val="-0.328205128205128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3">
              <a:lumMod val="50000"/>
            </a:schemeClr>
          </a:solidFill>
          <a:ln w="41275">
            <a:solidFill>
              <a:schemeClr val="accent3">
                <a:lumMod val="5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3">
              <a:lumMod val="50000"/>
            </a:schemeClr>
          </a:solidFill>
          <a:ln w="41275">
            <a:solidFill>
              <a:schemeClr val="accent3">
                <a:lumMod val="50000"/>
              </a:schemeClr>
            </a:solidFill>
          </a:ln>
          <a:effectLst/>
        </c:spPr>
        <c:dLbl>
          <c:idx val="0"/>
          <c:layout>
            <c:manualLayout>
              <c:x val="5.506644446693903E-3"/>
              <c:y val="-0.4102564102564102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3">
              <a:lumMod val="50000"/>
            </a:schemeClr>
          </a:solidFill>
          <a:ln w="41275">
            <a:solidFill>
              <a:schemeClr val="accent3">
                <a:lumMod val="50000"/>
              </a:schemeClr>
            </a:solidFill>
          </a:ln>
          <a:effectLst/>
        </c:spPr>
        <c:dLbl>
          <c:idx val="0"/>
          <c:layout>
            <c:manualLayout>
              <c:x val="7.3422899747344946E-3"/>
              <c:y val="-0.389743589743589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3">
              <a:lumMod val="50000"/>
            </a:schemeClr>
          </a:solidFill>
          <a:ln w="41275">
            <a:solidFill>
              <a:schemeClr val="accent3">
                <a:lumMod val="50000"/>
              </a:schemeClr>
            </a:solidFill>
          </a:ln>
          <a:effectLst/>
        </c:spPr>
        <c:dLbl>
          <c:idx val="0"/>
          <c:layout>
            <c:manualLayout>
              <c:x val="0"/>
              <c:y val="-0.417094017094017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3">
              <a:lumMod val="50000"/>
            </a:schemeClr>
          </a:solidFill>
          <a:ln w="41275">
            <a:solidFill>
              <a:schemeClr val="accent3">
                <a:lumMod val="50000"/>
              </a:schemeClr>
            </a:solidFill>
          </a:ln>
          <a:effectLst/>
        </c:spPr>
        <c:dLbl>
          <c:idx val="0"/>
          <c:layout>
            <c:manualLayout>
              <c:x val="-3.6711281955075893E-3"/>
              <c:y val="-0.3897435897435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3">
              <a:lumMod val="50000"/>
            </a:schemeClr>
          </a:solidFill>
          <a:ln w="41275">
            <a:solidFill>
              <a:schemeClr val="accent3">
                <a:lumMod val="50000"/>
              </a:schemeClr>
            </a:solidFill>
          </a:ln>
          <a:effectLst/>
        </c:spPr>
        <c:dLbl>
          <c:idx val="0"/>
          <c:layout>
            <c:manualLayout>
              <c:x val="0"/>
              <c:y val="-0.4170940170940171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3">
              <a:lumMod val="50000"/>
            </a:schemeClr>
          </a:solidFill>
          <a:ln w="41275">
            <a:solidFill>
              <a:schemeClr val="accent3">
                <a:lumMod val="50000"/>
              </a:schemeClr>
            </a:solidFill>
          </a:ln>
          <a:effectLst/>
        </c:spPr>
        <c:dLbl>
          <c:idx val="0"/>
          <c:layout>
            <c:manualLayout>
              <c:x val="1.8354994593265193E-3"/>
              <c:y val="-0.3965811965811965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3">
              <a:lumMod val="50000"/>
            </a:schemeClr>
          </a:solidFill>
          <a:ln w="41275">
            <a:solidFill>
              <a:schemeClr val="accent3">
                <a:lumMod val="50000"/>
              </a:schemeClr>
            </a:solidFill>
          </a:ln>
          <a:effectLst/>
        </c:spPr>
        <c:dLbl>
          <c:idx val="0"/>
          <c:layout>
            <c:manualLayout>
              <c:x val="-1.3460647884974572E-16"/>
              <c:y val="-0.328205128205128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3">
              <a:lumMod val="50000"/>
            </a:schemeClr>
          </a:solidFill>
          <a:ln w="41275">
            <a:solidFill>
              <a:schemeClr val="accent3">
                <a:lumMod val="5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3">
              <a:lumMod val="50000"/>
            </a:schemeClr>
          </a:solidFill>
          <a:ln w="41275">
            <a:solidFill>
              <a:schemeClr val="accent3">
                <a:lumMod val="50000"/>
              </a:schemeClr>
            </a:solidFill>
          </a:ln>
          <a:effectLst/>
        </c:spPr>
        <c:dLbl>
          <c:idx val="0"/>
          <c:layout>
            <c:manualLayout>
              <c:x val="5.506644446693903E-3"/>
              <c:y val="-0.4102564102564102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3">
              <a:lumMod val="50000"/>
            </a:schemeClr>
          </a:solidFill>
          <a:ln w="41275">
            <a:solidFill>
              <a:schemeClr val="accent3">
                <a:lumMod val="50000"/>
              </a:schemeClr>
            </a:solidFill>
          </a:ln>
          <a:effectLst/>
        </c:spPr>
        <c:dLbl>
          <c:idx val="0"/>
          <c:layout>
            <c:manualLayout>
              <c:x val="7.3422899747344946E-3"/>
              <c:y val="-0.389743589743589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3">
              <a:lumMod val="50000"/>
            </a:schemeClr>
          </a:solidFill>
          <a:ln w="41275">
            <a:solidFill>
              <a:schemeClr val="accent3">
                <a:lumMod val="50000"/>
              </a:schemeClr>
            </a:solidFill>
          </a:ln>
          <a:effectLst/>
        </c:spPr>
        <c:dLbl>
          <c:idx val="0"/>
          <c:layout>
            <c:manualLayout>
              <c:x val="0"/>
              <c:y val="-0.417094017094017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3">
              <a:lumMod val="50000"/>
            </a:schemeClr>
          </a:solidFill>
          <a:ln w="41275">
            <a:solidFill>
              <a:schemeClr val="accent3">
                <a:lumMod val="50000"/>
              </a:schemeClr>
            </a:solidFill>
          </a:ln>
          <a:effectLst/>
        </c:spPr>
        <c:dLbl>
          <c:idx val="0"/>
          <c:layout>
            <c:manualLayout>
              <c:x val="-3.6711281955075893E-3"/>
              <c:y val="-0.3897435897435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3">
              <a:lumMod val="50000"/>
            </a:schemeClr>
          </a:solidFill>
          <a:ln w="41275">
            <a:solidFill>
              <a:schemeClr val="accent3">
                <a:lumMod val="50000"/>
              </a:schemeClr>
            </a:solidFill>
          </a:ln>
          <a:effectLst/>
        </c:spPr>
        <c:dLbl>
          <c:idx val="0"/>
          <c:layout>
            <c:manualLayout>
              <c:x val="0"/>
              <c:y val="-0.4170940170940171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3">
              <a:lumMod val="50000"/>
            </a:schemeClr>
          </a:solidFill>
          <a:ln w="41275">
            <a:solidFill>
              <a:schemeClr val="accent3">
                <a:lumMod val="50000"/>
              </a:schemeClr>
            </a:solidFill>
          </a:ln>
          <a:effectLst/>
        </c:spPr>
        <c:dLbl>
          <c:idx val="0"/>
          <c:layout>
            <c:manualLayout>
              <c:x val="1.8354994593265193E-3"/>
              <c:y val="-0.3965811965811965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3">
              <a:lumMod val="50000"/>
            </a:schemeClr>
          </a:solidFill>
          <a:ln w="41275">
            <a:solidFill>
              <a:schemeClr val="accent3">
                <a:lumMod val="50000"/>
              </a:schemeClr>
            </a:solidFill>
          </a:ln>
          <a:effectLst/>
        </c:spPr>
        <c:dLbl>
          <c:idx val="0"/>
          <c:layout>
            <c:manualLayout>
              <c:x val="-1.3460647884974572E-16"/>
              <c:y val="-0.328205128205128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5761272889515229E-2"/>
          <c:y val="0.21196581196581196"/>
          <c:w val="0.92358926470908298"/>
          <c:h val="0.62996056262197997"/>
        </c:manualLayout>
      </c:layout>
      <c:areaChart>
        <c:grouping val="standard"/>
        <c:varyColors val="0"/>
        <c:ser>
          <c:idx val="0"/>
          <c:order val="0"/>
          <c:tx>
            <c:strRef>
              <c:f>'Trend of daily Temp'!$B$3</c:f>
              <c:strCache>
                <c:ptCount val="1"/>
                <c:pt idx="0">
                  <c:v>Total</c:v>
                </c:pt>
              </c:strCache>
            </c:strRef>
          </c:tx>
          <c:spPr>
            <a:solidFill>
              <a:schemeClr val="accent3">
                <a:lumMod val="50000"/>
              </a:schemeClr>
            </a:solidFill>
            <a:ln w="41275">
              <a:solidFill>
                <a:schemeClr val="accent3">
                  <a:lumMod val="50000"/>
                </a:schemeClr>
              </a:solidFill>
            </a:ln>
            <a:effectLst/>
          </c:spPr>
          <c:dPt>
            <c:idx val="0"/>
            <c:bubble3D val="0"/>
            <c:extLst>
              <c:ext xmlns:c16="http://schemas.microsoft.com/office/drawing/2014/chart" uri="{C3380CC4-5D6E-409C-BE32-E72D297353CC}">
                <c16:uniqueId val="{00000001-99CE-4278-BF3E-C96D8C710F90}"/>
              </c:ext>
            </c:extLst>
          </c:dPt>
          <c:dPt>
            <c:idx val="1"/>
            <c:bubble3D val="0"/>
            <c:extLst>
              <c:ext xmlns:c16="http://schemas.microsoft.com/office/drawing/2014/chart" uri="{C3380CC4-5D6E-409C-BE32-E72D297353CC}">
                <c16:uniqueId val="{00000002-99CE-4278-BF3E-C96D8C710F90}"/>
              </c:ext>
            </c:extLst>
          </c:dPt>
          <c:dPt>
            <c:idx val="2"/>
            <c:bubble3D val="0"/>
            <c:extLst>
              <c:ext xmlns:c16="http://schemas.microsoft.com/office/drawing/2014/chart" uri="{C3380CC4-5D6E-409C-BE32-E72D297353CC}">
                <c16:uniqueId val="{00000000-99CE-4278-BF3E-C96D8C710F90}"/>
              </c:ext>
            </c:extLst>
          </c:dPt>
          <c:dPt>
            <c:idx val="3"/>
            <c:bubble3D val="0"/>
            <c:extLst>
              <c:ext xmlns:c16="http://schemas.microsoft.com/office/drawing/2014/chart" uri="{C3380CC4-5D6E-409C-BE32-E72D297353CC}">
                <c16:uniqueId val="{00000003-99CE-4278-BF3E-C96D8C710F90}"/>
              </c:ext>
            </c:extLst>
          </c:dPt>
          <c:dPt>
            <c:idx val="4"/>
            <c:bubble3D val="0"/>
            <c:extLst>
              <c:ext xmlns:c16="http://schemas.microsoft.com/office/drawing/2014/chart" uri="{C3380CC4-5D6E-409C-BE32-E72D297353CC}">
                <c16:uniqueId val="{00000004-99CE-4278-BF3E-C96D8C710F90}"/>
              </c:ext>
            </c:extLst>
          </c:dPt>
          <c:dPt>
            <c:idx val="5"/>
            <c:bubble3D val="0"/>
            <c:extLst>
              <c:ext xmlns:c16="http://schemas.microsoft.com/office/drawing/2014/chart" uri="{C3380CC4-5D6E-409C-BE32-E72D297353CC}">
                <c16:uniqueId val="{00000005-99CE-4278-BF3E-C96D8C710F90}"/>
              </c:ext>
            </c:extLst>
          </c:dPt>
          <c:dPt>
            <c:idx val="6"/>
            <c:bubble3D val="0"/>
            <c:extLst>
              <c:ext xmlns:c16="http://schemas.microsoft.com/office/drawing/2014/chart" uri="{C3380CC4-5D6E-409C-BE32-E72D297353CC}">
                <c16:uniqueId val="{00000006-99CE-4278-BF3E-C96D8C710F90}"/>
              </c:ext>
            </c:extLst>
          </c:dPt>
          <c:dLbls>
            <c:dLbl>
              <c:idx val="0"/>
              <c:layout>
                <c:manualLayout>
                  <c:x val="5.506644446693903E-3"/>
                  <c:y val="-0.4102564102564102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9CE-4278-BF3E-C96D8C710F90}"/>
                </c:ext>
              </c:extLst>
            </c:dLbl>
            <c:dLbl>
              <c:idx val="1"/>
              <c:layout>
                <c:manualLayout>
                  <c:x val="7.3422899747344946E-3"/>
                  <c:y val="-0.389743589743589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99CE-4278-BF3E-C96D8C710F90}"/>
                </c:ext>
              </c:extLst>
            </c:dLbl>
            <c:dLbl>
              <c:idx val="2"/>
              <c:layout>
                <c:manualLayout>
                  <c:x val="0"/>
                  <c:y val="-0.417094017094017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99CE-4278-BF3E-C96D8C710F90}"/>
                </c:ext>
              </c:extLst>
            </c:dLbl>
            <c:dLbl>
              <c:idx val="3"/>
              <c:layout>
                <c:manualLayout>
                  <c:x val="-3.6711281955075893E-3"/>
                  <c:y val="-0.3897435897435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9CE-4278-BF3E-C96D8C710F90}"/>
                </c:ext>
              </c:extLst>
            </c:dLbl>
            <c:dLbl>
              <c:idx val="4"/>
              <c:layout>
                <c:manualLayout>
                  <c:x val="0"/>
                  <c:y val="-0.4170940170940171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99CE-4278-BF3E-C96D8C710F90}"/>
                </c:ext>
              </c:extLst>
            </c:dLbl>
            <c:dLbl>
              <c:idx val="5"/>
              <c:layout>
                <c:manualLayout>
                  <c:x val="1.8354994593265193E-3"/>
                  <c:y val="-0.3965811965811965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9CE-4278-BF3E-C96D8C710F90}"/>
                </c:ext>
              </c:extLst>
            </c:dLbl>
            <c:dLbl>
              <c:idx val="6"/>
              <c:layout>
                <c:manualLayout>
                  <c:x val="-1.3460647884974572E-16"/>
                  <c:y val="-0.328205128205128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99CE-4278-BF3E-C96D8C710F9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'Trend of daily Temp'!$A$4:$A$11</c:f>
              <c:strCache>
                <c:ptCount val="7"/>
                <c:pt idx="0">
                  <c:v>Sunday</c:v>
                </c:pt>
                <c:pt idx="1">
                  <c:v>Monday</c:v>
                </c:pt>
                <c:pt idx="2">
                  <c:v>Tuesday</c:v>
                </c:pt>
                <c:pt idx="3">
                  <c:v>Wednesday</c:v>
                </c:pt>
                <c:pt idx="4">
                  <c:v>Thursday</c:v>
                </c:pt>
                <c:pt idx="5">
                  <c:v>Friday</c:v>
                </c:pt>
                <c:pt idx="6">
                  <c:v>Saturday</c:v>
                </c:pt>
              </c:strCache>
            </c:strRef>
          </c:cat>
          <c:val>
            <c:numRef>
              <c:f>'Trend of daily Temp'!$B$4:$B$11</c:f>
              <c:numCache>
                <c:formatCode>0.00"C"</c:formatCode>
                <c:ptCount val="7"/>
                <c:pt idx="0">
                  <c:v>28.568445475638082</c:v>
                </c:pt>
                <c:pt idx="1">
                  <c:v>28.440610328638474</c:v>
                </c:pt>
                <c:pt idx="2">
                  <c:v>28.351421800947882</c:v>
                </c:pt>
                <c:pt idx="3">
                  <c:v>28.205952380952368</c:v>
                </c:pt>
                <c:pt idx="4">
                  <c:v>27.317142857142894</c:v>
                </c:pt>
                <c:pt idx="5">
                  <c:v>28.666938775510154</c:v>
                </c:pt>
                <c:pt idx="6">
                  <c:v>27.573469387755093</c:v>
                </c:pt>
              </c:numCache>
            </c:numRef>
          </c:val>
          <c:extLst>
            <c:ext xmlns:c16="http://schemas.microsoft.com/office/drawing/2014/chart" uri="{C3380CC4-5D6E-409C-BE32-E72D297353CC}">
              <c16:uniqueId val="{00000007-99CE-4278-BF3E-C96D8C710F90}"/>
            </c:ext>
          </c:extLst>
        </c:ser>
        <c:dLbls>
          <c:showLegendKey val="0"/>
          <c:showVal val="0"/>
          <c:showCatName val="0"/>
          <c:showSerName val="0"/>
          <c:showPercent val="0"/>
          <c:showBubbleSize val="0"/>
        </c:dLbls>
        <c:axId val="1351327263"/>
        <c:axId val="1351328703"/>
      </c:area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C&quot;" sourceLinked="1"/>
        <c:majorTickMark val="none"/>
        <c:minorTickMark val="none"/>
        <c:tickLblPos val="nextTo"/>
        <c:crossAx val="135132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 TDS!PivotTable2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Daily average TDS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Daily TDS'!$B$3</c:f>
              <c:strCache>
                <c:ptCount val="1"/>
                <c:pt idx="0">
                  <c:v>Total</c:v>
                </c:pt>
              </c:strCache>
            </c:strRef>
          </c:tx>
          <c:spPr>
            <a:ln w="41275" cap="rnd">
              <a:solidFill>
                <a:schemeClr val="accent3">
                  <a:lumMod val="50000"/>
                </a:schemeClr>
              </a:solidFill>
              <a:round/>
            </a:ln>
            <a:effectLst/>
          </c:spPr>
          <c:marker>
            <c:symbol val="diamond"/>
            <c:size val="7"/>
            <c:spPr>
              <a:solidFill>
                <a:schemeClr val="bg1"/>
              </a:solidFill>
              <a:ln w="12700">
                <a:solidFill>
                  <a:schemeClr val="accent3">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of Daily TDS'!$A$4:$A$11</c:f>
              <c:strCache>
                <c:ptCount val="7"/>
                <c:pt idx="0">
                  <c:v>Sunday</c:v>
                </c:pt>
                <c:pt idx="1">
                  <c:v>Monday</c:v>
                </c:pt>
                <c:pt idx="2">
                  <c:v>Tuesday</c:v>
                </c:pt>
                <c:pt idx="3">
                  <c:v>Wednesday</c:v>
                </c:pt>
                <c:pt idx="4">
                  <c:v>Thursday</c:v>
                </c:pt>
                <c:pt idx="5">
                  <c:v>Friday</c:v>
                </c:pt>
                <c:pt idx="6">
                  <c:v>Saturday</c:v>
                </c:pt>
              </c:strCache>
            </c:strRef>
          </c:cat>
          <c:val>
            <c:numRef>
              <c:f>'Trend of Daily TDS'!$B$4:$B$11</c:f>
              <c:numCache>
                <c:formatCode>0.00"ppm"</c:formatCode>
                <c:ptCount val="7"/>
                <c:pt idx="0">
                  <c:v>594.27146171693732</c:v>
                </c:pt>
                <c:pt idx="1">
                  <c:v>597.9084507042254</c:v>
                </c:pt>
                <c:pt idx="2">
                  <c:v>605.20142180094786</c:v>
                </c:pt>
                <c:pt idx="3">
                  <c:v>592.28809523809525</c:v>
                </c:pt>
                <c:pt idx="4">
                  <c:v>597.31020408163261</c:v>
                </c:pt>
                <c:pt idx="5">
                  <c:v>601.38979591836733</c:v>
                </c:pt>
                <c:pt idx="6">
                  <c:v>597.64693877551019</c:v>
                </c:pt>
              </c:numCache>
            </c:numRef>
          </c:val>
          <c:smooth val="0"/>
          <c:extLst>
            <c:ext xmlns:c16="http://schemas.microsoft.com/office/drawing/2014/chart" uri="{C3380CC4-5D6E-409C-BE32-E72D297353CC}">
              <c16:uniqueId val="{00000000-3004-4976-A7D2-F05517D58522}"/>
            </c:ext>
          </c:extLst>
        </c:ser>
        <c:dLbls>
          <c:dLblPos val="t"/>
          <c:showLegendKey val="0"/>
          <c:showVal val="1"/>
          <c:showCatName val="0"/>
          <c:showSerName val="0"/>
          <c:showPercent val="0"/>
          <c:showBubbleSize val="0"/>
        </c:dLbls>
        <c:marker val="1"/>
        <c:smooth val="0"/>
        <c:axId val="1351327263"/>
        <c:axId val="1351328703"/>
      </c:line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ppm&quot;"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[lettuce_dataset.xlsx]Trend of DailyPH!PivotTable2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Daily pH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DailyPH'!$B$3</c:f>
              <c:strCache>
                <c:ptCount val="1"/>
                <c:pt idx="0">
                  <c:v>Total</c:v>
                </c:pt>
              </c:strCache>
            </c:strRef>
          </c:tx>
          <c:spPr>
            <a:ln w="41275" cap="rnd">
              <a:solidFill>
                <a:schemeClr val="accent3">
                  <a:lumMod val="50000"/>
                </a:schemeClr>
              </a:solidFill>
              <a:round/>
            </a:ln>
            <a:effectLst/>
          </c:spPr>
          <c:marker>
            <c:symbol val="diamond"/>
            <c:size val="8"/>
            <c:spPr>
              <a:solidFill>
                <a:schemeClr val="bg1"/>
              </a:solidFill>
              <a:ln w="12700">
                <a:solidFill>
                  <a:schemeClr val="accent3">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of DailyPH'!$A$4:$A$11</c:f>
              <c:strCache>
                <c:ptCount val="7"/>
                <c:pt idx="0">
                  <c:v>Sunday</c:v>
                </c:pt>
                <c:pt idx="1">
                  <c:v>Monday</c:v>
                </c:pt>
                <c:pt idx="2">
                  <c:v>Tuesday</c:v>
                </c:pt>
                <c:pt idx="3">
                  <c:v>Wednesday</c:v>
                </c:pt>
                <c:pt idx="4">
                  <c:v>Thursday</c:v>
                </c:pt>
                <c:pt idx="5">
                  <c:v>Friday</c:v>
                </c:pt>
                <c:pt idx="6">
                  <c:v>Saturday</c:v>
                </c:pt>
              </c:strCache>
            </c:strRef>
          </c:cat>
          <c:val>
            <c:numRef>
              <c:f>'Trend of DailyPH'!$B$4:$B$11</c:f>
              <c:numCache>
                <c:formatCode>0.00"pH"</c:formatCode>
                <c:ptCount val="7"/>
                <c:pt idx="0">
                  <c:v>6.4032482598607841</c:v>
                </c:pt>
                <c:pt idx="1">
                  <c:v>6.3840375586854323</c:v>
                </c:pt>
                <c:pt idx="2">
                  <c:v>6.3973933649289005</c:v>
                </c:pt>
                <c:pt idx="3">
                  <c:v>6.3847619047618984</c:v>
                </c:pt>
                <c:pt idx="4">
                  <c:v>6.4057142857142741</c:v>
                </c:pt>
                <c:pt idx="5">
                  <c:v>6.4142857142857004</c:v>
                </c:pt>
                <c:pt idx="6">
                  <c:v>6.4012244897959016</c:v>
                </c:pt>
              </c:numCache>
            </c:numRef>
          </c:val>
          <c:smooth val="0"/>
          <c:extLst>
            <c:ext xmlns:c16="http://schemas.microsoft.com/office/drawing/2014/chart" uri="{C3380CC4-5D6E-409C-BE32-E72D297353CC}">
              <c16:uniqueId val="{00000000-284C-459F-A89B-33F474B74595}"/>
            </c:ext>
          </c:extLst>
        </c:ser>
        <c:dLbls>
          <c:dLblPos val="t"/>
          <c:showLegendKey val="0"/>
          <c:showVal val="1"/>
          <c:showCatName val="0"/>
          <c:showSerName val="0"/>
          <c:showPercent val="0"/>
          <c:showBubbleSize val="0"/>
        </c:dLbls>
        <c:marker val="1"/>
        <c:smooth val="0"/>
        <c:axId val="1351327263"/>
        <c:axId val="1351328703"/>
      </c:lineChart>
      <c:catAx>
        <c:axId val="13513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0.00&quot;pH&quot;"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[lettuce_dataset.xlsx]Growth rate number!PivotTable2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Lettuce By Growth Stage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75000"/>
            </a:schemeClr>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barChart>
        <c:barDir val="bar"/>
        <c:grouping val="clustered"/>
        <c:varyColors val="0"/>
        <c:ser>
          <c:idx val="0"/>
          <c:order val="0"/>
          <c:tx>
            <c:strRef>
              <c:f>'Growth rate number'!$B$3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3BB7-4144-8767-B35FBC0092E6}"/>
              </c:ext>
            </c:extLst>
          </c:dPt>
          <c:dPt>
            <c:idx val="1"/>
            <c:invertIfNegative val="0"/>
            <c:bubble3D val="0"/>
            <c:extLst>
              <c:ext xmlns:c16="http://schemas.microsoft.com/office/drawing/2014/chart" uri="{C3380CC4-5D6E-409C-BE32-E72D297353CC}">
                <c16:uniqueId val="{00000003-3BB7-4144-8767-B35FBC0092E6}"/>
              </c:ext>
            </c:extLst>
          </c:dPt>
          <c:dPt>
            <c:idx val="2"/>
            <c:invertIfNegative val="0"/>
            <c:bubble3D val="0"/>
            <c:extLst>
              <c:ext xmlns:c16="http://schemas.microsoft.com/office/drawing/2014/chart" uri="{C3380CC4-5D6E-409C-BE32-E72D297353CC}">
                <c16:uniqueId val="{00000005-3BB7-4144-8767-B35FBC009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rate number'!$A$4:$A$7</c:f>
              <c:strCache>
                <c:ptCount val="3"/>
                <c:pt idx="0">
                  <c:v>Vegetative</c:v>
                </c:pt>
                <c:pt idx="1">
                  <c:v>Seedling</c:v>
                </c:pt>
                <c:pt idx="2">
                  <c:v>Maturity</c:v>
                </c:pt>
              </c:strCache>
            </c:strRef>
          </c:cat>
          <c:val>
            <c:numRef>
              <c:f>'Growth rate number'!$B$4:$B$7</c:f>
              <c:numCache>
                <c:formatCode>General</c:formatCode>
                <c:ptCount val="3"/>
                <c:pt idx="0">
                  <c:v>1470</c:v>
                </c:pt>
                <c:pt idx="1">
                  <c:v>980</c:v>
                </c:pt>
                <c:pt idx="2">
                  <c:v>719</c:v>
                </c:pt>
              </c:numCache>
            </c:numRef>
          </c:val>
          <c:extLst>
            <c:ext xmlns:c16="http://schemas.microsoft.com/office/drawing/2014/chart" uri="{C3380CC4-5D6E-409C-BE32-E72D297353CC}">
              <c16:uniqueId val="{00000008-7EFF-4AF0-AB33-40C9AE1289D4}"/>
            </c:ext>
          </c:extLst>
        </c:ser>
        <c:dLbls>
          <c:dLblPos val="outEnd"/>
          <c:showLegendKey val="0"/>
          <c:showVal val="1"/>
          <c:showCatName val="0"/>
          <c:showSerName val="0"/>
          <c:showPercent val="0"/>
          <c:showBubbleSize val="0"/>
        </c:dLbls>
        <c:gapWidth val="20"/>
        <c:axId val="1351327263"/>
        <c:axId val="1351328703"/>
      </c:barChart>
      <c:catAx>
        <c:axId val="1351327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t"/>
        <c:numFmt formatCode="General"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[lettuce_dataset.xlsx]Total lettuce each day!PivotTable2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Lettuce Planted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s>
    <c:plotArea>
      <c:layout/>
      <c:barChart>
        <c:barDir val="col"/>
        <c:grouping val="clustered"/>
        <c:varyColors val="0"/>
        <c:ser>
          <c:idx val="0"/>
          <c:order val="0"/>
          <c:tx>
            <c:strRef>
              <c:f>'Total lettuce each day'!$B$3</c:f>
              <c:strCache>
                <c:ptCount val="1"/>
                <c:pt idx="0">
                  <c:v>Total</c:v>
                </c:pt>
              </c:strCache>
            </c:strRef>
          </c:tx>
          <c:spPr>
            <a:solidFill>
              <a:schemeClr val="accent3">
                <a:lumMod val="50000"/>
              </a:schemeClr>
            </a:solidFill>
            <a:ln>
              <a:noFill/>
            </a:ln>
            <a:effectLst/>
          </c:spPr>
          <c:invertIfNegative val="0"/>
          <c:dPt>
            <c:idx val="1"/>
            <c:invertIfNegative val="0"/>
            <c:bubble3D val="0"/>
            <c:extLst>
              <c:ext xmlns:c16="http://schemas.microsoft.com/office/drawing/2014/chart" uri="{C3380CC4-5D6E-409C-BE32-E72D297353CC}">
                <c16:uniqueId val="{00000001-0FD0-49B2-AF3F-4D29C8FD7A55}"/>
              </c:ext>
            </c:extLst>
          </c:dPt>
          <c:dPt>
            <c:idx val="2"/>
            <c:invertIfNegative val="0"/>
            <c:bubble3D val="0"/>
            <c:extLst>
              <c:ext xmlns:c16="http://schemas.microsoft.com/office/drawing/2014/chart" uri="{C3380CC4-5D6E-409C-BE32-E72D297353CC}">
                <c16:uniqueId val="{00000003-0FD0-49B2-AF3F-4D29C8FD7A55}"/>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6-5D6D-46BF-A0FD-047231A686C0}"/>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5D6D-46BF-A0FD-047231A686C0}"/>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ECFF-407B-A029-EA4E91F098B0}"/>
              </c:ext>
            </c:extLst>
          </c:dPt>
          <c:dPt>
            <c:idx val="6"/>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9-ECFF-407B-A029-EA4E91F098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lettuce each day'!$A$4:$A$11</c:f>
              <c:strCache>
                <c:ptCount val="7"/>
                <c:pt idx="0">
                  <c:v>Thursday</c:v>
                </c:pt>
                <c:pt idx="1">
                  <c:v>Friday</c:v>
                </c:pt>
                <c:pt idx="2">
                  <c:v>Saturday</c:v>
                </c:pt>
                <c:pt idx="3">
                  <c:v>Sunday</c:v>
                </c:pt>
                <c:pt idx="4">
                  <c:v>Monday</c:v>
                </c:pt>
                <c:pt idx="5">
                  <c:v>Tuesday</c:v>
                </c:pt>
                <c:pt idx="6">
                  <c:v>Wednesday</c:v>
                </c:pt>
              </c:strCache>
            </c:strRef>
          </c:cat>
          <c:val>
            <c:numRef>
              <c:f>'Total lettuce each day'!$B$4:$B$11</c:f>
              <c:numCache>
                <c:formatCode>General</c:formatCode>
                <c:ptCount val="7"/>
                <c:pt idx="0">
                  <c:v>490</c:v>
                </c:pt>
                <c:pt idx="1">
                  <c:v>490</c:v>
                </c:pt>
                <c:pt idx="2">
                  <c:v>490</c:v>
                </c:pt>
                <c:pt idx="3">
                  <c:v>431</c:v>
                </c:pt>
                <c:pt idx="4">
                  <c:v>426</c:v>
                </c:pt>
                <c:pt idx="5">
                  <c:v>422</c:v>
                </c:pt>
                <c:pt idx="6">
                  <c:v>420</c:v>
                </c:pt>
              </c:numCache>
            </c:numRef>
          </c:val>
          <c:extLst>
            <c:ext xmlns:c16="http://schemas.microsoft.com/office/drawing/2014/chart" uri="{C3380CC4-5D6E-409C-BE32-E72D297353CC}">
              <c16:uniqueId val="{00000001-5D6D-46BF-A0FD-047231A686C0}"/>
            </c:ext>
          </c:extLst>
        </c:ser>
        <c:dLbls>
          <c:showLegendKey val="0"/>
          <c:showVal val="1"/>
          <c:showCatName val="0"/>
          <c:showSerName val="0"/>
          <c:showPercent val="0"/>
          <c:showBubbleSize val="0"/>
        </c:dLbls>
        <c:gapWidth val="20"/>
        <c:axId val="1351327263"/>
        <c:axId val="1351328703"/>
      </c:barChart>
      <c:catAx>
        <c:axId val="135132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328703"/>
        <c:crosses val="autoZero"/>
        <c:auto val="1"/>
        <c:lblAlgn val="ctr"/>
        <c:lblOffset val="100"/>
        <c:noMultiLvlLbl val="0"/>
      </c:catAx>
      <c:valAx>
        <c:axId val="1351328703"/>
        <c:scaling>
          <c:orientation val="minMax"/>
        </c:scaling>
        <c:delete val="1"/>
        <c:axPos val="l"/>
        <c:numFmt formatCode="General" sourceLinked="1"/>
        <c:majorTickMark val="none"/>
        <c:minorTickMark val="none"/>
        <c:tickLblPos val="nextTo"/>
        <c:crossAx val="13513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[lettuce_dataset.xlsx]Nutrient adequacy perc!PivotTable2</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a:latin typeface="Georgia" panose="02040502050405020303" pitchFamily="18" charset="0"/>
              </a:rPr>
              <a:t>Nutrient</a:t>
            </a:r>
            <a:r>
              <a:rPr lang="en-US" sz="1400" b="0" baseline="0">
                <a:latin typeface="Georgia" panose="02040502050405020303" pitchFamily="18" charset="0"/>
              </a:rPr>
              <a:t> Adequacy Assessment</a:t>
            </a:r>
            <a:endParaRPr lang="en-NG" sz="1400" b="0">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3">
              <a:lumMod val="75000"/>
            </a:schemeClr>
          </a:solidFill>
          <a:ln>
            <a:noFill/>
          </a:ln>
          <a:effectLst/>
        </c:spPr>
      </c:pivotFmt>
      <c:pivotFmt>
        <c:idx val="23"/>
        <c:spPr>
          <a:solidFill>
            <a:schemeClr val="accent3">
              <a:lumMod val="60000"/>
              <a:lumOff val="40000"/>
            </a:schemeClr>
          </a:solidFill>
          <a:ln>
            <a:noFill/>
          </a:ln>
          <a:effectLst/>
        </c:spPr>
      </c:pivotFmt>
      <c:pivotFmt>
        <c:idx val="24"/>
        <c:spPr>
          <a:solidFill>
            <a:schemeClr val="accent3">
              <a:lumMod val="40000"/>
              <a:lumOff val="6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60000"/>
              <a:lumOff val="40000"/>
            </a:schemeClr>
          </a:solidFill>
          <a:ln>
            <a:noFill/>
          </a:ln>
          <a:effectLst/>
        </c:spPr>
        <c:dLbl>
          <c:idx val="0"/>
          <c:layout>
            <c:manualLayout>
              <c:x val="9.9415204678362429E-2"/>
              <c:y val="4.0588527253278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3">
              <a:lumMod val="50000"/>
            </a:schemeClr>
          </a:solidFill>
          <a:ln>
            <a:noFill/>
          </a:ln>
          <a:effectLst/>
        </c:spPr>
        <c:dLbl>
          <c:idx val="0"/>
          <c:layout>
            <c:manualLayout>
              <c:x val="-0.1189083820662768"/>
              <c:y val="-0.227295752618359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'Nutrient adequacy perc'!$B$3</c:f>
              <c:strCache>
                <c:ptCount val="1"/>
                <c:pt idx="0">
                  <c:v>Total</c:v>
                </c:pt>
              </c:strCache>
            </c:strRef>
          </c:tx>
          <c:spPr>
            <a:solidFill>
              <a:schemeClr val="accent3">
                <a:lumMod val="50000"/>
              </a:schemeClr>
            </a:solidFill>
          </c:spPr>
          <c:dPt>
            <c:idx val="0"/>
            <c:bubble3D val="0"/>
            <c:spPr>
              <a:solidFill>
                <a:schemeClr val="accent3">
                  <a:lumMod val="60000"/>
                  <a:lumOff val="40000"/>
                </a:schemeClr>
              </a:solidFill>
              <a:ln>
                <a:noFill/>
              </a:ln>
              <a:effectLst/>
            </c:spPr>
            <c:extLst>
              <c:ext xmlns:c16="http://schemas.microsoft.com/office/drawing/2014/chart" uri="{C3380CC4-5D6E-409C-BE32-E72D297353CC}">
                <c16:uniqueId val="{00000009-4055-4EE6-B5B0-FCBAD45CDEAC}"/>
              </c:ext>
            </c:extLst>
          </c:dPt>
          <c:dPt>
            <c:idx val="1"/>
            <c:bubble3D val="0"/>
            <c:spPr>
              <a:solidFill>
                <a:schemeClr val="accent3">
                  <a:lumMod val="50000"/>
                </a:schemeClr>
              </a:solidFill>
              <a:ln>
                <a:noFill/>
              </a:ln>
              <a:effectLst/>
            </c:spPr>
            <c:extLst>
              <c:ext xmlns:c16="http://schemas.microsoft.com/office/drawing/2014/chart" uri="{C3380CC4-5D6E-409C-BE32-E72D297353CC}">
                <c16:uniqueId val="{0000000A-4055-4EE6-B5B0-FCBAD45CDEAC}"/>
              </c:ext>
            </c:extLst>
          </c:dPt>
          <c:dPt>
            <c:idx val="2"/>
            <c:bubble3D val="0"/>
            <c:spPr>
              <a:solidFill>
                <a:schemeClr val="accent3">
                  <a:lumMod val="50000"/>
                </a:schemeClr>
              </a:solidFill>
              <a:ln>
                <a:noFill/>
              </a:ln>
              <a:effectLst/>
            </c:spPr>
            <c:extLst>
              <c:ext xmlns:c16="http://schemas.microsoft.com/office/drawing/2014/chart" uri="{C3380CC4-5D6E-409C-BE32-E72D297353CC}">
                <c16:uniqueId val="{00000005-0253-46DE-8E73-3EC057F59EB8}"/>
              </c:ext>
            </c:extLst>
          </c:dPt>
          <c:dPt>
            <c:idx val="3"/>
            <c:bubble3D val="0"/>
            <c:spPr>
              <a:solidFill>
                <a:schemeClr val="accent3">
                  <a:lumMod val="50000"/>
                </a:schemeClr>
              </a:solidFill>
              <a:ln>
                <a:noFill/>
              </a:ln>
              <a:effectLst/>
            </c:spPr>
            <c:extLst>
              <c:ext xmlns:c16="http://schemas.microsoft.com/office/drawing/2014/chart" uri="{C3380CC4-5D6E-409C-BE32-E72D297353CC}">
                <c16:uniqueId val="{00000001-4055-4EE6-B5B0-FCBAD45CDEAC}"/>
              </c:ext>
            </c:extLst>
          </c:dPt>
          <c:dPt>
            <c:idx val="4"/>
            <c:bubble3D val="0"/>
            <c:spPr>
              <a:solidFill>
                <a:schemeClr val="accent3">
                  <a:lumMod val="50000"/>
                </a:schemeClr>
              </a:solidFill>
              <a:ln>
                <a:noFill/>
              </a:ln>
              <a:effectLst/>
            </c:spPr>
            <c:extLst>
              <c:ext xmlns:c16="http://schemas.microsoft.com/office/drawing/2014/chart" uri="{C3380CC4-5D6E-409C-BE32-E72D297353CC}">
                <c16:uniqueId val="{00000003-4055-4EE6-B5B0-FCBAD45CDEAC}"/>
              </c:ext>
            </c:extLst>
          </c:dPt>
          <c:dPt>
            <c:idx val="5"/>
            <c:bubble3D val="0"/>
            <c:spPr>
              <a:solidFill>
                <a:schemeClr val="accent3">
                  <a:lumMod val="50000"/>
                </a:schemeClr>
              </a:solidFill>
              <a:ln>
                <a:noFill/>
              </a:ln>
              <a:effectLst/>
            </c:spPr>
            <c:extLst>
              <c:ext xmlns:c16="http://schemas.microsoft.com/office/drawing/2014/chart" uri="{C3380CC4-5D6E-409C-BE32-E72D297353CC}">
                <c16:uniqueId val="{00000005-4055-4EE6-B5B0-FCBAD45CDEAC}"/>
              </c:ext>
            </c:extLst>
          </c:dPt>
          <c:dPt>
            <c:idx val="6"/>
            <c:bubble3D val="0"/>
            <c:spPr>
              <a:solidFill>
                <a:schemeClr val="accent3">
                  <a:lumMod val="50000"/>
                </a:schemeClr>
              </a:solidFill>
              <a:ln>
                <a:noFill/>
              </a:ln>
              <a:effectLst/>
            </c:spPr>
            <c:extLst>
              <c:ext xmlns:c16="http://schemas.microsoft.com/office/drawing/2014/chart" uri="{C3380CC4-5D6E-409C-BE32-E72D297353CC}">
                <c16:uniqueId val="{00000007-4055-4EE6-B5B0-FCBAD45CDEAC}"/>
              </c:ext>
            </c:extLst>
          </c:dPt>
          <c:dLbls>
            <c:dLbl>
              <c:idx val="0"/>
              <c:layout>
                <c:manualLayout>
                  <c:x val="9.9415204678362429E-2"/>
                  <c:y val="4.0588527253278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4055-4EE6-B5B0-FCBAD45CDEAC}"/>
                </c:ext>
              </c:extLst>
            </c:dLbl>
            <c:dLbl>
              <c:idx val="1"/>
              <c:layout>
                <c:manualLayout>
                  <c:x val="-0.1189083820662768"/>
                  <c:y val="-0.227295752618359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4055-4EE6-B5B0-FCBAD45CDE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'Nutrient adequacy perc'!$A$4:$A$6</c:f>
              <c:strCache>
                <c:ptCount val="2"/>
                <c:pt idx="0">
                  <c:v>Low</c:v>
                </c:pt>
                <c:pt idx="1">
                  <c:v>Optimal</c:v>
                </c:pt>
              </c:strCache>
            </c:strRef>
          </c:cat>
          <c:val>
            <c:numRef>
              <c:f>'Nutrient adequacy perc'!$B$4:$B$6</c:f>
              <c:numCache>
                <c:formatCode>0.00%</c:formatCode>
                <c:ptCount val="2"/>
                <c:pt idx="0">
                  <c:v>0.40864626065004733</c:v>
                </c:pt>
                <c:pt idx="1">
                  <c:v>0.59135373934995261</c:v>
                </c:pt>
              </c:numCache>
            </c:numRef>
          </c:val>
          <c:extLst>
            <c:ext xmlns:c16="http://schemas.microsoft.com/office/drawing/2014/chart" uri="{C3380CC4-5D6E-409C-BE32-E72D297353CC}">
              <c16:uniqueId val="{00000008-4055-4EE6-B5B0-FCBAD45CDEA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svg"/><Relationship Id="rId18" Type="http://schemas.openxmlformats.org/officeDocument/2006/relationships/image" Target="../media/image10.png"/><Relationship Id="rId3" Type="http://schemas.openxmlformats.org/officeDocument/2006/relationships/chart" Target="../charts/chart3.xml"/><Relationship Id="rId21" Type="http://schemas.openxmlformats.org/officeDocument/2006/relationships/image" Target="../media/image13.svg"/><Relationship Id="rId7" Type="http://schemas.openxmlformats.org/officeDocument/2006/relationships/chart" Target="../charts/chart7.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svg"/><Relationship Id="rId5" Type="http://schemas.openxmlformats.org/officeDocument/2006/relationships/chart" Target="../charts/chart5.xml"/><Relationship Id="rId15" Type="http://schemas.openxmlformats.org/officeDocument/2006/relationships/image" Target="../media/image7.svg"/><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chart" Target="../charts/chart4.xml"/><Relationship Id="rId9" Type="http://schemas.microsoft.com/office/2007/relationships/hdphoto" Target="../media/hdphoto1.wdp"/><Relationship Id="rId1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104775</xdr:colOff>
      <xdr:row>1</xdr:row>
      <xdr:rowOff>57150</xdr:rowOff>
    </xdr:from>
    <xdr:to>
      <xdr:col>7</xdr:col>
      <xdr:colOff>390525</xdr:colOff>
      <xdr:row>16</xdr:row>
      <xdr:rowOff>123825</xdr:rowOff>
    </xdr:to>
    <xdr:sp macro="" textlink="">
      <xdr:nvSpPr>
        <xdr:cNvPr id="2" name="Rectangle: Rounded Corners 1">
          <a:extLst>
            <a:ext uri="{FF2B5EF4-FFF2-40B4-BE49-F238E27FC236}">
              <a16:creationId xmlns:a16="http://schemas.microsoft.com/office/drawing/2014/main" id="{89447B82-8D7D-EC2F-F099-3585F30A7CD2}"/>
            </a:ext>
          </a:extLst>
        </xdr:cNvPr>
        <xdr:cNvSpPr/>
      </xdr:nvSpPr>
      <xdr:spPr>
        <a:xfrm>
          <a:off x="104775" y="247650"/>
          <a:ext cx="4552950" cy="2924175"/>
        </a:xfrm>
        <a:prstGeom prst="roundRect">
          <a:avLst>
            <a:gd name="adj" fmla="val 12397"/>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PROJECT SPLIT</a:t>
          </a:r>
        </a:p>
        <a:p>
          <a:pPr algn="l"/>
          <a:r>
            <a:rPr lang="en-US" sz="1100"/>
            <a:t>Category1: Independent values</a:t>
          </a:r>
        </a:p>
        <a:p>
          <a:pPr algn="l"/>
          <a:r>
            <a:rPr lang="en-US" sz="1100"/>
            <a:t>1.</a:t>
          </a:r>
          <a:r>
            <a:rPr lang="en-US" sz="1100" baseline="0"/>
            <a:t> Date</a:t>
          </a:r>
        </a:p>
        <a:p>
          <a:pPr algn="l"/>
          <a:r>
            <a:rPr lang="en-US" sz="1100" baseline="0"/>
            <a:t>2. Days name</a:t>
          </a:r>
        </a:p>
        <a:p>
          <a:pPr algn="l"/>
          <a:r>
            <a:rPr lang="en-US" sz="1100" baseline="0"/>
            <a:t>3. Growth stage</a:t>
          </a:r>
        </a:p>
        <a:p>
          <a:pPr algn="l"/>
          <a:r>
            <a:rPr lang="en-US" sz="1100" baseline="0"/>
            <a:t>4. </a:t>
          </a:r>
          <a:r>
            <a:rPr lang="en-US" sz="1100" baseline="0">
              <a:solidFill>
                <a:schemeClr val="lt1"/>
              </a:solidFill>
              <a:effectLst/>
              <a:latin typeface="+mn-lt"/>
              <a:ea typeface="+mn-ea"/>
              <a:cs typeface="+mn-cs"/>
            </a:rPr>
            <a:t>Nutrient adequacy</a:t>
          </a:r>
          <a:endParaRPr lang="en-US" sz="1100" baseline="0"/>
        </a:p>
        <a:p>
          <a:pPr algn="l"/>
          <a:endParaRPr lang="en-US" sz="1100" baseline="0"/>
        </a:p>
        <a:p>
          <a:pPr algn="l"/>
          <a:r>
            <a:rPr lang="en-US" sz="1100" baseline="0"/>
            <a:t>Category2: Dependent values</a:t>
          </a:r>
        </a:p>
        <a:p>
          <a:pPr algn="l"/>
          <a:r>
            <a:rPr lang="en-US" sz="1100" baseline="0"/>
            <a:t>1. Temperature (C)</a:t>
          </a:r>
        </a:p>
        <a:p>
          <a:pPr algn="l"/>
          <a:r>
            <a:rPr lang="en-US" sz="1100" baseline="0"/>
            <a:t>2. Humidity (%)</a:t>
          </a:r>
        </a:p>
        <a:p>
          <a:pPr algn="l"/>
          <a:r>
            <a:rPr lang="en-US" sz="1100" baseline="0"/>
            <a:t>3. TDS value (ppm)</a:t>
          </a:r>
        </a:p>
        <a:p>
          <a:pPr algn="l"/>
          <a:r>
            <a:rPr lang="en-US" sz="1100" baseline="0"/>
            <a:t>4. pH level</a:t>
          </a:r>
        </a:p>
        <a:p>
          <a:pPr algn="l"/>
          <a:r>
            <a:rPr lang="en-US" sz="1100" baseline="0"/>
            <a:t>5. Growth days</a:t>
          </a:r>
        </a:p>
        <a:p>
          <a:pPr algn="l"/>
          <a:r>
            <a:rPr lang="en-US" sz="1100" baseline="0"/>
            <a:t>6. Temperature (F)</a:t>
          </a:r>
        </a:p>
        <a:p>
          <a:pPr algn="l"/>
          <a:r>
            <a:rPr lang="en-US" sz="1100" baseline="0"/>
            <a:t>7. Humidity </a:t>
          </a:r>
        </a:p>
      </xdr:txBody>
    </xdr:sp>
    <xdr:clientData/>
  </xdr:twoCellAnchor>
  <xdr:twoCellAnchor>
    <xdr:from>
      <xdr:col>7</xdr:col>
      <xdr:colOff>514350</xdr:colOff>
      <xdr:row>1</xdr:row>
      <xdr:rowOff>57150</xdr:rowOff>
    </xdr:from>
    <xdr:to>
      <xdr:col>15</xdr:col>
      <xdr:colOff>190500</xdr:colOff>
      <xdr:row>16</xdr:row>
      <xdr:rowOff>142875</xdr:rowOff>
    </xdr:to>
    <xdr:sp macro="" textlink="">
      <xdr:nvSpPr>
        <xdr:cNvPr id="3" name="Rectangle: Rounded Corners 2">
          <a:extLst>
            <a:ext uri="{FF2B5EF4-FFF2-40B4-BE49-F238E27FC236}">
              <a16:creationId xmlns:a16="http://schemas.microsoft.com/office/drawing/2014/main" id="{6AE2C5CC-A4C0-2F54-AD88-C90B5CE1350B}"/>
            </a:ext>
          </a:extLst>
        </xdr:cNvPr>
        <xdr:cNvSpPr/>
      </xdr:nvSpPr>
      <xdr:spPr>
        <a:xfrm>
          <a:off x="4781550" y="247650"/>
          <a:ext cx="4552950" cy="2943225"/>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3">
                  <a:lumMod val="50000"/>
                </a:schemeClr>
              </a:solidFill>
            </a:rPr>
            <a:t>POTENTIAL</a:t>
          </a:r>
          <a:r>
            <a:rPr lang="en-US" sz="1100" b="1" baseline="0">
              <a:solidFill>
                <a:schemeClr val="accent3">
                  <a:lumMod val="50000"/>
                </a:schemeClr>
              </a:solidFill>
            </a:rPr>
            <a:t> ANALYSIS/QUESTIONS</a:t>
          </a:r>
        </a:p>
        <a:p>
          <a:pPr algn="l"/>
          <a:r>
            <a:rPr lang="en-US" sz="1100" baseline="0">
              <a:solidFill>
                <a:schemeClr val="accent3">
                  <a:lumMod val="50000"/>
                </a:schemeClr>
              </a:solidFill>
            </a:rPr>
            <a:t>1. What is the total number of lettuce planted for each day?</a:t>
          </a:r>
        </a:p>
        <a:p>
          <a:pPr algn="l"/>
          <a:r>
            <a:rPr lang="en-US" sz="1100" baseline="0">
              <a:solidFill>
                <a:schemeClr val="accent3">
                  <a:lumMod val="50000"/>
                </a:schemeClr>
              </a:solidFill>
            </a:rPr>
            <a:t>2. What is the average pH level for each day?</a:t>
          </a:r>
        </a:p>
        <a:p>
          <a:pPr algn="l"/>
          <a:r>
            <a:rPr lang="en-US" sz="1100" baseline="0">
              <a:solidFill>
                <a:schemeClr val="accent3">
                  <a:lumMod val="50000"/>
                </a:schemeClr>
              </a:solidFill>
            </a:rPr>
            <a:t>3. What is the average TDS value for each of the days?</a:t>
          </a:r>
        </a:p>
        <a:p>
          <a:pPr algn="l"/>
          <a:r>
            <a:rPr lang="en-US" sz="1100" baseline="0">
              <a:solidFill>
                <a:schemeClr val="accent3">
                  <a:lumMod val="50000"/>
                </a:schemeClr>
              </a:solidFill>
            </a:rPr>
            <a:t>4. What is the average Temperature value for each of the days?</a:t>
          </a:r>
        </a:p>
        <a:p>
          <a:pPr algn="l"/>
          <a:r>
            <a:rPr lang="en-US" sz="1100" baseline="0">
              <a:solidFill>
                <a:schemeClr val="accent3">
                  <a:lumMod val="50000"/>
                </a:schemeClr>
              </a:solidFill>
            </a:rPr>
            <a:t>5. What is the average humidity value for each of the days?</a:t>
          </a:r>
        </a:p>
        <a:p>
          <a:pPr algn="l"/>
          <a:r>
            <a:rPr lang="en-US" sz="1100" baseline="0">
              <a:solidFill>
                <a:schemeClr val="accent3">
                  <a:lumMod val="50000"/>
                </a:schemeClr>
              </a:solidFill>
            </a:rPr>
            <a:t>6. What is the total number of lettuce for each growth stage?</a:t>
          </a:r>
        </a:p>
        <a:p>
          <a:pPr algn="l"/>
          <a:r>
            <a:rPr lang="en-US" sz="1100" baseline="0">
              <a:solidFill>
                <a:schemeClr val="accent3">
                  <a:lumMod val="50000"/>
                </a:schemeClr>
              </a:solidFill>
            </a:rPr>
            <a:t>7. What is the nutrient adequacy for each of the days?</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ctr"/>
          <a:r>
            <a:rPr lang="en-US" sz="1100" b="1" baseline="0">
              <a:solidFill>
                <a:schemeClr val="accent3">
                  <a:lumMod val="50000"/>
                </a:schemeClr>
              </a:solidFill>
            </a:rPr>
            <a:t>COLUMNS TO APPEND</a:t>
          </a:r>
        </a:p>
        <a:p>
          <a:pPr algn="l"/>
          <a:r>
            <a:rPr lang="en-US" sz="1100" baseline="0">
              <a:solidFill>
                <a:schemeClr val="accent3">
                  <a:lumMod val="50000"/>
                </a:schemeClr>
              </a:solidFill>
            </a:rPr>
            <a:t>1. Days name</a:t>
          </a:r>
        </a:p>
        <a:p>
          <a:pPr algn="l"/>
          <a:r>
            <a:rPr lang="en-US" sz="1100" baseline="0">
              <a:solidFill>
                <a:schemeClr val="accent3">
                  <a:lumMod val="50000"/>
                </a:schemeClr>
              </a:solidFill>
            </a:rPr>
            <a:t>2. Growth stage </a:t>
          </a:r>
        </a:p>
        <a:p>
          <a:pPr algn="l"/>
          <a:r>
            <a:rPr lang="en-US" sz="1100" baseline="0">
              <a:solidFill>
                <a:schemeClr val="accent3">
                  <a:lumMod val="50000"/>
                </a:schemeClr>
              </a:solidFill>
            </a:rPr>
            <a:t>3. Nutrient adequacy</a:t>
          </a:r>
          <a:endParaRPr lang="en-US" sz="1100">
            <a:solidFill>
              <a:schemeClr val="accent3">
                <a:lumMod val="50000"/>
              </a:schemeClr>
            </a:solidFill>
          </a:endParaRPr>
        </a:p>
        <a:p>
          <a:pPr algn="l"/>
          <a:endParaRPr lang="en-US" sz="1100" baseline="0">
            <a:solidFill>
              <a:schemeClr val="accent3">
                <a:lumMod val="50000"/>
              </a:schemeClr>
            </a:solidFill>
          </a:endParaRPr>
        </a:p>
      </xdr:txBody>
    </xdr:sp>
    <xdr:clientData/>
  </xdr:twoCellAnchor>
  <xdr:twoCellAnchor>
    <xdr:from>
      <xdr:col>7</xdr:col>
      <xdr:colOff>581025</xdr:colOff>
      <xdr:row>17</xdr:row>
      <xdr:rowOff>57150</xdr:rowOff>
    </xdr:from>
    <xdr:to>
      <xdr:col>15</xdr:col>
      <xdr:colOff>257175</xdr:colOff>
      <xdr:row>38</xdr:row>
      <xdr:rowOff>19050</xdr:rowOff>
    </xdr:to>
    <xdr:sp macro="" textlink="">
      <xdr:nvSpPr>
        <xdr:cNvPr id="4" name="Rectangle: Rounded Corners 3">
          <a:extLst>
            <a:ext uri="{FF2B5EF4-FFF2-40B4-BE49-F238E27FC236}">
              <a16:creationId xmlns:a16="http://schemas.microsoft.com/office/drawing/2014/main" id="{324010F3-A218-14CB-488D-4B03DA22032F}"/>
            </a:ext>
          </a:extLst>
        </xdr:cNvPr>
        <xdr:cNvSpPr/>
      </xdr:nvSpPr>
      <xdr:spPr>
        <a:xfrm>
          <a:off x="4848225" y="3295650"/>
          <a:ext cx="4552950" cy="3962400"/>
        </a:xfrm>
        <a:prstGeom prst="roundRect">
          <a:avLst>
            <a:gd name="adj" fmla="val 12397"/>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a:t>
          </a:r>
          <a:r>
            <a:rPr lang="en-US" sz="1100" b="1" baseline="0"/>
            <a:t>  INSIGHTS</a:t>
          </a:r>
          <a:endParaRPr lang="en-US" sz="1100" b="1"/>
        </a:p>
        <a:p>
          <a:pPr algn="l"/>
          <a:r>
            <a:rPr lang="en-US" sz="1100" baseline="0"/>
            <a:t>1. Finetune  the days with the highest number of lettuce planted and the days with the lowest number of lettuce to identify which day is most suitable for planting.</a:t>
          </a:r>
        </a:p>
        <a:p>
          <a:pPr algn="l"/>
          <a:r>
            <a:rPr lang="en-US" sz="1100" baseline="0"/>
            <a:t>2. Finetune the average pH level of each day and identify the day with the optimal pH level to plant a lettuce plant.</a:t>
          </a:r>
        </a:p>
        <a:p>
          <a:pPr algn="l"/>
          <a:r>
            <a:rPr lang="en-US" sz="1100" baseline="0"/>
            <a:t>3. Finetune the average TDS level of each day to enhance productivity of planting lettuce for each day.</a:t>
          </a:r>
        </a:p>
        <a:p>
          <a:pPr algn="l"/>
          <a:r>
            <a:rPr lang="en-US" sz="1100" baseline="0"/>
            <a:t>4. Finetune the average Temperature value for each day to identify the days with optimal temperature value for planting lettuce plant and make the best decisions regarding lettuce plants.</a:t>
          </a:r>
        </a:p>
        <a:p>
          <a:pPr algn="l"/>
          <a:r>
            <a:rPr lang="en-US" sz="1100" baseline="0"/>
            <a:t>5. Finetune the total number of lettuce for each growth stage and identify what growth rate that is most likely to  be completed within 2023 and plan for the coming  year.</a:t>
          </a:r>
        </a:p>
        <a:p>
          <a:pPr algn="l"/>
          <a:r>
            <a:rPr lang="en-US" sz="1100" baseline="0"/>
            <a:t>6. Finetune the average humidity value for each day and  discover the days with optimal humidity suitable for lettuce growth and uncover if the effect of humidity is more important than other environmental factors. </a:t>
          </a:r>
        </a:p>
        <a:p>
          <a:pPr algn="l"/>
          <a:r>
            <a:rPr lang="en-US" sz="1100" baseline="0"/>
            <a:t>7. Finetune the nutrient adequacy for each day based on each of the environmental nutrients present and see how it can be improved upon.</a:t>
          </a:r>
        </a:p>
      </xdr:txBody>
    </xdr:sp>
    <xdr:clientData/>
  </xdr:twoCellAnchor>
  <xdr:twoCellAnchor>
    <xdr:from>
      <xdr:col>0</xdr:col>
      <xdr:colOff>142875</xdr:colOff>
      <xdr:row>17</xdr:row>
      <xdr:rowOff>104775</xdr:rowOff>
    </xdr:from>
    <xdr:to>
      <xdr:col>7</xdr:col>
      <xdr:colOff>428625</xdr:colOff>
      <xdr:row>37</xdr:row>
      <xdr:rowOff>123825</xdr:rowOff>
    </xdr:to>
    <xdr:sp macro="" textlink="">
      <xdr:nvSpPr>
        <xdr:cNvPr id="5" name="Rectangle: Rounded Corners 4">
          <a:extLst>
            <a:ext uri="{FF2B5EF4-FFF2-40B4-BE49-F238E27FC236}">
              <a16:creationId xmlns:a16="http://schemas.microsoft.com/office/drawing/2014/main" id="{C1EADE84-752F-9C9E-05E4-B38D3546393E}"/>
            </a:ext>
          </a:extLst>
        </xdr:cNvPr>
        <xdr:cNvSpPr/>
      </xdr:nvSpPr>
      <xdr:spPr>
        <a:xfrm>
          <a:off x="142875" y="3343275"/>
          <a:ext cx="4552950" cy="3829050"/>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accent3">
                  <a:lumMod val="50000"/>
                </a:schemeClr>
              </a:solidFill>
            </a:rPr>
            <a:t>INDUSTRY TYPE</a:t>
          </a:r>
        </a:p>
        <a:p>
          <a:pPr algn="l"/>
          <a:r>
            <a:rPr lang="en-US" sz="1100" b="0" baseline="0">
              <a:solidFill>
                <a:schemeClr val="accent3">
                  <a:lumMod val="50000"/>
                </a:schemeClr>
              </a:solidFill>
            </a:rPr>
            <a:t>Vertical Acre Farm for lettuce production</a:t>
          </a:r>
        </a:p>
        <a:p>
          <a:pPr algn="l"/>
          <a:endParaRPr lang="en-US" sz="1100" b="0" baseline="0">
            <a:solidFill>
              <a:schemeClr val="accent3">
                <a:lumMod val="50000"/>
              </a:schemeClr>
            </a:solidFill>
          </a:endParaRPr>
        </a:p>
        <a:p>
          <a:pPr algn="ctr"/>
          <a:r>
            <a:rPr lang="en-US" sz="1100" b="1" baseline="0">
              <a:solidFill>
                <a:schemeClr val="accent3">
                  <a:lumMod val="50000"/>
                </a:schemeClr>
              </a:solidFill>
            </a:rPr>
            <a:t>STORY OF DATA</a:t>
          </a:r>
        </a:p>
        <a:p>
          <a:pPr algn="l"/>
          <a:r>
            <a:rPr lang="en-US" sz="1100" b="0" baseline="0">
              <a:solidFill>
                <a:schemeClr val="accent3">
                  <a:lumMod val="50000"/>
                </a:schemeClr>
              </a:solidFill>
            </a:rPr>
            <a:t>The project aims to investigate the relationship between temperature, humidity, TDS value, pH level, and growth days to understand how these factors influence lettuce growth.</a:t>
          </a:r>
          <a:br>
            <a:rPr lang="en-US" sz="1100" b="0" baseline="0">
              <a:solidFill>
                <a:schemeClr val="accent3">
                  <a:lumMod val="50000"/>
                </a:schemeClr>
              </a:solidFill>
            </a:rPr>
          </a:br>
          <a:endParaRPr lang="en-US" sz="1100" b="0" baseline="0">
            <a:solidFill>
              <a:schemeClr val="accent3">
                <a:lumMod val="50000"/>
              </a:schemeClr>
            </a:solidFill>
          </a:endParaRPr>
        </a:p>
        <a:p>
          <a:pPr algn="ctr"/>
          <a:r>
            <a:rPr lang="en-US" sz="1100" b="1" baseline="0">
              <a:solidFill>
                <a:schemeClr val="accent3">
                  <a:lumMod val="50000"/>
                </a:schemeClr>
              </a:solidFill>
            </a:rPr>
            <a:t>STAKEHOLDERS OF PROJECT</a:t>
          </a:r>
        </a:p>
        <a:p>
          <a:pPr algn="l"/>
          <a:r>
            <a:rPr lang="en-US" sz="1100" b="0" baseline="0">
              <a:solidFill>
                <a:schemeClr val="accent3">
                  <a:lumMod val="50000"/>
                </a:schemeClr>
              </a:solidFill>
            </a:rPr>
            <a:t>Suppliers, farmers, pre-harvest contractors, collection agents, processors, traders, retailers and exporters etc</a:t>
          </a:r>
        </a:p>
        <a:p>
          <a:pPr algn="l"/>
          <a:endParaRPr lang="en-US" sz="1100" b="0" baseline="0">
            <a:solidFill>
              <a:schemeClr val="accent3">
                <a:lumMod val="50000"/>
              </a:schemeClr>
            </a:solidFill>
          </a:endParaRPr>
        </a:p>
        <a:p>
          <a:pPr algn="ctr"/>
          <a:r>
            <a:rPr lang="en-US" sz="1100" b="1" baseline="0">
              <a:solidFill>
                <a:schemeClr val="accent3">
                  <a:lumMod val="50000"/>
                </a:schemeClr>
              </a:solidFill>
            </a:rPr>
            <a:t>WHAT SUCCESS MEANS TO THIS INDUSTRY</a:t>
          </a:r>
        </a:p>
        <a:p>
          <a:pPr algn="l"/>
          <a:r>
            <a:rPr lang="en-US" sz="1100" b="0" baseline="0">
              <a:solidFill>
                <a:schemeClr val="accent3">
                  <a:lumMod val="50000"/>
                </a:schemeClr>
              </a:solidFill>
            </a:rPr>
            <a:t>Understanding the changes in environmental factors to optimize effective growth of different lettuce species and increase production and revenue.</a:t>
          </a:r>
        </a:p>
        <a:p>
          <a:pPr algn="l"/>
          <a:endParaRPr lang="en-US" sz="1100" b="0" baseline="0">
            <a:solidFill>
              <a:schemeClr val="accent3">
                <a:lumMod val="50000"/>
              </a:schemeClr>
            </a:solidFill>
          </a:endParaRPr>
        </a:p>
        <a:p>
          <a:pPr algn="l"/>
          <a:endParaRPr lang="en-US" sz="1100" baseline="0">
            <a:solidFill>
              <a:schemeClr val="accent3">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xdr:row>
      <xdr:rowOff>57150</xdr:rowOff>
    </xdr:from>
    <xdr:to>
      <xdr:col>7</xdr:col>
      <xdr:colOff>390525</xdr:colOff>
      <xdr:row>22</xdr:row>
      <xdr:rowOff>28575</xdr:rowOff>
    </xdr:to>
    <xdr:sp macro="" textlink="">
      <xdr:nvSpPr>
        <xdr:cNvPr id="2" name="Rectangle: Rounded Corners 1">
          <a:extLst>
            <a:ext uri="{FF2B5EF4-FFF2-40B4-BE49-F238E27FC236}">
              <a16:creationId xmlns:a16="http://schemas.microsoft.com/office/drawing/2014/main" id="{E0640B86-9FFC-4D72-9EB5-353D26D4A726}"/>
            </a:ext>
          </a:extLst>
        </xdr:cNvPr>
        <xdr:cNvSpPr/>
      </xdr:nvSpPr>
      <xdr:spPr>
        <a:xfrm>
          <a:off x="104775" y="247650"/>
          <a:ext cx="4564063" cy="3971925"/>
        </a:xfrm>
        <a:prstGeom prst="roundRect">
          <a:avLst>
            <a:gd name="adj" fmla="val 12397"/>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ANALYSIS:</a:t>
          </a:r>
          <a:r>
            <a:rPr lang="en-US" sz="1100" baseline="0"/>
            <a:t> Trend of Daily Average pH Level</a:t>
          </a:r>
        </a:p>
        <a:p>
          <a:pPr algn="l"/>
          <a:endParaRPr lang="en-US" sz="1100" baseline="0"/>
        </a:p>
        <a:p>
          <a:pPr algn="l"/>
          <a:r>
            <a:rPr lang="en-US" sz="1100" b="1" baseline="0"/>
            <a:t>OBSERVATIONS:</a:t>
          </a:r>
        </a:p>
        <a:p>
          <a:pPr algn="l"/>
          <a:r>
            <a:rPr lang="en-US" sz="1100" baseline="0"/>
            <a:t>1. Thursday and Friday have the highest average pH level of 6.41pH each.</a:t>
          </a:r>
        </a:p>
        <a:p>
          <a:pPr algn="l"/>
          <a:r>
            <a:rPr lang="en-US" sz="1100" baseline="0"/>
            <a:t>2. Saturday has the second highest average pH level of 6.40pH.</a:t>
          </a:r>
        </a:p>
        <a:p>
          <a:pPr algn="l"/>
          <a:r>
            <a:rPr lang="en-US" sz="1100" baseline="0"/>
            <a:t>3. Monday and  Wednesday has the lowest pH level of 6.38pH each.</a:t>
          </a:r>
        </a:p>
        <a:p>
          <a:pPr algn="l"/>
          <a:endParaRPr lang="en-US" sz="1100" baseline="0"/>
        </a:p>
        <a:p>
          <a:pPr algn="l"/>
          <a:r>
            <a:rPr lang="en-US" sz="1100" b="1" baseline="0"/>
            <a:t>PRE-INSIGHTS:</a:t>
          </a:r>
        </a:p>
        <a:p>
          <a:pPr algn="l"/>
          <a:r>
            <a:rPr lang="en-US" sz="1100" baseline="0"/>
            <a:t>1. Studies should be made on the reasons behind the low pH level available at the beginning of the week and the high pH level available towards the end of the week.</a:t>
          </a:r>
        </a:p>
        <a:p>
          <a:pPr algn="l"/>
          <a:r>
            <a:rPr lang="en-US" sz="1100" baseline="0"/>
            <a:t>2. It could be that the the nutrients available at the beginning of the week isnt sufficient for planting.</a:t>
          </a:r>
        </a:p>
        <a:p>
          <a:pPr algn="l"/>
          <a:r>
            <a:rPr lang="en-US" sz="1100" baseline="0"/>
            <a:t>3. Proper testing methods should be implemented by the farmers and farm labourers before planting at the beginning of each week inorder to effectively calculate the number of lettuce plants that would be sufficient for the available nutrients.</a:t>
          </a:r>
        </a:p>
        <a:p>
          <a:pPr algn="l"/>
          <a:r>
            <a:rPr lang="en-US" sz="1100" baseline="0"/>
            <a:t>4. The Agriculatural chemist should provide the best chemicals that would increase the soil pH level to optimal level  and it would not destroy the soil porosity.</a:t>
          </a:r>
        </a:p>
      </xdr:txBody>
    </xdr:sp>
    <xdr:clientData/>
  </xdr:twoCellAnchor>
  <xdr:twoCellAnchor>
    <xdr:from>
      <xdr:col>7</xdr:col>
      <xdr:colOff>514350</xdr:colOff>
      <xdr:row>1</xdr:row>
      <xdr:rowOff>57150</xdr:rowOff>
    </xdr:from>
    <xdr:to>
      <xdr:col>15</xdr:col>
      <xdr:colOff>190500</xdr:colOff>
      <xdr:row>22</xdr:row>
      <xdr:rowOff>19050</xdr:rowOff>
    </xdr:to>
    <xdr:sp macro="" textlink="">
      <xdr:nvSpPr>
        <xdr:cNvPr id="3" name="Rectangle: Rounded Corners 2">
          <a:extLst>
            <a:ext uri="{FF2B5EF4-FFF2-40B4-BE49-F238E27FC236}">
              <a16:creationId xmlns:a16="http://schemas.microsoft.com/office/drawing/2014/main" id="{E597E8E7-C41E-449C-9A65-080B1079180B}"/>
            </a:ext>
          </a:extLst>
        </xdr:cNvPr>
        <xdr:cNvSpPr/>
      </xdr:nvSpPr>
      <xdr:spPr>
        <a:xfrm>
          <a:off x="4781550" y="247650"/>
          <a:ext cx="4552950" cy="3962400"/>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3">
                  <a:lumMod val="50000"/>
                </a:schemeClr>
              </a:solidFill>
            </a:rPr>
            <a:t>ANALYSIS:</a:t>
          </a:r>
          <a:r>
            <a:rPr lang="en-US" sz="1100" baseline="0">
              <a:solidFill>
                <a:schemeClr val="accent3">
                  <a:lumMod val="50000"/>
                </a:schemeClr>
              </a:solidFill>
            </a:rPr>
            <a:t>  Total Number Of Lettuce Plant By Growth Stage</a:t>
          </a:r>
        </a:p>
        <a:p>
          <a:pPr algn="l"/>
          <a:endParaRPr lang="en-US" sz="1100" baseline="0">
            <a:solidFill>
              <a:schemeClr val="accent3">
                <a:lumMod val="50000"/>
              </a:schemeClr>
            </a:solidFill>
          </a:endParaRPr>
        </a:p>
        <a:p>
          <a:pPr algn="l"/>
          <a:r>
            <a:rPr lang="en-US" sz="1100" b="1" baseline="0">
              <a:solidFill>
                <a:schemeClr val="accent3">
                  <a:lumMod val="50000"/>
                </a:schemeClr>
              </a:solidFill>
            </a:rPr>
            <a:t>OBSERVATIONS:</a:t>
          </a:r>
        </a:p>
        <a:p>
          <a:pPr algn="l"/>
          <a:r>
            <a:rPr lang="en-US" sz="1100" baseline="0">
              <a:solidFill>
                <a:schemeClr val="accent3">
                  <a:lumMod val="50000"/>
                </a:schemeClr>
              </a:solidFill>
            </a:rPr>
            <a:t>1. Vegetative stage is the top ranked stage with a total number of 1470 lettuce plants.</a:t>
          </a:r>
        </a:p>
        <a:p>
          <a:pPr algn="l"/>
          <a:r>
            <a:rPr lang="en-US" sz="1100" baseline="0">
              <a:solidFill>
                <a:schemeClr val="accent3">
                  <a:lumMod val="50000"/>
                </a:schemeClr>
              </a:solidFill>
            </a:rPr>
            <a:t>2. Seedling stage is the second ranked stage with a total number of 980 lettuce plants.</a:t>
          </a:r>
        </a:p>
        <a:p>
          <a:pPr algn="l"/>
          <a:r>
            <a:rPr lang="en-US" sz="1100" baseline="0">
              <a:solidFill>
                <a:schemeClr val="accent3">
                  <a:lumMod val="50000"/>
                </a:schemeClr>
              </a:solidFill>
            </a:rPr>
            <a:t>3. Maturity stage is the third and least ranked stage with a total number of 719 lettuce plants.</a:t>
          </a:r>
        </a:p>
        <a:p>
          <a:pPr algn="l"/>
          <a:endParaRPr lang="en-US" sz="1100" baseline="0">
            <a:solidFill>
              <a:schemeClr val="accent3">
                <a:lumMod val="50000"/>
              </a:schemeClr>
            </a:solidFill>
          </a:endParaRPr>
        </a:p>
        <a:p>
          <a:pPr algn="l"/>
          <a:r>
            <a:rPr lang="en-US" sz="1100" b="1" baseline="0">
              <a:solidFill>
                <a:schemeClr val="accent3">
                  <a:lumMod val="50000"/>
                </a:schemeClr>
              </a:solidFill>
            </a:rPr>
            <a:t>PRE-INSIGHTS:</a:t>
          </a:r>
        </a:p>
        <a:p>
          <a:pPr algn="l"/>
          <a:r>
            <a:rPr lang="en-US" sz="1100" baseline="0">
              <a:solidFill>
                <a:schemeClr val="accent3">
                  <a:lumMod val="50000"/>
                </a:schemeClr>
              </a:solidFill>
            </a:rPr>
            <a:t>1. This is a good indicator that more lettuce plants are growing effectively from seedling stage to vegetative stage and then slowly entering Maturity stage.</a:t>
          </a:r>
        </a:p>
        <a:p>
          <a:pPr algn="l"/>
          <a:r>
            <a:rPr lang="en-US" sz="1100" baseline="0">
              <a:solidFill>
                <a:schemeClr val="accent3">
                  <a:lumMod val="50000"/>
                </a:schemeClr>
              </a:solidFill>
            </a:rPr>
            <a:t>2. The farmers should effectively ensure that all conditions such as cool temperature, a specific light cycle, consistent moisture and well-draining soil rich in nitrogen for vegetative stage of growth is maintained.</a:t>
          </a:r>
        </a:p>
        <a:p>
          <a:pPr algn="l"/>
          <a:r>
            <a:rPr lang="en-US" sz="1100" baseline="0">
              <a:solidFill>
                <a:schemeClr val="accent3">
                  <a:lumMod val="50000"/>
                </a:schemeClr>
              </a:solidFill>
            </a:rPr>
            <a:t>3. The farmers should effectively ensure that all conditions for maturity stage such as moist environment, adequate soil fertility, 5-6 hours of sunlight with afternoon shade in hot climate with a consistent watering schedule to prevent dry conditions and bolting is maintained.</a:t>
          </a:r>
        </a:p>
        <a:p>
          <a:pPr algn="l"/>
          <a:endParaRPr lang="en-US" sz="1100" baseline="0">
            <a:solidFill>
              <a:schemeClr val="accent3">
                <a:lumMod val="50000"/>
              </a:schemeClr>
            </a:solidFill>
          </a:endParaRPr>
        </a:p>
        <a:p>
          <a:pPr algn="l"/>
          <a:r>
            <a:rPr lang="en-US" sz="1100" baseline="0">
              <a:solidFill>
                <a:schemeClr val="accent3">
                  <a:lumMod val="50000"/>
                </a:schemeClr>
              </a:solidFill>
            </a:rPr>
            <a:t> </a:t>
          </a:r>
        </a:p>
      </xdr:txBody>
    </xdr:sp>
    <xdr:clientData/>
  </xdr:twoCellAnchor>
  <xdr:twoCellAnchor>
    <xdr:from>
      <xdr:col>7</xdr:col>
      <xdr:colOff>476250</xdr:colOff>
      <xdr:row>23</xdr:row>
      <xdr:rowOff>19050</xdr:rowOff>
    </xdr:from>
    <xdr:to>
      <xdr:col>15</xdr:col>
      <xdr:colOff>152400</xdr:colOff>
      <xdr:row>45</xdr:row>
      <xdr:rowOff>123825</xdr:rowOff>
    </xdr:to>
    <xdr:sp macro="" textlink="">
      <xdr:nvSpPr>
        <xdr:cNvPr id="7" name="Rectangle: Rounded Corners 6">
          <a:extLst>
            <a:ext uri="{FF2B5EF4-FFF2-40B4-BE49-F238E27FC236}">
              <a16:creationId xmlns:a16="http://schemas.microsoft.com/office/drawing/2014/main" id="{C284D593-0A38-371A-89B6-E172F29F5068}"/>
            </a:ext>
          </a:extLst>
        </xdr:cNvPr>
        <xdr:cNvSpPr/>
      </xdr:nvSpPr>
      <xdr:spPr>
        <a:xfrm>
          <a:off x="4743450" y="4400550"/>
          <a:ext cx="4552950" cy="4295775"/>
        </a:xfrm>
        <a:prstGeom prst="roundRect">
          <a:avLst>
            <a:gd name="adj" fmla="val 12397"/>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ANALYSIS: </a:t>
          </a:r>
          <a:r>
            <a:rPr lang="en-US" sz="1100" baseline="0"/>
            <a:t>Trend of Daily Average Humidity Level</a:t>
          </a:r>
        </a:p>
        <a:p>
          <a:pPr algn="l"/>
          <a:endParaRPr lang="en-US" sz="1100" baseline="0"/>
        </a:p>
        <a:p>
          <a:pPr algn="l"/>
          <a:r>
            <a:rPr lang="en-US" sz="1100" b="1" baseline="0"/>
            <a:t>OBSERVATIONS:</a:t>
          </a:r>
        </a:p>
        <a:p>
          <a:pPr algn="l"/>
          <a:r>
            <a:rPr lang="en-US" sz="1100" baseline="0"/>
            <a:t>1. Saturday ranked with the highest average humidity level of 65.42%.</a:t>
          </a:r>
        </a:p>
        <a:p>
          <a:pPr algn="l"/>
          <a:r>
            <a:rPr lang="en-US" sz="1100" baseline="0"/>
            <a:t>2. Wednesday ranked with the second highest average humidity level of 65.27%.</a:t>
          </a:r>
        </a:p>
        <a:p>
          <a:pPr algn="l"/>
          <a:r>
            <a:rPr lang="en-US" sz="1100" baseline="0"/>
            <a:t>3. Tuesday has the least average humidity level of 64.92%.  </a:t>
          </a:r>
        </a:p>
        <a:p>
          <a:pPr algn="l"/>
          <a:endParaRPr lang="en-US" sz="1100" baseline="0"/>
        </a:p>
        <a:p>
          <a:pPr algn="l"/>
          <a:r>
            <a:rPr lang="en-US" sz="1100" b="1" baseline="0"/>
            <a:t>PRE-INSIGHTS:</a:t>
          </a:r>
        </a:p>
        <a:p>
          <a:pPr algn="l"/>
          <a:r>
            <a:rPr lang="en-US" sz="1100" baseline="0"/>
            <a:t>1. Investigations should be made by the the farm scientists to discover the correlation between the high average humidity level and high average pH level available on Saturday. </a:t>
          </a:r>
        </a:p>
        <a:p>
          <a:pPr algn="l"/>
          <a:r>
            <a:rPr lang="en-US" sz="1100" baseline="0"/>
            <a:t>2. The humidity level can be raised by applying larger operations such as Ultrasonic humidifiers, evaporative humidifiers and other methods to ensure humidity is suitable for each growth stage.</a:t>
          </a:r>
        </a:p>
        <a:p>
          <a:pPr algn="l"/>
          <a:r>
            <a:rPr lang="en-US" sz="1100" baseline="0"/>
            <a:t>3. Proper test should be made on the humidity levels that  are optimum for each growth stages and effort should be implemented to ensure that it is maintained for each of these stages acorss all weekdays.</a:t>
          </a:r>
        </a:p>
        <a:p>
          <a:pPr algn="l"/>
          <a:r>
            <a:rPr lang="en-US" sz="1100" baseline="0"/>
            <a:t>4. Since the ideal relative humidty for lettuce is around 60% to 80%, then other external environmental factors such as climate changes or industrial changes around the farmland that could impose some level of threat should be thoroughly checked.</a:t>
          </a:r>
        </a:p>
      </xdr:txBody>
    </xdr:sp>
    <xdr:clientData/>
  </xdr:twoCellAnchor>
  <xdr:twoCellAnchor>
    <xdr:from>
      <xdr:col>0</xdr:col>
      <xdr:colOff>95250</xdr:colOff>
      <xdr:row>23</xdr:row>
      <xdr:rowOff>9525</xdr:rowOff>
    </xdr:from>
    <xdr:to>
      <xdr:col>7</xdr:col>
      <xdr:colOff>381000</xdr:colOff>
      <xdr:row>45</xdr:row>
      <xdr:rowOff>123825</xdr:rowOff>
    </xdr:to>
    <xdr:sp macro="" textlink="">
      <xdr:nvSpPr>
        <xdr:cNvPr id="8" name="Rectangle: Rounded Corners 7">
          <a:extLst>
            <a:ext uri="{FF2B5EF4-FFF2-40B4-BE49-F238E27FC236}">
              <a16:creationId xmlns:a16="http://schemas.microsoft.com/office/drawing/2014/main" id="{E78FA311-92A1-5128-EC74-39C232568924}"/>
            </a:ext>
          </a:extLst>
        </xdr:cNvPr>
        <xdr:cNvSpPr/>
      </xdr:nvSpPr>
      <xdr:spPr>
        <a:xfrm>
          <a:off x="95250" y="4391025"/>
          <a:ext cx="4564063" cy="4305300"/>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3">
                  <a:lumMod val="50000"/>
                </a:schemeClr>
              </a:solidFill>
            </a:rPr>
            <a:t>ANALYSIS:</a:t>
          </a:r>
          <a:r>
            <a:rPr lang="en-US" sz="1100" baseline="0">
              <a:solidFill>
                <a:schemeClr val="accent3">
                  <a:lumMod val="50000"/>
                </a:schemeClr>
              </a:solidFill>
            </a:rPr>
            <a:t>  Nutrient Adequacy Assessment</a:t>
          </a:r>
        </a:p>
        <a:p>
          <a:pPr algn="l"/>
          <a:endParaRPr lang="en-US" sz="1100" baseline="0">
            <a:solidFill>
              <a:schemeClr val="accent3">
                <a:lumMod val="50000"/>
              </a:schemeClr>
            </a:solidFill>
          </a:endParaRPr>
        </a:p>
        <a:p>
          <a:pPr algn="l"/>
          <a:r>
            <a:rPr lang="en-US" sz="1100" b="1" baseline="0">
              <a:solidFill>
                <a:schemeClr val="accent3">
                  <a:lumMod val="50000"/>
                </a:schemeClr>
              </a:solidFill>
            </a:rPr>
            <a:t>OBSERVATIONS:</a:t>
          </a:r>
        </a:p>
        <a:p>
          <a:pPr algn="l"/>
          <a:r>
            <a:rPr lang="en-US" sz="1100" baseline="0">
              <a:solidFill>
                <a:schemeClr val="accent3">
                  <a:lumMod val="50000"/>
                </a:schemeClr>
              </a:solidFill>
            </a:rPr>
            <a:t>1. 59% of nutrients available for growth are optimal.</a:t>
          </a:r>
        </a:p>
        <a:p>
          <a:pPr algn="l"/>
          <a:r>
            <a:rPr lang="en-US" sz="1100" baseline="0">
              <a:solidFill>
                <a:schemeClr val="accent3">
                  <a:lumMod val="50000"/>
                </a:schemeClr>
              </a:solidFill>
            </a:rPr>
            <a:t>2. 41% of nutrients availablefor growth are low.</a:t>
          </a:r>
        </a:p>
        <a:p>
          <a:pPr algn="l"/>
          <a:endParaRPr lang="en-US" sz="1100" baseline="0">
            <a:solidFill>
              <a:schemeClr val="accent3">
                <a:lumMod val="50000"/>
              </a:schemeClr>
            </a:solidFill>
          </a:endParaRPr>
        </a:p>
        <a:p>
          <a:pPr algn="l"/>
          <a:r>
            <a:rPr lang="en-US" sz="1100" b="1" baseline="0">
              <a:solidFill>
                <a:schemeClr val="accent3">
                  <a:lumMod val="50000"/>
                </a:schemeClr>
              </a:solidFill>
            </a:rPr>
            <a:t>PRE-INSIGHTS:</a:t>
          </a:r>
        </a:p>
        <a:p>
          <a:pPr algn="l"/>
          <a:r>
            <a:rPr lang="en-US" sz="1100" baseline="0">
              <a:solidFill>
                <a:schemeClr val="accent3">
                  <a:lumMod val="50000"/>
                </a:schemeClr>
              </a:solidFill>
            </a:rPr>
            <a:t>1. The farm labourers should be properly educated on the most essential nutrients that should be implemented everyday on the plants at each growth stage.</a:t>
          </a:r>
        </a:p>
        <a:p>
          <a:pPr algn="l"/>
          <a:r>
            <a:rPr lang="en-US" sz="1100" baseline="0">
              <a:solidFill>
                <a:schemeClr val="accent3">
                  <a:lumMod val="50000"/>
                </a:schemeClr>
              </a:solidFill>
            </a:rPr>
            <a:t>2. The farm scientist should always test the soil nutrients at the beginning of each week before planting is commerced and after the lettuce has been harvested for proper storage. Test can also be conducted as the start of a new planting season.</a:t>
          </a:r>
        </a:p>
        <a:p>
          <a:pPr algn="l"/>
          <a:r>
            <a:rPr lang="en-US" sz="1100" baseline="0">
              <a:solidFill>
                <a:schemeClr val="accent3">
                  <a:lumMod val="50000"/>
                </a:schemeClr>
              </a:solidFill>
            </a:rPr>
            <a:t>3. Investigations should be made on potential soils rodents or pest that might pose a risk of reducing the available soil nutrients and reduce the quality the quality and quantity of lettuce produced.</a:t>
          </a:r>
        </a:p>
        <a:p>
          <a:pPr algn="l"/>
          <a:r>
            <a:rPr lang="en-US" sz="1100" baseline="0">
              <a:solidFill>
                <a:schemeClr val="accent3">
                  <a:lumMod val="50000"/>
                </a:schemeClr>
              </a:solidFill>
            </a:rPr>
            <a:t>4. Also, proper investigations can be made on the effect of the four seasons of the year (spring, summer, autumn and winter) have on the nutrients available in the soil and the effects on each stages of growth. Inorder for proper measures to be implemented at each seasons of the year. </a:t>
          </a:r>
        </a:p>
        <a:p>
          <a:pPr algn="l"/>
          <a:r>
            <a:rPr lang="en-US" sz="1100" baseline="0">
              <a:solidFill>
                <a:schemeClr val="accent3">
                  <a:lumMod val="50000"/>
                </a:schemeClr>
              </a:solidFill>
            </a:rPr>
            <a:t> </a:t>
          </a:r>
        </a:p>
      </xdr:txBody>
    </xdr:sp>
    <xdr:clientData/>
  </xdr:twoCellAnchor>
  <xdr:twoCellAnchor>
    <xdr:from>
      <xdr:col>15</xdr:col>
      <xdr:colOff>390525</xdr:colOff>
      <xdr:row>1</xdr:row>
      <xdr:rowOff>85725</xdr:rowOff>
    </xdr:from>
    <xdr:to>
      <xdr:col>23</xdr:col>
      <xdr:colOff>66675</xdr:colOff>
      <xdr:row>22</xdr:row>
      <xdr:rowOff>57150</xdr:rowOff>
    </xdr:to>
    <xdr:sp macro="" textlink="">
      <xdr:nvSpPr>
        <xdr:cNvPr id="9" name="Rectangle: Rounded Corners 8">
          <a:extLst>
            <a:ext uri="{FF2B5EF4-FFF2-40B4-BE49-F238E27FC236}">
              <a16:creationId xmlns:a16="http://schemas.microsoft.com/office/drawing/2014/main" id="{2706CC7E-2533-0C86-31F4-E216D9E1343F}"/>
            </a:ext>
          </a:extLst>
        </xdr:cNvPr>
        <xdr:cNvSpPr/>
      </xdr:nvSpPr>
      <xdr:spPr>
        <a:xfrm>
          <a:off x="9534525" y="276225"/>
          <a:ext cx="4552950" cy="3971925"/>
        </a:xfrm>
        <a:prstGeom prst="roundRect">
          <a:avLst>
            <a:gd name="adj" fmla="val 12397"/>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ANALYSIS: </a:t>
          </a:r>
          <a:r>
            <a:rPr lang="en-US" sz="1100" baseline="0"/>
            <a:t>Trend Of Daily Average TDS Level</a:t>
          </a:r>
        </a:p>
        <a:p>
          <a:pPr algn="l"/>
          <a:endParaRPr lang="en-US" sz="1100" baseline="0"/>
        </a:p>
        <a:p>
          <a:pPr algn="l"/>
          <a:r>
            <a:rPr lang="en-US" sz="1100" b="1" baseline="0"/>
            <a:t>OBSERVATIONS:</a:t>
          </a:r>
        </a:p>
        <a:p>
          <a:pPr algn="l"/>
          <a:r>
            <a:rPr lang="en-US" sz="1100" baseline="0"/>
            <a:t>1. Tuesday has the highest average TDS level of 605.20ppm.</a:t>
          </a:r>
        </a:p>
        <a:p>
          <a:pPr algn="l"/>
          <a:r>
            <a:rPr lang="en-US" sz="1100" baseline="0"/>
            <a:t>2. Friday has the second highest average TDS level of 601.39ppm.</a:t>
          </a:r>
        </a:p>
        <a:p>
          <a:pPr algn="l"/>
          <a:r>
            <a:rPr lang="en-US" sz="1100" baseline="0"/>
            <a:t>3. Wednesday has the lowest average TDS level of 592.29ppm.</a:t>
          </a:r>
        </a:p>
        <a:p>
          <a:pPr algn="l"/>
          <a:endParaRPr lang="en-US" sz="1100" baseline="0"/>
        </a:p>
        <a:p>
          <a:pPr algn="l"/>
          <a:r>
            <a:rPr lang="en-US" sz="1100" b="1" baseline="0"/>
            <a:t>PRE-INSIGHTS:</a:t>
          </a:r>
        </a:p>
        <a:p>
          <a:pPr algn="l"/>
          <a:r>
            <a:rPr lang="en-US" sz="1100" baseline="0"/>
            <a:t>1. Since the recommended TDS (Total Dissolved Solids) level range is 560-840 ppm and the average TDS level across all weekday falls within 592.29 ppm- 605.20ppm, then a good indicator for lettuce growth is present.</a:t>
          </a:r>
        </a:p>
        <a:p>
          <a:pPr algn="l"/>
          <a:r>
            <a:rPr lang="en-US" sz="1100" baseline="0"/>
            <a:t>2. Seddling stages should be checked by the agriculatural chemist for the TDS level because they require lower TDS levels which then gradually increases as the plant matures.</a:t>
          </a:r>
        </a:p>
        <a:p>
          <a:pPr algn="l"/>
          <a:r>
            <a:rPr lang="en-US" sz="1100" baseline="0"/>
            <a:t>3. Also, the TDS level of the water quality should be checked for the seedling stage as it contributes to the overall TDS of the nutrients soultuion. </a:t>
          </a:r>
        </a:p>
        <a:p>
          <a:pPr algn="l"/>
          <a:r>
            <a:rPr lang="en-US" sz="1100" baseline="0"/>
            <a:t>4. We need to uncover factors regarding the high average TDS level present on Tuesday and the significant drop on Wednesday.</a:t>
          </a:r>
        </a:p>
      </xdr:txBody>
    </xdr:sp>
    <xdr:clientData/>
  </xdr:twoCellAnchor>
  <xdr:twoCellAnchor>
    <xdr:from>
      <xdr:col>15</xdr:col>
      <xdr:colOff>461963</xdr:colOff>
      <xdr:row>23</xdr:row>
      <xdr:rowOff>138113</xdr:rowOff>
    </xdr:from>
    <xdr:to>
      <xdr:col>23</xdr:col>
      <xdr:colOff>140494</xdr:colOff>
      <xdr:row>45</xdr:row>
      <xdr:rowOff>111125</xdr:rowOff>
    </xdr:to>
    <xdr:sp macro="" textlink="">
      <xdr:nvSpPr>
        <xdr:cNvPr id="10" name="Rectangle: Rounded Corners 9">
          <a:extLst>
            <a:ext uri="{FF2B5EF4-FFF2-40B4-BE49-F238E27FC236}">
              <a16:creationId xmlns:a16="http://schemas.microsoft.com/office/drawing/2014/main" id="{9C78559A-3C72-BB2E-09BB-3C2BE0A608B9}"/>
            </a:ext>
          </a:extLst>
        </xdr:cNvPr>
        <xdr:cNvSpPr/>
      </xdr:nvSpPr>
      <xdr:spPr>
        <a:xfrm>
          <a:off x="9629776" y="4519613"/>
          <a:ext cx="4568031" cy="4164012"/>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3">
                  <a:lumMod val="50000"/>
                </a:schemeClr>
              </a:solidFill>
            </a:rPr>
            <a:t>ANALYSIS:</a:t>
          </a:r>
          <a:r>
            <a:rPr lang="en-US" sz="1100" baseline="0">
              <a:solidFill>
                <a:schemeClr val="accent3">
                  <a:lumMod val="50000"/>
                </a:schemeClr>
              </a:solidFill>
            </a:rPr>
            <a:t> Total Lettuce Plants By Weekday</a:t>
          </a:r>
        </a:p>
        <a:p>
          <a:pPr algn="l"/>
          <a:endParaRPr lang="en-US" sz="1100" baseline="0">
            <a:solidFill>
              <a:schemeClr val="accent3">
                <a:lumMod val="50000"/>
              </a:schemeClr>
            </a:solidFill>
          </a:endParaRPr>
        </a:p>
        <a:p>
          <a:pPr algn="l"/>
          <a:r>
            <a:rPr lang="en-US" sz="1100" b="1" baseline="0">
              <a:solidFill>
                <a:schemeClr val="accent3">
                  <a:lumMod val="50000"/>
                </a:schemeClr>
              </a:solidFill>
            </a:rPr>
            <a:t>OBSERVATIONS:</a:t>
          </a:r>
        </a:p>
        <a:p>
          <a:pPr algn="l"/>
          <a:r>
            <a:rPr lang="en-US" sz="1100" baseline="0">
              <a:solidFill>
                <a:schemeClr val="accent3">
                  <a:lumMod val="50000"/>
                </a:schemeClr>
              </a:solidFill>
            </a:rPr>
            <a:t>1. Thursday, Friday and Saturday have equal number and the highest number of lettuce planted which is 490 for each day.</a:t>
          </a:r>
        </a:p>
        <a:p>
          <a:pPr algn="l"/>
          <a:r>
            <a:rPr lang="en-US" sz="1100" baseline="0">
              <a:solidFill>
                <a:schemeClr val="accent3">
                  <a:lumMod val="50000"/>
                </a:schemeClr>
              </a:solidFill>
            </a:rPr>
            <a:t>2. Sunday has a total number of 431 lettuce plants which is the second ranked.</a:t>
          </a:r>
        </a:p>
        <a:p>
          <a:pPr algn="l"/>
          <a:r>
            <a:rPr lang="en-US" sz="1100" baseline="0">
              <a:solidFill>
                <a:schemeClr val="accent3">
                  <a:lumMod val="50000"/>
                </a:schemeClr>
              </a:solidFill>
            </a:rPr>
            <a:t>3. Wednesday has the lowest number of lettuce planted which is 420.</a:t>
          </a:r>
        </a:p>
        <a:p>
          <a:pPr algn="l"/>
          <a:endParaRPr lang="en-US" sz="1100" baseline="0">
            <a:solidFill>
              <a:schemeClr val="accent3">
                <a:lumMod val="50000"/>
              </a:schemeClr>
            </a:solidFill>
          </a:endParaRPr>
        </a:p>
        <a:p>
          <a:pPr algn="l"/>
          <a:r>
            <a:rPr lang="en-US" sz="1100" b="1" baseline="0">
              <a:solidFill>
                <a:schemeClr val="accent3">
                  <a:lumMod val="50000"/>
                </a:schemeClr>
              </a:solidFill>
            </a:rPr>
            <a:t>PRE-INSIGHTS:</a:t>
          </a:r>
        </a:p>
        <a:p>
          <a:pPr algn="l"/>
          <a:r>
            <a:rPr lang="en-US" sz="1100" baseline="0">
              <a:solidFill>
                <a:schemeClr val="accent3">
                  <a:lumMod val="50000"/>
                </a:schemeClr>
              </a:solidFill>
            </a:rPr>
            <a:t>1. Investigations should be made regarding the low number of lettuce observed on Wednesday and if it's due to the low average pH level of 6.38pH and the low average TDS level of 592.29ppm.</a:t>
          </a:r>
        </a:p>
        <a:p>
          <a:pPr algn="l"/>
          <a:r>
            <a:rPr lang="en-US" sz="1100" baseline="0">
              <a:solidFill>
                <a:schemeClr val="accent3">
                  <a:lumMod val="50000"/>
                </a:schemeClr>
              </a:solidFill>
            </a:rPr>
            <a:t>2. Investigations should be made on the high and equal number of lettuce planted on Thurday, Friday and Saturday, if its due to the high average TDS Level and the high pH level.</a:t>
          </a:r>
        </a:p>
        <a:p>
          <a:pPr algn="l"/>
          <a:r>
            <a:rPr lang="en-US" sz="1100" baseline="0">
              <a:solidFill>
                <a:schemeClr val="accent3">
                  <a:lumMod val="50000"/>
                </a:schemeClr>
              </a:solidFill>
            </a:rPr>
            <a:t>3. The increase in number of lettuce plants could be as a result of the new week and the work done on Monday to Wednesday hence resulting in a large number of lettuce plants towards the end of the week.</a:t>
          </a:r>
        </a:p>
        <a:p>
          <a:pPr algn="l"/>
          <a:r>
            <a:rPr lang="en-US" sz="1100" baseline="0">
              <a:solidFill>
                <a:schemeClr val="accent3">
                  <a:lumMod val="50000"/>
                </a:schemeClr>
              </a:solidFill>
            </a:rPr>
            <a:t>4. There could be more nutrients available towards the end of the week than at the beginning of the week, hence the increase in lettuce plants.</a:t>
          </a:r>
        </a:p>
      </xdr:txBody>
    </xdr:sp>
    <xdr:clientData/>
  </xdr:twoCellAnchor>
  <xdr:twoCellAnchor>
    <xdr:from>
      <xdr:col>23</xdr:col>
      <xdr:colOff>161945</xdr:colOff>
      <xdr:row>1</xdr:row>
      <xdr:rowOff>100013</xdr:rowOff>
    </xdr:from>
    <xdr:to>
      <xdr:col>30</xdr:col>
      <xdr:colOff>451664</xdr:colOff>
      <xdr:row>22</xdr:row>
      <xdr:rowOff>38100</xdr:rowOff>
    </xdr:to>
    <xdr:sp macro="" textlink="">
      <xdr:nvSpPr>
        <xdr:cNvPr id="4" name="Rectangle: Rounded Corners 3">
          <a:extLst>
            <a:ext uri="{FF2B5EF4-FFF2-40B4-BE49-F238E27FC236}">
              <a16:creationId xmlns:a16="http://schemas.microsoft.com/office/drawing/2014/main" id="{52AEFFE0-55F6-FA90-FBB9-EA471C1B011C}"/>
            </a:ext>
          </a:extLst>
        </xdr:cNvPr>
        <xdr:cNvSpPr/>
      </xdr:nvSpPr>
      <xdr:spPr>
        <a:xfrm>
          <a:off x="14182745" y="290513"/>
          <a:ext cx="4556919" cy="3938587"/>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3">
                  <a:lumMod val="50000"/>
                </a:schemeClr>
              </a:solidFill>
            </a:rPr>
            <a:t>ANALYSIS: </a:t>
          </a:r>
          <a:r>
            <a:rPr lang="en-US" sz="1100" baseline="0">
              <a:solidFill>
                <a:schemeClr val="accent3">
                  <a:lumMod val="50000"/>
                </a:schemeClr>
              </a:solidFill>
            </a:rPr>
            <a:t>Trend Of Daily Average Temperature Level</a:t>
          </a:r>
        </a:p>
        <a:p>
          <a:pPr algn="l"/>
          <a:endParaRPr lang="en-US" sz="1100" baseline="0">
            <a:solidFill>
              <a:schemeClr val="accent3">
                <a:lumMod val="50000"/>
              </a:schemeClr>
            </a:solidFill>
          </a:endParaRPr>
        </a:p>
        <a:p>
          <a:pPr algn="l"/>
          <a:r>
            <a:rPr lang="en-US" sz="1100" b="1" baseline="0">
              <a:solidFill>
                <a:schemeClr val="accent3">
                  <a:lumMod val="50000"/>
                </a:schemeClr>
              </a:solidFill>
            </a:rPr>
            <a:t>OBSERVATIONS:</a:t>
          </a:r>
        </a:p>
        <a:p>
          <a:pPr algn="l"/>
          <a:r>
            <a:rPr lang="en-US" sz="1100" baseline="0">
              <a:solidFill>
                <a:schemeClr val="accent3">
                  <a:lumMod val="50000"/>
                </a:schemeClr>
              </a:solidFill>
            </a:rPr>
            <a:t>1. Friday has the top rank with an average temperature level of 28.67C.</a:t>
          </a:r>
        </a:p>
        <a:p>
          <a:pPr algn="l"/>
          <a:r>
            <a:rPr lang="en-US" sz="1100" baseline="0">
              <a:solidFill>
                <a:schemeClr val="accent3">
                  <a:lumMod val="50000"/>
                </a:schemeClr>
              </a:solidFill>
            </a:rPr>
            <a:t>2. Sunday has the second rank with an average temperature level of 28.57C.</a:t>
          </a:r>
        </a:p>
        <a:p>
          <a:pPr algn="l"/>
          <a:r>
            <a:rPr lang="en-US" sz="1100" baseline="0">
              <a:solidFill>
                <a:schemeClr val="accent3">
                  <a:lumMod val="50000"/>
                </a:schemeClr>
              </a:solidFill>
            </a:rPr>
            <a:t>3. Thursday has the lowest rank with an average temperature level of 27.32C.</a:t>
          </a:r>
        </a:p>
        <a:p>
          <a:pPr algn="l"/>
          <a:endParaRPr lang="en-US" sz="1100" baseline="0">
            <a:solidFill>
              <a:schemeClr val="accent3">
                <a:lumMod val="50000"/>
              </a:schemeClr>
            </a:solidFill>
          </a:endParaRPr>
        </a:p>
        <a:p>
          <a:pPr algn="l"/>
          <a:r>
            <a:rPr lang="en-US" sz="1100" b="1" baseline="0">
              <a:solidFill>
                <a:schemeClr val="accent3">
                  <a:lumMod val="50000"/>
                </a:schemeClr>
              </a:solidFill>
            </a:rPr>
            <a:t>PRE-INSIGHTS:</a:t>
          </a:r>
        </a:p>
        <a:p>
          <a:pPr algn="l"/>
          <a:r>
            <a:rPr lang="en-US" sz="1100" baseline="0">
              <a:solidFill>
                <a:schemeClr val="accent3">
                  <a:lumMod val="50000"/>
                </a:schemeClr>
              </a:solidFill>
            </a:rPr>
            <a:t>1. Investigations should be made on the high temperature level of lettuce planted on Friday and if its due to the high average TDS Level and the high pH level.</a:t>
          </a:r>
        </a:p>
        <a:p>
          <a:pPr algn="l"/>
          <a:r>
            <a:rPr lang="en-US" sz="1100" baseline="0">
              <a:solidFill>
                <a:schemeClr val="accent3">
                  <a:lumMod val="50000"/>
                </a:schemeClr>
              </a:solidFill>
            </a:rPr>
            <a:t>2. Agriculatural chemist should consider checking if the four seasons offer different levels of temperature for lettuce planting beacuse cool temperature increases the sugar and antioxidant content. as well as the concentration of potassium in the leaves. resulting in better flavor and quality. This could lead to proper measures implemented to ensure better temperature levels for each of the days.</a:t>
          </a:r>
        </a:p>
        <a:p>
          <a:pPr algn="l"/>
          <a:endParaRPr lang="en-US" sz="1100" baseline="0">
            <a:solidFill>
              <a:schemeClr val="accent3">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81643</xdr:colOff>
      <xdr:row>1</xdr:row>
      <xdr:rowOff>48983</xdr:rowOff>
    </xdr:from>
    <xdr:to>
      <xdr:col>25</xdr:col>
      <xdr:colOff>28892</xdr:colOff>
      <xdr:row>4</xdr:row>
      <xdr:rowOff>57451</xdr:rowOff>
    </xdr:to>
    <xdr:sp macro="" textlink="">
      <xdr:nvSpPr>
        <xdr:cNvPr id="2" name="Rectangle 1">
          <a:extLst>
            <a:ext uri="{FF2B5EF4-FFF2-40B4-BE49-F238E27FC236}">
              <a16:creationId xmlns:a16="http://schemas.microsoft.com/office/drawing/2014/main" id="{0B0E856C-D054-9A61-E83E-A8F024155EC6}"/>
            </a:ext>
          </a:extLst>
        </xdr:cNvPr>
        <xdr:cNvSpPr/>
      </xdr:nvSpPr>
      <xdr:spPr>
        <a:xfrm>
          <a:off x="81643" y="239483"/>
          <a:ext cx="15255285" cy="579968"/>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700" b="1">
              <a:latin typeface="Georgia" panose="02040502050405020303" pitchFamily="18" charset="0"/>
            </a:rPr>
            <a:t>LETTUCE</a:t>
          </a:r>
          <a:r>
            <a:rPr lang="en-US" sz="2700" b="1" baseline="0">
              <a:latin typeface="Georgia" panose="02040502050405020303" pitchFamily="18" charset="0"/>
            </a:rPr>
            <a:t> REPORT FOR AUGUST AND SEPTEMBER 2023</a:t>
          </a:r>
          <a:endParaRPr lang="en-NG" sz="2700" b="1">
            <a:latin typeface="Georgia" panose="02040502050405020303" pitchFamily="18" charset="0"/>
          </a:endParaRPr>
        </a:p>
      </xdr:txBody>
    </xdr:sp>
    <xdr:clientData/>
  </xdr:twoCellAnchor>
  <xdr:twoCellAnchor>
    <xdr:from>
      <xdr:col>9</xdr:col>
      <xdr:colOff>600595</xdr:colOff>
      <xdr:row>13</xdr:row>
      <xdr:rowOff>187096</xdr:rowOff>
    </xdr:from>
    <xdr:to>
      <xdr:col>15</xdr:col>
      <xdr:colOff>68032</xdr:colOff>
      <xdr:row>24</xdr:row>
      <xdr:rowOff>68037</xdr:rowOff>
    </xdr:to>
    <xdr:graphicFrame macro="">
      <xdr:nvGraphicFramePr>
        <xdr:cNvPr id="3" name="Chart 2">
          <a:extLst>
            <a:ext uri="{FF2B5EF4-FFF2-40B4-BE49-F238E27FC236}">
              <a16:creationId xmlns:a16="http://schemas.microsoft.com/office/drawing/2014/main" id="{17A7AAA7-C244-43AC-B1E2-9B0161C8C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81645</xdr:colOff>
      <xdr:row>13</xdr:row>
      <xdr:rowOff>187095</xdr:rowOff>
    </xdr:from>
    <xdr:to>
      <xdr:col>9</xdr:col>
      <xdr:colOff>530677</xdr:colOff>
      <xdr:row>24</xdr:row>
      <xdr:rowOff>68032</xdr:rowOff>
    </xdr:to>
    <xdr:graphicFrame macro="">
      <xdr:nvGraphicFramePr>
        <xdr:cNvPr id="6" name="Chart 5">
          <a:extLst>
            <a:ext uri="{FF2B5EF4-FFF2-40B4-BE49-F238E27FC236}">
              <a16:creationId xmlns:a16="http://schemas.microsoft.com/office/drawing/2014/main" id="{5ADBE384-11A2-431F-A196-B147522B1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81643</xdr:colOff>
      <xdr:row>4</xdr:row>
      <xdr:rowOff>100353</xdr:rowOff>
    </xdr:from>
    <xdr:to>
      <xdr:col>25</xdr:col>
      <xdr:colOff>28891</xdr:colOff>
      <xdr:row>13</xdr:row>
      <xdr:rowOff>112257</xdr:rowOff>
    </xdr:to>
    <xdr:graphicFrame macro="">
      <xdr:nvGraphicFramePr>
        <xdr:cNvPr id="7" name="Chart 6">
          <a:extLst>
            <a:ext uri="{FF2B5EF4-FFF2-40B4-BE49-F238E27FC236}">
              <a16:creationId xmlns:a16="http://schemas.microsoft.com/office/drawing/2014/main" id="{029018B6-0A66-4D9A-A128-88BD49C0A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81645</xdr:colOff>
      <xdr:row>24</xdr:row>
      <xdr:rowOff>131536</xdr:rowOff>
    </xdr:from>
    <xdr:to>
      <xdr:col>12</xdr:col>
      <xdr:colOff>319747</xdr:colOff>
      <xdr:row>34</xdr:row>
      <xdr:rowOff>95250</xdr:rowOff>
    </xdr:to>
    <xdr:graphicFrame macro="">
      <xdr:nvGraphicFramePr>
        <xdr:cNvPr id="8" name="Chart 7">
          <a:extLst>
            <a:ext uri="{FF2B5EF4-FFF2-40B4-BE49-F238E27FC236}">
              <a16:creationId xmlns:a16="http://schemas.microsoft.com/office/drawing/2014/main" id="{ED9805AC-58F9-44D5-8671-5A1757CA3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149673</xdr:colOff>
      <xdr:row>14</xdr:row>
      <xdr:rowOff>8503</xdr:rowOff>
    </xdr:from>
    <xdr:to>
      <xdr:col>25</xdr:col>
      <xdr:colOff>28893</xdr:colOff>
      <xdr:row>24</xdr:row>
      <xdr:rowOff>79939</xdr:rowOff>
    </xdr:to>
    <xdr:graphicFrame macro="">
      <xdr:nvGraphicFramePr>
        <xdr:cNvPr id="9" name="Chart 8">
          <a:extLst>
            <a:ext uri="{FF2B5EF4-FFF2-40B4-BE49-F238E27FC236}">
              <a16:creationId xmlns:a16="http://schemas.microsoft.com/office/drawing/2014/main" id="{B59323E4-94D4-4A43-870E-B2348CB84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88423</xdr:colOff>
      <xdr:row>1</xdr:row>
      <xdr:rowOff>68034</xdr:rowOff>
    </xdr:from>
    <xdr:to>
      <xdr:col>29</xdr:col>
      <xdr:colOff>100331</xdr:colOff>
      <xdr:row>34</xdr:row>
      <xdr:rowOff>95250</xdr:rowOff>
    </xdr:to>
    <xdr:sp macro="" textlink="">
      <xdr:nvSpPr>
        <xdr:cNvPr id="14" name="Rectangle 13">
          <a:extLst>
            <a:ext uri="{FF2B5EF4-FFF2-40B4-BE49-F238E27FC236}">
              <a16:creationId xmlns:a16="http://schemas.microsoft.com/office/drawing/2014/main" id="{0D25319A-DAE8-0250-0AFA-3C80A2ECAD38}"/>
            </a:ext>
          </a:extLst>
        </xdr:cNvPr>
        <xdr:cNvSpPr/>
      </xdr:nvSpPr>
      <xdr:spPr>
        <a:xfrm>
          <a:off x="15396459" y="258534"/>
          <a:ext cx="2461193" cy="6313716"/>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25</xdr:col>
      <xdr:colOff>124142</xdr:colOff>
      <xdr:row>1</xdr:row>
      <xdr:rowOff>177571</xdr:rowOff>
    </xdr:from>
    <xdr:to>
      <xdr:col>29</xdr:col>
      <xdr:colOff>64611</xdr:colOff>
      <xdr:row>4</xdr:row>
      <xdr:rowOff>115658</xdr:rowOff>
    </xdr:to>
    <mc:AlternateContent xmlns:mc="http://schemas.openxmlformats.org/markup-compatibility/2006" xmlns:a14="http://schemas.microsoft.com/office/drawing/2010/main">
      <mc:Choice Requires="a14">
        <xdr:graphicFrame macro="">
          <xdr:nvGraphicFramePr>
            <xdr:cNvPr id="16" name="Nutrient Adequacy">
              <a:extLst>
                <a:ext uri="{FF2B5EF4-FFF2-40B4-BE49-F238E27FC236}">
                  <a16:creationId xmlns:a16="http://schemas.microsoft.com/office/drawing/2014/main" id="{0878A06D-AD5A-61BE-983D-7884156339BD}"/>
                </a:ext>
              </a:extLst>
            </xdr:cNvPr>
            <xdr:cNvGraphicFramePr/>
          </xdr:nvGraphicFramePr>
          <xdr:xfrm>
            <a:off x="0" y="0"/>
            <a:ext cx="0" cy="0"/>
          </xdr:xfrm>
          <a:graphic>
            <a:graphicData uri="http://schemas.microsoft.com/office/drawing/2010/slicer">
              <sle:slicer xmlns:sle="http://schemas.microsoft.com/office/drawing/2010/slicer" name="Nutrient Adequacy"/>
            </a:graphicData>
          </a:graphic>
        </xdr:graphicFrame>
      </mc:Choice>
      <mc:Fallback xmlns="">
        <xdr:sp macro="" textlink="">
          <xdr:nvSpPr>
            <xdr:cNvPr id="0" name=""/>
            <xdr:cNvSpPr>
              <a:spLocks noTextEdit="1"/>
            </xdr:cNvSpPr>
          </xdr:nvSpPr>
          <xdr:spPr>
            <a:xfrm>
              <a:off x="15432178" y="368071"/>
              <a:ext cx="2389754" cy="5095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236061</xdr:colOff>
      <xdr:row>12</xdr:row>
      <xdr:rowOff>10882</xdr:rowOff>
    </xdr:from>
    <xdr:to>
      <xdr:col>29</xdr:col>
      <xdr:colOff>55087</xdr:colOff>
      <xdr:row>33</xdr:row>
      <xdr:rowOff>68033</xdr:rowOff>
    </xdr:to>
    <mc:AlternateContent xmlns:mc="http://schemas.openxmlformats.org/markup-compatibility/2006" xmlns:a14="http://schemas.microsoft.com/office/drawing/2010/main">
      <mc:Choice Requires="a14">
        <xdr:graphicFrame macro="">
          <xdr:nvGraphicFramePr>
            <xdr:cNvPr id="17" name="Growth Days">
              <a:extLst>
                <a:ext uri="{FF2B5EF4-FFF2-40B4-BE49-F238E27FC236}">
                  <a16:creationId xmlns:a16="http://schemas.microsoft.com/office/drawing/2014/main" id="{4785B518-8F2D-33E9-687E-9065A38A324C}"/>
                </a:ext>
              </a:extLst>
            </xdr:cNvPr>
            <xdr:cNvGraphicFramePr/>
          </xdr:nvGraphicFramePr>
          <xdr:xfrm>
            <a:off x="0" y="0"/>
            <a:ext cx="0" cy="0"/>
          </xdr:xfrm>
          <a:graphic>
            <a:graphicData uri="http://schemas.microsoft.com/office/drawing/2010/slicer">
              <sle:slicer xmlns:sle="http://schemas.microsoft.com/office/drawing/2010/slicer" name="Growth Days"/>
            </a:graphicData>
          </a:graphic>
        </xdr:graphicFrame>
      </mc:Choice>
      <mc:Fallback xmlns="">
        <xdr:sp macro="" textlink="">
          <xdr:nvSpPr>
            <xdr:cNvPr id="0" name=""/>
            <xdr:cNvSpPr>
              <a:spLocks noTextEdit="1"/>
            </xdr:cNvSpPr>
          </xdr:nvSpPr>
          <xdr:spPr>
            <a:xfrm>
              <a:off x="16768740" y="2296882"/>
              <a:ext cx="1043668" cy="40576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247966</xdr:colOff>
      <xdr:row>5</xdr:row>
      <xdr:rowOff>34698</xdr:rowOff>
    </xdr:from>
    <xdr:to>
      <xdr:col>29</xdr:col>
      <xdr:colOff>69374</xdr:colOff>
      <xdr:row>11</xdr:row>
      <xdr:rowOff>127566</xdr:rowOff>
    </xdr:to>
    <mc:AlternateContent xmlns:mc="http://schemas.openxmlformats.org/markup-compatibility/2006" xmlns:a14="http://schemas.microsoft.com/office/drawing/2010/main">
      <mc:Choice Requires="a14">
        <xdr:graphicFrame macro="">
          <xdr:nvGraphicFramePr>
            <xdr:cNvPr id="20" name="Growth Stage">
              <a:extLst>
                <a:ext uri="{FF2B5EF4-FFF2-40B4-BE49-F238E27FC236}">
                  <a16:creationId xmlns:a16="http://schemas.microsoft.com/office/drawing/2014/main" id="{9E8C4BDB-A9FB-B75C-C60C-D0756F799676}"/>
                </a:ext>
              </a:extLst>
            </xdr:cNvPr>
            <xdr:cNvGraphicFramePr/>
          </xdr:nvGraphicFramePr>
          <xdr:xfrm>
            <a:off x="0" y="0"/>
            <a:ext cx="0" cy="0"/>
          </xdr:xfrm>
          <a:graphic>
            <a:graphicData uri="http://schemas.microsoft.com/office/drawing/2010/slicer">
              <sle:slicer xmlns:sle="http://schemas.microsoft.com/office/drawing/2010/slicer" name="Growth Stage"/>
            </a:graphicData>
          </a:graphic>
        </xdr:graphicFrame>
      </mc:Choice>
      <mc:Fallback xmlns="">
        <xdr:sp macro="" textlink="">
          <xdr:nvSpPr>
            <xdr:cNvPr id="0" name=""/>
            <xdr:cNvSpPr>
              <a:spLocks noTextEdit="1"/>
            </xdr:cNvSpPr>
          </xdr:nvSpPr>
          <xdr:spPr>
            <a:xfrm>
              <a:off x="16780645" y="987198"/>
              <a:ext cx="1046050" cy="123586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181293</xdr:colOff>
      <xdr:row>9</xdr:row>
      <xdr:rowOff>179950</xdr:rowOff>
    </xdr:from>
    <xdr:to>
      <xdr:col>27</xdr:col>
      <xdr:colOff>154856</xdr:colOff>
      <xdr:row>14</xdr:row>
      <xdr:rowOff>55450</xdr:rowOff>
    </xdr:to>
    <xdr:sp macro="" textlink="">
      <xdr:nvSpPr>
        <xdr:cNvPr id="21" name="Rectangle 20">
          <a:extLst>
            <a:ext uri="{FF2B5EF4-FFF2-40B4-BE49-F238E27FC236}">
              <a16:creationId xmlns:a16="http://schemas.microsoft.com/office/drawing/2014/main" id="{55DCDF37-058C-BED6-0C05-DA0576876F2F}"/>
            </a:ext>
          </a:extLst>
        </xdr:cNvPr>
        <xdr:cNvSpPr/>
      </xdr:nvSpPr>
      <xdr:spPr>
        <a:xfrm>
          <a:off x="15489329" y="1894450"/>
          <a:ext cx="1198206" cy="828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181292</xdr:colOff>
      <xdr:row>14</xdr:row>
      <xdr:rowOff>132330</xdr:rowOff>
    </xdr:from>
    <xdr:to>
      <xdr:col>27</xdr:col>
      <xdr:colOff>154855</xdr:colOff>
      <xdr:row>19</xdr:row>
      <xdr:rowOff>7830</xdr:rowOff>
    </xdr:to>
    <xdr:sp macro="" textlink="">
      <xdr:nvSpPr>
        <xdr:cNvPr id="22" name="Rectangle 21">
          <a:extLst>
            <a:ext uri="{FF2B5EF4-FFF2-40B4-BE49-F238E27FC236}">
              <a16:creationId xmlns:a16="http://schemas.microsoft.com/office/drawing/2014/main" id="{FFD0D2E3-B4CE-932A-3E48-AD32813ADDBB}"/>
            </a:ext>
          </a:extLst>
        </xdr:cNvPr>
        <xdr:cNvSpPr/>
      </xdr:nvSpPr>
      <xdr:spPr>
        <a:xfrm>
          <a:off x="15489328" y="2799330"/>
          <a:ext cx="1198206" cy="828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178911</xdr:colOff>
      <xdr:row>19</xdr:row>
      <xdr:rowOff>84696</xdr:rowOff>
    </xdr:from>
    <xdr:to>
      <xdr:col>27</xdr:col>
      <xdr:colOff>152474</xdr:colOff>
      <xdr:row>23</xdr:row>
      <xdr:rowOff>150696</xdr:rowOff>
    </xdr:to>
    <xdr:sp macro="" textlink="">
      <xdr:nvSpPr>
        <xdr:cNvPr id="23" name="Rectangle 22">
          <a:extLst>
            <a:ext uri="{FF2B5EF4-FFF2-40B4-BE49-F238E27FC236}">
              <a16:creationId xmlns:a16="http://schemas.microsoft.com/office/drawing/2014/main" id="{9F46FE30-F64C-8F13-F78B-EB13B0B1F285}"/>
            </a:ext>
          </a:extLst>
        </xdr:cNvPr>
        <xdr:cNvSpPr/>
      </xdr:nvSpPr>
      <xdr:spPr>
        <a:xfrm>
          <a:off x="15486947" y="3704196"/>
          <a:ext cx="1198206" cy="828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186055</xdr:colOff>
      <xdr:row>28</xdr:row>
      <xdr:rowOff>172809</xdr:rowOff>
    </xdr:from>
    <xdr:to>
      <xdr:col>27</xdr:col>
      <xdr:colOff>159618</xdr:colOff>
      <xdr:row>33</xdr:row>
      <xdr:rowOff>48309</xdr:rowOff>
    </xdr:to>
    <xdr:sp macro="" textlink="">
      <xdr:nvSpPr>
        <xdr:cNvPr id="24" name="Rectangle 23">
          <a:extLst>
            <a:ext uri="{FF2B5EF4-FFF2-40B4-BE49-F238E27FC236}">
              <a16:creationId xmlns:a16="http://schemas.microsoft.com/office/drawing/2014/main" id="{D6591417-EC16-7C86-E365-C453A08EC372}"/>
            </a:ext>
          </a:extLst>
        </xdr:cNvPr>
        <xdr:cNvSpPr/>
      </xdr:nvSpPr>
      <xdr:spPr>
        <a:xfrm>
          <a:off x="15494091" y="5506809"/>
          <a:ext cx="1198206" cy="828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381001</xdr:colOff>
      <xdr:row>24</xdr:row>
      <xdr:rowOff>142873</xdr:rowOff>
    </xdr:from>
    <xdr:to>
      <xdr:col>25</xdr:col>
      <xdr:colOff>28892</xdr:colOff>
      <xdr:row>34</xdr:row>
      <xdr:rowOff>95248</xdr:rowOff>
    </xdr:to>
    <xdr:graphicFrame macro="">
      <xdr:nvGraphicFramePr>
        <xdr:cNvPr id="11" name="Chart 10">
          <a:extLst>
            <a:ext uri="{FF2B5EF4-FFF2-40B4-BE49-F238E27FC236}">
              <a16:creationId xmlns:a16="http://schemas.microsoft.com/office/drawing/2014/main" id="{EE1D9F9F-97D2-415B-A94A-BDEF26E2F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81643</xdr:colOff>
      <xdr:row>4</xdr:row>
      <xdr:rowOff>115659</xdr:rowOff>
    </xdr:from>
    <xdr:to>
      <xdr:col>12</xdr:col>
      <xdr:colOff>24170</xdr:colOff>
      <xdr:row>13</xdr:row>
      <xdr:rowOff>131534</xdr:rowOff>
    </xdr:to>
    <xdr:graphicFrame macro="">
      <xdr:nvGraphicFramePr>
        <xdr:cNvPr id="12" name="Chart 11">
          <a:extLst>
            <a:ext uri="{FF2B5EF4-FFF2-40B4-BE49-F238E27FC236}">
              <a16:creationId xmlns:a16="http://schemas.microsoft.com/office/drawing/2014/main" id="{E1F39805-0E75-46C0-9E1D-31638D8FE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435428</xdr:colOff>
      <xdr:row>1</xdr:row>
      <xdr:rowOff>56127</xdr:rowOff>
    </xdr:from>
    <xdr:to>
      <xdr:col>7</xdr:col>
      <xdr:colOff>593589</xdr:colOff>
      <xdr:row>4</xdr:row>
      <xdr:rowOff>44222</xdr:rowOff>
    </xdr:to>
    <xdr:pic>
      <xdr:nvPicPr>
        <xdr:cNvPr id="18" name="Picture 17">
          <a:extLst>
            <a:ext uri="{FF2B5EF4-FFF2-40B4-BE49-F238E27FC236}">
              <a16:creationId xmlns:a16="http://schemas.microsoft.com/office/drawing/2014/main" id="{470291AC-3ACA-5FA2-BA76-B5D1ED7D367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sharpenSoften amount="50000"/>
                  </a14:imgEffect>
                </a14:imgLayer>
              </a14:imgProps>
            </a:ext>
            <a:ext uri="{28A0092B-C50C-407E-A947-70E740481C1C}">
              <a14:useLocalDpi xmlns:a14="http://schemas.microsoft.com/office/drawing/2010/main" val="0"/>
            </a:ext>
          </a:extLst>
        </a:blip>
        <a:stretch>
          <a:fillRect/>
        </a:stretch>
      </xdr:blipFill>
      <xdr:spPr>
        <a:xfrm>
          <a:off x="1660071" y="246627"/>
          <a:ext cx="3219768" cy="559595"/>
        </a:xfrm>
        <a:prstGeom prst="rect">
          <a:avLst/>
        </a:prstGeom>
        <a:ln>
          <a:noFill/>
        </a:ln>
      </xdr:spPr>
    </xdr:pic>
    <xdr:clientData/>
  </xdr:twoCellAnchor>
  <xdr:twoCellAnchor>
    <xdr:from>
      <xdr:col>0</xdr:col>
      <xdr:colOff>452417</xdr:colOff>
      <xdr:row>4</xdr:row>
      <xdr:rowOff>139472</xdr:rowOff>
    </xdr:from>
    <xdr:to>
      <xdr:col>11</xdr:col>
      <xdr:colOff>256814</xdr:colOff>
      <xdr:row>6</xdr:row>
      <xdr:rowOff>56128</xdr:rowOff>
    </xdr:to>
    <xdr:sp macro="" textlink="">
      <xdr:nvSpPr>
        <xdr:cNvPr id="19" name="TextBox 18">
          <a:extLst>
            <a:ext uri="{FF2B5EF4-FFF2-40B4-BE49-F238E27FC236}">
              <a16:creationId xmlns:a16="http://schemas.microsoft.com/office/drawing/2014/main" id="{92CB4AD9-52FC-68BA-3C3C-B33B3AFF486B}"/>
            </a:ext>
          </a:extLst>
        </xdr:cNvPr>
        <xdr:cNvSpPr txBox="1"/>
      </xdr:nvSpPr>
      <xdr:spPr>
        <a:xfrm>
          <a:off x="452417" y="901472"/>
          <a:ext cx="6539933"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3">
                  <a:lumMod val="50000"/>
                </a:schemeClr>
              </a:solidFill>
              <a:latin typeface="Georgia" panose="02040502050405020303" pitchFamily="18" charset="0"/>
            </a:rPr>
            <a:t>Trend of Daily Average pH</a:t>
          </a:r>
          <a:r>
            <a:rPr lang="en-US" sz="1600" b="0" baseline="0">
              <a:solidFill>
                <a:schemeClr val="accent3">
                  <a:lumMod val="50000"/>
                </a:schemeClr>
              </a:solidFill>
              <a:latin typeface="Georgia" panose="02040502050405020303" pitchFamily="18" charset="0"/>
            </a:rPr>
            <a:t> Level</a:t>
          </a:r>
          <a:endParaRPr lang="en-NG" sz="1600" b="0">
            <a:solidFill>
              <a:schemeClr val="accent3">
                <a:lumMod val="50000"/>
              </a:schemeClr>
            </a:solidFill>
            <a:latin typeface="Georgia" panose="02040502050405020303" pitchFamily="18" charset="0"/>
          </a:endParaRPr>
        </a:p>
      </xdr:txBody>
    </xdr:sp>
    <xdr:clientData/>
  </xdr:twoCellAnchor>
  <xdr:twoCellAnchor>
    <xdr:from>
      <xdr:col>0</xdr:col>
      <xdr:colOff>562979</xdr:colOff>
      <xdr:row>13</xdr:row>
      <xdr:rowOff>184715</xdr:rowOff>
    </xdr:from>
    <xdr:to>
      <xdr:col>9</xdr:col>
      <xdr:colOff>331657</xdr:colOff>
      <xdr:row>15</xdr:row>
      <xdr:rowOff>101371</xdr:rowOff>
    </xdr:to>
    <xdr:sp macro="" textlink="">
      <xdr:nvSpPr>
        <xdr:cNvPr id="25" name="TextBox 24">
          <a:extLst>
            <a:ext uri="{FF2B5EF4-FFF2-40B4-BE49-F238E27FC236}">
              <a16:creationId xmlns:a16="http://schemas.microsoft.com/office/drawing/2014/main" id="{ADBB72AF-10EF-84BE-7561-AD83D53A6EF4}"/>
            </a:ext>
          </a:extLst>
        </xdr:cNvPr>
        <xdr:cNvSpPr txBox="1"/>
      </xdr:nvSpPr>
      <xdr:spPr>
        <a:xfrm>
          <a:off x="562979" y="2661215"/>
          <a:ext cx="5279571"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3">
                  <a:lumMod val="50000"/>
                </a:schemeClr>
              </a:solidFill>
              <a:latin typeface="Georgia" panose="02040502050405020303" pitchFamily="18" charset="0"/>
            </a:rPr>
            <a:t>Trend of Daily Average Humidity</a:t>
          </a:r>
          <a:r>
            <a:rPr lang="en-US" sz="1600" b="0" baseline="0">
              <a:solidFill>
                <a:schemeClr val="accent3">
                  <a:lumMod val="50000"/>
                </a:schemeClr>
              </a:solidFill>
              <a:latin typeface="Georgia" panose="02040502050405020303" pitchFamily="18" charset="0"/>
            </a:rPr>
            <a:t> Level</a:t>
          </a:r>
          <a:endParaRPr lang="en-NG" sz="1600" b="0">
            <a:solidFill>
              <a:schemeClr val="accent3">
                <a:lumMod val="50000"/>
              </a:schemeClr>
            </a:solidFill>
            <a:latin typeface="Georgia" panose="02040502050405020303" pitchFamily="18" charset="0"/>
          </a:endParaRPr>
        </a:p>
      </xdr:txBody>
    </xdr:sp>
    <xdr:clientData/>
  </xdr:twoCellAnchor>
  <xdr:twoCellAnchor>
    <xdr:from>
      <xdr:col>12</xdr:col>
      <xdr:colOff>95251</xdr:colOff>
      <xdr:row>4</xdr:row>
      <xdr:rowOff>97971</xdr:rowOff>
    </xdr:from>
    <xdr:to>
      <xdr:col>24</xdr:col>
      <xdr:colOff>591208</xdr:colOff>
      <xdr:row>6</xdr:row>
      <xdr:rowOff>40821</xdr:rowOff>
    </xdr:to>
    <xdr:sp macro="" textlink="">
      <xdr:nvSpPr>
        <xdr:cNvPr id="26" name="TextBox 25">
          <a:extLst>
            <a:ext uri="{FF2B5EF4-FFF2-40B4-BE49-F238E27FC236}">
              <a16:creationId xmlns:a16="http://schemas.microsoft.com/office/drawing/2014/main" id="{E3258A15-778F-5E43-B2F7-55BEAE04861A}"/>
            </a:ext>
          </a:extLst>
        </xdr:cNvPr>
        <xdr:cNvSpPr txBox="1"/>
      </xdr:nvSpPr>
      <xdr:spPr>
        <a:xfrm>
          <a:off x="7443108" y="859971"/>
          <a:ext cx="784381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3">
                  <a:lumMod val="50000"/>
                </a:schemeClr>
              </a:solidFill>
              <a:latin typeface="Georgia" panose="02040502050405020303" pitchFamily="18" charset="0"/>
            </a:rPr>
            <a:t>Total</a:t>
          </a:r>
          <a:r>
            <a:rPr lang="en-US" sz="1600" b="0" baseline="0">
              <a:solidFill>
                <a:schemeClr val="accent3">
                  <a:lumMod val="50000"/>
                </a:schemeClr>
              </a:solidFill>
              <a:latin typeface="Georgia" panose="02040502050405020303" pitchFamily="18" charset="0"/>
            </a:rPr>
            <a:t> Number Of Lettuce Plant By Growth Stage</a:t>
          </a:r>
          <a:endParaRPr lang="en-NG" sz="1600" b="0">
            <a:solidFill>
              <a:schemeClr val="accent3">
                <a:lumMod val="50000"/>
              </a:schemeClr>
            </a:solidFill>
            <a:latin typeface="Georgia" panose="02040502050405020303" pitchFamily="18" charset="0"/>
          </a:endParaRPr>
        </a:p>
      </xdr:txBody>
    </xdr:sp>
    <xdr:clientData/>
  </xdr:twoCellAnchor>
  <xdr:twoCellAnchor>
    <xdr:from>
      <xdr:col>12</xdr:col>
      <xdr:colOff>421823</xdr:colOff>
      <xdr:row>24</xdr:row>
      <xdr:rowOff>148316</xdr:rowOff>
    </xdr:from>
    <xdr:to>
      <xdr:col>24</xdr:col>
      <xdr:colOff>593590</xdr:colOff>
      <xdr:row>26</xdr:row>
      <xdr:rowOff>68035</xdr:rowOff>
    </xdr:to>
    <xdr:sp macro="" textlink="">
      <xdr:nvSpPr>
        <xdr:cNvPr id="28" name="TextBox 27">
          <a:extLst>
            <a:ext uri="{FF2B5EF4-FFF2-40B4-BE49-F238E27FC236}">
              <a16:creationId xmlns:a16="http://schemas.microsoft.com/office/drawing/2014/main" id="{0EF327CF-23BD-83B2-F44F-096B9A17ECC8}"/>
            </a:ext>
          </a:extLst>
        </xdr:cNvPr>
        <xdr:cNvSpPr txBox="1"/>
      </xdr:nvSpPr>
      <xdr:spPr>
        <a:xfrm>
          <a:off x="7769680" y="4720316"/>
          <a:ext cx="7519624" cy="300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3">
                  <a:lumMod val="50000"/>
                </a:schemeClr>
              </a:solidFill>
              <a:latin typeface="Georgia" panose="02040502050405020303" pitchFamily="18" charset="0"/>
            </a:rPr>
            <a:t>Trend</a:t>
          </a:r>
          <a:r>
            <a:rPr lang="en-US" sz="1600" b="0" baseline="0">
              <a:solidFill>
                <a:schemeClr val="accent3">
                  <a:lumMod val="50000"/>
                </a:schemeClr>
              </a:solidFill>
              <a:latin typeface="Georgia" panose="02040502050405020303" pitchFamily="18" charset="0"/>
            </a:rPr>
            <a:t> Of Daily Average Temperature Level</a:t>
          </a:r>
          <a:endParaRPr lang="en-NG" sz="1600" b="0">
            <a:solidFill>
              <a:schemeClr val="accent3">
                <a:lumMod val="50000"/>
              </a:schemeClr>
            </a:solidFill>
            <a:latin typeface="Georgia" panose="02040502050405020303" pitchFamily="18" charset="0"/>
          </a:endParaRPr>
        </a:p>
      </xdr:txBody>
    </xdr:sp>
    <xdr:clientData/>
  </xdr:twoCellAnchor>
  <xdr:twoCellAnchor>
    <xdr:from>
      <xdr:col>0</xdr:col>
      <xdr:colOff>380980</xdr:colOff>
      <xdr:row>24</xdr:row>
      <xdr:rowOff>144235</xdr:rowOff>
    </xdr:from>
    <xdr:to>
      <xdr:col>10</xdr:col>
      <xdr:colOff>428605</xdr:colOff>
      <xdr:row>26</xdr:row>
      <xdr:rowOff>60891</xdr:rowOff>
    </xdr:to>
    <xdr:sp macro="" textlink="">
      <xdr:nvSpPr>
        <xdr:cNvPr id="30" name="TextBox 29">
          <a:extLst>
            <a:ext uri="{FF2B5EF4-FFF2-40B4-BE49-F238E27FC236}">
              <a16:creationId xmlns:a16="http://schemas.microsoft.com/office/drawing/2014/main" id="{C9180455-9EE7-02A2-6591-8C420F48C496}"/>
            </a:ext>
          </a:extLst>
        </xdr:cNvPr>
        <xdr:cNvSpPr txBox="1"/>
      </xdr:nvSpPr>
      <xdr:spPr>
        <a:xfrm>
          <a:off x="380980" y="4716235"/>
          <a:ext cx="6170839"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3">
                  <a:lumMod val="50000"/>
                </a:schemeClr>
              </a:solidFill>
              <a:latin typeface="Georgia" panose="02040502050405020303" pitchFamily="18" charset="0"/>
            </a:rPr>
            <a:t>Total</a:t>
          </a:r>
          <a:r>
            <a:rPr lang="en-US" sz="1600" b="0" baseline="0">
              <a:solidFill>
                <a:schemeClr val="accent3">
                  <a:lumMod val="50000"/>
                </a:schemeClr>
              </a:solidFill>
              <a:latin typeface="Georgia" panose="02040502050405020303" pitchFamily="18" charset="0"/>
            </a:rPr>
            <a:t> Lettuce Plants By Weekday</a:t>
          </a:r>
          <a:endParaRPr lang="en-NG" sz="1600" b="0">
            <a:solidFill>
              <a:schemeClr val="accent3">
                <a:lumMod val="50000"/>
              </a:schemeClr>
            </a:solidFill>
            <a:latin typeface="Georgia" panose="02040502050405020303" pitchFamily="18" charset="0"/>
          </a:endParaRPr>
        </a:p>
      </xdr:txBody>
    </xdr:sp>
    <xdr:clientData/>
  </xdr:twoCellAnchor>
  <xdr:twoCellAnchor>
    <xdr:from>
      <xdr:col>9</xdr:col>
      <xdr:colOff>552772</xdr:colOff>
      <xdr:row>14</xdr:row>
      <xdr:rowOff>1361</xdr:rowOff>
    </xdr:from>
    <xdr:to>
      <xdr:col>15</xdr:col>
      <xdr:colOff>136053</xdr:colOff>
      <xdr:row>15</xdr:row>
      <xdr:rowOff>108517</xdr:rowOff>
    </xdr:to>
    <xdr:sp macro="" textlink="">
      <xdr:nvSpPr>
        <xdr:cNvPr id="31" name="TextBox 30">
          <a:extLst>
            <a:ext uri="{FF2B5EF4-FFF2-40B4-BE49-F238E27FC236}">
              <a16:creationId xmlns:a16="http://schemas.microsoft.com/office/drawing/2014/main" id="{19485DFC-D8AC-9785-E053-17C4929597E1}"/>
            </a:ext>
          </a:extLst>
        </xdr:cNvPr>
        <xdr:cNvSpPr txBox="1"/>
      </xdr:nvSpPr>
      <xdr:spPr>
        <a:xfrm>
          <a:off x="6063665" y="2668361"/>
          <a:ext cx="3257209"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accent3">
                  <a:lumMod val="50000"/>
                </a:schemeClr>
              </a:solidFill>
              <a:latin typeface="Georgia" panose="02040502050405020303" pitchFamily="18" charset="0"/>
            </a:rPr>
            <a:t>Nutrient</a:t>
          </a:r>
          <a:r>
            <a:rPr lang="en-US" sz="1400" b="0" baseline="0">
              <a:solidFill>
                <a:schemeClr val="accent3">
                  <a:lumMod val="50000"/>
                </a:schemeClr>
              </a:solidFill>
              <a:latin typeface="Georgia" panose="02040502050405020303" pitchFamily="18" charset="0"/>
            </a:rPr>
            <a:t> </a:t>
          </a:r>
          <a:r>
            <a:rPr lang="en-US" sz="1600" b="0">
              <a:solidFill>
                <a:schemeClr val="accent3">
                  <a:lumMod val="50000"/>
                </a:schemeClr>
              </a:solidFill>
              <a:latin typeface="Georgia" panose="02040502050405020303" pitchFamily="18" charset="0"/>
              <a:ea typeface="+mn-ea"/>
              <a:cs typeface="+mn-cs"/>
            </a:rPr>
            <a:t>Adequacy</a:t>
          </a:r>
          <a:r>
            <a:rPr lang="en-US" sz="1400" b="0" baseline="0">
              <a:solidFill>
                <a:schemeClr val="accent3">
                  <a:lumMod val="50000"/>
                </a:schemeClr>
              </a:solidFill>
              <a:latin typeface="Georgia" panose="02040502050405020303" pitchFamily="18" charset="0"/>
            </a:rPr>
            <a:t> Assessment</a:t>
          </a:r>
          <a:endParaRPr lang="en-NG" sz="1400" b="0">
            <a:solidFill>
              <a:schemeClr val="accent3">
                <a:lumMod val="50000"/>
              </a:schemeClr>
            </a:solidFill>
            <a:latin typeface="Georgia" panose="02040502050405020303" pitchFamily="18" charset="0"/>
          </a:endParaRPr>
        </a:p>
      </xdr:txBody>
    </xdr:sp>
    <xdr:clientData/>
  </xdr:twoCellAnchor>
  <xdr:twoCellAnchor>
    <xdr:from>
      <xdr:col>16</xdr:col>
      <xdr:colOff>374180</xdr:colOff>
      <xdr:row>13</xdr:row>
      <xdr:rowOff>189481</xdr:rowOff>
    </xdr:from>
    <xdr:to>
      <xdr:col>23</xdr:col>
      <xdr:colOff>588493</xdr:colOff>
      <xdr:row>15</xdr:row>
      <xdr:rowOff>106137</xdr:rowOff>
    </xdr:to>
    <xdr:sp macro="" textlink="">
      <xdr:nvSpPr>
        <xdr:cNvPr id="32" name="TextBox 31">
          <a:extLst>
            <a:ext uri="{FF2B5EF4-FFF2-40B4-BE49-F238E27FC236}">
              <a16:creationId xmlns:a16="http://schemas.microsoft.com/office/drawing/2014/main" id="{E390632B-9E8A-AE18-1150-DCCCE5898741}"/>
            </a:ext>
          </a:extLst>
        </xdr:cNvPr>
        <xdr:cNvSpPr txBox="1"/>
      </xdr:nvSpPr>
      <xdr:spPr>
        <a:xfrm>
          <a:off x="10171323" y="2665981"/>
          <a:ext cx="4500563"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3">
                  <a:lumMod val="50000"/>
                </a:schemeClr>
              </a:solidFill>
              <a:latin typeface="Georgia" panose="02040502050405020303" pitchFamily="18" charset="0"/>
            </a:rPr>
            <a:t>Trend</a:t>
          </a:r>
          <a:r>
            <a:rPr lang="en-US" sz="1600" b="0" baseline="0">
              <a:solidFill>
                <a:schemeClr val="accent3">
                  <a:lumMod val="50000"/>
                </a:schemeClr>
              </a:solidFill>
              <a:latin typeface="Georgia" panose="02040502050405020303" pitchFamily="18" charset="0"/>
            </a:rPr>
            <a:t> Of Daily Average TDS Level</a:t>
          </a:r>
          <a:endParaRPr lang="en-NG" sz="1600" b="0">
            <a:solidFill>
              <a:schemeClr val="accent3">
                <a:lumMod val="50000"/>
              </a:schemeClr>
            </a:solidFill>
            <a:latin typeface="Georgia" panose="02040502050405020303" pitchFamily="18" charset="0"/>
          </a:endParaRPr>
        </a:p>
      </xdr:txBody>
    </xdr:sp>
    <xdr:clientData/>
  </xdr:twoCellAnchor>
  <xdr:twoCellAnchor>
    <xdr:from>
      <xdr:col>25</xdr:col>
      <xdr:colOff>217011</xdr:colOff>
      <xdr:row>10</xdr:row>
      <xdr:rowOff>3740</xdr:rowOff>
    </xdr:from>
    <xdr:to>
      <xdr:col>27</xdr:col>
      <xdr:colOff>121761</xdr:colOff>
      <xdr:row>13</xdr:row>
      <xdr:rowOff>98990</xdr:rowOff>
    </xdr:to>
    <xdr:sp macro="" textlink="">
      <xdr:nvSpPr>
        <xdr:cNvPr id="33" name="TextBox 32">
          <a:extLst>
            <a:ext uri="{FF2B5EF4-FFF2-40B4-BE49-F238E27FC236}">
              <a16:creationId xmlns:a16="http://schemas.microsoft.com/office/drawing/2014/main" id="{072A23A4-3276-C9BB-1825-BE50C61D48EE}"/>
            </a:ext>
          </a:extLst>
        </xdr:cNvPr>
        <xdr:cNvSpPr txBox="1"/>
      </xdr:nvSpPr>
      <xdr:spPr>
        <a:xfrm>
          <a:off x="15525047" y="1908740"/>
          <a:ext cx="1129393"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Georgia" panose="02040502050405020303" pitchFamily="18" charset="0"/>
            </a:rPr>
            <a:t>Top</a:t>
          </a:r>
          <a:r>
            <a:rPr lang="en-US" sz="1200" baseline="0">
              <a:latin typeface="Georgia" panose="02040502050405020303" pitchFamily="18" charset="0"/>
            </a:rPr>
            <a:t> Growth Stage</a:t>
          </a:r>
        </a:p>
        <a:p>
          <a:pPr algn="ctr"/>
          <a:r>
            <a:rPr lang="en-US" sz="1200" b="1" baseline="0">
              <a:latin typeface="Georgia" panose="02040502050405020303" pitchFamily="18" charset="0"/>
            </a:rPr>
            <a:t>Vegetative</a:t>
          </a:r>
          <a:endParaRPr lang="en-NG" sz="1100" b="1">
            <a:latin typeface="Georgia" panose="02040502050405020303" pitchFamily="18" charset="0"/>
          </a:endParaRPr>
        </a:p>
      </xdr:txBody>
    </xdr:sp>
    <xdr:clientData/>
  </xdr:twoCellAnchor>
  <xdr:twoCellAnchor>
    <xdr:from>
      <xdr:col>25</xdr:col>
      <xdr:colOff>195580</xdr:colOff>
      <xdr:row>14</xdr:row>
      <xdr:rowOff>148995</xdr:rowOff>
    </xdr:from>
    <xdr:to>
      <xdr:col>27</xdr:col>
      <xdr:colOff>145575</xdr:colOff>
      <xdr:row>19</xdr:row>
      <xdr:rowOff>20409</xdr:rowOff>
    </xdr:to>
    <xdr:sp macro="" textlink="">
      <xdr:nvSpPr>
        <xdr:cNvPr id="34" name="TextBox 33">
          <a:extLst>
            <a:ext uri="{FF2B5EF4-FFF2-40B4-BE49-F238E27FC236}">
              <a16:creationId xmlns:a16="http://schemas.microsoft.com/office/drawing/2014/main" id="{68BE2A12-0C4E-29C5-656E-65DA127BA43A}"/>
            </a:ext>
          </a:extLst>
        </xdr:cNvPr>
        <xdr:cNvSpPr txBox="1"/>
      </xdr:nvSpPr>
      <xdr:spPr>
        <a:xfrm>
          <a:off x="15503616" y="2815995"/>
          <a:ext cx="1174638" cy="82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latin typeface="Georgia" panose="02040502050405020303" pitchFamily="18" charset="0"/>
            </a:rPr>
            <a:t>Chief Temperature Weekday</a:t>
          </a:r>
        </a:p>
        <a:p>
          <a:pPr algn="ctr"/>
          <a:r>
            <a:rPr lang="en-US" sz="1200" b="1" baseline="0">
              <a:latin typeface="Georgia" panose="02040502050405020303" pitchFamily="18" charset="0"/>
            </a:rPr>
            <a:t>Sunday</a:t>
          </a:r>
        </a:p>
      </xdr:txBody>
    </xdr:sp>
    <xdr:clientData/>
  </xdr:twoCellAnchor>
  <xdr:twoCellAnchor>
    <xdr:from>
      <xdr:col>25</xdr:col>
      <xdr:colOff>231298</xdr:colOff>
      <xdr:row>19</xdr:row>
      <xdr:rowOff>56128</xdr:rowOff>
    </xdr:from>
    <xdr:to>
      <xdr:col>27</xdr:col>
      <xdr:colOff>119379</xdr:colOff>
      <xdr:row>23</xdr:row>
      <xdr:rowOff>79940</xdr:rowOff>
    </xdr:to>
    <xdr:sp macro="" textlink="">
      <xdr:nvSpPr>
        <xdr:cNvPr id="35" name="TextBox 34">
          <a:extLst>
            <a:ext uri="{FF2B5EF4-FFF2-40B4-BE49-F238E27FC236}">
              <a16:creationId xmlns:a16="http://schemas.microsoft.com/office/drawing/2014/main" id="{AE9B5CEF-197B-BE0B-8AE3-4EEA56ED6838}"/>
            </a:ext>
          </a:extLst>
        </xdr:cNvPr>
        <xdr:cNvSpPr txBox="1"/>
      </xdr:nvSpPr>
      <xdr:spPr>
        <a:xfrm>
          <a:off x="15539334" y="3675628"/>
          <a:ext cx="1112724" cy="78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latin typeface="Georgia" panose="02040502050405020303" pitchFamily="18" charset="0"/>
            </a:rPr>
            <a:t>Highest pH Level Weekday</a:t>
          </a:r>
        </a:p>
        <a:p>
          <a:pPr algn="ctr"/>
          <a:r>
            <a:rPr lang="en-US" sz="1200" b="1" baseline="0">
              <a:latin typeface="Georgia" panose="02040502050405020303" pitchFamily="18" charset="0"/>
            </a:rPr>
            <a:t>Friday</a:t>
          </a:r>
        </a:p>
      </xdr:txBody>
    </xdr:sp>
    <xdr:clientData/>
  </xdr:twoCellAnchor>
  <xdr:twoCellAnchor>
    <xdr:from>
      <xdr:col>25</xdr:col>
      <xdr:colOff>181299</xdr:colOff>
      <xdr:row>5</xdr:row>
      <xdr:rowOff>29935</xdr:rowOff>
    </xdr:from>
    <xdr:to>
      <xdr:col>27</xdr:col>
      <xdr:colOff>154862</xdr:colOff>
      <xdr:row>9</xdr:row>
      <xdr:rowOff>95935</xdr:rowOff>
    </xdr:to>
    <xdr:sp macro="" textlink="">
      <xdr:nvSpPr>
        <xdr:cNvPr id="37" name="Rectangle 36">
          <a:extLst>
            <a:ext uri="{FF2B5EF4-FFF2-40B4-BE49-F238E27FC236}">
              <a16:creationId xmlns:a16="http://schemas.microsoft.com/office/drawing/2014/main" id="{40933502-2963-795E-33F8-92683DD0A7F2}"/>
            </a:ext>
          </a:extLst>
        </xdr:cNvPr>
        <xdr:cNvSpPr/>
      </xdr:nvSpPr>
      <xdr:spPr>
        <a:xfrm>
          <a:off x="15489335" y="982435"/>
          <a:ext cx="1198206" cy="828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226536</xdr:colOff>
      <xdr:row>5</xdr:row>
      <xdr:rowOff>70415</xdr:rowOff>
    </xdr:from>
    <xdr:to>
      <xdr:col>27</xdr:col>
      <xdr:colOff>131286</xdr:colOff>
      <xdr:row>8</xdr:row>
      <xdr:rowOff>165665</xdr:rowOff>
    </xdr:to>
    <xdr:sp macro="" textlink="">
      <xdr:nvSpPr>
        <xdr:cNvPr id="38" name="TextBox 37">
          <a:extLst>
            <a:ext uri="{FF2B5EF4-FFF2-40B4-BE49-F238E27FC236}">
              <a16:creationId xmlns:a16="http://schemas.microsoft.com/office/drawing/2014/main" id="{1FC4CE7F-6EF4-52D0-FC51-D2B67D42036A}"/>
            </a:ext>
          </a:extLst>
        </xdr:cNvPr>
        <xdr:cNvSpPr txBox="1"/>
      </xdr:nvSpPr>
      <xdr:spPr>
        <a:xfrm>
          <a:off x="15534572" y="1022915"/>
          <a:ext cx="1129393"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Georgia" panose="02040502050405020303" pitchFamily="18" charset="0"/>
            </a:rPr>
            <a:t>Total</a:t>
          </a:r>
          <a:r>
            <a:rPr lang="en-US" sz="1200" baseline="0">
              <a:latin typeface="Georgia" panose="02040502050405020303" pitchFamily="18" charset="0"/>
            </a:rPr>
            <a:t> Lettuce Plant</a:t>
          </a:r>
        </a:p>
        <a:p>
          <a:pPr algn="ctr"/>
          <a:r>
            <a:rPr lang="en-US" sz="1200" b="1" baseline="0">
              <a:latin typeface="Georgia" panose="02040502050405020303" pitchFamily="18" charset="0"/>
            </a:rPr>
            <a:t>3,169</a:t>
          </a:r>
          <a:endParaRPr lang="en-NG" sz="1100" b="1">
            <a:latin typeface="Georgia" panose="02040502050405020303" pitchFamily="18" charset="0"/>
          </a:endParaRPr>
        </a:p>
      </xdr:txBody>
    </xdr:sp>
    <xdr:clientData/>
  </xdr:twoCellAnchor>
  <xdr:twoCellAnchor>
    <xdr:from>
      <xdr:col>25</xdr:col>
      <xdr:colOff>186055</xdr:colOff>
      <xdr:row>24</xdr:row>
      <xdr:rowOff>29934</xdr:rowOff>
    </xdr:from>
    <xdr:to>
      <xdr:col>27</xdr:col>
      <xdr:colOff>159618</xdr:colOff>
      <xdr:row>28</xdr:row>
      <xdr:rowOff>95934</xdr:rowOff>
    </xdr:to>
    <xdr:sp macro="" textlink="">
      <xdr:nvSpPr>
        <xdr:cNvPr id="39" name="Rectangle 38">
          <a:extLst>
            <a:ext uri="{FF2B5EF4-FFF2-40B4-BE49-F238E27FC236}">
              <a16:creationId xmlns:a16="http://schemas.microsoft.com/office/drawing/2014/main" id="{987FE889-A0C9-2E79-9FDB-0B7CD3EE0E42}"/>
            </a:ext>
          </a:extLst>
        </xdr:cNvPr>
        <xdr:cNvSpPr/>
      </xdr:nvSpPr>
      <xdr:spPr>
        <a:xfrm>
          <a:off x="15494091" y="4601934"/>
          <a:ext cx="1198206" cy="828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221776</xdr:colOff>
      <xdr:row>28</xdr:row>
      <xdr:rowOff>184716</xdr:rowOff>
    </xdr:from>
    <xdr:to>
      <xdr:col>27</xdr:col>
      <xdr:colOff>126526</xdr:colOff>
      <xdr:row>32</xdr:row>
      <xdr:rowOff>120421</xdr:rowOff>
    </xdr:to>
    <xdr:sp macro="" textlink="">
      <xdr:nvSpPr>
        <xdr:cNvPr id="40" name="TextBox 39">
          <a:extLst>
            <a:ext uri="{FF2B5EF4-FFF2-40B4-BE49-F238E27FC236}">
              <a16:creationId xmlns:a16="http://schemas.microsoft.com/office/drawing/2014/main" id="{E179AA59-3A28-FE3C-C6AF-D9A29346D416}"/>
            </a:ext>
          </a:extLst>
        </xdr:cNvPr>
        <xdr:cNvSpPr txBox="1"/>
      </xdr:nvSpPr>
      <xdr:spPr>
        <a:xfrm>
          <a:off x="15529812" y="5518716"/>
          <a:ext cx="1129393" cy="69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latin typeface="Georgia" panose="02040502050405020303" pitchFamily="18" charset="0"/>
            </a:rPr>
            <a:t>Best Day For TDS Level</a:t>
          </a:r>
        </a:p>
        <a:p>
          <a:pPr algn="ctr"/>
          <a:r>
            <a:rPr lang="en-US" sz="1200" b="1" baseline="0">
              <a:latin typeface="Georgia" panose="02040502050405020303" pitchFamily="18" charset="0"/>
            </a:rPr>
            <a:t>Tuesday</a:t>
          </a:r>
        </a:p>
        <a:p>
          <a:pPr algn="ctr"/>
          <a:endParaRPr lang="en-US" sz="1200" baseline="0">
            <a:latin typeface="Georgia" panose="02040502050405020303" pitchFamily="18" charset="0"/>
          </a:endParaRPr>
        </a:p>
      </xdr:txBody>
    </xdr:sp>
    <xdr:clientData/>
  </xdr:twoCellAnchor>
  <xdr:twoCellAnchor>
    <xdr:from>
      <xdr:col>25</xdr:col>
      <xdr:colOff>212251</xdr:colOff>
      <xdr:row>24</xdr:row>
      <xdr:rowOff>60891</xdr:rowOff>
    </xdr:from>
    <xdr:to>
      <xdr:col>27</xdr:col>
      <xdr:colOff>117001</xdr:colOff>
      <xdr:row>28</xdr:row>
      <xdr:rowOff>91846</xdr:rowOff>
    </xdr:to>
    <xdr:sp macro="" textlink="">
      <xdr:nvSpPr>
        <xdr:cNvPr id="36" name="TextBox 35">
          <a:extLst>
            <a:ext uri="{FF2B5EF4-FFF2-40B4-BE49-F238E27FC236}">
              <a16:creationId xmlns:a16="http://schemas.microsoft.com/office/drawing/2014/main" id="{BAA42CC5-EA69-1B7B-C51E-A0A725D78FCA}"/>
            </a:ext>
          </a:extLst>
        </xdr:cNvPr>
        <xdr:cNvSpPr txBox="1"/>
      </xdr:nvSpPr>
      <xdr:spPr>
        <a:xfrm>
          <a:off x="15520287" y="4632891"/>
          <a:ext cx="1129393" cy="79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latin typeface="Georgia" panose="02040502050405020303" pitchFamily="18" charset="0"/>
            </a:rPr>
            <a:t>Best Day For Humidity</a:t>
          </a:r>
        </a:p>
        <a:p>
          <a:pPr algn="ctr"/>
          <a:r>
            <a:rPr lang="en-US" sz="1200" b="1" baseline="0">
              <a:latin typeface="Georgia" panose="02040502050405020303" pitchFamily="18" charset="0"/>
            </a:rPr>
            <a:t>Saturday</a:t>
          </a:r>
        </a:p>
        <a:p>
          <a:pPr algn="ctr"/>
          <a:endParaRPr lang="en-US" sz="1200" baseline="0">
            <a:latin typeface="Georgia" panose="02040502050405020303" pitchFamily="18" charset="0"/>
          </a:endParaRPr>
        </a:p>
      </xdr:txBody>
    </xdr:sp>
    <xdr:clientData/>
  </xdr:twoCellAnchor>
  <xdr:twoCellAnchor editAs="oneCell">
    <xdr:from>
      <xdr:col>25</xdr:col>
      <xdr:colOff>183672</xdr:colOff>
      <xdr:row>12</xdr:row>
      <xdr:rowOff>151378</xdr:rowOff>
    </xdr:from>
    <xdr:to>
      <xdr:col>25</xdr:col>
      <xdr:colOff>584367</xdr:colOff>
      <xdr:row>14</xdr:row>
      <xdr:rowOff>31634</xdr:rowOff>
    </xdr:to>
    <xdr:pic>
      <xdr:nvPicPr>
        <xdr:cNvPr id="42" name="Graphic 41" descr="Sprouting Seed with solid fill">
          <a:extLst>
            <a:ext uri="{FF2B5EF4-FFF2-40B4-BE49-F238E27FC236}">
              <a16:creationId xmlns:a16="http://schemas.microsoft.com/office/drawing/2014/main" id="{0AD0113B-2EC7-94B2-FC49-B3F7A8B8181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491708" y="2437378"/>
          <a:ext cx="400695" cy="261256"/>
        </a:xfrm>
        <a:prstGeom prst="rect">
          <a:avLst/>
        </a:prstGeom>
      </xdr:spPr>
    </xdr:pic>
    <xdr:clientData/>
  </xdr:twoCellAnchor>
  <xdr:twoCellAnchor editAs="oneCell">
    <xdr:from>
      <xdr:col>25</xdr:col>
      <xdr:colOff>145581</xdr:colOff>
      <xdr:row>7</xdr:row>
      <xdr:rowOff>53751</xdr:rowOff>
    </xdr:from>
    <xdr:to>
      <xdr:col>25</xdr:col>
      <xdr:colOff>546683</xdr:colOff>
      <xdr:row>9</xdr:row>
      <xdr:rowOff>68751</xdr:rowOff>
    </xdr:to>
    <xdr:pic>
      <xdr:nvPicPr>
        <xdr:cNvPr id="43" name="Graphic 1" descr="Plant With Roots with solid fill">
          <a:extLst>
            <a:ext uri="{FF2B5EF4-FFF2-40B4-BE49-F238E27FC236}">
              <a16:creationId xmlns:a16="http://schemas.microsoft.com/office/drawing/2014/main" id="{EDD8E513-33B0-383C-0BCF-F0B1257F59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453617" y="1387251"/>
          <a:ext cx="401102" cy="396000"/>
        </a:xfrm>
        <a:prstGeom prst="rect">
          <a:avLst/>
        </a:prstGeom>
      </xdr:spPr>
    </xdr:pic>
    <xdr:clientData/>
  </xdr:twoCellAnchor>
  <xdr:twoCellAnchor editAs="oneCell">
    <xdr:from>
      <xdr:col>25</xdr:col>
      <xdr:colOff>153739</xdr:colOff>
      <xdr:row>31</xdr:row>
      <xdr:rowOff>67353</xdr:rowOff>
    </xdr:from>
    <xdr:to>
      <xdr:col>25</xdr:col>
      <xdr:colOff>554841</xdr:colOff>
      <xdr:row>33</xdr:row>
      <xdr:rowOff>82353</xdr:rowOff>
    </xdr:to>
    <xdr:pic>
      <xdr:nvPicPr>
        <xdr:cNvPr id="46" name="Graphic 45" descr="Dim (Medium Sun) with solid fill">
          <a:extLst>
            <a:ext uri="{FF2B5EF4-FFF2-40B4-BE49-F238E27FC236}">
              <a16:creationId xmlns:a16="http://schemas.microsoft.com/office/drawing/2014/main" id="{A9571291-C262-4DD5-8154-FFD618611DA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461775" y="5972853"/>
          <a:ext cx="401102" cy="396000"/>
        </a:xfrm>
        <a:prstGeom prst="rect">
          <a:avLst/>
        </a:prstGeom>
      </xdr:spPr>
    </xdr:pic>
    <xdr:clientData/>
  </xdr:twoCellAnchor>
  <xdr:twoCellAnchor editAs="oneCell">
    <xdr:from>
      <xdr:col>25</xdr:col>
      <xdr:colOff>95227</xdr:colOff>
      <xdr:row>16</xdr:row>
      <xdr:rowOff>176891</xdr:rowOff>
    </xdr:from>
    <xdr:to>
      <xdr:col>25</xdr:col>
      <xdr:colOff>491227</xdr:colOff>
      <xdr:row>19</xdr:row>
      <xdr:rowOff>1391</xdr:rowOff>
    </xdr:to>
    <xdr:pic>
      <xdr:nvPicPr>
        <xdr:cNvPr id="55" name="Graphic 54" descr="Thermometer with solid fill">
          <a:extLst>
            <a:ext uri="{FF2B5EF4-FFF2-40B4-BE49-F238E27FC236}">
              <a16:creationId xmlns:a16="http://schemas.microsoft.com/office/drawing/2014/main" id="{57A4AF38-2437-3DCB-D12E-CE45A895AB0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403263" y="3224891"/>
          <a:ext cx="396000" cy="396000"/>
        </a:xfrm>
        <a:prstGeom prst="rect">
          <a:avLst/>
        </a:prstGeom>
      </xdr:spPr>
    </xdr:pic>
    <xdr:clientData/>
  </xdr:twoCellAnchor>
  <xdr:twoCellAnchor editAs="oneCell">
    <xdr:from>
      <xdr:col>25</xdr:col>
      <xdr:colOff>176870</xdr:colOff>
      <xdr:row>26</xdr:row>
      <xdr:rowOff>108855</xdr:rowOff>
    </xdr:from>
    <xdr:to>
      <xdr:col>25</xdr:col>
      <xdr:colOff>572870</xdr:colOff>
      <xdr:row>28</xdr:row>
      <xdr:rowOff>123855</xdr:rowOff>
    </xdr:to>
    <xdr:pic>
      <xdr:nvPicPr>
        <xdr:cNvPr id="57" name="Graphic 56" descr="Partial sun with solid fill">
          <a:extLst>
            <a:ext uri="{FF2B5EF4-FFF2-40B4-BE49-F238E27FC236}">
              <a16:creationId xmlns:a16="http://schemas.microsoft.com/office/drawing/2014/main" id="{19BB45BA-3D19-0D51-C67C-2B30118BB1E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484906" y="5061855"/>
          <a:ext cx="396000" cy="396000"/>
        </a:xfrm>
        <a:prstGeom prst="rect">
          <a:avLst/>
        </a:prstGeom>
      </xdr:spPr>
    </xdr:pic>
    <xdr:clientData/>
  </xdr:twoCellAnchor>
  <xdr:twoCellAnchor editAs="oneCell">
    <xdr:from>
      <xdr:col>25</xdr:col>
      <xdr:colOff>176870</xdr:colOff>
      <xdr:row>21</xdr:row>
      <xdr:rowOff>108855</xdr:rowOff>
    </xdr:from>
    <xdr:to>
      <xdr:col>25</xdr:col>
      <xdr:colOff>572870</xdr:colOff>
      <xdr:row>23</xdr:row>
      <xdr:rowOff>123855</xdr:rowOff>
    </xdr:to>
    <xdr:pic>
      <xdr:nvPicPr>
        <xdr:cNvPr id="59" name="Graphic 58" descr="Seed Packet with solid fill">
          <a:extLst>
            <a:ext uri="{FF2B5EF4-FFF2-40B4-BE49-F238E27FC236}">
              <a16:creationId xmlns:a16="http://schemas.microsoft.com/office/drawing/2014/main" id="{B8E5D534-19D8-F7C3-0325-A60F9EFA1F3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484906" y="4109355"/>
          <a:ext cx="396000" cy="396000"/>
        </a:xfrm>
        <a:prstGeom prst="rect">
          <a:avLst/>
        </a:prstGeom>
      </xdr:spPr>
    </xdr:pic>
    <xdr:clientData/>
  </xdr:twoCellAnchor>
  <xdr:twoCellAnchor>
    <xdr:from>
      <xdr:col>26</xdr:col>
      <xdr:colOff>108857</xdr:colOff>
      <xdr:row>33</xdr:row>
      <xdr:rowOff>40822</xdr:rowOff>
    </xdr:from>
    <xdr:to>
      <xdr:col>28</xdr:col>
      <xdr:colOff>231321</xdr:colOff>
      <xdr:row>34</xdr:row>
      <xdr:rowOff>136072</xdr:rowOff>
    </xdr:to>
    <xdr:sp macro="" textlink="">
      <xdr:nvSpPr>
        <xdr:cNvPr id="4" name="TextBox 3">
          <a:extLst>
            <a:ext uri="{FF2B5EF4-FFF2-40B4-BE49-F238E27FC236}">
              <a16:creationId xmlns:a16="http://schemas.microsoft.com/office/drawing/2014/main" id="{B74A0A59-89C9-B6E4-1E13-6FF0220AB37A}"/>
            </a:ext>
          </a:extLst>
        </xdr:cNvPr>
        <xdr:cNvSpPr txBox="1"/>
      </xdr:nvSpPr>
      <xdr:spPr>
        <a:xfrm>
          <a:off x="16029214" y="6327322"/>
          <a:ext cx="134710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Georgia" panose="02040502050405020303" pitchFamily="18" charset="0"/>
            </a:rPr>
            <a:t>Dorcas Analytics</a:t>
          </a:r>
          <a:endParaRPr lang="en-NG" sz="1200">
            <a:solidFill>
              <a:schemeClr val="bg1"/>
            </a:solidFill>
            <a:latin typeface="Georgia" panose="02040502050405020303"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104774</xdr:colOff>
      <xdr:row>0</xdr:row>
      <xdr:rowOff>57145</xdr:rowOff>
    </xdr:from>
    <xdr:to>
      <xdr:col>11</xdr:col>
      <xdr:colOff>174624</xdr:colOff>
      <xdr:row>33</xdr:row>
      <xdr:rowOff>76200</xdr:rowOff>
    </xdr:to>
    <xdr:sp macro="" textlink="">
      <xdr:nvSpPr>
        <xdr:cNvPr id="2" name="Rectangle: Rounded Corners 1">
          <a:extLst>
            <a:ext uri="{FF2B5EF4-FFF2-40B4-BE49-F238E27FC236}">
              <a16:creationId xmlns:a16="http://schemas.microsoft.com/office/drawing/2014/main" id="{45B12091-F0B0-4332-BB9E-7B2637D0D019}"/>
            </a:ext>
          </a:extLst>
        </xdr:cNvPr>
        <xdr:cNvSpPr/>
      </xdr:nvSpPr>
      <xdr:spPr>
        <a:xfrm>
          <a:off x="104774" y="57145"/>
          <a:ext cx="6775450" cy="6305555"/>
        </a:xfrm>
        <a:prstGeom prst="roundRect">
          <a:avLst>
            <a:gd name="adj" fmla="val 12397"/>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GENERAL OBSERVATIONS</a:t>
          </a:r>
        </a:p>
        <a:p>
          <a:pPr algn="l"/>
          <a:r>
            <a:rPr lang="en-US" sz="1100" b="0" baseline="0"/>
            <a:t>1. There are currently  980 seedling lettuce plants having their highest pH level of 6.42pH and humidity of 66.21% on Friday, 29.55C of average temperature on Friday with TDS level of 612.56ppm on Thursday  possessing 61% optimal nutrient adequacy.</a:t>
          </a:r>
        </a:p>
        <a:p>
          <a:pPr algn="l"/>
          <a:endParaRPr lang="en-US" sz="1100" b="0" baseline="0"/>
        </a:p>
        <a:p>
          <a:pPr algn="l"/>
          <a:r>
            <a:rPr lang="en-US" sz="1100" b="0" baseline="0"/>
            <a:t>2. There are a total of 140 seedlings planted seven days a week. </a:t>
          </a:r>
        </a:p>
        <a:p>
          <a:pPr algn="l"/>
          <a:endParaRPr lang="en-US" sz="1100" b="0" baseline="0"/>
        </a:p>
        <a:p>
          <a:pPr algn="l"/>
          <a:r>
            <a:rPr lang="en-US" sz="1100" b="0" baseline="0"/>
            <a:t>3. There are currently 1470 vegetative lettuce plants having their highest pH level of 6.43pH on Friday and humidity of 65.71% on Wednesday, 28.77C of average temperature on Friday with TDS level of 613.97ppm on Tuesday  possessing 58% optimal nutrient adequacy.</a:t>
          </a:r>
        </a:p>
        <a:p>
          <a:pPr algn="l"/>
          <a:endParaRPr lang="en-US" sz="1100" b="0" baseline="0"/>
        </a:p>
        <a:p>
          <a:pPr algn="l"/>
          <a:r>
            <a:rPr lang="en-US" sz="1100" b="0" baseline="0"/>
            <a:t>4. There are a total of 210 vegetative lettuce present seven days a week. </a:t>
          </a:r>
        </a:p>
        <a:p>
          <a:pPr algn="l"/>
          <a:endParaRPr lang="en-US" sz="1100" b="0" baseline="0"/>
        </a:p>
        <a:p>
          <a:pPr algn="l"/>
          <a:r>
            <a:rPr lang="en-US" sz="1100" b="0" baseline="0"/>
            <a:t>5. There are currently 719 Maturity lettuce plants having their highest pH level of 6.42pH on Tuesday and humidity of 65.91% on Saturday, 28.42C of average temperature on Friday with TDS level of 606.72ppm on Tuesday  possessing 58% optimal nutrient adequacy.</a:t>
          </a:r>
        </a:p>
        <a:p>
          <a:pPr algn="l"/>
          <a:endParaRPr lang="en-US" sz="1100" b="0" baseline="0"/>
        </a:p>
        <a:p>
          <a:pPr algn="l"/>
          <a:r>
            <a:rPr lang="en-US" sz="1100" b="0" baseline="0"/>
            <a:t>6. There are a total of 140 maturity lettuce present from Thursday to Saturday each, 81 Sunday, 76 on Monday, 72 on Tuesday and 70 on Wednesday. </a:t>
          </a:r>
        </a:p>
        <a:p>
          <a:pPr algn="l"/>
          <a:endParaRPr lang="en-US" sz="1100" b="0" baseline="0"/>
        </a:p>
        <a:p>
          <a:pPr algn="l"/>
          <a:r>
            <a:rPr lang="en-US" sz="1100" b="0" baseline="0"/>
            <a:t>7. Lettuce plants with low nutrient adequacy have a total of 614 lettuce at  vegetative growth stage with highest pH level on Friday, Highest humidity level on Sunday, highest TDS level on Monday with highest temperature on Sunday.</a:t>
          </a:r>
        </a:p>
        <a:p>
          <a:pPr algn="l"/>
          <a:endParaRPr lang="en-US" sz="1100" b="0" baseline="0"/>
        </a:p>
        <a:p>
          <a:pPr algn="l"/>
          <a:r>
            <a:rPr lang="en-US" sz="1100" b="0" baseline="0"/>
            <a:t>8. At Low nutrient adequacy, Saturday has the highest total number of lettuce of 198 followed by Thurday having a total number of 193 lettuce plants.</a:t>
          </a:r>
        </a:p>
        <a:p>
          <a:pPr algn="l"/>
          <a:endParaRPr lang="en-US" sz="1100" b="0" baseline="0"/>
        </a:p>
        <a:p>
          <a:pPr algn="l"/>
          <a:r>
            <a:rPr lang="en-US" sz="1100" b="0" baseline="0"/>
            <a:t>9. Lettuce plants with optimal nutrient adequacy have a total of 856 lettuce at  vegetative growth stage with highest pH level on Thurday, Highest humidity level on Saturday, highest TDS level on Tuesday with highest temperature on Friday.</a:t>
          </a:r>
        </a:p>
        <a:p>
          <a:pPr algn="l"/>
          <a:endParaRPr lang="en-US" sz="1100" b="0" baseline="0"/>
        </a:p>
        <a:p>
          <a:pPr algn="l"/>
          <a:r>
            <a:rPr lang="en-US" sz="1100" b="0" baseline="0"/>
            <a:t>10. At optimal nutrient adequacy, Thurday has the highest total number of lettuce of 297 followed by Friday having a total number of 302 lettuce plants.</a:t>
          </a:r>
        </a:p>
        <a:p>
          <a:pPr algn="l"/>
          <a:endParaRPr lang="en-US" sz="1100" b="0" baseline="0"/>
        </a:p>
        <a:p>
          <a:pPr algn="l"/>
          <a:endParaRPr lang="en-US" sz="1100" b="0" baseline="0"/>
        </a:p>
        <a:p>
          <a:pPr algn="l"/>
          <a:endParaRPr lang="en-US" sz="1100" b="0" baseline="0"/>
        </a:p>
        <a:p>
          <a:pPr algn="l"/>
          <a:endParaRPr lang="en-US" sz="1100" b="1" baseline="0"/>
        </a:p>
      </xdr:txBody>
    </xdr:sp>
    <xdr:clientData/>
  </xdr:twoCellAnchor>
  <xdr:twoCellAnchor>
    <xdr:from>
      <xdr:col>11</xdr:col>
      <xdr:colOff>492131</xdr:colOff>
      <xdr:row>0</xdr:row>
      <xdr:rowOff>80954</xdr:rowOff>
    </xdr:from>
    <xdr:to>
      <xdr:col>22</xdr:col>
      <xdr:colOff>134944</xdr:colOff>
      <xdr:row>33</xdr:row>
      <xdr:rowOff>66675</xdr:rowOff>
    </xdr:to>
    <xdr:sp macro="" textlink="">
      <xdr:nvSpPr>
        <xdr:cNvPr id="3" name="Rectangle: Rounded Corners 2">
          <a:extLst>
            <a:ext uri="{FF2B5EF4-FFF2-40B4-BE49-F238E27FC236}">
              <a16:creationId xmlns:a16="http://schemas.microsoft.com/office/drawing/2014/main" id="{5FC93498-F714-4A55-AFB2-BAAEACFC5460}"/>
            </a:ext>
          </a:extLst>
        </xdr:cNvPr>
        <xdr:cNvSpPr/>
      </xdr:nvSpPr>
      <xdr:spPr>
        <a:xfrm>
          <a:off x="7197731" y="80954"/>
          <a:ext cx="6348413" cy="6272221"/>
        </a:xfrm>
        <a:prstGeom prst="roundRect">
          <a:avLst>
            <a:gd name="adj" fmla="val 11498"/>
          </a:avLst>
        </a:prstGeom>
        <a:solidFill>
          <a:schemeClr val="bg1"/>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accent3">
                  <a:lumMod val="50000"/>
                </a:schemeClr>
              </a:solidFill>
            </a:rPr>
            <a:t>GENERAL RECOMMENDATIONS</a:t>
          </a:r>
        </a:p>
        <a:p>
          <a:pPr algn="l"/>
          <a:r>
            <a:rPr lang="en-US" sz="1100" b="0" baseline="0">
              <a:solidFill>
                <a:schemeClr val="accent3">
                  <a:lumMod val="50000"/>
                </a:schemeClr>
              </a:solidFill>
            </a:rPr>
            <a:t>1. Since most stages of lettuce growth showed peak performance around pH 6.42 – 6.43, keeping pH consistently within this range will ensure optimal nutrient uptake and prevent deficiencies. Frequent monitoring and minor pH corrections should be carried out daily.</a:t>
          </a:r>
        </a:p>
        <a:p>
          <a:pPr algn="l"/>
          <a:r>
            <a:rPr lang="en-US" sz="1100" b="0" baseline="0">
              <a:solidFill>
                <a:schemeClr val="accent3">
                  <a:lumMod val="50000"/>
                </a:schemeClr>
              </a:solidFill>
            </a:rPr>
            <a:t>2. Nutrient adequacy is currently between 58% – 61% across stages, which is below optimal hydroponic standards. Increasing the nutrient adequacy to at least 65–70% by adjusting fertilizer schedules and balancing macro- and micronutrients can significantly improve plant health and yield.</a:t>
          </a:r>
        </a:p>
        <a:p>
          <a:pPr algn="l"/>
          <a:r>
            <a:rPr lang="en-US" sz="1100" b="0" baseline="0">
              <a:solidFill>
                <a:schemeClr val="accent3">
                  <a:lumMod val="50000"/>
                </a:schemeClr>
              </a:solidFill>
            </a:rPr>
            <a:t>3. TDS levels range between 606–614 ppm. While suitable for early seedlings, vegetative and maturity stages may benefit from slightly higher TDS (650–750 ppm). Implementing a growth-stage-specific nutrient adjustment will improve efficiency.</a:t>
          </a:r>
        </a:p>
        <a:p>
          <a:pPr algn="l"/>
          <a:r>
            <a:rPr lang="en-US" sz="1100" b="0" baseline="0">
              <a:solidFill>
                <a:schemeClr val="accent3">
                  <a:lumMod val="50000"/>
                </a:schemeClr>
              </a:solidFill>
            </a:rPr>
            <a:t>4. Average temperatures recorded (28–29°C) are slightly above the ideal range for lettuce (20–27°C). Cooling strategies such as shading nets, evaporative cooling, or adjusted greenhouse ventilation should be applied to reduce heat stress and improve leaf quality.</a:t>
          </a:r>
        </a:p>
        <a:p>
          <a:pPr algn="l"/>
          <a:r>
            <a:rPr lang="en-US" sz="1100" b="0" baseline="0">
              <a:solidFill>
                <a:schemeClr val="accent3">
                  <a:lumMod val="50000"/>
                </a:schemeClr>
              </a:solidFill>
            </a:rPr>
            <a:t>5. Humidity values peaked between 65–66%. Maintaining a consistent range (ideally 60–70%) will prevent both water stress and fungal diseases. Installing automated humidity controls or misting systems will help stabilize microclimatic conditions.</a:t>
          </a:r>
        </a:p>
        <a:p>
          <a:pPr algn="l"/>
          <a:r>
            <a:rPr lang="en-US" sz="1100" b="0" baseline="0">
              <a:solidFill>
                <a:schemeClr val="accent3">
                  <a:lumMod val="50000"/>
                </a:schemeClr>
              </a:solidFill>
            </a:rPr>
            <a:t>6. Maturity-stage lettuce shows uneven distribution (e.g., 140 on weekends but only 70 midweek). Aligning planting schedules evenly across all days will ensure a constant harvest supply, reducing gaps in production and stabilizing market supply.</a:t>
          </a:r>
        </a:p>
        <a:p>
          <a:pPr algn="l"/>
          <a:r>
            <a:rPr lang="en-US" sz="1100" b="0" baseline="0">
              <a:solidFill>
                <a:schemeClr val="accent3">
                  <a:lumMod val="50000"/>
                </a:schemeClr>
              </a:solidFill>
            </a:rPr>
            <a:t>7. Since 614 vegetative plants are under low nutrient adequacy, priority should be given to improving nutrient solution management during this stage. This includes more frequent monitoring of EC (electrical conductivity) and nutrient solution replenishment.</a:t>
          </a:r>
        </a:p>
        <a:p>
          <a:pPr algn="l"/>
          <a:r>
            <a:rPr lang="en-US" sz="1100" b="0" baseline="0">
              <a:solidFill>
                <a:schemeClr val="accent3">
                  <a:lumMod val="50000"/>
                </a:schemeClr>
              </a:solidFill>
            </a:rPr>
            <a:t>8. Observations show fluctuations in TDS and pH during midweek. Ensuring consistent nutrient solution checks on Tuesdays and Thursdays can reduce variability and prevent nutrient stress during critical growth stages.</a:t>
          </a:r>
        </a:p>
        <a:p>
          <a:pPr algn="l"/>
          <a:r>
            <a:rPr lang="en-US" sz="1100" b="0" baseline="0">
              <a:solidFill>
                <a:schemeClr val="accent3">
                  <a:lumMod val="50000"/>
                </a:schemeClr>
              </a:solidFill>
            </a:rPr>
            <a:t>9. Since both Friday and Saturday showed higher plant counts and stronger growth indicators, operations such as nutrient replenishment, harvesting, and monitoring should be prioritized on these days to align with peak plant performance.</a:t>
          </a:r>
        </a:p>
        <a:p>
          <a:pPr algn="l"/>
          <a:r>
            <a:rPr lang="en-US" sz="1100" b="0" baseline="0">
              <a:solidFill>
                <a:schemeClr val="accent3">
                  <a:lumMod val="50000"/>
                </a:schemeClr>
              </a:solidFill>
            </a:rPr>
            <a:t>10. Regular collection and analysis of pH, TDS, humidity, and temperature trends per stage should continue. Automating data logging with sensors and integrating it into a decision-support system will enable proactive adjustments and prevent growth bottlenecks.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1152525</xdr:colOff>
      <xdr:row>2</xdr:row>
      <xdr:rowOff>33337</xdr:rowOff>
    </xdr:from>
    <xdr:to>
      <xdr:col>8</xdr:col>
      <xdr:colOff>371475</xdr:colOff>
      <xdr:row>16</xdr:row>
      <xdr:rowOff>109537</xdr:rowOff>
    </xdr:to>
    <xdr:graphicFrame macro="">
      <xdr:nvGraphicFramePr>
        <xdr:cNvPr id="2" name="Chart 1">
          <a:extLst>
            <a:ext uri="{FF2B5EF4-FFF2-40B4-BE49-F238E27FC236}">
              <a16:creationId xmlns:a16="http://schemas.microsoft.com/office/drawing/2014/main" id="{C0EEBFC3-9B06-45ED-A861-0C47E9D7E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428625</xdr:colOff>
      <xdr:row>2</xdr:row>
      <xdr:rowOff>161925</xdr:rowOff>
    </xdr:from>
    <xdr:to>
      <xdr:col>10</xdr:col>
      <xdr:colOff>102393</xdr:colOff>
      <xdr:row>12</xdr:row>
      <xdr:rowOff>114300</xdr:rowOff>
    </xdr:to>
    <xdr:graphicFrame macro="">
      <xdr:nvGraphicFramePr>
        <xdr:cNvPr id="3" name="Chart 2">
          <a:extLst>
            <a:ext uri="{FF2B5EF4-FFF2-40B4-BE49-F238E27FC236}">
              <a16:creationId xmlns:a16="http://schemas.microsoft.com/office/drawing/2014/main" id="{15759391-8A75-4575-B8AB-FDCD3CC38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1152525</xdr:colOff>
      <xdr:row>2</xdr:row>
      <xdr:rowOff>33337</xdr:rowOff>
    </xdr:from>
    <xdr:to>
      <xdr:col>8</xdr:col>
      <xdr:colOff>95250</xdr:colOff>
      <xdr:row>16</xdr:row>
      <xdr:rowOff>109537</xdr:rowOff>
    </xdr:to>
    <xdr:graphicFrame macro="">
      <xdr:nvGraphicFramePr>
        <xdr:cNvPr id="2" name="Chart 1">
          <a:extLst>
            <a:ext uri="{FF2B5EF4-FFF2-40B4-BE49-F238E27FC236}">
              <a16:creationId xmlns:a16="http://schemas.microsoft.com/office/drawing/2014/main" id="{5EECA1DA-2692-4429-9554-630AD8D2B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1152525</xdr:colOff>
      <xdr:row>2</xdr:row>
      <xdr:rowOff>33337</xdr:rowOff>
    </xdr:from>
    <xdr:to>
      <xdr:col>8</xdr:col>
      <xdr:colOff>95250</xdr:colOff>
      <xdr:row>16</xdr:row>
      <xdr:rowOff>109537</xdr:rowOff>
    </xdr:to>
    <xdr:graphicFrame macro="">
      <xdr:nvGraphicFramePr>
        <xdr:cNvPr id="2" name="Chart 1">
          <a:extLst>
            <a:ext uri="{FF2B5EF4-FFF2-40B4-BE49-F238E27FC236}">
              <a16:creationId xmlns:a16="http://schemas.microsoft.com/office/drawing/2014/main" id="{9243F141-8D50-4237-BA1A-1BF2AC1CE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1152525</xdr:colOff>
      <xdr:row>2</xdr:row>
      <xdr:rowOff>33337</xdr:rowOff>
    </xdr:from>
    <xdr:to>
      <xdr:col>8</xdr:col>
      <xdr:colOff>95250</xdr:colOff>
      <xdr:row>16</xdr:row>
      <xdr:rowOff>109537</xdr:rowOff>
    </xdr:to>
    <xdr:graphicFrame macro="">
      <xdr:nvGraphicFramePr>
        <xdr:cNvPr id="2" name="Chart 1">
          <a:extLst>
            <a:ext uri="{FF2B5EF4-FFF2-40B4-BE49-F238E27FC236}">
              <a16:creationId xmlns:a16="http://schemas.microsoft.com/office/drawing/2014/main" id="{12AF3AF1-CB15-476C-9008-9CAFDBD0A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438150</xdr:colOff>
      <xdr:row>1</xdr:row>
      <xdr:rowOff>157162</xdr:rowOff>
    </xdr:from>
    <xdr:to>
      <xdr:col>11</xdr:col>
      <xdr:colOff>76200</xdr:colOff>
      <xdr:row>16</xdr:row>
      <xdr:rowOff>42862</xdr:rowOff>
    </xdr:to>
    <xdr:graphicFrame macro="">
      <xdr:nvGraphicFramePr>
        <xdr:cNvPr id="2" name="Chart 1">
          <a:extLst>
            <a:ext uri="{FF2B5EF4-FFF2-40B4-BE49-F238E27FC236}">
              <a16:creationId xmlns:a16="http://schemas.microsoft.com/office/drawing/2014/main" id="{63DCBD4C-A9FF-4121-AE38-3CCD7AC34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647700</xdr:colOff>
      <xdr:row>2</xdr:row>
      <xdr:rowOff>100011</xdr:rowOff>
    </xdr:from>
    <xdr:to>
      <xdr:col>13</xdr:col>
      <xdr:colOff>266700</xdr:colOff>
      <xdr:row>18</xdr:row>
      <xdr:rowOff>180974</xdr:rowOff>
    </xdr:to>
    <xdr:graphicFrame macro="">
      <xdr:nvGraphicFramePr>
        <xdr:cNvPr id="2" name="Chart 1">
          <a:extLst>
            <a:ext uri="{FF2B5EF4-FFF2-40B4-BE49-F238E27FC236}">
              <a16:creationId xmlns:a16="http://schemas.microsoft.com/office/drawing/2014/main" id="{BCCA0CFD-2FB2-41DC-8836-4E678299B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498587963" backgroundQuery="1" createdVersion="8" refreshedVersion="8" minRefreshableVersion="3" recordCount="0" supportSubquery="1" supportAdvancedDrill="1" xr:uid="{A7340E7D-B6EA-47EA-B3AD-69D6183211D6}">
  <cacheSource type="external" connectionId="5"/>
  <cacheFields count="2">
    <cacheField name="[Table4_2].[Growth Stage].[Growth Stage]" caption="Growth Stage" numFmtId="0" hierarchy="11" level="1">
      <sharedItems count="3">
        <s v="Maturity"/>
        <s v="Seedling"/>
        <s v="Vegetative"/>
      </sharedItems>
    </cacheField>
    <cacheField name="[Measures].[Count of Plant_ID]" caption="Count of Plant_ID" numFmtId="0" hierarchy="26" level="32767"/>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fieldsUsage count="2">
        <fieldUsage x="-1"/>
        <fieldUsage x="0"/>
      </fieldsUsage>
    </cacheHierarchy>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49864236111" backgroundQuery="1" createdVersion="8" refreshedVersion="8" minRefreshableVersion="3" recordCount="0" supportSubquery="1" supportAdvancedDrill="1" xr:uid="{9F0A04F2-5ADE-466F-B8D7-019386469003}">
  <cacheSource type="external" connectionId="5"/>
  <cacheFields count="3">
    <cacheField name="[Table4_2].[Days Name].[Days Name]" caption="Days Name" numFmtId="0" hierarchy="2" level="1">
      <sharedItems count="7">
        <s v="Friday"/>
        <s v="Monday"/>
        <s v="Saturday"/>
        <s v="Sunday"/>
        <s v="Thursday"/>
        <s v="Tuesday"/>
        <s v="Wednesday"/>
      </sharedItems>
    </cacheField>
    <cacheField name="[Measures].[Count of Plant_ID]" caption="Count of Plant_ID" numFmtId="0" hierarchy="26" level="32767"/>
    <cacheField name="[Table4_2].[Growth Stage].[Growth Stage]" caption="Growth Stage" numFmtId="0" hierarchy="11" level="1">
      <sharedItems containsSemiMixedTypes="0" containsNonDate="0" containsString="0"/>
    </cacheField>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fieldsUsage count="2">
        <fieldUsage x="-1"/>
        <fieldUsage x="0"/>
      </fieldsUsage>
    </cacheHierarchy>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fieldsUsage count="2">
        <fieldUsage x="-1"/>
        <fieldUsage x="2"/>
      </fieldsUsage>
    </cacheHierarchy>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49867708336" backgroundQuery="1" createdVersion="8" refreshedVersion="8" minRefreshableVersion="3" recordCount="0" supportSubquery="1" supportAdvancedDrill="1" xr:uid="{AB917023-57A6-4568-B6EC-82CF4A869AF4}">
  <cacheSource type="external" connectionId="5"/>
  <cacheFields count="3">
    <cacheField name="[Table4_2].[Days Name].[Days Name]" caption="Days Name" numFmtId="0" hierarchy="2" level="1">
      <sharedItems count="7">
        <s v="Friday"/>
        <s v="Monday"/>
        <s v="Saturday"/>
        <s v="Sunday"/>
        <s v="Thursday"/>
        <s v="Tuesday"/>
        <s v="Wednesday"/>
      </sharedItems>
    </cacheField>
    <cacheField name="[Measures].[Average of Humidity (%)]" caption="Average of Humidity (%)" numFmtId="0" hierarchy="23" level="32767"/>
    <cacheField name="[Table4_2].[Growth Stage].[Growth Stage]" caption="Growth Stage" numFmtId="0" hierarchy="11" level="1">
      <sharedItems containsSemiMixedTypes="0" containsNonDate="0" containsString="0"/>
    </cacheField>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fieldsUsage count="2">
        <fieldUsage x="-1"/>
        <fieldUsage x="0"/>
      </fieldsUsage>
    </cacheHierarchy>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fieldsUsage count="2">
        <fieldUsage x="-1"/>
        <fieldUsage x="2"/>
      </fieldsUsage>
    </cacheHierarchy>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hidden="1">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49871296293" backgroundQuery="1" createdVersion="8" refreshedVersion="8" minRefreshableVersion="3" recordCount="0" supportSubquery="1" supportAdvancedDrill="1" xr:uid="{45E79E3E-5FE4-471F-8955-8611160B2826}">
  <cacheSource type="external" connectionId="5"/>
  <cacheFields count="3">
    <cacheField name="[Table4_2].[Days Name].[Days Name]" caption="Days Name" numFmtId="0" hierarchy="2" level="1">
      <sharedItems count="7">
        <s v="Friday"/>
        <s v="Monday"/>
        <s v="Saturday"/>
        <s v="Sunday"/>
        <s v="Thursday"/>
        <s v="Tuesday"/>
        <s v="Wednesday"/>
      </sharedItems>
    </cacheField>
    <cacheField name="[Measures].[Average of TDS Value (ppm)]" caption="Average of TDS Value (ppm)" numFmtId="0" hierarchy="22" level="32767"/>
    <cacheField name="[Table4_2].[Growth Stage].[Growth Stage]" caption="Growth Stage" numFmtId="0" hierarchy="11" level="1">
      <sharedItems containsSemiMixedTypes="0" containsNonDate="0" containsString="0"/>
    </cacheField>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fieldsUsage count="2">
        <fieldUsage x="-1"/>
        <fieldUsage x="0"/>
      </fieldsUsage>
    </cacheHierarchy>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fieldsUsage count="2">
        <fieldUsage x="-1"/>
        <fieldUsage x="2"/>
      </fieldsUsage>
    </cacheHierarchy>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hidden="1">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49874537034" backgroundQuery="1" createdVersion="8" refreshedVersion="8" minRefreshableVersion="3" recordCount="0" supportSubquery="1" supportAdvancedDrill="1" xr:uid="{78629608-413A-4AD5-B693-34F9FAAB0FA9}">
  <cacheSource type="external" connectionId="5"/>
  <cacheFields count="3">
    <cacheField name="[Table4_2].[Days Name].[Days Name]" caption="Days Name" numFmtId="0" hierarchy="2" level="1">
      <sharedItems count="7">
        <s v="Friday"/>
        <s v="Monday"/>
        <s v="Saturday"/>
        <s v="Sunday"/>
        <s v="Thursday"/>
        <s v="Tuesday"/>
        <s v="Wednesday"/>
      </sharedItems>
    </cacheField>
    <cacheField name="[Measures].[Average of Temperature (°C)]" caption="Average of Temperature (°C)" numFmtId="0" hierarchy="24" level="32767"/>
    <cacheField name="[Table4_2].[Growth Stage].[Growth Stage]" caption="Growth Stage" numFmtId="0" hierarchy="11" level="1">
      <sharedItems containsSemiMixedTypes="0" containsNonDate="0" containsString="0"/>
    </cacheField>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fieldsUsage count="2">
        <fieldUsage x="-1"/>
        <fieldUsage x="0"/>
      </fieldsUsage>
    </cacheHierarchy>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fieldsUsage count="2">
        <fieldUsage x="-1"/>
        <fieldUsage x="2"/>
      </fieldsUsage>
    </cacheHierarchy>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hidden="1">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49878009259" backgroundQuery="1" createdVersion="8" refreshedVersion="8" minRefreshableVersion="3" recordCount="0" supportSubquery="1" supportAdvancedDrill="1" xr:uid="{8A6B3879-F420-4083-9554-454AF954B72B}">
  <cacheSource type="external" connectionId="5"/>
  <cacheFields count="3">
    <cacheField name="[Table4_2].[Days Name].[Days Name]" caption="Days Name" numFmtId="0" hierarchy="2" level="1">
      <sharedItems count="7">
        <s v="Friday"/>
        <s v="Monday"/>
        <s v="Saturday"/>
        <s v="Sunday"/>
        <s v="Thursday"/>
        <s v="Tuesday"/>
        <s v="Wednesday"/>
      </sharedItems>
    </cacheField>
    <cacheField name="[Measures].[Average of pH Level]" caption="Average of pH Level" numFmtId="0" hierarchy="21" level="32767"/>
    <cacheField name="[Table4_2].[Growth Stage].[Growth Stage]" caption="Growth Stage" numFmtId="0" hierarchy="11" level="1">
      <sharedItems containsSemiMixedTypes="0" containsNonDate="0" containsString="0"/>
    </cacheField>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fieldsUsage count="2">
        <fieldUsage x="-1"/>
        <fieldUsage x="0"/>
      </fieldsUsage>
    </cacheHierarchy>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fieldsUsage count="2">
        <fieldUsage x="-1"/>
        <fieldUsage x="2"/>
      </fieldsUsage>
    </cacheHierarchy>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hidden="1">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64.186965162036" backgroundQuery="1" createdVersion="8" refreshedVersion="8" minRefreshableVersion="3" recordCount="0" supportSubquery="1" supportAdvancedDrill="1" xr:uid="{3F798FB3-C920-4259-9BCB-A0AABB58DAE0}">
  <cacheSource type="external" connectionId="5"/>
  <cacheFields count="2">
    <cacheField name="[Measures].[Count of Plant_ID]" caption="Count of Plant_ID" numFmtId="0" hierarchy="26" level="32767"/>
    <cacheField name="[Table4_2].[Nutrient Adequacy].[Nutrient Adequacy]" caption="Nutrient Adequacy" numFmtId="0" hierarchy="12" level="1">
      <sharedItems count="2">
        <s v="Low"/>
        <s v="Optimal"/>
      </sharedItems>
    </cacheField>
  </cacheFields>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cacheHierarchy uniqueName="[Table4_2].[Nutrient Adequacy]" caption="Nutrient Adequacy" attribute="1" defaultMemberUniqueName="[Table4_2].[Nutrient Adequacy].[All]" allUniqueName="[Table4_2].[Nutrient Adequacy].[All]" dimensionUniqueName="[Table4_2]" displayFolder="" count="2" memberValueDatatype="130" unbalanced="0">
      <fieldsUsage count="2">
        <fieldUsage x="-1"/>
        <fieldUsage x="1"/>
      </fieldsUsage>
    </cacheHierarchy>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_2" uniqueName="[Table4_2]" caption="Table4_2"/>
  </dimensions>
  <measureGroups count="1">
    <measureGroup name="Table4_2" caption="Table4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ca" refreshedDate="45924.605151736112" backgroundQuery="1" createdVersion="3" refreshedVersion="8" minRefreshableVersion="3" recordCount="0" supportSubquery="1" supportAdvancedDrill="1" xr:uid="{02DBDBA9-5979-449F-AE1B-1D7111CFA90C}">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Table4_2].[Plant_ID]" caption="Plant_ID" attribute="1" defaultMemberUniqueName="[Table4_2].[Plant_ID].[All]" allUniqueName="[Table4_2].[Plant_ID].[All]" dimensionUniqueName="[Table4_2]" displayFolder="" count="0" memberValueDatatype="20" unbalanced="0"/>
    <cacheHierarchy uniqueName="[Table4_2].[Date]" caption="Date" attribute="1" time="1" defaultMemberUniqueName="[Table4_2].[Date].[All]" allUniqueName="[Table4_2].[Date].[All]" dimensionUniqueName="[Table4_2]" displayFolder="" count="0" memberValueDatatype="7" unbalanced="0"/>
    <cacheHierarchy uniqueName="[Table4_2].[Days Name]" caption="Days Name" attribute="1" defaultMemberUniqueName="[Table4_2].[Days Name].[All]" allUniqueName="[Table4_2].[Days Name].[All]" dimensionUniqueName="[Table4_2]" displayFolder="" count="2" memberValueDatatype="130" unbalanced="0"/>
    <cacheHierarchy uniqueName="[Table4_2].[Temperature (°C)]" caption="Temperature (°C)" attribute="1" defaultMemberUniqueName="[Table4_2].[Temperature (°C)].[All]" allUniqueName="[Table4_2].[Temperature (°C)].[All]" dimensionUniqueName="[Table4_2]" displayFolder="" count="0" memberValueDatatype="5" unbalanced="0"/>
    <cacheHierarchy uniqueName="[Table4_2].[Humidity (%)]" caption="Humidity (%)" attribute="1" defaultMemberUniqueName="[Table4_2].[Humidity (%)].[All]" allUniqueName="[Table4_2].[Humidity (%)].[All]" dimensionUniqueName="[Table4_2]" displayFolder="" count="0" memberValueDatatype="20" unbalanced="0"/>
    <cacheHierarchy uniqueName="[Table4_2].[TDS Value (ppm)]" caption="TDS Value (ppm)" attribute="1" defaultMemberUniqueName="[Table4_2].[TDS Value (ppm)].[All]" allUniqueName="[Table4_2].[TDS Value (ppm)].[All]" dimensionUniqueName="[Table4_2]" displayFolder="" count="0" memberValueDatatype="20" unbalanced="0"/>
    <cacheHierarchy uniqueName="[Table4_2].[pH Level]" caption="pH Level" attribute="1" defaultMemberUniqueName="[Table4_2].[pH Level].[All]" allUniqueName="[Table4_2].[pH Level].[All]" dimensionUniqueName="[Table4_2]" displayFolder="" count="0" memberValueDatatype="5" unbalanced="0"/>
    <cacheHierarchy uniqueName="[Table4_2].[Growth Days]" caption="Growth Days" attribute="1" defaultMemberUniqueName="[Table4_2].[Growth Days].[All]" allUniqueName="[Table4_2].[Growth Days].[All]" dimensionUniqueName="[Table4_2]" displayFolder="" count="2" memberValueDatatype="20" unbalanced="0"/>
    <cacheHierarchy uniqueName="[Table4_2].[Temperature (F)]" caption="Temperature (F)" attribute="1" defaultMemberUniqueName="[Table4_2].[Temperature (F)].[All]" allUniqueName="[Table4_2].[Temperature (F)].[All]" dimensionUniqueName="[Table4_2]" displayFolder="" count="0" memberValueDatatype="5" unbalanced="0"/>
    <cacheHierarchy uniqueName="[Table4_2].[Humidity]" caption="Humidity" attribute="1" defaultMemberUniqueName="[Table4_2].[Humidity].[All]" allUniqueName="[Table4_2].[Humidity].[All]" dimensionUniqueName="[Table4_2]" displayFolder="" count="0" memberValueDatatype="5" unbalanced="0"/>
    <cacheHierarchy uniqueName="[Table4_2].[Day Name]" caption="Day Name" attribute="1" defaultMemberUniqueName="[Table4_2].[Day Name].[All]" allUniqueName="[Table4_2].[Day Name].[All]" dimensionUniqueName="[Table4_2]" displayFolder="" count="0" memberValueDatatype="130" unbalanced="0"/>
    <cacheHierarchy uniqueName="[Table4_2].[Growth Stage]" caption="Growth Stage" attribute="1" defaultMemberUniqueName="[Table4_2].[Growth Stage].[All]" allUniqueName="[Table4_2].[Growth Stage].[All]" dimensionUniqueName="[Table4_2]" displayFolder="" count="2" memberValueDatatype="130" unbalanced="0"/>
    <cacheHierarchy uniqueName="[Table4_2].[Nutrient Adequacy]" caption="Nutrient Adequacy" attribute="1" defaultMemberUniqueName="[Table4_2].[Nutrient Adequacy].[All]" allUniqueName="[Table4_2].[Nutrient Adequacy].[All]" dimensionUniqueName="[Table4_2]" displayFolder="" count="2" memberValueDatatype="130" unbalanced="0"/>
    <cacheHierarchy uniqueName="[Table4_2].[Date (Month)]" caption="Date (Month)" attribute="1" defaultMemberUniqueName="[Table4_2].[Date (Month)].[All]" allUniqueName="[Table4_2].[Date (Month)].[All]" dimensionUniqueName="[Table4_2]" displayFolder="" count="0" memberValueDatatype="130" unbalanced="0"/>
    <cacheHierarchy uniqueName="[Table4_2].[Date (Month Index)]" caption="Date (Month Index)" attribute="1" defaultMemberUniqueName="[Table4_2].[Date (Month Index)].[All]" allUniqueName="[Table4_2].[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No measures defined]" caption="__No measures defined" measure="1" displayFolder="" count="0" hidden="1"/>
    <cacheHierarchy uniqueName="[Measures].[Sum of Temperature (°C)]" caption="Sum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Humidity (%)]" caption="Sum of Humidity (%)" measure="1" displayFolder="" measureGroup="Table4_2" count="0" hidden="1">
      <extLst>
        <ext xmlns:x15="http://schemas.microsoft.com/office/spreadsheetml/2010/11/main" uri="{B97F6D7D-B522-45F9-BDA1-12C45D357490}">
          <x15:cacheHierarchy aggregatedColumn="4"/>
        </ext>
      </extLst>
    </cacheHierarchy>
    <cacheHierarchy uniqueName="[Measures].[Sum of TDS Value (ppm)]" caption="Sum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Sum of pH Level]" caption="Sum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pH Level]" caption="Average of pH Level" measure="1" displayFolder="" measureGroup="Table4_2" count="0" hidden="1">
      <extLst>
        <ext xmlns:x15="http://schemas.microsoft.com/office/spreadsheetml/2010/11/main" uri="{B97F6D7D-B522-45F9-BDA1-12C45D357490}">
          <x15:cacheHierarchy aggregatedColumn="6"/>
        </ext>
      </extLst>
    </cacheHierarchy>
    <cacheHierarchy uniqueName="[Measures].[Average of TDS Value (ppm)]" caption="Average of TDS Value (ppm)" measure="1" displayFolder="" measureGroup="Table4_2" count="0" hidden="1">
      <extLst>
        <ext xmlns:x15="http://schemas.microsoft.com/office/spreadsheetml/2010/11/main" uri="{B97F6D7D-B522-45F9-BDA1-12C45D357490}">
          <x15:cacheHierarchy aggregatedColumn="5"/>
        </ext>
      </extLst>
    </cacheHierarchy>
    <cacheHierarchy uniqueName="[Measures].[Average of Humidity (%)]" caption="Average of Humidity (%)" measure="1" displayFolder="" measureGroup="Table4_2" count="0" hidden="1">
      <extLst>
        <ext xmlns:x15="http://schemas.microsoft.com/office/spreadsheetml/2010/11/main" uri="{B97F6D7D-B522-45F9-BDA1-12C45D357490}">
          <x15:cacheHierarchy aggregatedColumn="4"/>
        </ext>
      </extLst>
    </cacheHierarchy>
    <cacheHierarchy uniqueName="[Measures].[Average of Temperature (°C)]" caption="Average of Temperature (°C)" measure="1" displayFolder="" measureGroup="Table4_2" count="0" hidden="1">
      <extLst>
        <ext xmlns:x15="http://schemas.microsoft.com/office/spreadsheetml/2010/11/main" uri="{B97F6D7D-B522-45F9-BDA1-12C45D357490}">
          <x15:cacheHierarchy aggregatedColumn="3"/>
        </ext>
      </extLst>
    </cacheHierarchy>
    <cacheHierarchy uniqueName="[Measures].[Sum of Plant_ID]" caption="Sum of Plant_ID" measure="1" displayFolder="" measureGroup="Table4_2" count="0" hidden="1">
      <extLst>
        <ext xmlns:x15="http://schemas.microsoft.com/office/spreadsheetml/2010/11/main" uri="{B97F6D7D-B522-45F9-BDA1-12C45D357490}">
          <x15:cacheHierarchy aggregatedColumn="0"/>
        </ext>
      </extLst>
    </cacheHierarchy>
    <cacheHierarchy uniqueName="[Measures].[Count of Plant_ID]" caption="Count of Plant_ID" measure="1" displayFolder="" measureGroup="Table4_2" count="0" hidden="1">
      <extLst>
        <ext xmlns:x15="http://schemas.microsoft.com/office/spreadsheetml/2010/11/main" uri="{B97F6D7D-B522-45F9-BDA1-12C45D357490}">
          <x15:cacheHierarchy aggregatedColumn="0"/>
        </ext>
      </extLst>
    </cacheHierarchy>
    <cacheHierarchy uniqueName="[Measures].[Sum of Growth Days]" caption="Sum of Growth Days" measure="1" displayFolder="" measureGroup="Table4_2" count="0" hidden="1">
      <extLst>
        <ext xmlns:x15="http://schemas.microsoft.com/office/spreadsheetml/2010/11/main" uri="{B97F6D7D-B522-45F9-BDA1-12C45D357490}">
          <x15:cacheHierarchy aggregatedColumn="7"/>
        </ext>
      </extLst>
    </cacheHierarchy>
    <cacheHierarchy uniqueName="[Measures].[Count of Growth Days]" caption="Count of Growth Days" measure="1" displayFolder="" measureGroup="Table4_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421054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7DE956-5261-48BE-9F69-887596816553}" name="PivotTable2"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11" firstHeaderRow="1" firstDataRow="1" firstDataCol="1"/>
  <pivotFields count="3">
    <pivotField axis="axisRow" allDrilled="1" subtotalTop="0" showAll="0" hideNewItems="1"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Humidity (%)" fld="1" subtotal="average" baseField="0" baseItem="0" numFmtId="164"/>
  </dataFields>
  <chartFormats count="4">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9A3EB-FBE8-498D-A305-618A6BCF5106}" name="PivotTable2"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B11" firstHeaderRow="1" firstDataRow="1" firstDataCol="1"/>
  <pivotFields count="3">
    <pivotField axis="axisRow" allDrilled="1" subtotalTop="0" showAll="0" hideNewItems="1"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Temperature (°C)" fld="1" subtotal="average" baseField="0" baseItem="0" numFmtId="167"/>
  </dataFields>
  <chartFormats count="16">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 chart="12" format="16">
      <pivotArea type="data" outline="0" fieldPosition="0">
        <references count="2">
          <reference field="4294967294" count="1" selected="0">
            <x v="0"/>
          </reference>
          <reference field="0" count="1" selected="0">
            <x v="3"/>
          </reference>
        </references>
      </pivotArea>
    </chartFormat>
    <chartFormat chart="12" format="17">
      <pivotArea type="data" outline="0" fieldPosition="0">
        <references count="2">
          <reference field="4294967294" count="1" selected="0">
            <x v="0"/>
          </reference>
          <reference field="0" count="1" selected="0">
            <x v="1"/>
          </reference>
        </references>
      </pivotArea>
    </chartFormat>
    <chartFormat chart="12" format="18">
      <pivotArea type="data" outline="0" fieldPosition="0">
        <references count="2">
          <reference field="4294967294" count="1" selected="0">
            <x v="0"/>
          </reference>
          <reference field="0" count="1" selected="0">
            <x v="0"/>
          </reference>
        </references>
      </pivotArea>
    </chartFormat>
    <chartFormat chart="12" format="19">
      <pivotArea type="data" outline="0" fieldPosition="0">
        <references count="2">
          <reference field="4294967294" count="1" selected="0">
            <x v="0"/>
          </reference>
          <reference field="0" count="1" selected="0">
            <x v="4"/>
          </reference>
        </references>
      </pivotArea>
    </chartFormat>
    <chartFormat chart="12" format="20">
      <pivotArea type="data" outline="0" fieldPosition="0">
        <references count="2">
          <reference field="4294967294" count="1" selected="0">
            <x v="0"/>
          </reference>
          <reference field="0" count="1" selected="0">
            <x v="5"/>
          </reference>
        </references>
      </pivotArea>
    </chartFormat>
    <chartFormat chart="12" format="21">
      <pivotArea type="data" outline="0" fieldPosition="0">
        <references count="2">
          <reference field="4294967294" count="1" selected="0">
            <x v="0"/>
          </reference>
          <reference field="0" count="1" selected="0">
            <x v="6"/>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0" count="1" selected="0">
            <x v="0"/>
          </reference>
        </references>
      </pivotArea>
    </chartFormat>
    <chartFormat chart="16" format="32">
      <pivotArea type="data" outline="0" fieldPosition="0">
        <references count="2">
          <reference field="4294967294" count="1" selected="0">
            <x v="0"/>
          </reference>
          <reference field="0" count="1" selected="0">
            <x v="1"/>
          </reference>
        </references>
      </pivotArea>
    </chartFormat>
    <chartFormat chart="16" format="33">
      <pivotArea type="data" outline="0" fieldPosition="0">
        <references count="2">
          <reference field="4294967294" count="1" selected="0">
            <x v="0"/>
          </reference>
          <reference field="0" count="1" selected="0">
            <x v="2"/>
          </reference>
        </references>
      </pivotArea>
    </chartFormat>
    <chartFormat chart="16" format="34">
      <pivotArea type="data" outline="0" fieldPosition="0">
        <references count="2">
          <reference field="4294967294" count="1" selected="0">
            <x v="0"/>
          </reference>
          <reference field="0" count="1" selected="0">
            <x v="3"/>
          </reference>
        </references>
      </pivotArea>
    </chartFormat>
    <chartFormat chart="16" format="35">
      <pivotArea type="data" outline="0" fieldPosition="0">
        <references count="2">
          <reference field="4294967294" count="1" selected="0">
            <x v="0"/>
          </reference>
          <reference field="0" count="1" selected="0">
            <x v="4"/>
          </reference>
        </references>
      </pivotArea>
    </chartFormat>
    <chartFormat chart="16" format="36">
      <pivotArea type="data" outline="0" fieldPosition="0">
        <references count="2">
          <reference field="4294967294" count="1" selected="0">
            <x v="0"/>
          </reference>
          <reference field="0" count="1" selected="0">
            <x v="5"/>
          </reference>
        </references>
      </pivotArea>
    </chartFormat>
    <chartFormat chart="16" format="37">
      <pivotArea type="data" outline="0" fieldPosition="0">
        <references count="2">
          <reference field="4294967294" count="1" selected="0">
            <x v="0"/>
          </reference>
          <reference field="0" count="1" selected="0">
            <x v="6"/>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35EB09-C593-4917-874A-DF7349084A93}" name="PivotTable2"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B11" firstHeaderRow="1" firstDataRow="1" firstDataCol="1"/>
  <pivotFields count="3">
    <pivotField axis="axisRow" allDrilled="1" subtotalTop="0" showAll="0" hideNewItems="1"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TDS Value (ppm)" fld="1" subtotal="average" baseField="0" baseItem="0" numFmtId="165"/>
  </dataFields>
  <chartFormats count="7">
    <chartFormat chart="8" format="9"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0" count="1" selected="0">
            <x v="3"/>
          </reference>
        </references>
      </pivotArea>
    </chartFormat>
    <chartFormat chart="10" format="13">
      <pivotArea type="data" outline="0" fieldPosition="0">
        <references count="2">
          <reference field="4294967294" count="1" selected="0">
            <x v="0"/>
          </reference>
          <reference field="0" count="1" selected="0">
            <x v="1"/>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2">
          <reference field="4294967294" count="1" selected="0">
            <x v="0"/>
          </reference>
          <reference field="0" count="1" selected="0">
            <x v="6"/>
          </reference>
        </references>
      </pivotArea>
    </chartFormat>
    <chartFormat chart="10" format="16">
      <pivotArea type="data" outline="0" fieldPosition="0">
        <references count="2">
          <reference field="4294967294" count="1" selected="0">
            <x v="0"/>
          </reference>
          <reference field="0" count="1" selected="0">
            <x v="4"/>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5AD9A5-72B5-4B5D-BF40-CE785C4D86CD}" name="PivotTable2"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11" firstHeaderRow="1" firstDataRow="1" firstDataCol="1"/>
  <pivotFields count="3">
    <pivotField axis="axisRow" allDrilled="1" subtotalTop="0" showAll="0" hideNewItems="1"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pH Level" fld="1" subtotal="average" baseField="0" baseItem="0" numFmtId="166"/>
  </dataFields>
  <chartFormats count="2">
    <chartFormat chart="9" format="11"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9E1166-EEE8-481F-8A36-1DF4B59FDECA}" name="PivotTable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B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name="Count of Plant_ID" fld="1" subtotal="count" baseField="0" baseItem="0"/>
  </dataFields>
  <chartFormats count="8">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0" count="1" selected="0">
            <x v="2"/>
          </reference>
        </references>
      </pivotArea>
    </chartFormat>
    <chartFormat chart="10" format="17">
      <pivotArea type="data" outline="0" fieldPosition="0">
        <references count="2">
          <reference field="4294967294" count="1" selected="0">
            <x v="0"/>
          </reference>
          <reference field="0" count="1" selected="0">
            <x v="1"/>
          </reference>
        </references>
      </pivotArea>
    </chartFormat>
    <chartFormat chart="10" format="18">
      <pivotArea type="data" outline="0" fieldPosition="0">
        <references count="2">
          <reference field="4294967294" count="1" selected="0">
            <x v="0"/>
          </reference>
          <reference field="0" count="1" selected="0">
            <x v="0"/>
          </reference>
        </references>
      </pivotArea>
    </chartFormat>
    <chartFormat chart="14" format="23" series="1">
      <pivotArea type="data" outline="0" fieldPosition="0">
        <references count="1">
          <reference field="4294967294" count="1" selected="0">
            <x v="0"/>
          </reference>
        </references>
      </pivotArea>
    </chartFormat>
    <chartFormat chart="14" format="24">
      <pivotArea type="data" outline="0" fieldPosition="0">
        <references count="2">
          <reference field="4294967294" count="1" selected="0">
            <x v="0"/>
          </reference>
          <reference field="0" count="1" selected="0">
            <x v="2"/>
          </reference>
        </references>
      </pivotArea>
    </chartFormat>
    <chartFormat chart="14" format="25">
      <pivotArea type="data" outline="0" fieldPosition="0">
        <references count="2">
          <reference field="4294967294" count="1" selected="0">
            <x v="0"/>
          </reference>
          <reference field="0" count="1" selected="0">
            <x v="1"/>
          </reference>
        </references>
      </pivotArea>
    </chartFormat>
    <chartFormat chart="14" format="26">
      <pivotArea type="data" outline="0" fieldPosition="0">
        <references count="2">
          <reference field="4294967294" count="1" selected="0">
            <x v="0"/>
          </reference>
          <reference field="0"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E06369-B7B9-4669-A845-B98F3969F705}" name="PivotTable2"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3:B11" firstHeaderRow="1" firstDataRow="1" firstDataCol="1"/>
  <pivotFields count="3">
    <pivotField axis="axisRow" allDrilled="1" subtotalTop="0" showAll="0" hideNewItems="1" nonAutoSortDefault="1" defaultSubtotal="0" defaultAttributeDrillState="1">
      <items count="7">
        <item x="4"/>
        <item x="0"/>
        <item x="2"/>
        <item x="3"/>
        <item x="1"/>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lant_ID" fld="1" subtotal="count" baseField="0" baseItem="0"/>
  </dataFields>
  <chartFormats count="11">
    <chartFormat chart="10" format="13"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0" count="1" selected="0">
            <x v="0"/>
          </reference>
        </references>
      </pivotArea>
    </chartFormat>
    <chartFormat chart="10" format="17">
      <pivotArea type="data" outline="0" fieldPosition="0">
        <references count="2">
          <reference field="4294967294" count="1" selected="0">
            <x v="0"/>
          </reference>
          <reference field="0" count="1" selected="0">
            <x v="3"/>
          </reference>
        </references>
      </pivotArea>
    </chartFormat>
    <chartFormat chart="10" format="18">
      <pivotArea type="data" outline="0" fieldPosition="0">
        <references count="2">
          <reference field="4294967294" count="1" selected="0">
            <x v="0"/>
          </reference>
          <reference field="0" count="1" selected="0">
            <x v="4"/>
          </reference>
        </references>
      </pivotArea>
    </chartFormat>
    <chartFormat chart="10" format="19">
      <pivotArea type="data" outline="0" fieldPosition="0">
        <references count="2">
          <reference field="4294967294" count="1" selected="0">
            <x v="0"/>
          </reference>
          <reference field="0" count="1" selected="0">
            <x v="5"/>
          </reference>
        </references>
      </pivotArea>
    </chartFormat>
    <chartFormat chart="10" format="20">
      <pivotArea type="data" outline="0" fieldPosition="0">
        <references count="2">
          <reference field="4294967294" count="1" selected="0">
            <x v="0"/>
          </reference>
          <reference field="0" count="1" selected="0">
            <x v="6"/>
          </reference>
        </references>
      </pivotArea>
    </chartFormat>
    <chartFormat chart="20" format="26" series="1">
      <pivotArea type="data" outline="0" fieldPosition="0">
        <references count="1">
          <reference field="4294967294" count="1" selected="0">
            <x v="0"/>
          </reference>
        </references>
      </pivotArea>
    </chartFormat>
    <chartFormat chart="20" format="27">
      <pivotArea type="data" outline="0" fieldPosition="0">
        <references count="2">
          <reference field="4294967294" count="1" selected="0">
            <x v="0"/>
          </reference>
          <reference field="0" count="1" selected="0">
            <x v="3"/>
          </reference>
        </references>
      </pivotArea>
    </chartFormat>
    <chartFormat chart="20" format="28">
      <pivotArea type="data" outline="0" fieldPosition="0">
        <references count="2">
          <reference field="4294967294" count="1" selected="0">
            <x v="0"/>
          </reference>
          <reference field="0" count="1" selected="0">
            <x v="4"/>
          </reference>
        </references>
      </pivotArea>
    </chartFormat>
    <chartFormat chart="20" format="29">
      <pivotArea type="data" outline="0" fieldPosition="0">
        <references count="2">
          <reference field="4294967294" count="1" selected="0">
            <x v="0"/>
          </reference>
          <reference field="0" count="1" selected="0">
            <x v="5"/>
          </reference>
        </references>
      </pivotArea>
    </chartFormat>
    <chartFormat chart="20" format="30">
      <pivotArea type="data" outline="0" fieldPosition="0">
        <references count="2">
          <reference field="4294967294" count="1" selected="0">
            <x v="0"/>
          </reference>
          <reference field="0" count="1" selected="0">
            <x v="6"/>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227D35-74A2-4FC7-8F5C-C3B317658E4B}" name="PivotTable2"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Plant_ID" fld="0" subtotal="count" showDataAs="percentOfTotal" baseField="0" baseItem="0" numFmtId="10"/>
  </dataFields>
  <chartFormats count="7">
    <chartFormat chart="10" format="13"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 chart="19" format="26">
      <pivotArea type="data" outline="0" fieldPosition="0">
        <references count="2">
          <reference field="4294967294" count="1" selected="0">
            <x v="0"/>
          </reference>
          <reference field="1" count="1" selected="0">
            <x v="0"/>
          </reference>
        </references>
      </pivotArea>
    </chartFormat>
    <chartFormat chart="19" format="27">
      <pivotArea type="data" outline="0" fieldPosition="0">
        <references count="2">
          <reference field="4294967294" count="1" selected="0">
            <x v="0"/>
          </reference>
          <reference field="1" count="1" selected="0">
            <x v="1"/>
          </reference>
        </references>
      </pivotArea>
    </chartFormat>
    <chartFormat chart="23" format="31" series="1">
      <pivotArea type="data" outline="0" fieldPosition="0">
        <references count="1">
          <reference field="4294967294" count="1" selected="0">
            <x v="0"/>
          </reference>
        </references>
      </pivotArea>
    </chartFormat>
    <chartFormat chart="23" format="32">
      <pivotArea type="data" outline="0" fieldPosition="0">
        <references count="2">
          <reference field="4294967294" count="1" selected="0">
            <x v="0"/>
          </reference>
          <reference field="1" count="1" selected="0">
            <x v="0"/>
          </reference>
        </references>
      </pivotArea>
    </chartFormat>
    <chartFormat chart="23" format="33">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ettuce_dataset_updated.csv!Table4_2">
        <x15:activeTabTopLevelEntity name="[Table4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072A168-BA05-4D92-B8E9-68DFEC59A7E4}" autoFormatId="16" applyNumberFormats="0" applyBorderFormats="0" applyFontFormats="0" applyPatternFormats="0" applyAlignmentFormats="0" applyWidthHeightFormats="0">
  <queryTableRefresh nextId="10">
    <queryTableFields count="9">
      <queryTableField id="1" name="Plant_ID" tableColumnId="1"/>
      <queryTableField id="2" name="Date" tableColumnId="2"/>
      <queryTableField id="3" name="Temperature (°C)" tableColumnId="3"/>
      <queryTableField id="4" name="Humidity (%)" tableColumnId="4"/>
      <queryTableField id="5" name="TDS Value (ppm)" tableColumnId="5"/>
      <queryTableField id="6" name="pH Level" tableColumnId="6"/>
      <queryTableField id="7" name="Growth Days" tableColumnId="7"/>
      <queryTableField id="8" name="Temperature (F)" tableColumnId="8"/>
      <queryTableField id="9" name="Humidity"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A2B3EC58-83B1-449C-9547-C941728DCBF3}" autoFormatId="16" applyNumberFormats="0" applyBorderFormats="0" applyFontFormats="0" applyPatternFormats="0" applyAlignmentFormats="0" applyWidthHeightFormats="0">
  <queryTableRefresh nextId="25" unboundColumnsRight="2">
    <queryTableFields count="12">
      <queryTableField id="1" name="Plant_ID" tableColumnId="1"/>
      <queryTableField id="2" name="Date" tableColumnId="2"/>
      <queryTableField id="14" dataBound="0" tableColumnId="14"/>
      <queryTableField id="3" name="Temperature (°C)" tableColumnId="3"/>
      <queryTableField id="4" name="Humidity (%)" tableColumnId="4"/>
      <queryTableField id="5" name="TDS Value (ppm)" tableColumnId="5"/>
      <queryTableField id="6" name="pH Level" tableColumnId="6"/>
      <queryTableField id="7" name="Growth Days" tableColumnId="7"/>
      <queryTableField id="8" name="Temperature (F)" tableColumnId="8"/>
      <queryTableField id="9" name="Humidity" tableColumnId="9"/>
      <queryTableField id="15" dataBound="0" tableColumnId="15"/>
      <queryTableField id="17" dataBound="0" tableColumnId="17"/>
    </queryTableFields>
    <queryTableDeletedFields count="2">
      <deletedField name="Day Name"/>
      <deletedField name="Day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trient_Adequacy" xr10:uid="{5C97CC1C-1F68-416E-9AD5-CD3FB1593047}" sourceName="[Table4_2].[Nutrient Adequacy]">
  <pivotTables>
    <pivotTable tabId="23" name="PivotTable2"/>
    <pivotTable tabId="24" name="PivotTable2"/>
    <pivotTable tabId="22" name="PivotTable2"/>
    <pivotTable tabId="19" name="PivotTable2"/>
    <pivotTable tabId="20" name="PivotTable2"/>
    <pivotTable tabId="21" name="PivotTable2"/>
    <pivotTable tabId="27" name="PivotTable2"/>
  </pivotTables>
  <data>
    <olap pivotCacheId="542105483">
      <levels count="2">
        <level uniqueName="[Table4_2].[Nutrient Adequacy].[(All)]" sourceCaption="(All)" count="0"/>
        <level uniqueName="[Table4_2].[Nutrient Adequacy].[Nutrient Adequacy]" sourceCaption="Nutrient Adequacy" count="2">
          <ranges>
            <range startItem="0">
              <i n="[Table4_2].[Nutrient Adequacy].&amp;[Low]" c="Low"/>
              <i n="[Table4_2].[Nutrient Adequacy].&amp;[Optimal]" c="Optimal"/>
            </range>
          </ranges>
        </level>
      </levels>
      <selections count="1">
        <selection n="[Table4_2].[Nutrient Adequac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Days" xr10:uid="{417FA372-28A9-40F4-849A-A56A61020A12}" sourceName="[Table4_2].[Growth Days]">
  <pivotTables>
    <pivotTable tabId="23" name="PivotTable2"/>
    <pivotTable tabId="24" name="PivotTable2"/>
    <pivotTable tabId="22" name="PivotTable2"/>
    <pivotTable tabId="19" name="PivotTable2"/>
    <pivotTable tabId="20" name="PivotTable2"/>
    <pivotTable tabId="21" name="PivotTable2"/>
    <pivotTable tabId="27" name="PivotTable2"/>
  </pivotTables>
  <data>
    <olap pivotCacheId="542105483">
      <levels count="2">
        <level uniqueName="[Table4_2].[Growth Days].[(All)]" sourceCaption="(All)" count="0"/>
        <level uniqueName="[Table4_2].[Growth Days].[Growth Days]" sourceCaption="Growth Days" count="48">
          <ranges>
            <range startItem="0">
              <i n="[Table4_2].[Growth Days].&amp;[1]" c="1"/>
              <i n="[Table4_2].[Growth Days].&amp;[2]" c="2"/>
              <i n="[Table4_2].[Growth Days].&amp;[3]" c="3"/>
              <i n="[Table4_2].[Growth Days].&amp;[4]" c="4"/>
              <i n="[Table4_2].[Growth Days].&amp;[5]" c="5"/>
              <i n="[Table4_2].[Growth Days].&amp;[6]" c="6"/>
              <i n="[Table4_2].[Growth Days].&amp;[7]" c="7"/>
              <i n="[Table4_2].[Growth Days].&amp;[8]" c="8"/>
              <i n="[Table4_2].[Growth Days].&amp;[9]" c="9"/>
              <i n="[Table4_2].[Growth Days].&amp;[10]" c="10"/>
              <i n="[Table4_2].[Growth Days].&amp;[11]" c="11"/>
              <i n="[Table4_2].[Growth Days].&amp;[12]" c="12"/>
              <i n="[Table4_2].[Growth Days].&amp;[13]" c="13"/>
              <i n="[Table4_2].[Growth Days].&amp;[14]" c="14"/>
              <i n="[Table4_2].[Growth Days].&amp;[15]" c="15"/>
              <i n="[Table4_2].[Growth Days].&amp;[16]" c="16"/>
              <i n="[Table4_2].[Growth Days].&amp;[17]" c="17"/>
              <i n="[Table4_2].[Growth Days].&amp;[18]" c="18"/>
              <i n="[Table4_2].[Growth Days].&amp;[19]" c="19"/>
              <i n="[Table4_2].[Growth Days].&amp;[20]" c="20"/>
              <i n="[Table4_2].[Growth Days].&amp;[21]" c="21"/>
              <i n="[Table4_2].[Growth Days].&amp;[22]" c="22"/>
              <i n="[Table4_2].[Growth Days].&amp;[23]" c="23"/>
              <i n="[Table4_2].[Growth Days].&amp;[24]" c="24"/>
              <i n="[Table4_2].[Growth Days].&amp;[25]" c="25"/>
              <i n="[Table4_2].[Growth Days].&amp;[26]" c="26"/>
              <i n="[Table4_2].[Growth Days].&amp;[27]" c="27"/>
              <i n="[Table4_2].[Growth Days].&amp;[28]" c="28"/>
              <i n="[Table4_2].[Growth Days].&amp;[29]" c="29"/>
              <i n="[Table4_2].[Growth Days].&amp;[30]" c="30"/>
              <i n="[Table4_2].[Growth Days].&amp;[31]" c="31"/>
              <i n="[Table4_2].[Growth Days].&amp;[32]" c="32"/>
              <i n="[Table4_2].[Growth Days].&amp;[33]" c="33"/>
              <i n="[Table4_2].[Growth Days].&amp;[34]" c="34"/>
              <i n="[Table4_2].[Growth Days].&amp;[35]" c="35"/>
              <i n="[Table4_2].[Growth Days].&amp;[36]" c="36"/>
              <i n="[Table4_2].[Growth Days].&amp;[37]" c="37"/>
              <i n="[Table4_2].[Growth Days].&amp;[38]" c="38"/>
              <i n="[Table4_2].[Growth Days].&amp;[39]" c="39"/>
              <i n="[Table4_2].[Growth Days].&amp;[40]" c="40"/>
              <i n="[Table4_2].[Growth Days].&amp;[41]" c="41"/>
              <i n="[Table4_2].[Growth Days].&amp;[42]" c="42"/>
              <i n="[Table4_2].[Growth Days].&amp;[43]" c="43"/>
              <i n="[Table4_2].[Growth Days].&amp;[44]" c="44"/>
              <i n="[Table4_2].[Growth Days].&amp;[45]" c="45"/>
              <i n="[Table4_2].[Growth Days].&amp;[46]" c="46"/>
              <i n="[Table4_2].[Growth Days].&amp;[47]" c="47"/>
              <i n="[Table4_2].[Growth Days].&amp;[48]" c="48"/>
            </range>
          </ranges>
        </level>
      </levels>
      <selections count="1">
        <selection n="[Table4_2].[Growth Day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Stage" xr10:uid="{2EE71546-4F20-4E06-9B85-4FDF0CF2F030}" sourceName="[Table4_2].[Growth Stage]">
  <pivotTables>
    <pivotTable tabId="23" name="PivotTable2"/>
    <pivotTable tabId="24" name="PivotTable2"/>
    <pivotTable tabId="22" name="PivotTable2"/>
    <pivotTable tabId="19" name="PivotTable2"/>
    <pivotTable tabId="20" name="PivotTable2"/>
    <pivotTable tabId="27" name="PivotTable2"/>
    <pivotTable tabId="21" name="PivotTable2"/>
  </pivotTables>
  <data>
    <olap pivotCacheId="542105483">
      <levels count="2">
        <level uniqueName="[Table4_2].[Growth Stage].[(All)]" sourceCaption="(All)" count="0"/>
        <level uniqueName="[Table4_2].[Growth Stage].[Growth Stage]" sourceCaption="Growth Stage" count="3">
          <ranges>
            <range startItem="0">
              <i n="[Table4_2].[Growth Stage].&amp;[Maturity]" c="Maturity"/>
              <i n="[Table4_2].[Growth Stage].&amp;[Seedling]" c="Seedling"/>
              <i n="[Table4_2].[Growth Stage].&amp;[Vegetative]" c="Vegetative"/>
            </range>
          </ranges>
        </level>
      </levels>
      <selections count="1">
        <selection n="[Table4_2].[Growth St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trient Adequacy" xr10:uid="{BE841A18-B399-4829-8B7D-07680A6858CD}" cache="Slicer_Nutrient_Adequacy" caption="Nutrient Adequacy" columnCount="2" showCaption="0" level="1" style="lettuce project" rowHeight="257175"/>
  <slicer name="Growth Days" xr10:uid="{9DA0EDC7-D2C5-4FED-99AC-D745DABF1F1E}" cache="Slicer_Growth_Days" caption="Growth Days" level="1" style="lettuce project" rowHeight="257175"/>
  <slicer name="Growth Stage" xr10:uid="{CE1ECA1B-4AAD-422A-A408-21A87EAFBAA5}" cache="Slicer_Growth_Stage" caption="Growth Stage" level="1" style="lettuce projec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ADB170-F89E-4FA6-AF1D-D8B52E49862C}" name="Table4_1" displayName="Table4_1" ref="A1:I3170" tableType="queryTable" totalsRowShown="0" headerRowDxfId="20" headerRowBorderDxfId="19" tableBorderDxfId="18" totalsRowBorderDxfId="17">
  <autoFilter ref="A1:I3170" xr:uid="{78ADB170-F89E-4FA6-AF1D-D8B52E49862C}"/>
  <tableColumns count="9">
    <tableColumn id="1" xr3:uid="{A513AAC1-DA44-48B9-A990-E3A945A310E8}" uniqueName="1" name="Plant_ID" queryTableFieldId="1" dataDxfId="16"/>
    <tableColumn id="2" xr3:uid="{3A7BF55F-8DFF-4AE5-85C5-2CD7DD5D6736}" uniqueName="2" name="Date" queryTableFieldId="2" dataDxfId="15"/>
    <tableColumn id="3" xr3:uid="{476BB18B-80B4-4AFA-A6B1-E4D65E8754A9}" uniqueName="3" name="Temperature (°C)" queryTableFieldId="3" dataDxfId="14"/>
    <tableColumn id="4" xr3:uid="{0205F338-5DDC-4E6B-8595-7F07A54C1C90}" uniqueName="4" name="Humidity (%)" queryTableFieldId="4" dataDxfId="13"/>
    <tableColumn id="5" xr3:uid="{D0A3DDFB-992D-45E2-83C2-ADC5D898C96F}" uniqueName="5" name="TDS Value (ppm)" queryTableFieldId="5" dataDxfId="12"/>
    <tableColumn id="6" xr3:uid="{EBF479D8-9CF9-4AE7-92BE-D4DE3B0844D4}" uniqueName="6" name="pH Level" queryTableFieldId="6" dataDxfId="11"/>
    <tableColumn id="7" xr3:uid="{8CD09331-13A2-4D83-9E07-9F32B1262A94}" uniqueName="7" name="Growth Days" queryTableFieldId="7" dataDxfId="10"/>
    <tableColumn id="8" xr3:uid="{9E86ACC9-4B63-4DC4-ADC3-3E75D9A49031}" uniqueName="8" name="Temperature (F)" queryTableFieldId="8" dataDxfId="9"/>
    <tableColumn id="9" xr3:uid="{CE38B12A-AA68-4DF2-B338-11F1F23EAEA4}" uniqueName="9" name="Humidity" queryTableFieldId="9"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BDB298-D3BC-48B8-99D6-4639550DA851}" name="Table4_2" displayName="Table4_2" ref="A1:L3170" tableType="queryTable" totalsRowShown="0">
  <autoFilter ref="A1:L3170" xr:uid="{85BDB298-D3BC-48B8-99D6-4639550DA851}"/>
  <sortState xmlns:xlrd2="http://schemas.microsoft.com/office/spreadsheetml/2017/richdata2" ref="A2:L3170">
    <sortCondition ref="C2:C3170" customList="Monday,Tuesday,Wednesday,Thursday,Friday,Saturday,Sunday"/>
  </sortState>
  <tableColumns count="12">
    <tableColumn id="1" xr3:uid="{78290EA2-4405-468F-A77A-5492BC2C9931}" uniqueName="1" name="Plant_ID" queryTableFieldId="1"/>
    <tableColumn id="2" xr3:uid="{CB564AC5-A85C-41C0-B239-D36ABBE21003}" uniqueName="2" name="Date" queryTableFieldId="2" dataDxfId="7"/>
    <tableColumn id="14" xr3:uid="{1FA429E4-F9D9-45B3-963C-9A7D6542EA2C}" uniqueName="14" name="Days Name" queryTableFieldId="14" dataDxfId="6">
      <calculatedColumnFormula>TEXT(Table4_2[[#This Row],[Date]],"dddd")</calculatedColumnFormula>
    </tableColumn>
    <tableColumn id="3" xr3:uid="{2511F4AE-A613-4A4B-B057-9F30AEFB3CDE}" uniqueName="3" name="Temperature (°C)" queryTableFieldId="3" dataDxfId="3"/>
    <tableColumn id="4" xr3:uid="{8673C6D7-0D05-4F19-93E1-D7B3D8994B22}" uniqueName="4" name="Humidity (%)" queryTableFieldId="4" dataDxfId="2"/>
    <tableColumn id="5" xr3:uid="{279062AB-9A15-4064-864A-B1AC17A7C163}" uniqueName="5" name="TDS Value (ppm)" queryTableFieldId="5" dataDxfId="1"/>
    <tableColumn id="6" xr3:uid="{5255803E-2700-4A20-966E-20A70FBF96BA}" uniqueName="6" name="pH Level" queryTableFieldId="6" dataDxfId="0"/>
    <tableColumn id="7" xr3:uid="{E0A0CCB1-45C3-43A4-A602-8703D69E40CF}" uniqueName="7" name="Growth Days" queryTableFieldId="7"/>
    <tableColumn id="8" xr3:uid="{EC19B02F-E600-46D4-95FC-A0C430101F49}" uniqueName="8" name="Temperature (F)" queryTableFieldId="8"/>
    <tableColumn id="9" xr3:uid="{77DA0450-ADD4-4F2C-B896-A353BDC7D10F}" uniqueName="9" name="Humidity" queryTableFieldId="9"/>
    <tableColumn id="15" xr3:uid="{E6862F06-E24C-42E8-855F-65B5CDE1DE59}" uniqueName="15" name="Growth Stage" queryTableFieldId="15" dataDxfId="5">
      <calculatedColumnFormula array="1">_xlfn.IFS(Table4_2[[#This Row],[Growth Days]]&lt;=14,"Seedling",Table4_2[[#This Row],[Growth Days]]&lt;=35, "Vegetative",Table4_2[[#This Row],[Growth Days]]&lt;=50, "Maturity")</calculatedColumnFormula>
    </tableColumn>
    <tableColumn id="17" xr3:uid="{1A448A8D-AEFE-4CDC-A22B-6B074C1D141A}" uniqueName="17" name="Nutrient Adequacy" queryTableFieldId="17" dataDxfId="4">
      <calculatedColumnFormula>IF(Table4_2[[#This Row],[TDS Value (ppm)]]&lt;560, "Low", IF(Table4_2[[#This Row],[TDS Value (ppm)]]&lt;=800,"Optimal","High"))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726C-C9C2-46B6-9253-E0BA24B5B8A4}">
  <dimension ref="A1:I3170"/>
  <sheetViews>
    <sheetView workbookViewId="0">
      <selection activeCell="H6" sqref="H6"/>
    </sheetView>
  </sheetViews>
  <sheetFormatPr defaultRowHeight="15" x14ac:dyDescent="0.25"/>
  <cols>
    <col min="1" max="1" width="10.7109375" bestFit="1" customWidth="1"/>
    <col min="2" max="2" width="20" customWidth="1"/>
    <col min="3" max="3" width="32.42578125" customWidth="1"/>
    <col min="4" max="4" width="24.140625" customWidth="1"/>
    <col min="5" max="5" width="26.85546875" customWidth="1"/>
    <col min="6" max="6" width="14.28515625" customWidth="1"/>
    <col min="7" max="7" width="21.42578125" customWidth="1"/>
    <col min="8" max="8" width="21" customWidth="1"/>
    <col min="9" max="9" width="11.5703125" bestFit="1" customWidth="1"/>
  </cols>
  <sheetData>
    <row r="1" spans="1:9" x14ac:dyDescent="0.25">
      <c r="A1" s="9" t="s">
        <v>0</v>
      </c>
      <c r="B1" s="10" t="s">
        <v>1</v>
      </c>
      <c r="C1" s="10" t="s">
        <v>2</v>
      </c>
      <c r="D1" s="10" t="s">
        <v>3</v>
      </c>
      <c r="E1" s="10" t="s">
        <v>4</v>
      </c>
      <c r="F1" s="10" t="s">
        <v>5</v>
      </c>
      <c r="G1" s="10" t="s">
        <v>6</v>
      </c>
      <c r="H1" s="10" t="s">
        <v>7</v>
      </c>
      <c r="I1" s="11" t="s">
        <v>8</v>
      </c>
    </row>
    <row r="2" spans="1:9" x14ac:dyDescent="0.25">
      <c r="A2" s="12">
        <v>1</v>
      </c>
      <c r="B2" s="13">
        <v>45141</v>
      </c>
      <c r="C2" s="14">
        <v>33.4</v>
      </c>
      <c r="D2" s="14">
        <v>53</v>
      </c>
      <c r="E2" s="14">
        <v>582</v>
      </c>
      <c r="F2" s="14">
        <v>6.4</v>
      </c>
      <c r="G2" s="14">
        <v>1</v>
      </c>
      <c r="H2" s="14">
        <v>92.12</v>
      </c>
      <c r="I2" s="15">
        <v>0.53</v>
      </c>
    </row>
    <row r="3" spans="1:9" x14ac:dyDescent="0.25">
      <c r="A3" s="12">
        <v>1</v>
      </c>
      <c r="B3" s="13">
        <v>45142</v>
      </c>
      <c r="C3" s="14">
        <v>33.5</v>
      </c>
      <c r="D3" s="14">
        <v>53</v>
      </c>
      <c r="E3" s="14">
        <v>451</v>
      </c>
      <c r="F3" s="14">
        <v>6.1</v>
      </c>
      <c r="G3" s="14">
        <v>2</v>
      </c>
      <c r="H3" s="14">
        <v>92.3</v>
      </c>
      <c r="I3" s="15">
        <v>0.53</v>
      </c>
    </row>
    <row r="4" spans="1:9" x14ac:dyDescent="0.25">
      <c r="A4" s="12">
        <v>1</v>
      </c>
      <c r="B4" s="13">
        <v>45143</v>
      </c>
      <c r="C4" s="14">
        <v>33.4</v>
      </c>
      <c r="D4" s="14">
        <v>59</v>
      </c>
      <c r="E4" s="14">
        <v>678</v>
      </c>
      <c r="F4" s="14">
        <v>6.4</v>
      </c>
      <c r="G4" s="14">
        <v>3</v>
      </c>
      <c r="H4" s="14">
        <v>92.12</v>
      </c>
      <c r="I4" s="15">
        <v>0.59</v>
      </c>
    </row>
    <row r="5" spans="1:9" x14ac:dyDescent="0.25">
      <c r="A5" s="12">
        <v>1</v>
      </c>
      <c r="B5" s="13">
        <v>45144</v>
      </c>
      <c r="C5" s="14">
        <v>33.4</v>
      </c>
      <c r="D5" s="14">
        <v>68</v>
      </c>
      <c r="E5" s="14">
        <v>420</v>
      </c>
      <c r="F5" s="14">
        <v>6.4</v>
      </c>
      <c r="G5" s="14">
        <v>4</v>
      </c>
      <c r="H5" s="14">
        <v>92.12</v>
      </c>
      <c r="I5" s="15">
        <v>0.68</v>
      </c>
    </row>
    <row r="6" spans="1:9" x14ac:dyDescent="0.25">
      <c r="A6" s="12">
        <v>1</v>
      </c>
      <c r="B6" s="13">
        <v>45145</v>
      </c>
      <c r="C6" s="14">
        <v>33.4</v>
      </c>
      <c r="D6" s="14">
        <v>74</v>
      </c>
      <c r="E6" s="14">
        <v>637</v>
      </c>
      <c r="F6" s="14">
        <v>6.5</v>
      </c>
      <c r="G6" s="14">
        <v>5</v>
      </c>
      <c r="H6" s="14">
        <v>92.12</v>
      </c>
      <c r="I6" s="15">
        <v>0.74</v>
      </c>
    </row>
    <row r="7" spans="1:9" x14ac:dyDescent="0.25">
      <c r="A7" s="12">
        <v>1</v>
      </c>
      <c r="B7" s="13">
        <v>45146</v>
      </c>
      <c r="C7" s="14">
        <v>32.299999999999997</v>
      </c>
      <c r="D7" s="14">
        <v>77</v>
      </c>
      <c r="E7" s="14">
        <v>478</v>
      </c>
      <c r="F7" s="14">
        <v>6.8</v>
      </c>
      <c r="G7" s="14">
        <v>6</v>
      </c>
      <c r="H7" s="14">
        <v>90.14</v>
      </c>
      <c r="I7" s="15">
        <v>0.77</v>
      </c>
    </row>
    <row r="8" spans="1:9" x14ac:dyDescent="0.25">
      <c r="A8" s="12">
        <v>1</v>
      </c>
      <c r="B8" s="13">
        <v>45147</v>
      </c>
      <c r="C8" s="14">
        <v>32.299999999999997</v>
      </c>
      <c r="D8" s="14">
        <v>75</v>
      </c>
      <c r="E8" s="14">
        <v>682</v>
      </c>
      <c r="F8" s="14">
        <v>6</v>
      </c>
      <c r="G8" s="14">
        <v>7</v>
      </c>
      <c r="H8" s="14">
        <v>90.14</v>
      </c>
      <c r="I8" s="15">
        <v>0.75</v>
      </c>
    </row>
    <row r="9" spans="1:9" x14ac:dyDescent="0.25">
      <c r="A9" s="12">
        <v>1</v>
      </c>
      <c r="B9" s="13">
        <v>45148</v>
      </c>
      <c r="C9" s="14">
        <v>22.7</v>
      </c>
      <c r="D9" s="14">
        <v>63</v>
      </c>
      <c r="E9" s="14">
        <v>576</v>
      </c>
      <c r="F9" s="14">
        <v>6.3</v>
      </c>
      <c r="G9" s="14">
        <v>8</v>
      </c>
      <c r="H9" s="14">
        <v>72.86</v>
      </c>
      <c r="I9" s="15">
        <v>0.63</v>
      </c>
    </row>
    <row r="10" spans="1:9" x14ac:dyDescent="0.25">
      <c r="A10" s="12">
        <v>1</v>
      </c>
      <c r="B10" s="13">
        <v>45149</v>
      </c>
      <c r="C10" s="14">
        <v>31.9</v>
      </c>
      <c r="D10" s="14">
        <v>69</v>
      </c>
      <c r="E10" s="14">
        <v>662</v>
      </c>
      <c r="F10" s="14">
        <v>6.1</v>
      </c>
      <c r="G10" s="14">
        <v>9</v>
      </c>
      <c r="H10" s="14">
        <v>89.42</v>
      </c>
      <c r="I10" s="15">
        <v>0.69</v>
      </c>
    </row>
    <row r="11" spans="1:9" x14ac:dyDescent="0.25">
      <c r="A11" s="12">
        <v>1</v>
      </c>
      <c r="B11" s="13">
        <v>45150</v>
      </c>
      <c r="C11" s="14">
        <v>30.2</v>
      </c>
      <c r="D11" s="14">
        <v>59</v>
      </c>
      <c r="E11" s="14">
        <v>607</v>
      </c>
      <c r="F11" s="14">
        <v>6.2</v>
      </c>
      <c r="G11" s="14">
        <v>10</v>
      </c>
      <c r="H11" s="14">
        <v>86.36</v>
      </c>
      <c r="I11" s="15">
        <v>0.59</v>
      </c>
    </row>
    <row r="12" spans="1:9" x14ac:dyDescent="0.25">
      <c r="A12" s="12">
        <v>1</v>
      </c>
      <c r="B12" s="13">
        <v>45151</v>
      </c>
      <c r="C12" s="14">
        <v>30.1</v>
      </c>
      <c r="D12" s="14">
        <v>77</v>
      </c>
      <c r="E12" s="14">
        <v>670</v>
      </c>
      <c r="F12" s="14">
        <v>6.5</v>
      </c>
      <c r="G12" s="14">
        <v>11</v>
      </c>
      <c r="H12" s="14">
        <v>86.18</v>
      </c>
      <c r="I12" s="15">
        <v>0.77</v>
      </c>
    </row>
    <row r="13" spans="1:9" x14ac:dyDescent="0.25">
      <c r="A13" s="12">
        <v>1</v>
      </c>
      <c r="B13" s="13">
        <v>45152</v>
      </c>
      <c r="C13" s="14">
        <v>30.1</v>
      </c>
      <c r="D13" s="14">
        <v>54</v>
      </c>
      <c r="E13" s="14">
        <v>535</v>
      </c>
      <c r="F13" s="14">
        <v>6.4</v>
      </c>
      <c r="G13" s="14">
        <v>12</v>
      </c>
      <c r="H13" s="14">
        <v>86.18</v>
      </c>
      <c r="I13" s="15">
        <v>0.54</v>
      </c>
    </row>
    <row r="14" spans="1:9" x14ac:dyDescent="0.25">
      <c r="A14" s="12">
        <v>1</v>
      </c>
      <c r="B14" s="13">
        <v>45153</v>
      </c>
      <c r="C14" s="14">
        <v>30.1</v>
      </c>
      <c r="D14" s="14">
        <v>78</v>
      </c>
      <c r="E14" s="14">
        <v>480</v>
      </c>
      <c r="F14" s="14">
        <v>6</v>
      </c>
      <c r="G14" s="14">
        <v>13</v>
      </c>
      <c r="H14" s="14">
        <v>86.18</v>
      </c>
      <c r="I14" s="15">
        <v>0.78</v>
      </c>
    </row>
    <row r="15" spans="1:9" x14ac:dyDescent="0.25">
      <c r="A15" s="12">
        <v>1</v>
      </c>
      <c r="B15" s="13">
        <v>45154</v>
      </c>
      <c r="C15" s="14">
        <v>29.8</v>
      </c>
      <c r="D15" s="14">
        <v>56</v>
      </c>
      <c r="E15" s="14">
        <v>688</v>
      </c>
      <c r="F15" s="14">
        <v>6.4</v>
      </c>
      <c r="G15" s="14">
        <v>14</v>
      </c>
      <c r="H15" s="14">
        <v>85.64</v>
      </c>
      <c r="I15" s="15">
        <v>0.56000000000000005</v>
      </c>
    </row>
    <row r="16" spans="1:9" x14ac:dyDescent="0.25">
      <c r="A16" s="12">
        <v>1</v>
      </c>
      <c r="B16" s="13">
        <v>45155</v>
      </c>
      <c r="C16" s="14">
        <v>29.6</v>
      </c>
      <c r="D16" s="14">
        <v>62</v>
      </c>
      <c r="E16" s="14">
        <v>653</v>
      </c>
      <c r="F16" s="14">
        <v>6.6</v>
      </c>
      <c r="G16" s="14">
        <v>15</v>
      </c>
      <c r="H16" s="14">
        <v>85.28</v>
      </c>
      <c r="I16" s="15">
        <v>0.62</v>
      </c>
    </row>
    <row r="17" spans="1:9" x14ac:dyDescent="0.25">
      <c r="A17" s="12">
        <v>1</v>
      </c>
      <c r="B17" s="13">
        <v>45156</v>
      </c>
      <c r="C17" s="14">
        <v>30.9</v>
      </c>
      <c r="D17" s="14">
        <v>70</v>
      </c>
      <c r="E17" s="14">
        <v>742</v>
      </c>
      <c r="F17" s="14">
        <v>6.1</v>
      </c>
      <c r="G17" s="14">
        <v>16</v>
      </c>
      <c r="H17" s="14">
        <v>87.62</v>
      </c>
      <c r="I17" s="15">
        <v>0.7</v>
      </c>
    </row>
    <row r="18" spans="1:9" x14ac:dyDescent="0.25">
      <c r="A18" s="12">
        <v>1</v>
      </c>
      <c r="B18" s="13">
        <v>45157</v>
      </c>
      <c r="C18" s="14">
        <v>30.8</v>
      </c>
      <c r="D18" s="14">
        <v>57</v>
      </c>
      <c r="E18" s="14">
        <v>580</v>
      </c>
      <c r="F18" s="14">
        <v>6.2</v>
      </c>
      <c r="G18" s="14">
        <v>17</v>
      </c>
      <c r="H18" s="14">
        <v>87.44</v>
      </c>
      <c r="I18" s="15">
        <v>0.56999999999999995</v>
      </c>
    </row>
    <row r="19" spans="1:9" x14ac:dyDescent="0.25">
      <c r="A19" s="12">
        <v>1</v>
      </c>
      <c r="B19" s="13">
        <v>45158</v>
      </c>
      <c r="C19" s="14">
        <v>30.9</v>
      </c>
      <c r="D19" s="14">
        <v>78</v>
      </c>
      <c r="E19" s="14">
        <v>789</v>
      </c>
      <c r="F19" s="14">
        <v>6.5</v>
      </c>
      <c r="G19" s="14">
        <v>18</v>
      </c>
      <c r="H19" s="14">
        <v>87.62</v>
      </c>
      <c r="I19" s="15">
        <v>0.78</v>
      </c>
    </row>
    <row r="20" spans="1:9" x14ac:dyDescent="0.25">
      <c r="A20" s="12">
        <v>1</v>
      </c>
      <c r="B20" s="13">
        <v>45159</v>
      </c>
      <c r="C20" s="14">
        <v>30.2</v>
      </c>
      <c r="D20" s="14">
        <v>63</v>
      </c>
      <c r="E20" s="14">
        <v>516</v>
      </c>
      <c r="F20" s="14">
        <v>6</v>
      </c>
      <c r="G20" s="14">
        <v>19</v>
      </c>
      <c r="H20" s="14">
        <v>86.36</v>
      </c>
      <c r="I20" s="15">
        <v>0.63</v>
      </c>
    </row>
    <row r="21" spans="1:9" x14ac:dyDescent="0.25">
      <c r="A21" s="12">
        <v>1</v>
      </c>
      <c r="B21" s="13">
        <v>45160</v>
      </c>
      <c r="C21" s="14">
        <v>30.5</v>
      </c>
      <c r="D21" s="14">
        <v>51</v>
      </c>
      <c r="E21" s="14">
        <v>527</v>
      </c>
      <c r="F21" s="14">
        <v>6.4</v>
      </c>
      <c r="G21" s="14">
        <v>20</v>
      </c>
      <c r="H21" s="14">
        <v>86.9</v>
      </c>
      <c r="I21" s="15">
        <v>0.51</v>
      </c>
    </row>
    <row r="22" spans="1:9" x14ac:dyDescent="0.25">
      <c r="A22" s="12">
        <v>1</v>
      </c>
      <c r="B22" s="13">
        <v>45161</v>
      </c>
      <c r="C22" s="14">
        <v>30.8</v>
      </c>
      <c r="D22" s="14">
        <v>57</v>
      </c>
      <c r="E22" s="14">
        <v>669</v>
      </c>
      <c r="F22" s="14">
        <v>6.2</v>
      </c>
      <c r="G22" s="14">
        <v>21</v>
      </c>
      <c r="H22" s="14">
        <v>87.44</v>
      </c>
      <c r="I22" s="15">
        <v>0.56999999999999995</v>
      </c>
    </row>
    <row r="23" spans="1:9" x14ac:dyDescent="0.25">
      <c r="A23" s="12">
        <v>1</v>
      </c>
      <c r="B23" s="13">
        <v>45162</v>
      </c>
      <c r="C23" s="14">
        <v>31.3</v>
      </c>
      <c r="D23" s="14">
        <v>73</v>
      </c>
      <c r="E23" s="14">
        <v>645</v>
      </c>
      <c r="F23" s="14">
        <v>6.6</v>
      </c>
      <c r="G23" s="14">
        <v>22</v>
      </c>
      <c r="H23" s="14">
        <v>88.34</v>
      </c>
      <c r="I23" s="15">
        <v>0.73</v>
      </c>
    </row>
    <row r="24" spans="1:9" x14ac:dyDescent="0.25">
      <c r="A24" s="12">
        <v>1</v>
      </c>
      <c r="B24" s="13">
        <v>45163</v>
      </c>
      <c r="C24" s="14">
        <v>31.4</v>
      </c>
      <c r="D24" s="14">
        <v>52</v>
      </c>
      <c r="E24" s="14">
        <v>744</v>
      </c>
      <c r="F24" s="14">
        <v>6.8</v>
      </c>
      <c r="G24" s="14">
        <v>23</v>
      </c>
      <c r="H24" s="14">
        <v>88.52</v>
      </c>
      <c r="I24" s="15">
        <v>0.52</v>
      </c>
    </row>
    <row r="25" spans="1:9" x14ac:dyDescent="0.25">
      <c r="A25" s="12">
        <v>1</v>
      </c>
      <c r="B25" s="13">
        <v>45164</v>
      </c>
      <c r="C25" s="14">
        <v>31.4</v>
      </c>
      <c r="D25" s="14">
        <v>61</v>
      </c>
      <c r="E25" s="14">
        <v>719</v>
      </c>
      <c r="F25" s="14">
        <v>6.4</v>
      </c>
      <c r="G25" s="14">
        <v>24</v>
      </c>
      <c r="H25" s="14">
        <v>88.52</v>
      </c>
      <c r="I25" s="15">
        <v>0.61</v>
      </c>
    </row>
    <row r="26" spans="1:9" x14ac:dyDescent="0.25">
      <c r="A26" s="12">
        <v>1</v>
      </c>
      <c r="B26" s="13">
        <v>45165</v>
      </c>
      <c r="C26" s="14">
        <v>30.1</v>
      </c>
      <c r="D26" s="14">
        <v>77</v>
      </c>
      <c r="E26" s="14">
        <v>589</v>
      </c>
      <c r="F26" s="14">
        <v>6.7</v>
      </c>
      <c r="G26" s="14">
        <v>25</v>
      </c>
      <c r="H26" s="14">
        <v>86.18</v>
      </c>
      <c r="I26" s="15">
        <v>0.77</v>
      </c>
    </row>
    <row r="27" spans="1:9" x14ac:dyDescent="0.25">
      <c r="A27" s="12">
        <v>1</v>
      </c>
      <c r="B27" s="13">
        <v>45166</v>
      </c>
      <c r="C27" s="14">
        <v>29.4</v>
      </c>
      <c r="D27" s="14">
        <v>71</v>
      </c>
      <c r="E27" s="14">
        <v>654</v>
      </c>
      <c r="F27" s="14">
        <v>6.4</v>
      </c>
      <c r="G27" s="14">
        <v>26</v>
      </c>
      <c r="H27" s="14">
        <v>84.92</v>
      </c>
      <c r="I27" s="15">
        <v>0.71</v>
      </c>
    </row>
    <row r="28" spans="1:9" x14ac:dyDescent="0.25">
      <c r="A28" s="12">
        <v>1</v>
      </c>
      <c r="B28" s="13">
        <v>45167</v>
      </c>
      <c r="C28" s="14">
        <v>28.7</v>
      </c>
      <c r="D28" s="14">
        <v>64</v>
      </c>
      <c r="E28" s="14">
        <v>451</v>
      </c>
      <c r="F28" s="14">
        <v>6.4</v>
      </c>
      <c r="G28" s="14">
        <v>27</v>
      </c>
      <c r="H28" s="14">
        <v>83.66</v>
      </c>
      <c r="I28" s="15">
        <v>0.64</v>
      </c>
    </row>
    <row r="29" spans="1:9" x14ac:dyDescent="0.25">
      <c r="A29" s="12">
        <v>1</v>
      </c>
      <c r="B29" s="13">
        <v>45168</v>
      </c>
      <c r="C29" s="14">
        <v>29.1</v>
      </c>
      <c r="D29" s="14">
        <v>51</v>
      </c>
      <c r="E29" s="14">
        <v>623</v>
      </c>
      <c r="F29" s="14">
        <v>6.6</v>
      </c>
      <c r="G29" s="14">
        <v>28</v>
      </c>
      <c r="H29" s="14">
        <v>84.38</v>
      </c>
      <c r="I29" s="15">
        <v>0.51</v>
      </c>
    </row>
    <row r="30" spans="1:9" x14ac:dyDescent="0.25">
      <c r="A30" s="12">
        <v>1</v>
      </c>
      <c r="B30" s="13">
        <v>45169</v>
      </c>
      <c r="C30" s="14">
        <v>29.2</v>
      </c>
      <c r="D30" s="14">
        <v>55</v>
      </c>
      <c r="E30" s="14">
        <v>680</v>
      </c>
      <c r="F30" s="14">
        <v>6.7</v>
      </c>
      <c r="G30" s="14">
        <v>29</v>
      </c>
      <c r="H30" s="14">
        <v>84.56</v>
      </c>
      <c r="I30" s="15">
        <v>0.55000000000000004</v>
      </c>
    </row>
    <row r="31" spans="1:9" x14ac:dyDescent="0.25">
      <c r="A31" s="12">
        <v>1</v>
      </c>
      <c r="B31" s="13">
        <v>45170</v>
      </c>
      <c r="C31" s="14">
        <v>31.7</v>
      </c>
      <c r="D31" s="14">
        <v>50</v>
      </c>
      <c r="E31" s="14">
        <v>601</v>
      </c>
      <c r="F31" s="14">
        <v>6.4</v>
      </c>
      <c r="G31" s="14">
        <v>30</v>
      </c>
      <c r="H31" s="14">
        <v>89.06</v>
      </c>
      <c r="I31" s="15">
        <v>0.5</v>
      </c>
    </row>
    <row r="32" spans="1:9" x14ac:dyDescent="0.25">
      <c r="A32" s="12">
        <v>1</v>
      </c>
      <c r="B32" s="13">
        <v>45171</v>
      </c>
      <c r="C32" s="14">
        <v>31.7</v>
      </c>
      <c r="D32" s="14">
        <v>52</v>
      </c>
      <c r="E32" s="14">
        <v>603</v>
      </c>
      <c r="F32" s="14">
        <v>6.7</v>
      </c>
      <c r="G32" s="14">
        <v>31</v>
      </c>
      <c r="H32" s="14">
        <v>89.06</v>
      </c>
      <c r="I32" s="15">
        <v>0.52</v>
      </c>
    </row>
    <row r="33" spans="1:9" x14ac:dyDescent="0.25">
      <c r="A33" s="12">
        <v>1</v>
      </c>
      <c r="B33" s="13">
        <v>45172</v>
      </c>
      <c r="C33" s="14">
        <v>31.7</v>
      </c>
      <c r="D33" s="14">
        <v>76</v>
      </c>
      <c r="E33" s="14">
        <v>762</v>
      </c>
      <c r="F33" s="14">
        <v>6.7</v>
      </c>
      <c r="G33" s="14">
        <v>32</v>
      </c>
      <c r="H33" s="14">
        <v>89.06</v>
      </c>
      <c r="I33" s="15">
        <v>0.76</v>
      </c>
    </row>
    <row r="34" spans="1:9" x14ac:dyDescent="0.25">
      <c r="A34" s="12">
        <v>1</v>
      </c>
      <c r="B34" s="13">
        <v>45173</v>
      </c>
      <c r="C34" s="14">
        <v>31.7</v>
      </c>
      <c r="D34" s="14">
        <v>55</v>
      </c>
      <c r="E34" s="14">
        <v>517</v>
      </c>
      <c r="F34" s="14">
        <v>6</v>
      </c>
      <c r="G34" s="14">
        <v>33</v>
      </c>
      <c r="H34" s="14">
        <v>89.06</v>
      </c>
      <c r="I34" s="15">
        <v>0.55000000000000004</v>
      </c>
    </row>
    <row r="35" spans="1:9" x14ac:dyDescent="0.25">
      <c r="A35" s="12">
        <v>1</v>
      </c>
      <c r="B35" s="13">
        <v>45174</v>
      </c>
      <c r="C35" s="14">
        <v>32</v>
      </c>
      <c r="D35" s="14">
        <v>55</v>
      </c>
      <c r="E35" s="14">
        <v>743</v>
      </c>
      <c r="F35" s="14">
        <v>6.6</v>
      </c>
      <c r="G35" s="14">
        <v>34</v>
      </c>
      <c r="H35" s="14">
        <v>89.6</v>
      </c>
      <c r="I35" s="15">
        <v>0.55000000000000004</v>
      </c>
    </row>
    <row r="36" spans="1:9" x14ac:dyDescent="0.25">
      <c r="A36" s="12">
        <v>1</v>
      </c>
      <c r="B36" s="13">
        <v>45175</v>
      </c>
      <c r="C36" s="14">
        <v>32.1</v>
      </c>
      <c r="D36" s="14">
        <v>76</v>
      </c>
      <c r="E36" s="14">
        <v>709</v>
      </c>
      <c r="F36" s="14">
        <v>6</v>
      </c>
      <c r="G36" s="14">
        <v>35</v>
      </c>
      <c r="H36" s="14">
        <v>89.78</v>
      </c>
      <c r="I36" s="15">
        <v>0.76</v>
      </c>
    </row>
    <row r="37" spans="1:9" x14ac:dyDescent="0.25">
      <c r="A37" s="12">
        <v>1</v>
      </c>
      <c r="B37" s="13">
        <v>45176</v>
      </c>
      <c r="C37" s="14">
        <v>31.5</v>
      </c>
      <c r="D37" s="14">
        <v>68</v>
      </c>
      <c r="E37" s="14">
        <v>416</v>
      </c>
      <c r="F37" s="14">
        <v>6.2</v>
      </c>
      <c r="G37" s="14">
        <v>36</v>
      </c>
      <c r="H37" s="14">
        <v>88.7</v>
      </c>
      <c r="I37" s="15">
        <v>0.68</v>
      </c>
    </row>
    <row r="38" spans="1:9" x14ac:dyDescent="0.25">
      <c r="A38" s="12">
        <v>1</v>
      </c>
      <c r="B38" s="13">
        <v>45177</v>
      </c>
      <c r="C38" s="14">
        <v>29.8</v>
      </c>
      <c r="D38" s="14">
        <v>68</v>
      </c>
      <c r="E38" s="14">
        <v>577</v>
      </c>
      <c r="F38" s="14">
        <v>6.3</v>
      </c>
      <c r="G38" s="14">
        <v>37</v>
      </c>
      <c r="H38" s="14">
        <v>85.64</v>
      </c>
      <c r="I38" s="15">
        <v>0.68</v>
      </c>
    </row>
    <row r="39" spans="1:9" x14ac:dyDescent="0.25">
      <c r="A39" s="12">
        <v>1</v>
      </c>
      <c r="B39" s="13">
        <v>45178</v>
      </c>
      <c r="C39" s="14">
        <v>20.100000000000001</v>
      </c>
      <c r="D39" s="14">
        <v>61</v>
      </c>
      <c r="E39" s="14">
        <v>621</v>
      </c>
      <c r="F39" s="14">
        <v>6.5</v>
      </c>
      <c r="G39" s="14">
        <v>38</v>
      </c>
      <c r="H39" s="14">
        <v>68.180000000000007</v>
      </c>
      <c r="I39" s="15">
        <v>0.61</v>
      </c>
    </row>
    <row r="40" spans="1:9" x14ac:dyDescent="0.25">
      <c r="A40" s="12">
        <v>1</v>
      </c>
      <c r="B40" s="13">
        <v>45179</v>
      </c>
      <c r="C40" s="14">
        <v>31.1</v>
      </c>
      <c r="D40" s="14">
        <v>64</v>
      </c>
      <c r="E40" s="14">
        <v>478</v>
      </c>
      <c r="F40" s="14">
        <v>6</v>
      </c>
      <c r="G40" s="14">
        <v>39</v>
      </c>
      <c r="H40" s="14">
        <v>87.98</v>
      </c>
      <c r="I40" s="15">
        <v>0.64</v>
      </c>
    </row>
    <row r="41" spans="1:9" x14ac:dyDescent="0.25">
      <c r="A41" s="12">
        <v>1</v>
      </c>
      <c r="B41" s="13">
        <v>45180</v>
      </c>
      <c r="C41" s="14">
        <v>31.2</v>
      </c>
      <c r="D41" s="14">
        <v>79</v>
      </c>
      <c r="E41" s="14">
        <v>672</v>
      </c>
      <c r="F41" s="14">
        <v>6.3</v>
      </c>
      <c r="G41" s="14">
        <v>40</v>
      </c>
      <c r="H41" s="14">
        <v>88.16</v>
      </c>
      <c r="I41" s="15">
        <v>0.79</v>
      </c>
    </row>
    <row r="42" spans="1:9" x14ac:dyDescent="0.25">
      <c r="A42" s="12">
        <v>1</v>
      </c>
      <c r="B42" s="13">
        <v>45181</v>
      </c>
      <c r="C42" s="14">
        <v>31.2</v>
      </c>
      <c r="D42" s="14">
        <v>62</v>
      </c>
      <c r="E42" s="14">
        <v>576</v>
      </c>
      <c r="F42" s="14">
        <v>6.7</v>
      </c>
      <c r="G42" s="14">
        <v>41</v>
      </c>
      <c r="H42" s="14">
        <v>88.16</v>
      </c>
      <c r="I42" s="15">
        <v>0.62</v>
      </c>
    </row>
    <row r="43" spans="1:9" x14ac:dyDescent="0.25">
      <c r="A43" s="12">
        <v>1</v>
      </c>
      <c r="B43" s="13">
        <v>45182</v>
      </c>
      <c r="C43" s="14">
        <v>30.4</v>
      </c>
      <c r="D43" s="14">
        <v>57</v>
      </c>
      <c r="E43" s="14">
        <v>726</v>
      </c>
      <c r="F43" s="14">
        <v>6.1</v>
      </c>
      <c r="G43" s="14">
        <v>42</v>
      </c>
      <c r="H43" s="14">
        <v>86.72</v>
      </c>
      <c r="I43" s="15">
        <v>0.56999999999999995</v>
      </c>
    </row>
    <row r="44" spans="1:9" x14ac:dyDescent="0.25">
      <c r="A44" s="12">
        <v>1</v>
      </c>
      <c r="B44" s="13">
        <v>45183</v>
      </c>
      <c r="C44" s="14">
        <v>29.1</v>
      </c>
      <c r="D44" s="14">
        <v>75</v>
      </c>
      <c r="E44" s="14">
        <v>636</v>
      </c>
      <c r="F44" s="14">
        <v>6.8</v>
      </c>
      <c r="G44" s="14">
        <v>43</v>
      </c>
      <c r="H44" s="14">
        <v>84.38</v>
      </c>
      <c r="I44" s="15">
        <v>0.75</v>
      </c>
    </row>
    <row r="45" spans="1:9" x14ac:dyDescent="0.25">
      <c r="A45" s="12">
        <v>1</v>
      </c>
      <c r="B45" s="13">
        <v>45184</v>
      </c>
      <c r="C45" s="14">
        <v>30.6</v>
      </c>
      <c r="D45" s="14">
        <v>55</v>
      </c>
      <c r="E45" s="14">
        <v>688</v>
      </c>
      <c r="F45" s="14">
        <v>6.6</v>
      </c>
      <c r="G45" s="14">
        <v>44</v>
      </c>
      <c r="H45" s="14">
        <v>87.08</v>
      </c>
      <c r="I45" s="15">
        <v>0.55000000000000004</v>
      </c>
    </row>
    <row r="46" spans="1:9" x14ac:dyDescent="0.25">
      <c r="A46" s="12">
        <v>1</v>
      </c>
      <c r="B46" s="13">
        <v>45185</v>
      </c>
      <c r="C46" s="14">
        <v>31.5</v>
      </c>
      <c r="D46" s="14">
        <v>68</v>
      </c>
      <c r="E46" s="14">
        <v>637</v>
      </c>
      <c r="F46" s="14">
        <v>6.2</v>
      </c>
      <c r="G46" s="14">
        <v>45</v>
      </c>
      <c r="H46" s="14">
        <v>88.7</v>
      </c>
      <c r="I46" s="15">
        <v>0.68</v>
      </c>
    </row>
    <row r="47" spans="1:9" x14ac:dyDescent="0.25">
      <c r="A47" s="12">
        <v>2</v>
      </c>
      <c r="B47" s="13">
        <v>45141</v>
      </c>
      <c r="C47" s="14">
        <v>33.4</v>
      </c>
      <c r="D47" s="14">
        <v>74</v>
      </c>
      <c r="E47" s="14">
        <v>586</v>
      </c>
      <c r="F47" s="14">
        <v>6.1</v>
      </c>
      <c r="G47" s="14">
        <v>1</v>
      </c>
      <c r="H47" s="14">
        <v>92.12</v>
      </c>
      <c r="I47" s="15">
        <v>0.74</v>
      </c>
    </row>
    <row r="48" spans="1:9" x14ac:dyDescent="0.25">
      <c r="A48" s="12">
        <v>2</v>
      </c>
      <c r="B48" s="13">
        <v>45142</v>
      </c>
      <c r="C48" s="14">
        <v>33.5</v>
      </c>
      <c r="D48" s="14">
        <v>65</v>
      </c>
      <c r="E48" s="14">
        <v>433</v>
      </c>
      <c r="F48" s="14">
        <v>6.8</v>
      </c>
      <c r="G48" s="14">
        <v>2</v>
      </c>
      <c r="H48" s="14">
        <v>92.3</v>
      </c>
      <c r="I48" s="15">
        <v>0.65</v>
      </c>
    </row>
    <row r="49" spans="1:9" x14ac:dyDescent="0.25">
      <c r="A49" s="12">
        <v>2</v>
      </c>
      <c r="B49" s="13">
        <v>45143</v>
      </c>
      <c r="C49" s="14">
        <v>33.4</v>
      </c>
      <c r="D49" s="14">
        <v>55</v>
      </c>
      <c r="E49" s="14">
        <v>749</v>
      </c>
      <c r="F49" s="14">
        <v>6.7</v>
      </c>
      <c r="G49" s="14">
        <v>3</v>
      </c>
      <c r="H49" s="14">
        <v>92.12</v>
      </c>
      <c r="I49" s="15">
        <v>0.55000000000000004</v>
      </c>
    </row>
    <row r="50" spans="1:9" x14ac:dyDescent="0.25">
      <c r="A50" s="12">
        <v>2</v>
      </c>
      <c r="B50" s="13">
        <v>45144</v>
      </c>
      <c r="C50" s="14">
        <v>33.4</v>
      </c>
      <c r="D50" s="14">
        <v>68</v>
      </c>
      <c r="E50" s="14">
        <v>680</v>
      </c>
      <c r="F50" s="14">
        <v>6.8</v>
      </c>
      <c r="G50" s="14">
        <v>4</v>
      </c>
      <c r="H50" s="14">
        <v>92.12</v>
      </c>
      <c r="I50" s="15">
        <v>0.68</v>
      </c>
    </row>
    <row r="51" spans="1:9" x14ac:dyDescent="0.25">
      <c r="A51" s="12">
        <v>2</v>
      </c>
      <c r="B51" s="13">
        <v>45145</v>
      </c>
      <c r="C51" s="14">
        <v>33.4</v>
      </c>
      <c r="D51" s="14">
        <v>50</v>
      </c>
      <c r="E51" s="14">
        <v>488</v>
      </c>
      <c r="F51" s="14">
        <v>6.4</v>
      </c>
      <c r="G51" s="14">
        <v>5</v>
      </c>
      <c r="H51" s="14">
        <v>92.12</v>
      </c>
      <c r="I51" s="15">
        <v>0.5</v>
      </c>
    </row>
    <row r="52" spans="1:9" x14ac:dyDescent="0.25">
      <c r="A52" s="12">
        <v>2</v>
      </c>
      <c r="B52" s="13">
        <v>45146</v>
      </c>
      <c r="C52" s="14">
        <v>32.299999999999997</v>
      </c>
      <c r="D52" s="14">
        <v>78</v>
      </c>
      <c r="E52" s="14">
        <v>697</v>
      </c>
      <c r="F52" s="14">
        <v>6.3</v>
      </c>
      <c r="G52" s="14">
        <v>6</v>
      </c>
      <c r="H52" s="14">
        <v>90.14</v>
      </c>
      <c r="I52" s="15">
        <v>0.78</v>
      </c>
    </row>
    <row r="53" spans="1:9" x14ac:dyDescent="0.25">
      <c r="A53" s="12">
        <v>2</v>
      </c>
      <c r="B53" s="13">
        <v>45147</v>
      </c>
      <c r="C53" s="14">
        <v>32.299999999999997</v>
      </c>
      <c r="D53" s="14">
        <v>77</v>
      </c>
      <c r="E53" s="14">
        <v>624</v>
      </c>
      <c r="F53" s="14">
        <v>6.6</v>
      </c>
      <c r="G53" s="14">
        <v>7</v>
      </c>
      <c r="H53" s="14">
        <v>90.14</v>
      </c>
      <c r="I53" s="15">
        <v>0.77</v>
      </c>
    </row>
    <row r="54" spans="1:9" x14ac:dyDescent="0.25">
      <c r="A54" s="12">
        <v>2</v>
      </c>
      <c r="B54" s="13">
        <v>45148</v>
      </c>
      <c r="C54" s="14">
        <v>22.7</v>
      </c>
      <c r="D54" s="14">
        <v>57</v>
      </c>
      <c r="E54" s="14">
        <v>593</v>
      </c>
      <c r="F54" s="14">
        <v>6.5</v>
      </c>
      <c r="G54" s="14">
        <v>8</v>
      </c>
      <c r="H54" s="14">
        <v>72.86</v>
      </c>
      <c r="I54" s="15">
        <v>0.56999999999999995</v>
      </c>
    </row>
    <row r="55" spans="1:9" x14ac:dyDescent="0.25">
      <c r="A55" s="12">
        <v>2</v>
      </c>
      <c r="B55" s="13">
        <v>45149</v>
      </c>
      <c r="C55" s="14">
        <v>31.9</v>
      </c>
      <c r="D55" s="14">
        <v>73</v>
      </c>
      <c r="E55" s="14">
        <v>564</v>
      </c>
      <c r="F55" s="14">
        <v>6.1</v>
      </c>
      <c r="G55" s="14">
        <v>9</v>
      </c>
      <c r="H55" s="14">
        <v>89.42</v>
      </c>
      <c r="I55" s="15">
        <v>0.73</v>
      </c>
    </row>
    <row r="56" spans="1:9" x14ac:dyDescent="0.25">
      <c r="A56" s="12">
        <v>2</v>
      </c>
      <c r="B56" s="13">
        <v>45150</v>
      </c>
      <c r="C56" s="14">
        <v>30.2</v>
      </c>
      <c r="D56" s="14">
        <v>65</v>
      </c>
      <c r="E56" s="14">
        <v>416</v>
      </c>
      <c r="F56" s="14">
        <v>6.6</v>
      </c>
      <c r="G56" s="14">
        <v>10</v>
      </c>
      <c r="H56" s="14">
        <v>86.36</v>
      </c>
      <c r="I56" s="15">
        <v>0.65</v>
      </c>
    </row>
    <row r="57" spans="1:9" x14ac:dyDescent="0.25">
      <c r="A57" s="12">
        <v>2</v>
      </c>
      <c r="B57" s="13">
        <v>45151</v>
      </c>
      <c r="C57" s="14">
        <v>30.1</v>
      </c>
      <c r="D57" s="14">
        <v>71</v>
      </c>
      <c r="E57" s="14">
        <v>664</v>
      </c>
      <c r="F57" s="14">
        <v>6.4</v>
      </c>
      <c r="G57" s="14">
        <v>11</v>
      </c>
      <c r="H57" s="14">
        <v>86.18</v>
      </c>
      <c r="I57" s="15">
        <v>0.71</v>
      </c>
    </row>
    <row r="58" spans="1:9" x14ac:dyDescent="0.25">
      <c r="A58" s="12">
        <v>2</v>
      </c>
      <c r="B58" s="13">
        <v>45152</v>
      </c>
      <c r="C58" s="14">
        <v>30.1</v>
      </c>
      <c r="D58" s="14">
        <v>65</v>
      </c>
      <c r="E58" s="14">
        <v>746</v>
      </c>
      <c r="F58" s="14">
        <v>6.8</v>
      </c>
      <c r="G58" s="14">
        <v>12</v>
      </c>
      <c r="H58" s="14">
        <v>86.18</v>
      </c>
      <c r="I58" s="15">
        <v>0.65</v>
      </c>
    </row>
    <row r="59" spans="1:9" x14ac:dyDescent="0.25">
      <c r="A59" s="12">
        <v>2</v>
      </c>
      <c r="B59" s="13">
        <v>45153</v>
      </c>
      <c r="C59" s="14">
        <v>30.1</v>
      </c>
      <c r="D59" s="14">
        <v>75</v>
      </c>
      <c r="E59" s="14">
        <v>646</v>
      </c>
      <c r="F59" s="14">
        <v>6.3</v>
      </c>
      <c r="G59" s="14">
        <v>13</v>
      </c>
      <c r="H59" s="14">
        <v>86.18</v>
      </c>
      <c r="I59" s="15">
        <v>0.75</v>
      </c>
    </row>
    <row r="60" spans="1:9" x14ac:dyDescent="0.25">
      <c r="A60" s="12">
        <v>2</v>
      </c>
      <c r="B60" s="13">
        <v>45154</v>
      </c>
      <c r="C60" s="14">
        <v>29.8</v>
      </c>
      <c r="D60" s="14">
        <v>58</v>
      </c>
      <c r="E60" s="14">
        <v>413</v>
      </c>
      <c r="F60" s="14">
        <v>6.5</v>
      </c>
      <c r="G60" s="14">
        <v>14</v>
      </c>
      <c r="H60" s="14">
        <v>85.64</v>
      </c>
      <c r="I60" s="15">
        <v>0.57999999999999996</v>
      </c>
    </row>
    <row r="61" spans="1:9" x14ac:dyDescent="0.25">
      <c r="A61" s="12">
        <v>2</v>
      </c>
      <c r="B61" s="13">
        <v>45155</v>
      </c>
      <c r="C61" s="14">
        <v>29.6</v>
      </c>
      <c r="D61" s="14">
        <v>50</v>
      </c>
      <c r="E61" s="14">
        <v>487</v>
      </c>
      <c r="F61" s="14">
        <v>6.7</v>
      </c>
      <c r="G61" s="14">
        <v>15</v>
      </c>
      <c r="H61" s="14">
        <v>85.28</v>
      </c>
      <c r="I61" s="15">
        <v>0.5</v>
      </c>
    </row>
    <row r="62" spans="1:9" x14ac:dyDescent="0.25">
      <c r="A62" s="12">
        <v>2</v>
      </c>
      <c r="B62" s="13">
        <v>45156</v>
      </c>
      <c r="C62" s="14">
        <v>30.9</v>
      </c>
      <c r="D62" s="14">
        <v>79</v>
      </c>
      <c r="E62" s="14">
        <v>564</v>
      </c>
      <c r="F62" s="14">
        <v>6.2</v>
      </c>
      <c r="G62" s="14">
        <v>16</v>
      </c>
      <c r="H62" s="14">
        <v>87.62</v>
      </c>
      <c r="I62" s="15">
        <v>0.79</v>
      </c>
    </row>
    <row r="63" spans="1:9" x14ac:dyDescent="0.25">
      <c r="A63" s="12">
        <v>2</v>
      </c>
      <c r="B63" s="13">
        <v>45157</v>
      </c>
      <c r="C63" s="14">
        <v>30.8</v>
      </c>
      <c r="D63" s="14">
        <v>56</v>
      </c>
      <c r="E63" s="14">
        <v>430</v>
      </c>
      <c r="F63" s="14">
        <v>6.5</v>
      </c>
      <c r="G63" s="14">
        <v>17</v>
      </c>
      <c r="H63" s="14">
        <v>87.44</v>
      </c>
      <c r="I63" s="15">
        <v>0.56000000000000005</v>
      </c>
    </row>
    <row r="64" spans="1:9" x14ac:dyDescent="0.25">
      <c r="A64" s="12">
        <v>2</v>
      </c>
      <c r="B64" s="13">
        <v>45158</v>
      </c>
      <c r="C64" s="14">
        <v>30.9</v>
      </c>
      <c r="D64" s="14">
        <v>71</v>
      </c>
      <c r="E64" s="14">
        <v>527</v>
      </c>
      <c r="F64" s="14">
        <v>6.2</v>
      </c>
      <c r="G64" s="14">
        <v>18</v>
      </c>
      <c r="H64" s="14">
        <v>87.62</v>
      </c>
      <c r="I64" s="15">
        <v>0.71</v>
      </c>
    </row>
    <row r="65" spans="1:9" x14ac:dyDescent="0.25">
      <c r="A65" s="12">
        <v>2</v>
      </c>
      <c r="B65" s="13">
        <v>45159</v>
      </c>
      <c r="C65" s="14">
        <v>30.2</v>
      </c>
      <c r="D65" s="14">
        <v>51</v>
      </c>
      <c r="E65" s="14">
        <v>704</v>
      </c>
      <c r="F65" s="14">
        <v>6.3</v>
      </c>
      <c r="G65" s="14">
        <v>19</v>
      </c>
      <c r="H65" s="14">
        <v>86.36</v>
      </c>
      <c r="I65" s="15">
        <v>0.51</v>
      </c>
    </row>
    <row r="66" spans="1:9" x14ac:dyDescent="0.25">
      <c r="A66" s="12">
        <v>2</v>
      </c>
      <c r="B66" s="13">
        <v>45160</v>
      </c>
      <c r="C66" s="14">
        <v>30.5</v>
      </c>
      <c r="D66" s="14">
        <v>62</v>
      </c>
      <c r="E66" s="14">
        <v>732</v>
      </c>
      <c r="F66" s="14">
        <v>6.3</v>
      </c>
      <c r="G66" s="14">
        <v>20</v>
      </c>
      <c r="H66" s="14">
        <v>86.9</v>
      </c>
      <c r="I66" s="15">
        <v>0.62</v>
      </c>
    </row>
    <row r="67" spans="1:9" x14ac:dyDescent="0.25">
      <c r="A67" s="12">
        <v>2</v>
      </c>
      <c r="B67" s="13">
        <v>45161</v>
      </c>
      <c r="C67" s="14">
        <v>30.8</v>
      </c>
      <c r="D67" s="14">
        <v>69</v>
      </c>
      <c r="E67" s="14">
        <v>420</v>
      </c>
      <c r="F67" s="14">
        <v>6.5</v>
      </c>
      <c r="G67" s="14">
        <v>21</v>
      </c>
      <c r="H67" s="14">
        <v>87.44</v>
      </c>
      <c r="I67" s="15">
        <v>0.69</v>
      </c>
    </row>
    <row r="68" spans="1:9" x14ac:dyDescent="0.25">
      <c r="A68" s="12">
        <v>2</v>
      </c>
      <c r="B68" s="13">
        <v>45162</v>
      </c>
      <c r="C68" s="14">
        <v>31.3</v>
      </c>
      <c r="D68" s="14">
        <v>54</v>
      </c>
      <c r="E68" s="14">
        <v>608</v>
      </c>
      <c r="F68" s="14">
        <v>6.3</v>
      </c>
      <c r="G68" s="14">
        <v>22</v>
      </c>
      <c r="H68" s="14">
        <v>88.34</v>
      </c>
      <c r="I68" s="15">
        <v>0.54</v>
      </c>
    </row>
    <row r="69" spans="1:9" x14ac:dyDescent="0.25">
      <c r="A69" s="12">
        <v>2</v>
      </c>
      <c r="B69" s="13">
        <v>45163</v>
      </c>
      <c r="C69" s="14">
        <v>31.4</v>
      </c>
      <c r="D69" s="14">
        <v>58</v>
      </c>
      <c r="E69" s="14">
        <v>687</v>
      </c>
      <c r="F69" s="14">
        <v>6.3</v>
      </c>
      <c r="G69" s="14">
        <v>23</v>
      </c>
      <c r="H69" s="14">
        <v>88.52</v>
      </c>
      <c r="I69" s="15">
        <v>0.57999999999999996</v>
      </c>
    </row>
    <row r="70" spans="1:9" x14ac:dyDescent="0.25">
      <c r="A70" s="12">
        <v>2</v>
      </c>
      <c r="B70" s="13">
        <v>45164</v>
      </c>
      <c r="C70" s="14">
        <v>31.4</v>
      </c>
      <c r="D70" s="14">
        <v>64</v>
      </c>
      <c r="E70" s="14">
        <v>529</v>
      </c>
      <c r="F70" s="14">
        <v>6.2</v>
      </c>
      <c r="G70" s="14">
        <v>24</v>
      </c>
      <c r="H70" s="14">
        <v>88.52</v>
      </c>
      <c r="I70" s="15">
        <v>0.64</v>
      </c>
    </row>
    <row r="71" spans="1:9" x14ac:dyDescent="0.25">
      <c r="A71" s="12">
        <v>2</v>
      </c>
      <c r="B71" s="13">
        <v>45165</v>
      </c>
      <c r="C71" s="14">
        <v>30.1</v>
      </c>
      <c r="D71" s="14">
        <v>78</v>
      </c>
      <c r="E71" s="14">
        <v>427</v>
      </c>
      <c r="F71" s="14">
        <v>6.3</v>
      </c>
      <c r="G71" s="14">
        <v>25</v>
      </c>
      <c r="H71" s="14">
        <v>86.18</v>
      </c>
      <c r="I71" s="15">
        <v>0.78</v>
      </c>
    </row>
    <row r="72" spans="1:9" x14ac:dyDescent="0.25">
      <c r="A72" s="12">
        <v>2</v>
      </c>
      <c r="B72" s="13">
        <v>45166</v>
      </c>
      <c r="C72" s="14">
        <v>29.4</v>
      </c>
      <c r="D72" s="14">
        <v>57</v>
      </c>
      <c r="E72" s="14">
        <v>780</v>
      </c>
      <c r="F72" s="14">
        <v>6.4</v>
      </c>
      <c r="G72" s="14">
        <v>26</v>
      </c>
      <c r="H72" s="14">
        <v>84.92</v>
      </c>
      <c r="I72" s="15">
        <v>0.56999999999999995</v>
      </c>
    </row>
    <row r="73" spans="1:9" x14ac:dyDescent="0.25">
      <c r="A73" s="12">
        <v>2</v>
      </c>
      <c r="B73" s="13">
        <v>45167</v>
      </c>
      <c r="C73" s="14">
        <v>28.7</v>
      </c>
      <c r="D73" s="14">
        <v>57</v>
      </c>
      <c r="E73" s="14">
        <v>508</v>
      </c>
      <c r="F73" s="14">
        <v>6.2</v>
      </c>
      <c r="G73" s="14">
        <v>27</v>
      </c>
      <c r="H73" s="14">
        <v>83.66</v>
      </c>
      <c r="I73" s="15">
        <v>0.56999999999999995</v>
      </c>
    </row>
    <row r="74" spans="1:9" x14ac:dyDescent="0.25">
      <c r="A74" s="12">
        <v>2</v>
      </c>
      <c r="B74" s="13">
        <v>45168</v>
      </c>
      <c r="C74" s="14">
        <v>29.1</v>
      </c>
      <c r="D74" s="14">
        <v>58</v>
      </c>
      <c r="E74" s="14">
        <v>603</v>
      </c>
      <c r="F74" s="14">
        <v>6.6</v>
      </c>
      <c r="G74" s="14">
        <v>28</v>
      </c>
      <c r="H74" s="14">
        <v>84.38</v>
      </c>
      <c r="I74" s="15">
        <v>0.57999999999999996</v>
      </c>
    </row>
    <row r="75" spans="1:9" x14ac:dyDescent="0.25">
      <c r="A75" s="12">
        <v>2</v>
      </c>
      <c r="B75" s="13">
        <v>45169</v>
      </c>
      <c r="C75" s="14">
        <v>29.2</v>
      </c>
      <c r="D75" s="14">
        <v>56</v>
      </c>
      <c r="E75" s="14">
        <v>581</v>
      </c>
      <c r="F75" s="14">
        <v>6.7</v>
      </c>
      <c r="G75" s="14">
        <v>29</v>
      </c>
      <c r="H75" s="14">
        <v>84.56</v>
      </c>
      <c r="I75" s="15">
        <v>0.56000000000000005</v>
      </c>
    </row>
    <row r="76" spans="1:9" x14ac:dyDescent="0.25">
      <c r="A76" s="12">
        <v>2</v>
      </c>
      <c r="B76" s="13">
        <v>45170</v>
      </c>
      <c r="C76" s="14">
        <v>31.7</v>
      </c>
      <c r="D76" s="14">
        <v>56</v>
      </c>
      <c r="E76" s="14">
        <v>622</v>
      </c>
      <c r="F76" s="14">
        <v>6.4</v>
      </c>
      <c r="G76" s="14">
        <v>30</v>
      </c>
      <c r="H76" s="14">
        <v>89.06</v>
      </c>
      <c r="I76" s="15">
        <v>0.56000000000000005</v>
      </c>
    </row>
    <row r="77" spans="1:9" x14ac:dyDescent="0.25">
      <c r="A77" s="12">
        <v>2</v>
      </c>
      <c r="B77" s="13">
        <v>45171</v>
      </c>
      <c r="C77" s="14">
        <v>31.7</v>
      </c>
      <c r="D77" s="14">
        <v>73</v>
      </c>
      <c r="E77" s="14">
        <v>598</v>
      </c>
      <c r="F77" s="14">
        <v>6.5</v>
      </c>
      <c r="G77" s="14">
        <v>31</v>
      </c>
      <c r="H77" s="14">
        <v>89.06</v>
      </c>
      <c r="I77" s="15">
        <v>0.73</v>
      </c>
    </row>
    <row r="78" spans="1:9" x14ac:dyDescent="0.25">
      <c r="A78" s="12">
        <v>2</v>
      </c>
      <c r="B78" s="13">
        <v>45172</v>
      </c>
      <c r="C78" s="14">
        <v>31.7</v>
      </c>
      <c r="D78" s="14">
        <v>57</v>
      </c>
      <c r="E78" s="14">
        <v>597</v>
      </c>
      <c r="F78" s="14">
        <v>6.2</v>
      </c>
      <c r="G78" s="14">
        <v>32</v>
      </c>
      <c r="H78" s="14">
        <v>89.06</v>
      </c>
      <c r="I78" s="15">
        <v>0.56999999999999995</v>
      </c>
    </row>
    <row r="79" spans="1:9" x14ac:dyDescent="0.25">
      <c r="A79" s="12">
        <v>2</v>
      </c>
      <c r="B79" s="13">
        <v>45173</v>
      </c>
      <c r="C79" s="14">
        <v>31.7</v>
      </c>
      <c r="D79" s="14">
        <v>61</v>
      </c>
      <c r="E79" s="14">
        <v>498</v>
      </c>
      <c r="F79" s="14">
        <v>6</v>
      </c>
      <c r="G79" s="14">
        <v>33</v>
      </c>
      <c r="H79" s="14">
        <v>89.06</v>
      </c>
      <c r="I79" s="15">
        <v>0.61</v>
      </c>
    </row>
    <row r="80" spans="1:9" x14ac:dyDescent="0.25">
      <c r="A80" s="12">
        <v>2</v>
      </c>
      <c r="B80" s="13">
        <v>45174</v>
      </c>
      <c r="C80" s="14">
        <v>32</v>
      </c>
      <c r="D80" s="14">
        <v>63</v>
      </c>
      <c r="E80" s="14">
        <v>569</v>
      </c>
      <c r="F80" s="14">
        <v>6.4</v>
      </c>
      <c r="G80" s="14">
        <v>34</v>
      </c>
      <c r="H80" s="14">
        <v>89.6</v>
      </c>
      <c r="I80" s="15">
        <v>0.63</v>
      </c>
    </row>
    <row r="81" spans="1:9" x14ac:dyDescent="0.25">
      <c r="A81" s="12">
        <v>2</v>
      </c>
      <c r="B81" s="13">
        <v>45175</v>
      </c>
      <c r="C81" s="14">
        <v>32.1</v>
      </c>
      <c r="D81" s="14">
        <v>75</v>
      </c>
      <c r="E81" s="14">
        <v>697</v>
      </c>
      <c r="F81" s="14">
        <v>6.3</v>
      </c>
      <c r="G81" s="14">
        <v>35</v>
      </c>
      <c r="H81" s="14">
        <v>89.78</v>
      </c>
      <c r="I81" s="15">
        <v>0.75</v>
      </c>
    </row>
    <row r="82" spans="1:9" x14ac:dyDescent="0.25">
      <c r="A82" s="12">
        <v>2</v>
      </c>
      <c r="B82" s="13">
        <v>45176</v>
      </c>
      <c r="C82" s="14">
        <v>31.5</v>
      </c>
      <c r="D82" s="14">
        <v>77</v>
      </c>
      <c r="E82" s="14">
        <v>627</v>
      </c>
      <c r="F82" s="14">
        <v>6.6</v>
      </c>
      <c r="G82" s="14">
        <v>36</v>
      </c>
      <c r="H82" s="14">
        <v>88.7</v>
      </c>
      <c r="I82" s="15">
        <v>0.77</v>
      </c>
    </row>
    <row r="83" spans="1:9" x14ac:dyDescent="0.25">
      <c r="A83" s="12">
        <v>2</v>
      </c>
      <c r="B83" s="13">
        <v>45177</v>
      </c>
      <c r="C83" s="14">
        <v>29.8</v>
      </c>
      <c r="D83" s="14">
        <v>61</v>
      </c>
      <c r="E83" s="14">
        <v>537</v>
      </c>
      <c r="F83" s="14">
        <v>6.6</v>
      </c>
      <c r="G83" s="14">
        <v>37</v>
      </c>
      <c r="H83" s="14">
        <v>85.64</v>
      </c>
      <c r="I83" s="15">
        <v>0.61</v>
      </c>
    </row>
    <row r="84" spans="1:9" x14ac:dyDescent="0.25">
      <c r="A84" s="12">
        <v>2</v>
      </c>
      <c r="B84" s="13">
        <v>45178</v>
      </c>
      <c r="C84" s="14">
        <v>20.100000000000001</v>
      </c>
      <c r="D84" s="14">
        <v>63</v>
      </c>
      <c r="E84" s="14">
        <v>785</v>
      </c>
      <c r="F84" s="14">
        <v>6.3</v>
      </c>
      <c r="G84" s="14">
        <v>38</v>
      </c>
      <c r="H84" s="14">
        <v>68.180000000000007</v>
      </c>
      <c r="I84" s="15">
        <v>0.63</v>
      </c>
    </row>
    <row r="85" spans="1:9" x14ac:dyDescent="0.25">
      <c r="A85" s="12">
        <v>2</v>
      </c>
      <c r="B85" s="13">
        <v>45179</v>
      </c>
      <c r="C85" s="14">
        <v>31.1</v>
      </c>
      <c r="D85" s="14">
        <v>70</v>
      </c>
      <c r="E85" s="14">
        <v>428</v>
      </c>
      <c r="F85" s="14">
        <v>6.7</v>
      </c>
      <c r="G85" s="14">
        <v>39</v>
      </c>
      <c r="H85" s="14">
        <v>87.98</v>
      </c>
      <c r="I85" s="15">
        <v>0.7</v>
      </c>
    </row>
    <row r="86" spans="1:9" x14ac:dyDescent="0.25">
      <c r="A86" s="12">
        <v>2</v>
      </c>
      <c r="B86" s="13">
        <v>45180</v>
      </c>
      <c r="C86" s="14">
        <v>31.2</v>
      </c>
      <c r="D86" s="14">
        <v>56</v>
      </c>
      <c r="E86" s="14">
        <v>797</v>
      </c>
      <c r="F86" s="14">
        <v>6.8</v>
      </c>
      <c r="G86" s="14">
        <v>40</v>
      </c>
      <c r="H86" s="14">
        <v>88.16</v>
      </c>
      <c r="I86" s="15">
        <v>0.56000000000000005</v>
      </c>
    </row>
    <row r="87" spans="1:9" x14ac:dyDescent="0.25">
      <c r="A87" s="12">
        <v>2</v>
      </c>
      <c r="B87" s="13">
        <v>45181</v>
      </c>
      <c r="C87" s="14">
        <v>31.2</v>
      </c>
      <c r="D87" s="14">
        <v>66</v>
      </c>
      <c r="E87" s="14">
        <v>657</v>
      </c>
      <c r="F87" s="14">
        <v>6.8</v>
      </c>
      <c r="G87" s="14">
        <v>41</v>
      </c>
      <c r="H87" s="14">
        <v>88.16</v>
      </c>
      <c r="I87" s="15">
        <v>0.66</v>
      </c>
    </row>
    <row r="88" spans="1:9" x14ac:dyDescent="0.25">
      <c r="A88" s="12">
        <v>2</v>
      </c>
      <c r="B88" s="13">
        <v>45182</v>
      </c>
      <c r="C88" s="14">
        <v>30.4</v>
      </c>
      <c r="D88" s="14">
        <v>75</v>
      </c>
      <c r="E88" s="14">
        <v>473</v>
      </c>
      <c r="F88" s="14">
        <v>6.6</v>
      </c>
      <c r="G88" s="14">
        <v>42</v>
      </c>
      <c r="H88" s="14">
        <v>86.72</v>
      </c>
      <c r="I88" s="15">
        <v>0.75</v>
      </c>
    </row>
    <row r="89" spans="1:9" x14ac:dyDescent="0.25">
      <c r="A89" s="12">
        <v>2</v>
      </c>
      <c r="B89" s="13">
        <v>45183</v>
      </c>
      <c r="C89" s="14">
        <v>29.1</v>
      </c>
      <c r="D89" s="14">
        <v>72</v>
      </c>
      <c r="E89" s="14">
        <v>689</v>
      </c>
      <c r="F89" s="14">
        <v>6.3</v>
      </c>
      <c r="G89" s="14">
        <v>43</v>
      </c>
      <c r="H89" s="14">
        <v>84.38</v>
      </c>
      <c r="I89" s="15">
        <v>0.72</v>
      </c>
    </row>
    <row r="90" spans="1:9" x14ac:dyDescent="0.25">
      <c r="A90" s="12">
        <v>2</v>
      </c>
      <c r="B90" s="13">
        <v>45184</v>
      </c>
      <c r="C90" s="14">
        <v>30.6</v>
      </c>
      <c r="D90" s="14">
        <v>52</v>
      </c>
      <c r="E90" s="14">
        <v>681</v>
      </c>
      <c r="F90" s="14">
        <v>6.3</v>
      </c>
      <c r="G90" s="14">
        <v>44</v>
      </c>
      <c r="H90" s="14">
        <v>87.08</v>
      </c>
      <c r="I90" s="15">
        <v>0.52</v>
      </c>
    </row>
    <row r="91" spans="1:9" x14ac:dyDescent="0.25">
      <c r="A91" s="12">
        <v>2</v>
      </c>
      <c r="B91" s="13">
        <v>45185</v>
      </c>
      <c r="C91" s="14">
        <v>31.5</v>
      </c>
      <c r="D91" s="14">
        <v>79</v>
      </c>
      <c r="E91" s="14">
        <v>719</v>
      </c>
      <c r="F91" s="14">
        <v>6.7</v>
      </c>
      <c r="G91" s="14">
        <v>45</v>
      </c>
      <c r="H91" s="14">
        <v>88.7</v>
      </c>
      <c r="I91" s="15">
        <v>0.79</v>
      </c>
    </row>
    <row r="92" spans="1:9" x14ac:dyDescent="0.25">
      <c r="A92" s="12">
        <v>3</v>
      </c>
      <c r="B92" s="13">
        <v>45141</v>
      </c>
      <c r="C92" s="14">
        <v>33.4</v>
      </c>
      <c r="D92" s="14">
        <v>51</v>
      </c>
      <c r="E92" s="14">
        <v>667</v>
      </c>
      <c r="F92" s="14">
        <v>6.2</v>
      </c>
      <c r="G92" s="14">
        <v>1</v>
      </c>
      <c r="H92" s="14">
        <v>92.12</v>
      </c>
      <c r="I92" s="15">
        <v>0.51</v>
      </c>
    </row>
    <row r="93" spans="1:9" x14ac:dyDescent="0.25">
      <c r="A93" s="12">
        <v>3</v>
      </c>
      <c r="B93" s="13">
        <v>45142</v>
      </c>
      <c r="C93" s="14">
        <v>33.5</v>
      </c>
      <c r="D93" s="14">
        <v>63</v>
      </c>
      <c r="E93" s="14">
        <v>632</v>
      </c>
      <c r="F93" s="14">
        <v>6.1</v>
      </c>
      <c r="G93" s="14">
        <v>2</v>
      </c>
      <c r="H93" s="14">
        <v>92.3</v>
      </c>
      <c r="I93" s="15">
        <v>0.63</v>
      </c>
    </row>
    <row r="94" spans="1:9" x14ac:dyDescent="0.25">
      <c r="A94" s="12">
        <v>3</v>
      </c>
      <c r="B94" s="13">
        <v>45143</v>
      </c>
      <c r="C94" s="14">
        <v>33.4</v>
      </c>
      <c r="D94" s="14">
        <v>65</v>
      </c>
      <c r="E94" s="14">
        <v>636</v>
      </c>
      <c r="F94" s="14">
        <v>6.7</v>
      </c>
      <c r="G94" s="14">
        <v>3</v>
      </c>
      <c r="H94" s="14">
        <v>92.12</v>
      </c>
      <c r="I94" s="15">
        <v>0.65</v>
      </c>
    </row>
    <row r="95" spans="1:9" x14ac:dyDescent="0.25">
      <c r="A95" s="12">
        <v>3</v>
      </c>
      <c r="B95" s="13">
        <v>45144</v>
      </c>
      <c r="C95" s="14">
        <v>33.4</v>
      </c>
      <c r="D95" s="14">
        <v>62</v>
      </c>
      <c r="E95" s="14">
        <v>525</v>
      </c>
      <c r="F95" s="14">
        <v>6.6</v>
      </c>
      <c r="G95" s="14">
        <v>4</v>
      </c>
      <c r="H95" s="14">
        <v>92.12</v>
      </c>
      <c r="I95" s="15">
        <v>0.62</v>
      </c>
    </row>
    <row r="96" spans="1:9" x14ac:dyDescent="0.25">
      <c r="A96" s="12">
        <v>3</v>
      </c>
      <c r="B96" s="13">
        <v>45145</v>
      </c>
      <c r="C96" s="14">
        <v>33.4</v>
      </c>
      <c r="D96" s="14">
        <v>65</v>
      </c>
      <c r="E96" s="14">
        <v>735</v>
      </c>
      <c r="F96" s="14">
        <v>6</v>
      </c>
      <c r="G96" s="14">
        <v>5</v>
      </c>
      <c r="H96" s="14">
        <v>92.12</v>
      </c>
      <c r="I96" s="15">
        <v>0.65</v>
      </c>
    </row>
    <row r="97" spans="1:9" x14ac:dyDescent="0.25">
      <c r="A97" s="12">
        <v>3</v>
      </c>
      <c r="B97" s="13">
        <v>45146</v>
      </c>
      <c r="C97" s="14">
        <v>32.299999999999997</v>
      </c>
      <c r="D97" s="14">
        <v>80</v>
      </c>
      <c r="E97" s="14">
        <v>794</v>
      </c>
      <c r="F97" s="14">
        <v>6.4</v>
      </c>
      <c r="G97" s="14">
        <v>6</v>
      </c>
      <c r="H97" s="14">
        <v>90.14</v>
      </c>
      <c r="I97" s="15">
        <v>0.8</v>
      </c>
    </row>
    <row r="98" spans="1:9" x14ac:dyDescent="0.25">
      <c r="A98" s="12">
        <v>3</v>
      </c>
      <c r="B98" s="13">
        <v>45147</v>
      </c>
      <c r="C98" s="14">
        <v>32.299999999999997</v>
      </c>
      <c r="D98" s="14">
        <v>80</v>
      </c>
      <c r="E98" s="14">
        <v>691</v>
      </c>
      <c r="F98" s="14">
        <v>6.2</v>
      </c>
      <c r="G98" s="14">
        <v>7</v>
      </c>
      <c r="H98" s="14">
        <v>90.14</v>
      </c>
      <c r="I98" s="15">
        <v>0.8</v>
      </c>
    </row>
    <row r="99" spans="1:9" x14ac:dyDescent="0.25">
      <c r="A99" s="12">
        <v>3</v>
      </c>
      <c r="B99" s="13">
        <v>45148</v>
      </c>
      <c r="C99" s="14">
        <v>22.7</v>
      </c>
      <c r="D99" s="14">
        <v>65</v>
      </c>
      <c r="E99" s="14">
        <v>783</v>
      </c>
      <c r="F99" s="14">
        <v>6.6</v>
      </c>
      <c r="G99" s="14">
        <v>8</v>
      </c>
      <c r="H99" s="14">
        <v>72.86</v>
      </c>
      <c r="I99" s="15">
        <v>0.65</v>
      </c>
    </row>
    <row r="100" spans="1:9" x14ac:dyDescent="0.25">
      <c r="A100" s="12">
        <v>3</v>
      </c>
      <c r="B100" s="13">
        <v>45149</v>
      </c>
      <c r="C100" s="14">
        <v>31.9</v>
      </c>
      <c r="D100" s="14">
        <v>62</v>
      </c>
      <c r="E100" s="14">
        <v>531</v>
      </c>
      <c r="F100" s="14">
        <v>6.7</v>
      </c>
      <c r="G100" s="14">
        <v>9</v>
      </c>
      <c r="H100" s="14">
        <v>89.42</v>
      </c>
      <c r="I100" s="15">
        <v>0.62</v>
      </c>
    </row>
    <row r="101" spans="1:9" x14ac:dyDescent="0.25">
      <c r="A101" s="12">
        <v>3</v>
      </c>
      <c r="B101" s="13">
        <v>45150</v>
      </c>
      <c r="C101" s="14">
        <v>30.2</v>
      </c>
      <c r="D101" s="14">
        <v>69</v>
      </c>
      <c r="E101" s="14">
        <v>473</v>
      </c>
      <c r="F101" s="14">
        <v>6.4</v>
      </c>
      <c r="G101" s="14">
        <v>10</v>
      </c>
      <c r="H101" s="14">
        <v>86.36</v>
      </c>
      <c r="I101" s="15">
        <v>0.69</v>
      </c>
    </row>
    <row r="102" spans="1:9" x14ac:dyDescent="0.25">
      <c r="A102" s="12">
        <v>3</v>
      </c>
      <c r="B102" s="13">
        <v>45151</v>
      </c>
      <c r="C102" s="14">
        <v>30.1</v>
      </c>
      <c r="D102" s="14">
        <v>55</v>
      </c>
      <c r="E102" s="14">
        <v>745</v>
      </c>
      <c r="F102" s="14">
        <v>6.1</v>
      </c>
      <c r="G102" s="14">
        <v>11</v>
      </c>
      <c r="H102" s="14">
        <v>86.18</v>
      </c>
      <c r="I102" s="15">
        <v>0.55000000000000004</v>
      </c>
    </row>
    <row r="103" spans="1:9" x14ac:dyDescent="0.25">
      <c r="A103" s="12">
        <v>3</v>
      </c>
      <c r="B103" s="13">
        <v>45152</v>
      </c>
      <c r="C103" s="14">
        <v>30.1</v>
      </c>
      <c r="D103" s="14">
        <v>80</v>
      </c>
      <c r="E103" s="14">
        <v>569</v>
      </c>
      <c r="F103" s="14">
        <v>6.3</v>
      </c>
      <c r="G103" s="14">
        <v>12</v>
      </c>
      <c r="H103" s="14">
        <v>86.18</v>
      </c>
      <c r="I103" s="15">
        <v>0.8</v>
      </c>
    </row>
    <row r="104" spans="1:9" x14ac:dyDescent="0.25">
      <c r="A104" s="12">
        <v>3</v>
      </c>
      <c r="B104" s="13">
        <v>45153</v>
      </c>
      <c r="C104" s="14">
        <v>30.1</v>
      </c>
      <c r="D104" s="14">
        <v>63</v>
      </c>
      <c r="E104" s="14">
        <v>743</v>
      </c>
      <c r="F104" s="14">
        <v>6.3</v>
      </c>
      <c r="G104" s="14">
        <v>13</v>
      </c>
      <c r="H104" s="14">
        <v>86.18</v>
      </c>
      <c r="I104" s="15">
        <v>0.63</v>
      </c>
    </row>
    <row r="105" spans="1:9" x14ac:dyDescent="0.25">
      <c r="A105" s="12">
        <v>3</v>
      </c>
      <c r="B105" s="13">
        <v>45154</v>
      </c>
      <c r="C105" s="14">
        <v>29.8</v>
      </c>
      <c r="D105" s="14">
        <v>69</v>
      </c>
      <c r="E105" s="14">
        <v>566</v>
      </c>
      <c r="F105" s="14">
        <v>6.1</v>
      </c>
      <c r="G105" s="14">
        <v>14</v>
      </c>
      <c r="H105" s="14">
        <v>85.64</v>
      </c>
      <c r="I105" s="15">
        <v>0.69</v>
      </c>
    </row>
    <row r="106" spans="1:9" x14ac:dyDescent="0.25">
      <c r="A106" s="12">
        <v>3</v>
      </c>
      <c r="B106" s="13">
        <v>45155</v>
      </c>
      <c r="C106" s="14">
        <v>29.6</v>
      </c>
      <c r="D106" s="14">
        <v>53</v>
      </c>
      <c r="E106" s="14">
        <v>671</v>
      </c>
      <c r="F106" s="14">
        <v>6.6</v>
      </c>
      <c r="G106" s="14">
        <v>15</v>
      </c>
      <c r="H106" s="14">
        <v>85.28</v>
      </c>
      <c r="I106" s="15">
        <v>0.53</v>
      </c>
    </row>
    <row r="107" spans="1:9" x14ac:dyDescent="0.25">
      <c r="A107" s="12">
        <v>3</v>
      </c>
      <c r="B107" s="13">
        <v>45156</v>
      </c>
      <c r="C107" s="14">
        <v>30.9</v>
      </c>
      <c r="D107" s="14">
        <v>58</v>
      </c>
      <c r="E107" s="14">
        <v>643</v>
      </c>
      <c r="F107" s="14">
        <v>6.4</v>
      </c>
      <c r="G107" s="14">
        <v>16</v>
      </c>
      <c r="H107" s="14">
        <v>87.62</v>
      </c>
      <c r="I107" s="15">
        <v>0.57999999999999996</v>
      </c>
    </row>
    <row r="108" spans="1:9" x14ac:dyDescent="0.25">
      <c r="A108" s="12">
        <v>3</v>
      </c>
      <c r="B108" s="13">
        <v>45157</v>
      </c>
      <c r="C108" s="14">
        <v>30.8</v>
      </c>
      <c r="D108" s="14">
        <v>67</v>
      </c>
      <c r="E108" s="14">
        <v>682</v>
      </c>
      <c r="F108" s="14">
        <v>6.6</v>
      </c>
      <c r="G108" s="14">
        <v>17</v>
      </c>
      <c r="H108" s="14">
        <v>87.44</v>
      </c>
      <c r="I108" s="15">
        <v>0.67</v>
      </c>
    </row>
    <row r="109" spans="1:9" x14ac:dyDescent="0.25">
      <c r="A109" s="12">
        <v>3</v>
      </c>
      <c r="B109" s="13">
        <v>45158</v>
      </c>
      <c r="C109" s="14">
        <v>30.9</v>
      </c>
      <c r="D109" s="14">
        <v>79</v>
      </c>
      <c r="E109" s="14">
        <v>467</v>
      </c>
      <c r="F109" s="14">
        <v>6.3</v>
      </c>
      <c r="G109" s="14">
        <v>18</v>
      </c>
      <c r="H109" s="14">
        <v>87.62</v>
      </c>
      <c r="I109" s="15">
        <v>0.79</v>
      </c>
    </row>
    <row r="110" spans="1:9" x14ac:dyDescent="0.25">
      <c r="A110" s="12">
        <v>3</v>
      </c>
      <c r="B110" s="13">
        <v>45159</v>
      </c>
      <c r="C110" s="14">
        <v>30.2</v>
      </c>
      <c r="D110" s="14">
        <v>58</v>
      </c>
      <c r="E110" s="14">
        <v>714</v>
      </c>
      <c r="F110" s="14">
        <v>6.7</v>
      </c>
      <c r="G110" s="14">
        <v>19</v>
      </c>
      <c r="H110" s="14">
        <v>86.36</v>
      </c>
      <c r="I110" s="15">
        <v>0.57999999999999996</v>
      </c>
    </row>
    <row r="111" spans="1:9" x14ac:dyDescent="0.25">
      <c r="A111" s="12">
        <v>3</v>
      </c>
      <c r="B111" s="13">
        <v>45160</v>
      </c>
      <c r="C111" s="14">
        <v>30.5</v>
      </c>
      <c r="D111" s="14">
        <v>80</v>
      </c>
      <c r="E111" s="14">
        <v>726</v>
      </c>
      <c r="F111" s="14">
        <v>6.6</v>
      </c>
      <c r="G111" s="14">
        <v>20</v>
      </c>
      <c r="H111" s="14">
        <v>86.9</v>
      </c>
      <c r="I111" s="15">
        <v>0.8</v>
      </c>
    </row>
    <row r="112" spans="1:9" x14ac:dyDescent="0.25">
      <c r="A112" s="12">
        <v>3</v>
      </c>
      <c r="B112" s="13">
        <v>45161</v>
      </c>
      <c r="C112" s="14">
        <v>30.8</v>
      </c>
      <c r="D112" s="14">
        <v>79</v>
      </c>
      <c r="E112" s="14">
        <v>780</v>
      </c>
      <c r="F112" s="14">
        <v>6.1</v>
      </c>
      <c r="G112" s="14">
        <v>21</v>
      </c>
      <c r="H112" s="14">
        <v>87.44</v>
      </c>
      <c r="I112" s="15">
        <v>0.79</v>
      </c>
    </row>
    <row r="113" spans="1:9" x14ac:dyDescent="0.25">
      <c r="A113" s="12">
        <v>3</v>
      </c>
      <c r="B113" s="13">
        <v>45162</v>
      </c>
      <c r="C113" s="14">
        <v>31.3</v>
      </c>
      <c r="D113" s="14">
        <v>55</v>
      </c>
      <c r="E113" s="14">
        <v>545</v>
      </c>
      <c r="F113" s="14">
        <v>6.4</v>
      </c>
      <c r="G113" s="14">
        <v>22</v>
      </c>
      <c r="H113" s="14">
        <v>88.34</v>
      </c>
      <c r="I113" s="15">
        <v>0.55000000000000004</v>
      </c>
    </row>
    <row r="114" spans="1:9" x14ac:dyDescent="0.25">
      <c r="A114" s="12">
        <v>3</v>
      </c>
      <c r="B114" s="13">
        <v>45163</v>
      </c>
      <c r="C114" s="14">
        <v>31.4</v>
      </c>
      <c r="D114" s="14">
        <v>74</v>
      </c>
      <c r="E114" s="14">
        <v>630</v>
      </c>
      <c r="F114" s="14">
        <v>6.6</v>
      </c>
      <c r="G114" s="14">
        <v>23</v>
      </c>
      <c r="H114" s="14">
        <v>88.52</v>
      </c>
      <c r="I114" s="15">
        <v>0.74</v>
      </c>
    </row>
    <row r="115" spans="1:9" x14ac:dyDescent="0.25">
      <c r="A115" s="12">
        <v>3</v>
      </c>
      <c r="B115" s="13">
        <v>45164</v>
      </c>
      <c r="C115" s="14">
        <v>31.4</v>
      </c>
      <c r="D115" s="14">
        <v>53</v>
      </c>
      <c r="E115" s="14">
        <v>491</v>
      </c>
      <c r="F115" s="14">
        <v>6.4</v>
      </c>
      <c r="G115" s="14">
        <v>24</v>
      </c>
      <c r="H115" s="14">
        <v>88.52</v>
      </c>
      <c r="I115" s="15">
        <v>0.53</v>
      </c>
    </row>
    <row r="116" spans="1:9" x14ac:dyDescent="0.25">
      <c r="A116" s="12">
        <v>3</v>
      </c>
      <c r="B116" s="13">
        <v>45165</v>
      </c>
      <c r="C116" s="14">
        <v>30.1</v>
      </c>
      <c r="D116" s="14">
        <v>80</v>
      </c>
      <c r="E116" s="14">
        <v>661</v>
      </c>
      <c r="F116" s="14">
        <v>6.7</v>
      </c>
      <c r="G116" s="14">
        <v>25</v>
      </c>
      <c r="H116" s="14">
        <v>86.18</v>
      </c>
      <c r="I116" s="15">
        <v>0.8</v>
      </c>
    </row>
    <row r="117" spans="1:9" x14ac:dyDescent="0.25">
      <c r="A117" s="12">
        <v>3</v>
      </c>
      <c r="B117" s="13">
        <v>45166</v>
      </c>
      <c r="C117" s="14">
        <v>29.4</v>
      </c>
      <c r="D117" s="14">
        <v>75</v>
      </c>
      <c r="E117" s="14">
        <v>535</v>
      </c>
      <c r="F117" s="14">
        <v>6.1</v>
      </c>
      <c r="G117" s="14">
        <v>26</v>
      </c>
      <c r="H117" s="14">
        <v>84.92</v>
      </c>
      <c r="I117" s="15">
        <v>0.75</v>
      </c>
    </row>
    <row r="118" spans="1:9" x14ac:dyDescent="0.25">
      <c r="A118" s="12">
        <v>3</v>
      </c>
      <c r="B118" s="13">
        <v>45167</v>
      </c>
      <c r="C118" s="14">
        <v>28.7</v>
      </c>
      <c r="D118" s="14">
        <v>73</v>
      </c>
      <c r="E118" s="14">
        <v>629</v>
      </c>
      <c r="F118" s="14">
        <v>6.6</v>
      </c>
      <c r="G118" s="14">
        <v>27</v>
      </c>
      <c r="H118" s="14">
        <v>83.66</v>
      </c>
      <c r="I118" s="15">
        <v>0.73</v>
      </c>
    </row>
    <row r="119" spans="1:9" x14ac:dyDescent="0.25">
      <c r="A119" s="12">
        <v>3</v>
      </c>
      <c r="B119" s="13">
        <v>45168</v>
      </c>
      <c r="C119" s="14">
        <v>29.1</v>
      </c>
      <c r="D119" s="14">
        <v>73</v>
      </c>
      <c r="E119" s="14">
        <v>738</v>
      </c>
      <c r="F119" s="14">
        <v>6.6</v>
      </c>
      <c r="G119" s="14">
        <v>28</v>
      </c>
      <c r="H119" s="14">
        <v>84.38</v>
      </c>
      <c r="I119" s="15">
        <v>0.73</v>
      </c>
    </row>
    <row r="120" spans="1:9" x14ac:dyDescent="0.25">
      <c r="A120" s="12">
        <v>3</v>
      </c>
      <c r="B120" s="13">
        <v>45169</v>
      </c>
      <c r="C120" s="14">
        <v>29.2</v>
      </c>
      <c r="D120" s="14">
        <v>69</v>
      </c>
      <c r="E120" s="14">
        <v>758</v>
      </c>
      <c r="F120" s="14">
        <v>6.2</v>
      </c>
      <c r="G120" s="14">
        <v>29</v>
      </c>
      <c r="H120" s="14">
        <v>84.56</v>
      </c>
      <c r="I120" s="15">
        <v>0.69</v>
      </c>
    </row>
    <row r="121" spans="1:9" x14ac:dyDescent="0.25">
      <c r="A121" s="12">
        <v>3</v>
      </c>
      <c r="B121" s="13">
        <v>45170</v>
      </c>
      <c r="C121" s="14">
        <v>31.7</v>
      </c>
      <c r="D121" s="14">
        <v>76</v>
      </c>
      <c r="E121" s="14">
        <v>799</v>
      </c>
      <c r="F121" s="14">
        <v>6.3</v>
      </c>
      <c r="G121" s="14">
        <v>30</v>
      </c>
      <c r="H121" s="14">
        <v>89.06</v>
      </c>
      <c r="I121" s="15">
        <v>0.76</v>
      </c>
    </row>
    <row r="122" spans="1:9" x14ac:dyDescent="0.25">
      <c r="A122" s="12">
        <v>3</v>
      </c>
      <c r="B122" s="13">
        <v>45171</v>
      </c>
      <c r="C122" s="14">
        <v>31.7</v>
      </c>
      <c r="D122" s="14">
        <v>75</v>
      </c>
      <c r="E122" s="14">
        <v>577</v>
      </c>
      <c r="F122" s="14">
        <v>6.2</v>
      </c>
      <c r="G122" s="14">
        <v>31</v>
      </c>
      <c r="H122" s="14">
        <v>89.06</v>
      </c>
      <c r="I122" s="15">
        <v>0.75</v>
      </c>
    </row>
    <row r="123" spans="1:9" x14ac:dyDescent="0.25">
      <c r="A123" s="12">
        <v>3</v>
      </c>
      <c r="B123" s="13">
        <v>45172</v>
      </c>
      <c r="C123" s="14">
        <v>31.7</v>
      </c>
      <c r="D123" s="14">
        <v>69</v>
      </c>
      <c r="E123" s="14">
        <v>439</v>
      </c>
      <c r="F123" s="14">
        <v>6.3</v>
      </c>
      <c r="G123" s="14">
        <v>32</v>
      </c>
      <c r="H123" s="14">
        <v>89.06</v>
      </c>
      <c r="I123" s="15">
        <v>0.69</v>
      </c>
    </row>
    <row r="124" spans="1:9" x14ac:dyDescent="0.25">
      <c r="A124" s="12">
        <v>3</v>
      </c>
      <c r="B124" s="13">
        <v>45173</v>
      </c>
      <c r="C124" s="14">
        <v>31.7</v>
      </c>
      <c r="D124" s="14">
        <v>50</v>
      </c>
      <c r="E124" s="14">
        <v>516</v>
      </c>
      <c r="F124" s="14">
        <v>6.5</v>
      </c>
      <c r="G124" s="14">
        <v>33</v>
      </c>
      <c r="H124" s="14">
        <v>89.06</v>
      </c>
      <c r="I124" s="15">
        <v>0.5</v>
      </c>
    </row>
    <row r="125" spans="1:9" x14ac:dyDescent="0.25">
      <c r="A125" s="12">
        <v>3</v>
      </c>
      <c r="B125" s="13">
        <v>45174</v>
      </c>
      <c r="C125" s="14">
        <v>32</v>
      </c>
      <c r="D125" s="14">
        <v>72</v>
      </c>
      <c r="E125" s="14">
        <v>741</v>
      </c>
      <c r="F125" s="14">
        <v>6.8</v>
      </c>
      <c r="G125" s="14">
        <v>34</v>
      </c>
      <c r="H125" s="14">
        <v>89.6</v>
      </c>
      <c r="I125" s="15">
        <v>0.72</v>
      </c>
    </row>
    <row r="126" spans="1:9" x14ac:dyDescent="0.25">
      <c r="A126" s="12">
        <v>3</v>
      </c>
      <c r="B126" s="13">
        <v>45175</v>
      </c>
      <c r="C126" s="14">
        <v>32.1</v>
      </c>
      <c r="D126" s="14">
        <v>72</v>
      </c>
      <c r="E126" s="14">
        <v>492</v>
      </c>
      <c r="F126" s="14">
        <v>6</v>
      </c>
      <c r="G126" s="14">
        <v>35</v>
      </c>
      <c r="H126" s="14">
        <v>89.78</v>
      </c>
      <c r="I126" s="15">
        <v>0.72</v>
      </c>
    </row>
    <row r="127" spans="1:9" x14ac:dyDescent="0.25">
      <c r="A127" s="12">
        <v>3</v>
      </c>
      <c r="B127" s="13">
        <v>45176</v>
      </c>
      <c r="C127" s="14">
        <v>31.5</v>
      </c>
      <c r="D127" s="14">
        <v>75</v>
      </c>
      <c r="E127" s="14">
        <v>762</v>
      </c>
      <c r="F127" s="14">
        <v>6.2</v>
      </c>
      <c r="G127" s="14">
        <v>36</v>
      </c>
      <c r="H127" s="14">
        <v>88.7</v>
      </c>
      <c r="I127" s="15">
        <v>0.75</v>
      </c>
    </row>
    <row r="128" spans="1:9" x14ac:dyDescent="0.25">
      <c r="A128" s="12">
        <v>3</v>
      </c>
      <c r="B128" s="13">
        <v>45177</v>
      </c>
      <c r="C128" s="14">
        <v>29.8</v>
      </c>
      <c r="D128" s="14">
        <v>78</v>
      </c>
      <c r="E128" s="14">
        <v>525</v>
      </c>
      <c r="F128" s="14">
        <v>6</v>
      </c>
      <c r="G128" s="14">
        <v>37</v>
      </c>
      <c r="H128" s="14">
        <v>85.64</v>
      </c>
      <c r="I128" s="15">
        <v>0.78</v>
      </c>
    </row>
    <row r="129" spans="1:9" x14ac:dyDescent="0.25">
      <c r="A129" s="12">
        <v>3</v>
      </c>
      <c r="B129" s="13">
        <v>45178</v>
      </c>
      <c r="C129" s="14">
        <v>20.100000000000001</v>
      </c>
      <c r="D129" s="14">
        <v>80</v>
      </c>
      <c r="E129" s="14">
        <v>428</v>
      </c>
      <c r="F129" s="14">
        <v>6.5</v>
      </c>
      <c r="G129" s="14">
        <v>38</v>
      </c>
      <c r="H129" s="14">
        <v>68.180000000000007</v>
      </c>
      <c r="I129" s="15">
        <v>0.8</v>
      </c>
    </row>
    <row r="130" spans="1:9" x14ac:dyDescent="0.25">
      <c r="A130" s="12">
        <v>3</v>
      </c>
      <c r="B130" s="13">
        <v>45179</v>
      </c>
      <c r="C130" s="14">
        <v>31.1</v>
      </c>
      <c r="D130" s="14">
        <v>79</v>
      </c>
      <c r="E130" s="14">
        <v>794</v>
      </c>
      <c r="F130" s="14">
        <v>6.3</v>
      </c>
      <c r="G130" s="14">
        <v>39</v>
      </c>
      <c r="H130" s="14">
        <v>87.98</v>
      </c>
      <c r="I130" s="15">
        <v>0.79</v>
      </c>
    </row>
    <row r="131" spans="1:9" x14ac:dyDescent="0.25">
      <c r="A131" s="12">
        <v>3</v>
      </c>
      <c r="B131" s="13">
        <v>45180</v>
      </c>
      <c r="C131" s="14">
        <v>31.2</v>
      </c>
      <c r="D131" s="14">
        <v>73</v>
      </c>
      <c r="E131" s="14">
        <v>460</v>
      </c>
      <c r="F131" s="14">
        <v>6.7</v>
      </c>
      <c r="G131" s="14">
        <v>40</v>
      </c>
      <c r="H131" s="14">
        <v>88.16</v>
      </c>
      <c r="I131" s="15">
        <v>0.73</v>
      </c>
    </row>
    <row r="132" spans="1:9" x14ac:dyDescent="0.25">
      <c r="A132" s="12">
        <v>3</v>
      </c>
      <c r="B132" s="13">
        <v>45181</v>
      </c>
      <c r="C132" s="14">
        <v>31.2</v>
      </c>
      <c r="D132" s="14">
        <v>69</v>
      </c>
      <c r="E132" s="14">
        <v>403</v>
      </c>
      <c r="F132" s="14">
        <v>6.6</v>
      </c>
      <c r="G132" s="14">
        <v>41</v>
      </c>
      <c r="H132" s="14">
        <v>88.16</v>
      </c>
      <c r="I132" s="15">
        <v>0.69</v>
      </c>
    </row>
    <row r="133" spans="1:9" x14ac:dyDescent="0.25">
      <c r="A133" s="12">
        <v>3</v>
      </c>
      <c r="B133" s="13">
        <v>45182</v>
      </c>
      <c r="C133" s="14">
        <v>30.4</v>
      </c>
      <c r="D133" s="14">
        <v>54</v>
      </c>
      <c r="E133" s="14">
        <v>480</v>
      </c>
      <c r="F133" s="14">
        <v>6.7</v>
      </c>
      <c r="G133" s="14">
        <v>42</v>
      </c>
      <c r="H133" s="14">
        <v>86.72</v>
      </c>
      <c r="I133" s="15">
        <v>0.54</v>
      </c>
    </row>
    <row r="134" spans="1:9" x14ac:dyDescent="0.25">
      <c r="A134" s="12">
        <v>3</v>
      </c>
      <c r="B134" s="13">
        <v>45183</v>
      </c>
      <c r="C134" s="14">
        <v>29.1</v>
      </c>
      <c r="D134" s="14">
        <v>73</v>
      </c>
      <c r="E134" s="14">
        <v>747</v>
      </c>
      <c r="F134" s="14">
        <v>6.1</v>
      </c>
      <c r="G134" s="14">
        <v>43</v>
      </c>
      <c r="H134" s="14">
        <v>84.38</v>
      </c>
      <c r="I134" s="15">
        <v>0.73</v>
      </c>
    </row>
    <row r="135" spans="1:9" x14ac:dyDescent="0.25">
      <c r="A135" s="12">
        <v>3</v>
      </c>
      <c r="B135" s="13">
        <v>45184</v>
      </c>
      <c r="C135" s="14">
        <v>30.6</v>
      </c>
      <c r="D135" s="14">
        <v>58</v>
      </c>
      <c r="E135" s="14">
        <v>479</v>
      </c>
      <c r="F135" s="14">
        <v>6.7</v>
      </c>
      <c r="G135" s="14">
        <v>44</v>
      </c>
      <c r="H135" s="14">
        <v>87.08</v>
      </c>
      <c r="I135" s="15">
        <v>0.57999999999999996</v>
      </c>
    </row>
    <row r="136" spans="1:9" x14ac:dyDescent="0.25">
      <c r="A136" s="12">
        <v>3</v>
      </c>
      <c r="B136" s="13">
        <v>45185</v>
      </c>
      <c r="C136" s="14">
        <v>31.5</v>
      </c>
      <c r="D136" s="14">
        <v>73</v>
      </c>
      <c r="E136" s="14">
        <v>691</v>
      </c>
      <c r="F136" s="14">
        <v>6.7</v>
      </c>
      <c r="G136" s="14">
        <v>45</v>
      </c>
      <c r="H136" s="14">
        <v>88.7</v>
      </c>
      <c r="I136" s="15">
        <v>0.73</v>
      </c>
    </row>
    <row r="137" spans="1:9" x14ac:dyDescent="0.25">
      <c r="A137" s="12">
        <v>3</v>
      </c>
      <c r="B137" s="13">
        <v>45186</v>
      </c>
      <c r="C137" s="14">
        <v>30.5</v>
      </c>
      <c r="D137" s="14">
        <v>75</v>
      </c>
      <c r="E137" s="14">
        <v>517</v>
      </c>
      <c r="F137" s="14">
        <v>6.4</v>
      </c>
      <c r="G137" s="14">
        <v>46</v>
      </c>
      <c r="H137" s="14">
        <v>86.9</v>
      </c>
      <c r="I137" s="15">
        <v>0.75</v>
      </c>
    </row>
    <row r="138" spans="1:9" x14ac:dyDescent="0.25">
      <c r="A138" s="12">
        <v>3</v>
      </c>
      <c r="B138" s="13">
        <v>45187</v>
      </c>
      <c r="C138" s="14">
        <v>29.7</v>
      </c>
      <c r="D138" s="14">
        <v>72</v>
      </c>
      <c r="E138" s="14">
        <v>549</v>
      </c>
      <c r="F138" s="14">
        <v>6.6</v>
      </c>
      <c r="G138" s="14">
        <v>47</v>
      </c>
      <c r="H138" s="14">
        <v>85.46</v>
      </c>
      <c r="I138" s="15">
        <v>0.72</v>
      </c>
    </row>
    <row r="139" spans="1:9" x14ac:dyDescent="0.25">
      <c r="A139" s="12">
        <v>4</v>
      </c>
      <c r="B139" s="13">
        <v>45141</v>
      </c>
      <c r="C139" s="14">
        <v>33.4</v>
      </c>
      <c r="D139" s="14">
        <v>62</v>
      </c>
      <c r="E139" s="14">
        <v>547</v>
      </c>
      <c r="F139" s="14">
        <v>6.7</v>
      </c>
      <c r="G139" s="14">
        <v>1</v>
      </c>
      <c r="H139" s="14">
        <v>92.12</v>
      </c>
      <c r="I139" s="15">
        <v>0.62</v>
      </c>
    </row>
    <row r="140" spans="1:9" x14ac:dyDescent="0.25">
      <c r="A140" s="12">
        <v>4</v>
      </c>
      <c r="B140" s="13">
        <v>45142</v>
      </c>
      <c r="C140" s="14">
        <v>33.5</v>
      </c>
      <c r="D140" s="14">
        <v>54</v>
      </c>
      <c r="E140" s="14">
        <v>609</v>
      </c>
      <c r="F140" s="14">
        <v>6.7</v>
      </c>
      <c r="G140" s="14">
        <v>2</v>
      </c>
      <c r="H140" s="14">
        <v>92.3</v>
      </c>
      <c r="I140" s="15">
        <v>0.54</v>
      </c>
    </row>
    <row r="141" spans="1:9" x14ac:dyDescent="0.25">
      <c r="A141" s="12">
        <v>4</v>
      </c>
      <c r="B141" s="13">
        <v>45143</v>
      </c>
      <c r="C141" s="14">
        <v>33.4</v>
      </c>
      <c r="D141" s="14">
        <v>60</v>
      </c>
      <c r="E141" s="14">
        <v>794</v>
      </c>
      <c r="F141" s="14">
        <v>6.3</v>
      </c>
      <c r="G141" s="14">
        <v>3</v>
      </c>
      <c r="H141" s="14">
        <v>92.12</v>
      </c>
      <c r="I141" s="15">
        <v>0.6</v>
      </c>
    </row>
    <row r="142" spans="1:9" x14ac:dyDescent="0.25">
      <c r="A142" s="12">
        <v>4</v>
      </c>
      <c r="B142" s="13">
        <v>45144</v>
      </c>
      <c r="C142" s="14">
        <v>33.4</v>
      </c>
      <c r="D142" s="14">
        <v>58</v>
      </c>
      <c r="E142" s="14">
        <v>562</v>
      </c>
      <c r="F142" s="14">
        <v>6</v>
      </c>
      <c r="G142" s="14">
        <v>4</v>
      </c>
      <c r="H142" s="14">
        <v>92.12</v>
      </c>
      <c r="I142" s="15">
        <v>0.57999999999999996</v>
      </c>
    </row>
    <row r="143" spans="1:9" x14ac:dyDescent="0.25">
      <c r="A143" s="12">
        <v>4</v>
      </c>
      <c r="B143" s="13">
        <v>45145</v>
      </c>
      <c r="C143" s="14">
        <v>33.4</v>
      </c>
      <c r="D143" s="14">
        <v>57</v>
      </c>
      <c r="E143" s="14">
        <v>726</v>
      </c>
      <c r="F143" s="14">
        <v>6.1</v>
      </c>
      <c r="G143" s="14">
        <v>5</v>
      </c>
      <c r="H143" s="14">
        <v>92.12</v>
      </c>
      <c r="I143" s="15">
        <v>0.56999999999999995</v>
      </c>
    </row>
    <row r="144" spans="1:9" x14ac:dyDescent="0.25">
      <c r="A144" s="12">
        <v>4</v>
      </c>
      <c r="B144" s="13">
        <v>45146</v>
      </c>
      <c r="C144" s="14">
        <v>32.299999999999997</v>
      </c>
      <c r="D144" s="14">
        <v>59</v>
      </c>
      <c r="E144" s="14">
        <v>442</v>
      </c>
      <c r="F144" s="14">
        <v>6.7</v>
      </c>
      <c r="G144" s="14">
        <v>6</v>
      </c>
      <c r="H144" s="14">
        <v>90.14</v>
      </c>
      <c r="I144" s="15">
        <v>0.59</v>
      </c>
    </row>
    <row r="145" spans="1:9" x14ac:dyDescent="0.25">
      <c r="A145" s="12">
        <v>4</v>
      </c>
      <c r="B145" s="13">
        <v>45147</v>
      </c>
      <c r="C145" s="14">
        <v>32.299999999999997</v>
      </c>
      <c r="D145" s="14">
        <v>65</v>
      </c>
      <c r="E145" s="14">
        <v>598</v>
      </c>
      <c r="F145" s="14">
        <v>6.4</v>
      </c>
      <c r="G145" s="14">
        <v>7</v>
      </c>
      <c r="H145" s="14">
        <v>90.14</v>
      </c>
      <c r="I145" s="15">
        <v>0.65</v>
      </c>
    </row>
    <row r="146" spans="1:9" x14ac:dyDescent="0.25">
      <c r="A146" s="12">
        <v>4</v>
      </c>
      <c r="B146" s="13">
        <v>45148</v>
      </c>
      <c r="C146" s="14">
        <v>22.7</v>
      </c>
      <c r="D146" s="14">
        <v>57</v>
      </c>
      <c r="E146" s="14">
        <v>549</v>
      </c>
      <c r="F146" s="14">
        <v>6.5</v>
      </c>
      <c r="G146" s="14">
        <v>8</v>
      </c>
      <c r="H146" s="14">
        <v>72.86</v>
      </c>
      <c r="I146" s="15">
        <v>0.56999999999999995</v>
      </c>
    </row>
    <row r="147" spans="1:9" x14ac:dyDescent="0.25">
      <c r="A147" s="12">
        <v>4</v>
      </c>
      <c r="B147" s="13">
        <v>45149</v>
      </c>
      <c r="C147" s="14">
        <v>31.9</v>
      </c>
      <c r="D147" s="14">
        <v>69</v>
      </c>
      <c r="E147" s="14">
        <v>785</v>
      </c>
      <c r="F147" s="14">
        <v>6.7</v>
      </c>
      <c r="G147" s="14">
        <v>9</v>
      </c>
      <c r="H147" s="14">
        <v>89.42</v>
      </c>
      <c r="I147" s="15">
        <v>0.69</v>
      </c>
    </row>
    <row r="148" spans="1:9" x14ac:dyDescent="0.25">
      <c r="A148" s="12">
        <v>4</v>
      </c>
      <c r="B148" s="13">
        <v>45150</v>
      </c>
      <c r="C148" s="14">
        <v>30.2</v>
      </c>
      <c r="D148" s="14">
        <v>66</v>
      </c>
      <c r="E148" s="14">
        <v>762</v>
      </c>
      <c r="F148" s="14">
        <v>6.3</v>
      </c>
      <c r="G148" s="14">
        <v>10</v>
      </c>
      <c r="H148" s="14">
        <v>86.36</v>
      </c>
      <c r="I148" s="15">
        <v>0.66</v>
      </c>
    </row>
    <row r="149" spans="1:9" x14ac:dyDescent="0.25">
      <c r="A149" s="12">
        <v>4</v>
      </c>
      <c r="B149" s="13">
        <v>45151</v>
      </c>
      <c r="C149" s="14">
        <v>30.1</v>
      </c>
      <c r="D149" s="14">
        <v>70</v>
      </c>
      <c r="E149" s="14">
        <v>419</v>
      </c>
      <c r="F149" s="14">
        <v>6.1</v>
      </c>
      <c r="G149" s="14">
        <v>11</v>
      </c>
      <c r="H149" s="14">
        <v>86.18</v>
      </c>
      <c r="I149" s="15">
        <v>0.7</v>
      </c>
    </row>
    <row r="150" spans="1:9" x14ac:dyDescent="0.25">
      <c r="A150" s="12">
        <v>4</v>
      </c>
      <c r="B150" s="13">
        <v>45152</v>
      </c>
      <c r="C150" s="14">
        <v>30.1</v>
      </c>
      <c r="D150" s="14">
        <v>64</v>
      </c>
      <c r="E150" s="14">
        <v>525</v>
      </c>
      <c r="F150" s="14">
        <v>6.2</v>
      </c>
      <c r="G150" s="14">
        <v>12</v>
      </c>
      <c r="H150" s="14">
        <v>86.18</v>
      </c>
      <c r="I150" s="15">
        <v>0.64</v>
      </c>
    </row>
    <row r="151" spans="1:9" x14ac:dyDescent="0.25">
      <c r="A151" s="12">
        <v>4</v>
      </c>
      <c r="B151" s="13">
        <v>45153</v>
      </c>
      <c r="C151" s="14">
        <v>30.1</v>
      </c>
      <c r="D151" s="14">
        <v>66</v>
      </c>
      <c r="E151" s="14">
        <v>608</v>
      </c>
      <c r="F151" s="14">
        <v>6.7</v>
      </c>
      <c r="G151" s="14">
        <v>13</v>
      </c>
      <c r="H151" s="14">
        <v>86.18</v>
      </c>
      <c r="I151" s="15">
        <v>0.66</v>
      </c>
    </row>
    <row r="152" spans="1:9" x14ac:dyDescent="0.25">
      <c r="A152" s="12">
        <v>4</v>
      </c>
      <c r="B152" s="13">
        <v>45154</v>
      </c>
      <c r="C152" s="14">
        <v>29.8</v>
      </c>
      <c r="D152" s="14">
        <v>52</v>
      </c>
      <c r="E152" s="14">
        <v>458</v>
      </c>
      <c r="F152" s="14">
        <v>6.3</v>
      </c>
      <c r="G152" s="14">
        <v>14</v>
      </c>
      <c r="H152" s="14">
        <v>85.64</v>
      </c>
      <c r="I152" s="15">
        <v>0.52</v>
      </c>
    </row>
    <row r="153" spans="1:9" x14ac:dyDescent="0.25">
      <c r="A153" s="12">
        <v>4</v>
      </c>
      <c r="B153" s="13">
        <v>45155</v>
      </c>
      <c r="C153" s="14">
        <v>29.6</v>
      </c>
      <c r="D153" s="14">
        <v>59</v>
      </c>
      <c r="E153" s="14">
        <v>571</v>
      </c>
      <c r="F153" s="14">
        <v>6</v>
      </c>
      <c r="G153" s="14">
        <v>15</v>
      </c>
      <c r="H153" s="14">
        <v>85.28</v>
      </c>
      <c r="I153" s="15">
        <v>0.59</v>
      </c>
    </row>
    <row r="154" spans="1:9" x14ac:dyDescent="0.25">
      <c r="A154" s="12">
        <v>4</v>
      </c>
      <c r="B154" s="13">
        <v>45156</v>
      </c>
      <c r="C154" s="14">
        <v>30.9</v>
      </c>
      <c r="D154" s="14">
        <v>57</v>
      </c>
      <c r="E154" s="14">
        <v>747</v>
      </c>
      <c r="F154" s="14">
        <v>6.7</v>
      </c>
      <c r="G154" s="14">
        <v>16</v>
      </c>
      <c r="H154" s="14">
        <v>87.62</v>
      </c>
      <c r="I154" s="15">
        <v>0.56999999999999995</v>
      </c>
    </row>
    <row r="155" spans="1:9" x14ac:dyDescent="0.25">
      <c r="A155" s="12">
        <v>4</v>
      </c>
      <c r="B155" s="13">
        <v>45157</v>
      </c>
      <c r="C155" s="14">
        <v>30.8</v>
      </c>
      <c r="D155" s="14">
        <v>77</v>
      </c>
      <c r="E155" s="14">
        <v>518</v>
      </c>
      <c r="F155" s="14">
        <v>6.7</v>
      </c>
      <c r="G155" s="14">
        <v>17</v>
      </c>
      <c r="H155" s="14">
        <v>87.44</v>
      </c>
      <c r="I155" s="15">
        <v>0.77</v>
      </c>
    </row>
    <row r="156" spans="1:9" x14ac:dyDescent="0.25">
      <c r="A156" s="12">
        <v>4</v>
      </c>
      <c r="B156" s="13">
        <v>45158</v>
      </c>
      <c r="C156" s="14">
        <v>30.9</v>
      </c>
      <c r="D156" s="14">
        <v>66</v>
      </c>
      <c r="E156" s="14">
        <v>490</v>
      </c>
      <c r="F156" s="14">
        <v>6.3</v>
      </c>
      <c r="G156" s="14">
        <v>18</v>
      </c>
      <c r="H156" s="14">
        <v>87.62</v>
      </c>
      <c r="I156" s="15">
        <v>0.66</v>
      </c>
    </row>
    <row r="157" spans="1:9" x14ac:dyDescent="0.25">
      <c r="A157" s="12">
        <v>4</v>
      </c>
      <c r="B157" s="13">
        <v>45159</v>
      </c>
      <c r="C157" s="14">
        <v>30.2</v>
      </c>
      <c r="D157" s="14">
        <v>71</v>
      </c>
      <c r="E157" s="14">
        <v>502</v>
      </c>
      <c r="F157" s="14">
        <v>6.7</v>
      </c>
      <c r="G157" s="14">
        <v>19</v>
      </c>
      <c r="H157" s="14">
        <v>86.36</v>
      </c>
      <c r="I157" s="15">
        <v>0.71</v>
      </c>
    </row>
    <row r="158" spans="1:9" x14ac:dyDescent="0.25">
      <c r="A158" s="12">
        <v>4</v>
      </c>
      <c r="B158" s="13">
        <v>45160</v>
      </c>
      <c r="C158" s="14">
        <v>30.5</v>
      </c>
      <c r="D158" s="14">
        <v>58</v>
      </c>
      <c r="E158" s="14">
        <v>631</v>
      </c>
      <c r="F158" s="14">
        <v>6.1</v>
      </c>
      <c r="G158" s="14">
        <v>20</v>
      </c>
      <c r="H158" s="14">
        <v>86.9</v>
      </c>
      <c r="I158" s="15">
        <v>0.57999999999999996</v>
      </c>
    </row>
    <row r="159" spans="1:9" x14ac:dyDescent="0.25">
      <c r="A159" s="12">
        <v>4</v>
      </c>
      <c r="B159" s="13">
        <v>45161</v>
      </c>
      <c r="C159" s="14">
        <v>30.8</v>
      </c>
      <c r="D159" s="14">
        <v>58</v>
      </c>
      <c r="E159" s="14">
        <v>735</v>
      </c>
      <c r="F159" s="14">
        <v>6.4</v>
      </c>
      <c r="G159" s="14">
        <v>21</v>
      </c>
      <c r="H159" s="14">
        <v>87.44</v>
      </c>
      <c r="I159" s="15">
        <v>0.57999999999999996</v>
      </c>
    </row>
    <row r="160" spans="1:9" x14ac:dyDescent="0.25">
      <c r="A160" s="12">
        <v>4</v>
      </c>
      <c r="B160" s="13">
        <v>45162</v>
      </c>
      <c r="C160" s="14">
        <v>31.3</v>
      </c>
      <c r="D160" s="14">
        <v>73</v>
      </c>
      <c r="E160" s="14">
        <v>418</v>
      </c>
      <c r="F160" s="14">
        <v>6.7</v>
      </c>
      <c r="G160" s="14">
        <v>22</v>
      </c>
      <c r="H160" s="14">
        <v>88.34</v>
      </c>
      <c r="I160" s="15">
        <v>0.73</v>
      </c>
    </row>
    <row r="161" spans="1:9" x14ac:dyDescent="0.25">
      <c r="A161" s="12">
        <v>4</v>
      </c>
      <c r="B161" s="13">
        <v>45163</v>
      </c>
      <c r="C161" s="14">
        <v>31.4</v>
      </c>
      <c r="D161" s="14">
        <v>63</v>
      </c>
      <c r="E161" s="14">
        <v>740</v>
      </c>
      <c r="F161" s="14">
        <v>6.1</v>
      </c>
      <c r="G161" s="14">
        <v>23</v>
      </c>
      <c r="H161" s="14">
        <v>88.52</v>
      </c>
      <c r="I161" s="15">
        <v>0.63</v>
      </c>
    </row>
    <row r="162" spans="1:9" x14ac:dyDescent="0.25">
      <c r="A162" s="12">
        <v>4</v>
      </c>
      <c r="B162" s="13">
        <v>45164</v>
      </c>
      <c r="C162" s="14">
        <v>31.4</v>
      </c>
      <c r="D162" s="14">
        <v>53</v>
      </c>
      <c r="E162" s="14">
        <v>402</v>
      </c>
      <c r="F162" s="14">
        <v>6.7</v>
      </c>
      <c r="G162" s="14">
        <v>24</v>
      </c>
      <c r="H162" s="14">
        <v>88.52</v>
      </c>
      <c r="I162" s="15">
        <v>0.53</v>
      </c>
    </row>
    <row r="163" spans="1:9" x14ac:dyDescent="0.25">
      <c r="A163" s="12">
        <v>4</v>
      </c>
      <c r="B163" s="13">
        <v>45165</v>
      </c>
      <c r="C163" s="14">
        <v>30.1</v>
      </c>
      <c r="D163" s="14">
        <v>66</v>
      </c>
      <c r="E163" s="14">
        <v>652</v>
      </c>
      <c r="F163" s="14">
        <v>6.6</v>
      </c>
      <c r="G163" s="14">
        <v>25</v>
      </c>
      <c r="H163" s="14">
        <v>86.18</v>
      </c>
      <c r="I163" s="15">
        <v>0.66</v>
      </c>
    </row>
    <row r="164" spans="1:9" x14ac:dyDescent="0.25">
      <c r="A164" s="12">
        <v>4</v>
      </c>
      <c r="B164" s="13">
        <v>45166</v>
      </c>
      <c r="C164" s="14">
        <v>29.4</v>
      </c>
      <c r="D164" s="14">
        <v>56</v>
      </c>
      <c r="E164" s="14">
        <v>437</v>
      </c>
      <c r="F164" s="14">
        <v>6.7</v>
      </c>
      <c r="G164" s="14">
        <v>26</v>
      </c>
      <c r="H164" s="14">
        <v>84.92</v>
      </c>
      <c r="I164" s="15">
        <v>0.56000000000000005</v>
      </c>
    </row>
    <row r="165" spans="1:9" x14ac:dyDescent="0.25">
      <c r="A165" s="12">
        <v>4</v>
      </c>
      <c r="B165" s="13">
        <v>45167</v>
      </c>
      <c r="C165" s="14">
        <v>28.7</v>
      </c>
      <c r="D165" s="14">
        <v>73</v>
      </c>
      <c r="E165" s="14">
        <v>558</v>
      </c>
      <c r="F165" s="14">
        <v>6.5</v>
      </c>
      <c r="G165" s="14">
        <v>27</v>
      </c>
      <c r="H165" s="14">
        <v>83.66</v>
      </c>
      <c r="I165" s="15">
        <v>0.73</v>
      </c>
    </row>
    <row r="166" spans="1:9" x14ac:dyDescent="0.25">
      <c r="A166" s="12">
        <v>4</v>
      </c>
      <c r="B166" s="13">
        <v>45168</v>
      </c>
      <c r="C166" s="14">
        <v>29.1</v>
      </c>
      <c r="D166" s="14">
        <v>71</v>
      </c>
      <c r="E166" s="14">
        <v>525</v>
      </c>
      <c r="F166" s="14">
        <v>6.6</v>
      </c>
      <c r="G166" s="14">
        <v>28</v>
      </c>
      <c r="H166" s="14">
        <v>84.38</v>
      </c>
      <c r="I166" s="15">
        <v>0.71</v>
      </c>
    </row>
    <row r="167" spans="1:9" x14ac:dyDescent="0.25">
      <c r="A167" s="12">
        <v>4</v>
      </c>
      <c r="B167" s="13">
        <v>45169</v>
      </c>
      <c r="C167" s="14">
        <v>29.2</v>
      </c>
      <c r="D167" s="14">
        <v>63</v>
      </c>
      <c r="E167" s="14">
        <v>604</v>
      </c>
      <c r="F167" s="14">
        <v>6.5</v>
      </c>
      <c r="G167" s="14">
        <v>29</v>
      </c>
      <c r="H167" s="14">
        <v>84.56</v>
      </c>
      <c r="I167" s="15">
        <v>0.63</v>
      </c>
    </row>
    <row r="168" spans="1:9" x14ac:dyDescent="0.25">
      <c r="A168" s="12">
        <v>4</v>
      </c>
      <c r="B168" s="13">
        <v>45170</v>
      </c>
      <c r="C168" s="14">
        <v>31.7</v>
      </c>
      <c r="D168" s="14">
        <v>68</v>
      </c>
      <c r="E168" s="14">
        <v>787</v>
      </c>
      <c r="F168" s="14">
        <v>6.6</v>
      </c>
      <c r="G168" s="14">
        <v>30</v>
      </c>
      <c r="H168" s="14">
        <v>89.06</v>
      </c>
      <c r="I168" s="15">
        <v>0.68</v>
      </c>
    </row>
    <row r="169" spans="1:9" x14ac:dyDescent="0.25">
      <c r="A169" s="12">
        <v>4</v>
      </c>
      <c r="B169" s="13">
        <v>45171</v>
      </c>
      <c r="C169" s="14">
        <v>31.7</v>
      </c>
      <c r="D169" s="14">
        <v>71</v>
      </c>
      <c r="E169" s="14">
        <v>711</v>
      </c>
      <c r="F169" s="14">
        <v>6.8</v>
      </c>
      <c r="G169" s="14">
        <v>31</v>
      </c>
      <c r="H169" s="14">
        <v>89.06</v>
      </c>
      <c r="I169" s="15">
        <v>0.71</v>
      </c>
    </row>
    <row r="170" spans="1:9" x14ac:dyDescent="0.25">
      <c r="A170" s="12">
        <v>4</v>
      </c>
      <c r="B170" s="13">
        <v>45172</v>
      </c>
      <c r="C170" s="14">
        <v>31.7</v>
      </c>
      <c r="D170" s="14">
        <v>69</v>
      </c>
      <c r="E170" s="14">
        <v>546</v>
      </c>
      <c r="F170" s="14">
        <v>6.3</v>
      </c>
      <c r="G170" s="14">
        <v>32</v>
      </c>
      <c r="H170" s="14">
        <v>89.06</v>
      </c>
      <c r="I170" s="15">
        <v>0.69</v>
      </c>
    </row>
    <row r="171" spans="1:9" x14ac:dyDescent="0.25">
      <c r="A171" s="12">
        <v>4</v>
      </c>
      <c r="B171" s="13">
        <v>45173</v>
      </c>
      <c r="C171" s="14">
        <v>31.7</v>
      </c>
      <c r="D171" s="14">
        <v>71</v>
      </c>
      <c r="E171" s="14">
        <v>485</v>
      </c>
      <c r="F171" s="14">
        <v>6.2</v>
      </c>
      <c r="G171" s="14">
        <v>33</v>
      </c>
      <c r="H171" s="14">
        <v>89.06</v>
      </c>
      <c r="I171" s="15">
        <v>0.71</v>
      </c>
    </row>
    <row r="172" spans="1:9" x14ac:dyDescent="0.25">
      <c r="A172" s="12">
        <v>4</v>
      </c>
      <c r="B172" s="13">
        <v>45174</v>
      </c>
      <c r="C172" s="14">
        <v>32</v>
      </c>
      <c r="D172" s="14">
        <v>71</v>
      </c>
      <c r="E172" s="14">
        <v>497</v>
      </c>
      <c r="F172" s="14">
        <v>6.7</v>
      </c>
      <c r="G172" s="14">
        <v>34</v>
      </c>
      <c r="H172" s="14">
        <v>89.6</v>
      </c>
      <c r="I172" s="15">
        <v>0.71</v>
      </c>
    </row>
    <row r="173" spans="1:9" x14ac:dyDescent="0.25">
      <c r="A173" s="12">
        <v>4</v>
      </c>
      <c r="B173" s="13">
        <v>45175</v>
      </c>
      <c r="C173" s="14">
        <v>32.1</v>
      </c>
      <c r="D173" s="14">
        <v>51</v>
      </c>
      <c r="E173" s="14">
        <v>577</v>
      </c>
      <c r="F173" s="14">
        <v>6.1</v>
      </c>
      <c r="G173" s="14">
        <v>35</v>
      </c>
      <c r="H173" s="14">
        <v>89.78</v>
      </c>
      <c r="I173" s="15">
        <v>0.51</v>
      </c>
    </row>
    <row r="174" spans="1:9" x14ac:dyDescent="0.25">
      <c r="A174" s="12">
        <v>4</v>
      </c>
      <c r="B174" s="13">
        <v>45176</v>
      </c>
      <c r="C174" s="14">
        <v>31.5</v>
      </c>
      <c r="D174" s="14">
        <v>60</v>
      </c>
      <c r="E174" s="14">
        <v>647</v>
      </c>
      <c r="F174" s="14">
        <v>6.5</v>
      </c>
      <c r="G174" s="14">
        <v>36</v>
      </c>
      <c r="H174" s="14">
        <v>88.7</v>
      </c>
      <c r="I174" s="15">
        <v>0.6</v>
      </c>
    </row>
    <row r="175" spans="1:9" x14ac:dyDescent="0.25">
      <c r="A175" s="12">
        <v>4</v>
      </c>
      <c r="B175" s="13">
        <v>45177</v>
      </c>
      <c r="C175" s="14">
        <v>29.8</v>
      </c>
      <c r="D175" s="14">
        <v>78</v>
      </c>
      <c r="E175" s="14">
        <v>564</v>
      </c>
      <c r="F175" s="14">
        <v>6.2</v>
      </c>
      <c r="G175" s="14">
        <v>37</v>
      </c>
      <c r="H175" s="14">
        <v>85.64</v>
      </c>
      <c r="I175" s="15">
        <v>0.78</v>
      </c>
    </row>
    <row r="176" spans="1:9" x14ac:dyDescent="0.25">
      <c r="A176" s="12">
        <v>4</v>
      </c>
      <c r="B176" s="13">
        <v>45178</v>
      </c>
      <c r="C176" s="14">
        <v>20.100000000000001</v>
      </c>
      <c r="D176" s="14">
        <v>51</v>
      </c>
      <c r="E176" s="14">
        <v>530</v>
      </c>
      <c r="F176" s="14">
        <v>6.2</v>
      </c>
      <c r="G176" s="14">
        <v>38</v>
      </c>
      <c r="H176" s="14">
        <v>68.180000000000007</v>
      </c>
      <c r="I176" s="15">
        <v>0.51</v>
      </c>
    </row>
    <row r="177" spans="1:9" x14ac:dyDescent="0.25">
      <c r="A177" s="12">
        <v>4</v>
      </c>
      <c r="B177" s="13">
        <v>45179</v>
      </c>
      <c r="C177" s="14">
        <v>31.1</v>
      </c>
      <c r="D177" s="14">
        <v>63</v>
      </c>
      <c r="E177" s="14">
        <v>543</v>
      </c>
      <c r="F177" s="14">
        <v>6.3</v>
      </c>
      <c r="G177" s="14">
        <v>39</v>
      </c>
      <c r="H177" s="14">
        <v>87.98</v>
      </c>
      <c r="I177" s="15">
        <v>0.63</v>
      </c>
    </row>
    <row r="178" spans="1:9" x14ac:dyDescent="0.25">
      <c r="A178" s="12">
        <v>4</v>
      </c>
      <c r="B178" s="13">
        <v>45180</v>
      </c>
      <c r="C178" s="14">
        <v>31.2</v>
      </c>
      <c r="D178" s="14">
        <v>50</v>
      </c>
      <c r="E178" s="14">
        <v>491</v>
      </c>
      <c r="F178" s="14">
        <v>6.2</v>
      </c>
      <c r="G178" s="14">
        <v>40</v>
      </c>
      <c r="H178" s="14">
        <v>88.16</v>
      </c>
      <c r="I178" s="15">
        <v>0.5</v>
      </c>
    </row>
    <row r="179" spans="1:9" x14ac:dyDescent="0.25">
      <c r="A179" s="12">
        <v>4</v>
      </c>
      <c r="B179" s="13">
        <v>45181</v>
      </c>
      <c r="C179" s="14">
        <v>31.2</v>
      </c>
      <c r="D179" s="14">
        <v>72</v>
      </c>
      <c r="E179" s="14">
        <v>729</v>
      </c>
      <c r="F179" s="14">
        <v>6.6</v>
      </c>
      <c r="G179" s="14">
        <v>41</v>
      </c>
      <c r="H179" s="14">
        <v>88.16</v>
      </c>
      <c r="I179" s="15">
        <v>0.72</v>
      </c>
    </row>
    <row r="180" spans="1:9" x14ac:dyDescent="0.25">
      <c r="A180" s="12">
        <v>4</v>
      </c>
      <c r="B180" s="13">
        <v>45182</v>
      </c>
      <c r="C180" s="14">
        <v>30.4</v>
      </c>
      <c r="D180" s="14">
        <v>64</v>
      </c>
      <c r="E180" s="14">
        <v>698</v>
      </c>
      <c r="F180" s="14">
        <v>6.1</v>
      </c>
      <c r="G180" s="14">
        <v>42</v>
      </c>
      <c r="H180" s="14">
        <v>86.72</v>
      </c>
      <c r="I180" s="15">
        <v>0.64</v>
      </c>
    </row>
    <row r="181" spans="1:9" x14ac:dyDescent="0.25">
      <c r="A181" s="12">
        <v>4</v>
      </c>
      <c r="B181" s="13">
        <v>45183</v>
      </c>
      <c r="C181" s="14">
        <v>29.1</v>
      </c>
      <c r="D181" s="14">
        <v>62</v>
      </c>
      <c r="E181" s="14">
        <v>530</v>
      </c>
      <c r="F181" s="14">
        <v>6.8</v>
      </c>
      <c r="G181" s="14">
        <v>43</v>
      </c>
      <c r="H181" s="14">
        <v>84.38</v>
      </c>
      <c r="I181" s="15">
        <v>0.62</v>
      </c>
    </row>
    <row r="182" spans="1:9" x14ac:dyDescent="0.25">
      <c r="A182" s="12">
        <v>4</v>
      </c>
      <c r="B182" s="13">
        <v>45184</v>
      </c>
      <c r="C182" s="14">
        <v>30.6</v>
      </c>
      <c r="D182" s="14">
        <v>58</v>
      </c>
      <c r="E182" s="14">
        <v>764</v>
      </c>
      <c r="F182" s="14">
        <v>6.4</v>
      </c>
      <c r="G182" s="14">
        <v>44</v>
      </c>
      <c r="H182" s="14">
        <v>87.08</v>
      </c>
      <c r="I182" s="15">
        <v>0.57999999999999996</v>
      </c>
    </row>
    <row r="183" spans="1:9" x14ac:dyDescent="0.25">
      <c r="A183" s="12">
        <v>4</v>
      </c>
      <c r="B183" s="13">
        <v>45185</v>
      </c>
      <c r="C183" s="14">
        <v>31.5</v>
      </c>
      <c r="D183" s="14">
        <v>63</v>
      </c>
      <c r="E183" s="14">
        <v>654</v>
      </c>
      <c r="F183" s="14">
        <v>6.7</v>
      </c>
      <c r="G183" s="14">
        <v>45</v>
      </c>
      <c r="H183" s="14">
        <v>88.7</v>
      </c>
      <c r="I183" s="15">
        <v>0.63</v>
      </c>
    </row>
    <row r="184" spans="1:9" x14ac:dyDescent="0.25">
      <c r="A184" s="12">
        <v>4</v>
      </c>
      <c r="B184" s="13">
        <v>45186</v>
      </c>
      <c r="C184" s="14">
        <v>31.3</v>
      </c>
      <c r="D184" s="14">
        <v>71</v>
      </c>
      <c r="E184" s="14">
        <v>652</v>
      </c>
      <c r="F184" s="14">
        <v>6.8</v>
      </c>
      <c r="G184" s="14">
        <v>46</v>
      </c>
      <c r="H184" s="14">
        <v>88.34</v>
      </c>
      <c r="I184" s="15">
        <v>0.71</v>
      </c>
    </row>
    <row r="185" spans="1:9" x14ac:dyDescent="0.25">
      <c r="A185" s="12">
        <v>4</v>
      </c>
      <c r="B185" s="13">
        <v>45187</v>
      </c>
      <c r="C185" s="14">
        <v>30.8</v>
      </c>
      <c r="D185" s="14">
        <v>63</v>
      </c>
      <c r="E185" s="14">
        <v>754</v>
      </c>
      <c r="F185" s="14">
        <v>6.1</v>
      </c>
      <c r="G185" s="14">
        <v>47</v>
      </c>
      <c r="H185" s="14">
        <v>87.44</v>
      </c>
      <c r="I185" s="15">
        <v>0.63</v>
      </c>
    </row>
    <row r="186" spans="1:9" x14ac:dyDescent="0.25">
      <c r="A186" s="12">
        <v>4</v>
      </c>
      <c r="B186" s="13">
        <v>45188</v>
      </c>
      <c r="C186" s="14">
        <v>30.6</v>
      </c>
      <c r="D186" s="14">
        <v>62</v>
      </c>
      <c r="E186" s="14">
        <v>641</v>
      </c>
      <c r="F186" s="14">
        <v>6.2</v>
      </c>
      <c r="G186" s="14">
        <v>48</v>
      </c>
      <c r="H186" s="14">
        <v>87.08</v>
      </c>
      <c r="I186" s="15">
        <v>0.62</v>
      </c>
    </row>
    <row r="187" spans="1:9" x14ac:dyDescent="0.25">
      <c r="A187" s="12">
        <v>5</v>
      </c>
      <c r="B187" s="13">
        <v>45141</v>
      </c>
      <c r="C187" s="14">
        <v>33.4</v>
      </c>
      <c r="D187" s="14">
        <v>67</v>
      </c>
      <c r="E187" s="14">
        <v>651</v>
      </c>
      <c r="F187" s="14">
        <v>6.3</v>
      </c>
      <c r="G187" s="14">
        <v>1</v>
      </c>
      <c r="H187" s="14">
        <v>92.12</v>
      </c>
      <c r="I187" s="15">
        <v>0.67</v>
      </c>
    </row>
    <row r="188" spans="1:9" x14ac:dyDescent="0.25">
      <c r="A188" s="12">
        <v>5</v>
      </c>
      <c r="B188" s="13">
        <v>45142</v>
      </c>
      <c r="C188" s="14">
        <v>33.5</v>
      </c>
      <c r="D188" s="14">
        <v>53</v>
      </c>
      <c r="E188" s="14">
        <v>684</v>
      </c>
      <c r="F188" s="14">
        <v>6.6</v>
      </c>
      <c r="G188" s="14">
        <v>2</v>
      </c>
      <c r="H188" s="14">
        <v>92.3</v>
      </c>
      <c r="I188" s="15">
        <v>0.53</v>
      </c>
    </row>
    <row r="189" spans="1:9" x14ac:dyDescent="0.25">
      <c r="A189" s="12">
        <v>5</v>
      </c>
      <c r="B189" s="13">
        <v>45143</v>
      </c>
      <c r="C189" s="14">
        <v>33.4</v>
      </c>
      <c r="D189" s="14">
        <v>54</v>
      </c>
      <c r="E189" s="14">
        <v>449</v>
      </c>
      <c r="F189" s="14">
        <v>6.1</v>
      </c>
      <c r="G189" s="14">
        <v>3</v>
      </c>
      <c r="H189" s="14">
        <v>92.12</v>
      </c>
      <c r="I189" s="15">
        <v>0.54</v>
      </c>
    </row>
    <row r="190" spans="1:9" x14ac:dyDescent="0.25">
      <c r="A190" s="12">
        <v>5</v>
      </c>
      <c r="B190" s="13">
        <v>45144</v>
      </c>
      <c r="C190" s="14">
        <v>33.4</v>
      </c>
      <c r="D190" s="14">
        <v>76</v>
      </c>
      <c r="E190" s="14">
        <v>572</v>
      </c>
      <c r="F190" s="14">
        <v>6.6</v>
      </c>
      <c r="G190" s="14">
        <v>4</v>
      </c>
      <c r="H190" s="14">
        <v>92.12</v>
      </c>
      <c r="I190" s="15">
        <v>0.76</v>
      </c>
    </row>
    <row r="191" spans="1:9" x14ac:dyDescent="0.25">
      <c r="A191" s="12">
        <v>5</v>
      </c>
      <c r="B191" s="13">
        <v>45145</v>
      </c>
      <c r="C191" s="14">
        <v>33.4</v>
      </c>
      <c r="D191" s="14">
        <v>67</v>
      </c>
      <c r="E191" s="14">
        <v>571</v>
      </c>
      <c r="F191" s="14">
        <v>6.7</v>
      </c>
      <c r="G191" s="14">
        <v>5</v>
      </c>
      <c r="H191" s="14">
        <v>92.12</v>
      </c>
      <c r="I191" s="15">
        <v>0.67</v>
      </c>
    </row>
    <row r="192" spans="1:9" x14ac:dyDescent="0.25">
      <c r="A192" s="12">
        <v>5</v>
      </c>
      <c r="B192" s="13">
        <v>45146</v>
      </c>
      <c r="C192" s="14">
        <v>32.299999999999997</v>
      </c>
      <c r="D192" s="14">
        <v>50</v>
      </c>
      <c r="E192" s="14">
        <v>481</v>
      </c>
      <c r="F192" s="14">
        <v>6.5</v>
      </c>
      <c r="G192" s="14">
        <v>6</v>
      </c>
      <c r="H192" s="14">
        <v>90.14</v>
      </c>
      <c r="I192" s="15">
        <v>0.5</v>
      </c>
    </row>
    <row r="193" spans="1:9" x14ac:dyDescent="0.25">
      <c r="A193" s="12">
        <v>5</v>
      </c>
      <c r="B193" s="13">
        <v>45147</v>
      </c>
      <c r="C193" s="14">
        <v>32.299999999999997</v>
      </c>
      <c r="D193" s="14">
        <v>74</v>
      </c>
      <c r="E193" s="14">
        <v>558</v>
      </c>
      <c r="F193" s="14">
        <v>6.7</v>
      </c>
      <c r="G193" s="14">
        <v>7</v>
      </c>
      <c r="H193" s="14">
        <v>90.14</v>
      </c>
      <c r="I193" s="15">
        <v>0.74</v>
      </c>
    </row>
    <row r="194" spans="1:9" x14ac:dyDescent="0.25">
      <c r="A194" s="12">
        <v>5</v>
      </c>
      <c r="B194" s="13">
        <v>45148</v>
      </c>
      <c r="C194" s="14">
        <v>22.7</v>
      </c>
      <c r="D194" s="14">
        <v>59</v>
      </c>
      <c r="E194" s="14">
        <v>652</v>
      </c>
      <c r="F194" s="14">
        <v>6.5</v>
      </c>
      <c r="G194" s="14">
        <v>8</v>
      </c>
      <c r="H194" s="14">
        <v>72.86</v>
      </c>
      <c r="I194" s="15">
        <v>0.59</v>
      </c>
    </row>
    <row r="195" spans="1:9" x14ac:dyDescent="0.25">
      <c r="A195" s="12">
        <v>5</v>
      </c>
      <c r="B195" s="13">
        <v>45149</v>
      </c>
      <c r="C195" s="14">
        <v>31.9</v>
      </c>
      <c r="D195" s="14">
        <v>54</v>
      </c>
      <c r="E195" s="14">
        <v>637</v>
      </c>
      <c r="F195" s="14">
        <v>6.7</v>
      </c>
      <c r="G195" s="14">
        <v>9</v>
      </c>
      <c r="H195" s="14">
        <v>89.42</v>
      </c>
      <c r="I195" s="15">
        <v>0.54</v>
      </c>
    </row>
    <row r="196" spans="1:9" x14ac:dyDescent="0.25">
      <c r="A196" s="12">
        <v>5</v>
      </c>
      <c r="B196" s="13">
        <v>45150</v>
      </c>
      <c r="C196" s="14">
        <v>30.2</v>
      </c>
      <c r="D196" s="14">
        <v>77</v>
      </c>
      <c r="E196" s="14">
        <v>417</v>
      </c>
      <c r="F196" s="14">
        <v>6.8</v>
      </c>
      <c r="G196" s="14">
        <v>10</v>
      </c>
      <c r="H196" s="14">
        <v>86.36</v>
      </c>
      <c r="I196" s="15">
        <v>0.77</v>
      </c>
    </row>
    <row r="197" spans="1:9" x14ac:dyDescent="0.25">
      <c r="A197" s="12">
        <v>5</v>
      </c>
      <c r="B197" s="13">
        <v>45151</v>
      </c>
      <c r="C197" s="14">
        <v>30.1</v>
      </c>
      <c r="D197" s="14">
        <v>79</v>
      </c>
      <c r="E197" s="14">
        <v>429</v>
      </c>
      <c r="F197" s="14">
        <v>6.2</v>
      </c>
      <c r="G197" s="14">
        <v>11</v>
      </c>
      <c r="H197" s="14">
        <v>86.18</v>
      </c>
      <c r="I197" s="15">
        <v>0.79</v>
      </c>
    </row>
    <row r="198" spans="1:9" x14ac:dyDescent="0.25">
      <c r="A198" s="12">
        <v>5</v>
      </c>
      <c r="B198" s="13">
        <v>45152</v>
      </c>
      <c r="C198" s="14">
        <v>30.1</v>
      </c>
      <c r="D198" s="14">
        <v>63</v>
      </c>
      <c r="E198" s="14">
        <v>500</v>
      </c>
      <c r="F198" s="14">
        <v>6.5</v>
      </c>
      <c r="G198" s="14">
        <v>12</v>
      </c>
      <c r="H198" s="14">
        <v>86.18</v>
      </c>
      <c r="I198" s="15">
        <v>0.63</v>
      </c>
    </row>
    <row r="199" spans="1:9" x14ac:dyDescent="0.25">
      <c r="A199" s="12">
        <v>5</v>
      </c>
      <c r="B199" s="13">
        <v>45153</v>
      </c>
      <c r="C199" s="14">
        <v>30.1</v>
      </c>
      <c r="D199" s="14">
        <v>75</v>
      </c>
      <c r="E199" s="14">
        <v>675</v>
      </c>
      <c r="F199" s="14">
        <v>6.8</v>
      </c>
      <c r="G199" s="14">
        <v>13</v>
      </c>
      <c r="H199" s="14">
        <v>86.18</v>
      </c>
      <c r="I199" s="15">
        <v>0.75</v>
      </c>
    </row>
    <row r="200" spans="1:9" x14ac:dyDescent="0.25">
      <c r="A200" s="12">
        <v>5</v>
      </c>
      <c r="B200" s="13">
        <v>45154</v>
      </c>
      <c r="C200" s="14">
        <v>29.8</v>
      </c>
      <c r="D200" s="14">
        <v>78</v>
      </c>
      <c r="E200" s="14">
        <v>624</v>
      </c>
      <c r="F200" s="14">
        <v>6.3</v>
      </c>
      <c r="G200" s="14">
        <v>14</v>
      </c>
      <c r="H200" s="14">
        <v>85.64</v>
      </c>
      <c r="I200" s="15">
        <v>0.78</v>
      </c>
    </row>
    <row r="201" spans="1:9" x14ac:dyDescent="0.25">
      <c r="A201" s="12">
        <v>5</v>
      </c>
      <c r="B201" s="13">
        <v>45155</v>
      </c>
      <c r="C201" s="14">
        <v>29.6</v>
      </c>
      <c r="D201" s="14">
        <v>65</v>
      </c>
      <c r="E201" s="14">
        <v>525</v>
      </c>
      <c r="F201" s="14">
        <v>6.3</v>
      </c>
      <c r="G201" s="14">
        <v>15</v>
      </c>
      <c r="H201" s="14">
        <v>85.28</v>
      </c>
      <c r="I201" s="15">
        <v>0.65</v>
      </c>
    </row>
    <row r="202" spans="1:9" x14ac:dyDescent="0.25">
      <c r="A202" s="12">
        <v>5</v>
      </c>
      <c r="B202" s="13">
        <v>45156</v>
      </c>
      <c r="C202" s="14">
        <v>30.9</v>
      </c>
      <c r="D202" s="14">
        <v>78</v>
      </c>
      <c r="E202" s="14">
        <v>778</v>
      </c>
      <c r="F202" s="14">
        <v>6</v>
      </c>
      <c r="G202" s="14">
        <v>16</v>
      </c>
      <c r="H202" s="14">
        <v>87.62</v>
      </c>
      <c r="I202" s="15">
        <v>0.78</v>
      </c>
    </row>
    <row r="203" spans="1:9" x14ac:dyDescent="0.25">
      <c r="A203" s="12">
        <v>5</v>
      </c>
      <c r="B203" s="13">
        <v>45157</v>
      </c>
      <c r="C203" s="14">
        <v>30.8</v>
      </c>
      <c r="D203" s="14">
        <v>68</v>
      </c>
      <c r="E203" s="14">
        <v>678</v>
      </c>
      <c r="F203" s="14">
        <v>6.1</v>
      </c>
      <c r="G203" s="14">
        <v>17</v>
      </c>
      <c r="H203" s="14">
        <v>87.44</v>
      </c>
      <c r="I203" s="15">
        <v>0.68</v>
      </c>
    </row>
    <row r="204" spans="1:9" x14ac:dyDescent="0.25">
      <c r="A204" s="12">
        <v>5</v>
      </c>
      <c r="B204" s="13">
        <v>45158</v>
      </c>
      <c r="C204" s="14">
        <v>30.9</v>
      </c>
      <c r="D204" s="14">
        <v>57</v>
      </c>
      <c r="E204" s="14">
        <v>502</v>
      </c>
      <c r="F204" s="14">
        <v>6.7</v>
      </c>
      <c r="G204" s="14">
        <v>18</v>
      </c>
      <c r="H204" s="14">
        <v>87.62</v>
      </c>
      <c r="I204" s="15">
        <v>0.56999999999999995</v>
      </c>
    </row>
    <row r="205" spans="1:9" x14ac:dyDescent="0.25">
      <c r="A205" s="12">
        <v>5</v>
      </c>
      <c r="B205" s="13">
        <v>45159</v>
      </c>
      <c r="C205" s="14">
        <v>30.2</v>
      </c>
      <c r="D205" s="14">
        <v>67</v>
      </c>
      <c r="E205" s="14">
        <v>766</v>
      </c>
      <c r="F205" s="14">
        <v>6.1</v>
      </c>
      <c r="G205" s="14">
        <v>19</v>
      </c>
      <c r="H205" s="14">
        <v>86.36</v>
      </c>
      <c r="I205" s="15">
        <v>0.67</v>
      </c>
    </row>
    <row r="206" spans="1:9" x14ac:dyDescent="0.25">
      <c r="A206" s="12">
        <v>5</v>
      </c>
      <c r="B206" s="13">
        <v>45160</v>
      </c>
      <c r="C206" s="14">
        <v>30.5</v>
      </c>
      <c r="D206" s="14">
        <v>78</v>
      </c>
      <c r="E206" s="14">
        <v>722</v>
      </c>
      <c r="F206" s="14">
        <v>6.2</v>
      </c>
      <c r="G206" s="14">
        <v>20</v>
      </c>
      <c r="H206" s="14">
        <v>86.9</v>
      </c>
      <c r="I206" s="15">
        <v>0.78</v>
      </c>
    </row>
    <row r="207" spans="1:9" x14ac:dyDescent="0.25">
      <c r="A207" s="12">
        <v>5</v>
      </c>
      <c r="B207" s="13">
        <v>45161</v>
      </c>
      <c r="C207" s="14">
        <v>30.8</v>
      </c>
      <c r="D207" s="14">
        <v>61</v>
      </c>
      <c r="E207" s="14">
        <v>460</v>
      </c>
      <c r="F207" s="14">
        <v>6.2</v>
      </c>
      <c r="G207" s="14">
        <v>21</v>
      </c>
      <c r="H207" s="14">
        <v>87.44</v>
      </c>
      <c r="I207" s="15">
        <v>0.61</v>
      </c>
    </row>
    <row r="208" spans="1:9" x14ac:dyDescent="0.25">
      <c r="A208" s="12">
        <v>5</v>
      </c>
      <c r="B208" s="13">
        <v>45162</v>
      </c>
      <c r="C208" s="14">
        <v>31.3</v>
      </c>
      <c r="D208" s="14">
        <v>57</v>
      </c>
      <c r="E208" s="14">
        <v>587</v>
      </c>
      <c r="F208" s="14">
        <v>6.5</v>
      </c>
      <c r="G208" s="14">
        <v>22</v>
      </c>
      <c r="H208" s="14">
        <v>88.34</v>
      </c>
      <c r="I208" s="15">
        <v>0.56999999999999995</v>
      </c>
    </row>
    <row r="209" spans="1:9" x14ac:dyDescent="0.25">
      <c r="A209" s="12">
        <v>5</v>
      </c>
      <c r="B209" s="13">
        <v>45163</v>
      </c>
      <c r="C209" s="14">
        <v>31.4</v>
      </c>
      <c r="D209" s="14">
        <v>53</v>
      </c>
      <c r="E209" s="14">
        <v>646</v>
      </c>
      <c r="F209" s="14">
        <v>6.2</v>
      </c>
      <c r="G209" s="14">
        <v>23</v>
      </c>
      <c r="H209" s="14">
        <v>88.52</v>
      </c>
      <c r="I209" s="15">
        <v>0.53</v>
      </c>
    </row>
    <row r="210" spans="1:9" x14ac:dyDescent="0.25">
      <c r="A210" s="12">
        <v>5</v>
      </c>
      <c r="B210" s="13">
        <v>45164</v>
      </c>
      <c r="C210" s="14">
        <v>31.4</v>
      </c>
      <c r="D210" s="14">
        <v>55</v>
      </c>
      <c r="E210" s="14">
        <v>749</v>
      </c>
      <c r="F210" s="14">
        <v>6.7</v>
      </c>
      <c r="G210" s="14">
        <v>24</v>
      </c>
      <c r="H210" s="14">
        <v>88.52</v>
      </c>
      <c r="I210" s="15">
        <v>0.55000000000000004</v>
      </c>
    </row>
    <row r="211" spans="1:9" x14ac:dyDescent="0.25">
      <c r="A211" s="12">
        <v>5</v>
      </c>
      <c r="B211" s="13">
        <v>45165</v>
      </c>
      <c r="C211" s="14">
        <v>30.1</v>
      </c>
      <c r="D211" s="14">
        <v>52</v>
      </c>
      <c r="E211" s="14">
        <v>468</v>
      </c>
      <c r="F211" s="14">
        <v>6.7</v>
      </c>
      <c r="G211" s="14">
        <v>25</v>
      </c>
      <c r="H211" s="14">
        <v>86.18</v>
      </c>
      <c r="I211" s="15">
        <v>0.52</v>
      </c>
    </row>
    <row r="212" spans="1:9" x14ac:dyDescent="0.25">
      <c r="A212" s="12">
        <v>5</v>
      </c>
      <c r="B212" s="13">
        <v>45166</v>
      </c>
      <c r="C212" s="14">
        <v>29.4</v>
      </c>
      <c r="D212" s="14">
        <v>67</v>
      </c>
      <c r="E212" s="14">
        <v>470</v>
      </c>
      <c r="F212" s="14">
        <v>6.4</v>
      </c>
      <c r="G212" s="14">
        <v>26</v>
      </c>
      <c r="H212" s="14">
        <v>84.92</v>
      </c>
      <c r="I212" s="15">
        <v>0.67</v>
      </c>
    </row>
    <row r="213" spans="1:9" x14ac:dyDescent="0.25">
      <c r="A213" s="12">
        <v>5</v>
      </c>
      <c r="B213" s="13">
        <v>45167</v>
      </c>
      <c r="C213" s="14">
        <v>28.7</v>
      </c>
      <c r="D213" s="14">
        <v>58</v>
      </c>
      <c r="E213" s="14">
        <v>565</v>
      </c>
      <c r="F213" s="14">
        <v>6.5</v>
      </c>
      <c r="G213" s="14">
        <v>27</v>
      </c>
      <c r="H213" s="14">
        <v>83.66</v>
      </c>
      <c r="I213" s="15">
        <v>0.57999999999999996</v>
      </c>
    </row>
    <row r="214" spans="1:9" x14ac:dyDescent="0.25">
      <c r="A214" s="12">
        <v>5</v>
      </c>
      <c r="B214" s="13">
        <v>45168</v>
      </c>
      <c r="C214" s="14">
        <v>29.1</v>
      </c>
      <c r="D214" s="14">
        <v>75</v>
      </c>
      <c r="E214" s="14">
        <v>516</v>
      </c>
      <c r="F214" s="14">
        <v>6.5</v>
      </c>
      <c r="G214" s="14">
        <v>28</v>
      </c>
      <c r="H214" s="14">
        <v>84.38</v>
      </c>
      <c r="I214" s="15">
        <v>0.75</v>
      </c>
    </row>
    <row r="215" spans="1:9" x14ac:dyDescent="0.25">
      <c r="A215" s="12">
        <v>5</v>
      </c>
      <c r="B215" s="13">
        <v>45169</v>
      </c>
      <c r="C215" s="14">
        <v>29.2</v>
      </c>
      <c r="D215" s="14">
        <v>54</v>
      </c>
      <c r="E215" s="14">
        <v>410</v>
      </c>
      <c r="F215" s="14">
        <v>6.6</v>
      </c>
      <c r="G215" s="14">
        <v>29</v>
      </c>
      <c r="H215" s="14">
        <v>84.56</v>
      </c>
      <c r="I215" s="15">
        <v>0.54</v>
      </c>
    </row>
    <row r="216" spans="1:9" x14ac:dyDescent="0.25">
      <c r="A216" s="12">
        <v>5</v>
      </c>
      <c r="B216" s="13">
        <v>45170</v>
      </c>
      <c r="C216" s="14">
        <v>31.7</v>
      </c>
      <c r="D216" s="14">
        <v>66</v>
      </c>
      <c r="E216" s="14">
        <v>763</v>
      </c>
      <c r="F216" s="14">
        <v>6.1</v>
      </c>
      <c r="G216" s="14">
        <v>30</v>
      </c>
      <c r="H216" s="14">
        <v>89.06</v>
      </c>
      <c r="I216" s="15">
        <v>0.66</v>
      </c>
    </row>
    <row r="217" spans="1:9" x14ac:dyDescent="0.25">
      <c r="A217" s="12">
        <v>5</v>
      </c>
      <c r="B217" s="13">
        <v>45171</v>
      </c>
      <c r="C217" s="14">
        <v>31.7</v>
      </c>
      <c r="D217" s="14">
        <v>56</v>
      </c>
      <c r="E217" s="14">
        <v>413</v>
      </c>
      <c r="F217" s="14">
        <v>6.4</v>
      </c>
      <c r="G217" s="14">
        <v>31</v>
      </c>
      <c r="H217" s="14">
        <v>89.06</v>
      </c>
      <c r="I217" s="15">
        <v>0.56000000000000005</v>
      </c>
    </row>
    <row r="218" spans="1:9" x14ac:dyDescent="0.25">
      <c r="A218" s="12">
        <v>5</v>
      </c>
      <c r="B218" s="13">
        <v>45172</v>
      </c>
      <c r="C218" s="14">
        <v>31.7</v>
      </c>
      <c r="D218" s="14">
        <v>67</v>
      </c>
      <c r="E218" s="14">
        <v>468</v>
      </c>
      <c r="F218" s="14">
        <v>6.2</v>
      </c>
      <c r="G218" s="14">
        <v>32</v>
      </c>
      <c r="H218" s="14">
        <v>89.06</v>
      </c>
      <c r="I218" s="15">
        <v>0.67</v>
      </c>
    </row>
    <row r="219" spans="1:9" x14ac:dyDescent="0.25">
      <c r="A219" s="12">
        <v>5</v>
      </c>
      <c r="B219" s="13">
        <v>45173</v>
      </c>
      <c r="C219" s="14">
        <v>31.7</v>
      </c>
      <c r="D219" s="14">
        <v>66</v>
      </c>
      <c r="E219" s="14">
        <v>422</v>
      </c>
      <c r="F219" s="14">
        <v>6.5</v>
      </c>
      <c r="G219" s="14">
        <v>33</v>
      </c>
      <c r="H219" s="14">
        <v>89.06</v>
      </c>
      <c r="I219" s="15">
        <v>0.66</v>
      </c>
    </row>
    <row r="220" spans="1:9" x14ac:dyDescent="0.25">
      <c r="A220" s="12">
        <v>5</v>
      </c>
      <c r="B220" s="13">
        <v>45174</v>
      </c>
      <c r="C220" s="14">
        <v>32</v>
      </c>
      <c r="D220" s="14">
        <v>66</v>
      </c>
      <c r="E220" s="14">
        <v>661</v>
      </c>
      <c r="F220" s="14">
        <v>6.2</v>
      </c>
      <c r="G220" s="14">
        <v>34</v>
      </c>
      <c r="H220" s="14">
        <v>89.6</v>
      </c>
      <c r="I220" s="15">
        <v>0.66</v>
      </c>
    </row>
    <row r="221" spans="1:9" x14ac:dyDescent="0.25">
      <c r="A221" s="12">
        <v>5</v>
      </c>
      <c r="B221" s="13">
        <v>45175</v>
      </c>
      <c r="C221" s="14">
        <v>32.1</v>
      </c>
      <c r="D221" s="14">
        <v>72</v>
      </c>
      <c r="E221" s="14">
        <v>605</v>
      </c>
      <c r="F221" s="14">
        <v>6.2</v>
      </c>
      <c r="G221" s="14">
        <v>35</v>
      </c>
      <c r="H221" s="14">
        <v>89.78</v>
      </c>
      <c r="I221" s="15">
        <v>0.72</v>
      </c>
    </row>
    <row r="222" spans="1:9" x14ac:dyDescent="0.25">
      <c r="A222" s="12">
        <v>5</v>
      </c>
      <c r="B222" s="13">
        <v>45176</v>
      </c>
      <c r="C222" s="14">
        <v>31.5</v>
      </c>
      <c r="D222" s="14">
        <v>70</v>
      </c>
      <c r="E222" s="14">
        <v>768</v>
      </c>
      <c r="F222" s="14">
        <v>6.8</v>
      </c>
      <c r="G222" s="14">
        <v>36</v>
      </c>
      <c r="H222" s="14">
        <v>88.7</v>
      </c>
      <c r="I222" s="15">
        <v>0.7</v>
      </c>
    </row>
    <row r="223" spans="1:9" x14ac:dyDescent="0.25">
      <c r="A223" s="12">
        <v>5</v>
      </c>
      <c r="B223" s="13">
        <v>45177</v>
      </c>
      <c r="C223" s="14">
        <v>29.8</v>
      </c>
      <c r="D223" s="14">
        <v>65</v>
      </c>
      <c r="E223" s="14">
        <v>645</v>
      </c>
      <c r="F223" s="14">
        <v>6.3</v>
      </c>
      <c r="G223" s="14">
        <v>37</v>
      </c>
      <c r="H223" s="14">
        <v>85.64</v>
      </c>
      <c r="I223" s="15">
        <v>0.65</v>
      </c>
    </row>
    <row r="224" spans="1:9" x14ac:dyDescent="0.25">
      <c r="A224" s="12">
        <v>5</v>
      </c>
      <c r="B224" s="13">
        <v>45178</v>
      </c>
      <c r="C224" s="14">
        <v>20.100000000000001</v>
      </c>
      <c r="D224" s="14">
        <v>54</v>
      </c>
      <c r="E224" s="14">
        <v>661</v>
      </c>
      <c r="F224" s="14">
        <v>6.3</v>
      </c>
      <c r="G224" s="14">
        <v>38</v>
      </c>
      <c r="H224" s="14">
        <v>68.180000000000007</v>
      </c>
      <c r="I224" s="15">
        <v>0.54</v>
      </c>
    </row>
    <row r="225" spans="1:9" x14ac:dyDescent="0.25">
      <c r="A225" s="12">
        <v>5</v>
      </c>
      <c r="B225" s="13">
        <v>45179</v>
      </c>
      <c r="C225" s="14">
        <v>31.1</v>
      </c>
      <c r="D225" s="14">
        <v>76</v>
      </c>
      <c r="E225" s="14">
        <v>573</v>
      </c>
      <c r="F225" s="14">
        <v>6.4</v>
      </c>
      <c r="G225" s="14">
        <v>39</v>
      </c>
      <c r="H225" s="14">
        <v>87.98</v>
      </c>
      <c r="I225" s="15">
        <v>0.76</v>
      </c>
    </row>
    <row r="226" spans="1:9" x14ac:dyDescent="0.25">
      <c r="A226" s="12">
        <v>5</v>
      </c>
      <c r="B226" s="13">
        <v>45180</v>
      </c>
      <c r="C226" s="14">
        <v>31.2</v>
      </c>
      <c r="D226" s="14">
        <v>52</v>
      </c>
      <c r="E226" s="14">
        <v>471</v>
      </c>
      <c r="F226" s="14">
        <v>6.7</v>
      </c>
      <c r="G226" s="14">
        <v>40</v>
      </c>
      <c r="H226" s="14">
        <v>88.16</v>
      </c>
      <c r="I226" s="15">
        <v>0.52</v>
      </c>
    </row>
    <row r="227" spans="1:9" x14ac:dyDescent="0.25">
      <c r="A227" s="12">
        <v>5</v>
      </c>
      <c r="B227" s="13">
        <v>45181</v>
      </c>
      <c r="C227" s="14">
        <v>31.2</v>
      </c>
      <c r="D227" s="14">
        <v>72</v>
      </c>
      <c r="E227" s="14">
        <v>738</v>
      </c>
      <c r="F227" s="14">
        <v>6.2</v>
      </c>
      <c r="G227" s="14">
        <v>41</v>
      </c>
      <c r="H227" s="14">
        <v>88.16</v>
      </c>
      <c r="I227" s="15">
        <v>0.72</v>
      </c>
    </row>
    <row r="228" spans="1:9" x14ac:dyDescent="0.25">
      <c r="A228" s="12">
        <v>5</v>
      </c>
      <c r="B228" s="13">
        <v>45182</v>
      </c>
      <c r="C228" s="14">
        <v>30.4</v>
      </c>
      <c r="D228" s="14">
        <v>60</v>
      </c>
      <c r="E228" s="14">
        <v>529</v>
      </c>
      <c r="F228" s="14">
        <v>6.1</v>
      </c>
      <c r="G228" s="14">
        <v>42</v>
      </c>
      <c r="H228" s="14">
        <v>86.72</v>
      </c>
      <c r="I228" s="15">
        <v>0.6</v>
      </c>
    </row>
    <row r="229" spans="1:9" x14ac:dyDescent="0.25">
      <c r="A229" s="12">
        <v>5</v>
      </c>
      <c r="B229" s="13">
        <v>45183</v>
      </c>
      <c r="C229" s="14">
        <v>29.1</v>
      </c>
      <c r="D229" s="14">
        <v>58</v>
      </c>
      <c r="E229" s="14">
        <v>576</v>
      </c>
      <c r="F229" s="14">
        <v>6.2</v>
      </c>
      <c r="G229" s="14">
        <v>43</v>
      </c>
      <c r="H229" s="14">
        <v>84.38</v>
      </c>
      <c r="I229" s="15">
        <v>0.57999999999999996</v>
      </c>
    </row>
    <row r="230" spans="1:9" x14ac:dyDescent="0.25">
      <c r="A230" s="12">
        <v>5</v>
      </c>
      <c r="B230" s="13">
        <v>45184</v>
      </c>
      <c r="C230" s="14">
        <v>30.6</v>
      </c>
      <c r="D230" s="14">
        <v>77</v>
      </c>
      <c r="E230" s="14">
        <v>453</v>
      </c>
      <c r="F230" s="14">
        <v>6.1</v>
      </c>
      <c r="G230" s="14">
        <v>44</v>
      </c>
      <c r="H230" s="14">
        <v>87.08</v>
      </c>
      <c r="I230" s="15">
        <v>0.77</v>
      </c>
    </row>
    <row r="231" spans="1:9" x14ac:dyDescent="0.25">
      <c r="A231" s="12">
        <v>5</v>
      </c>
      <c r="B231" s="13">
        <v>45185</v>
      </c>
      <c r="C231" s="14">
        <v>31.5</v>
      </c>
      <c r="D231" s="14">
        <v>80</v>
      </c>
      <c r="E231" s="14">
        <v>483</v>
      </c>
      <c r="F231" s="14">
        <v>6.5</v>
      </c>
      <c r="G231" s="14">
        <v>45</v>
      </c>
      <c r="H231" s="14">
        <v>88.7</v>
      </c>
      <c r="I231" s="15">
        <v>0.8</v>
      </c>
    </row>
    <row r="232" spans="1:9" x14ac:dyDescent="0.25">
      <c r="A232" s="12">
        <v>6</v>
      </c>
      <c r="B232" s="13">
        <v>45141</v>
      </c>
      <c r="C232" s="14">
        <v>33.4</v>
      </c>
      <c r="D232" s="14">
        <v>66</v>
      </c>
      <c r="E232" s="14">
        <v>795</v>
      </c>
      <c r="F232" s="14">
        <v>6.1</v>
      </c>
      <c r="G232" s="14">
        <v>1</v>
      </c>
      <c r="H232" s="14">
        <v>92.12</v>
      </c>
      <c r="I232" s="15">
        <v>0.66</v>
      </c>
    </row>
    <row r="233" spans="1:9" x14ac:dyDescent="0.25">
      <c r="A233" s="12">
        <v>6</v>
      </c>
      <c r="B233" s="13">
        <v>45142</v>
      </c>
      <c r="C233" s="14">
        <v>33.5</v>
      </c>
      <c r="D233" s="14">
        <v>77</v>
      </c>
      <c r="E233" s="14">
        <v>738</v>
      </c>
      <c r="F233" s="14">
        <v>6.5</v>
      </c>
      <c r="G233" s="14">
        <v>2</v>
      </c>
      <c r="H233" s="14">
        <v>92.3</v>
      </c>
      <c r="I233" s="15">
        <v>0.77</v>
      </c>
    </row>
    <row r="234" spans="1:9" x14ac:dyDescent="0.25">
      <c r="A234" s="12">
        <v>6</v>
      </c>
      <c r="B234" s="13">
        <v>45143</v>
      </c>
      <c r="C234" s="14">
        <v>33.4</v>
      </c>
      <c r="D234" s="14">
        <v>66</v>
      </c>
      <c r="E234" s="14">
        <v>662</v>
      </c>
      <c r="F234" s="14">
        <v>6.4</v>
      </c>
      <c r="G234" s="14">
        <v>3</v>
      </c>
      <c r="H234" s="14">
        <v>92.12</v>
      </c>
      <c r="I234" s="15">
        <v>0.66</v>
      </c>
    </row>
    <row r="235" spans="1:9" x14ac:dyDescent="0.25">
      <c r="A235" s="12">
        <v>6</v>
      </c>
      <c r="B235" s="13">
        <v>45144</v>
      </c>
      <c r="C235" s="14">
        <v>33.4</v>
      </c>
      <c r="D235" s="14">
        <v>56</v>
      </c>
      <c r="E235" s="14">
        <v>653</v>
      </c>
      <c r="F235" s="14">
        <v>6.3</v>
      </c>
      <c r="G235" s="14">
        <v>4</v>
      </c>
      <c r="H235" s="14">
        <v>92.12</v>
      </c>
      <c r="I235" s="15">
        <v>0.56000000000000005</v>
      </c>
    </row>
    <row r="236" spans="1:9" x14ac:dyDescent="0.25">
      <c r="A236" s="12">
        <v>6</v>
      </c>
      <c r="B236" s="13">
        <v>45145</v>
      </c>
      <c r="C236" s="14">
        <v>33.4</v>
      </c>
      <c r="D236" s="14">
        <v>62</v>
      </c>
      <c r="E236" s="14">
        <v>521</v>
      </c>
      <c r="F236" s="14">
        <v>6.7</v>
      </c>
      <c r="G236" s="14">
        <v>5</v>
      </c>
      <c r="H236" s="14">
        <v>92.12</v>
      </c>
      <c r="I236" s="15">
        <v>0.62</v>
      </c>
    </row>
    <row r="237" spans="1:9" x14ac:dyDescent="0.25">
      <c r="A237" s="12">
        <v>6</v>
      </c>
      <c r="B237" s="13">
        <v>45146</v>
      </c>
      <c r="C237" s="14">
        <v>32.299999999999997</v>
      </c>
      <c r="D237" s="14">
        <v>65</v>
      </c>
      <c r="E237" s="14">
        <v>482</v>
      </c>
      <c r="F237" s="14">
        <v>6.7</v>
      </c>
      <c r="G237" s="14">
        <v>6</v>
      </c>
      <c r="H237" s="14">
        <v>90.14</v>
      </c>
      <c r="I237" s="15">
        <v>0.65</v>
      </c>
    </row>
    <row r="238" spans="1:9" x14ac:dyDescent="0.25">
      <c r="A238" s="12">
        <v>6</v>
      </c>
      <c r="B238" s="13">
        <v>45147</v>
      </c>
      <c r="C238" s="14">
        <v>32.299999999999997</v>
      </c>
      <c r="D238" s="14">
        <v>60</v>
      </c>
      <c r="E238" s="14">
        <v>620</v>
      </c>
      <c r="F238" s="14">
        <v>6.6</v>
      </c>
      <c r="G238" s="14">
        <v>7</v>
      </c>
      <c r="H238" s="14">
        <v>90.14</v>
      </c>
      <c r="I238" s="15">
        <v>0.6</v>
      </c>
    </row>
    <row r="239" spans="1:9" x14ac:dyDescent="0.25">
      <c r="A239" s="12">
        <v>6</v>
      </c>
      <c r="B239" s="13">
        <v>45148</v>
      </c>
      <c r="C239" s="14">
        <v>22.7</v>
      </c>
      <c r="D239" s="14">
        <v>74</v>
      </c>
      <c r="E239" s="14">
        <v>740</v>
      </c>
      <c r="F239" s="14">
        <v>6.6</v>
      </c>
      <c r="G239" s="14">
        <v>8</v>
      </c>
      <c r="H239" s="14">
        <v>72.86</v>
      </c>
      <c r="I239" s="15">
        <v>0.74</v>
      </c>
    </row>
    <row r="240" spans="1:9" x14ac:dyDescent="0.25">
      <c r="A240" s="12">
        <v>6</v>
      </c>
      <c r="B240" s="13">
        <v>45149</v>
      </c>
      <c r="C240" s="14">
        <v>31.9</v>
      </c>
      <c r="D240" s="14">
        <v>73</v>
      </c>
      <c r="E240" s="14">
        <v>760</v>
      </c>
      <c r="F240" s="14">
        <v>6.3</v>
      </c>
      <c r="G240" s="14">
        <v>9</v>
      </c>
      <c r="H240" s="14">
        <v>89.42</v>
      </c>
      <c r="I240" s="15">
        <v>0.73</v>
      </c>
    </row>
    <row r="241" spans="1:9" x14ac:dyDescent="0.25">
      <c r="A241" s="12">
        <v>6</v>
      </c>
      <c r="B241" s="13">
        <v>45150</v>
      </c>
      <c r="C241" s="14">
        <v>30.2</v>
      </c>
      <c r="D241" s="14">
        <v>71</v>
      </c>
      <c r="E241" s="14">
        <v>485</v>
      </c>
      <c r="F241" s="14">
        <v>6.4</v>
      </c>
      <c r="G241" s="14">
        <v>10</v>
      </c>
      <c r="H241" s="14">
        <v>86.36</v>
      </c>
      <c r="I241" s="15">
        <v>0.71</v>
      </c>
    </row>
    <row r="242" spans="1:9" x14ac:dyDescent="0.25">
      <c r="A242" s="12">
        <v>6</v>
      </c>
      <c r="B242" s="13">
        <v>45151</v>
      </c>
      <c r="C242" s="14">
        <v>30.1</v>
      </c>
      <c r="D242" s="14">
        <v>59</v>
      </c>
      <c r="E242" s="14">
        <v>648</v>
      </c>
      <c r="F242" s="14">
        <v>6.1</v>
      </c>
      <c r="G242" s="14">
        <v>11</v>
      </c>
      <c r="H242" s="14">
        <v>86.18</v>
      </c>
      <c r="I242" s="15">
        <v>0.59</v>
      </c>
    </row>
    <row r="243" spans="1:9" x14ac:dyDescent="0.25">
      <c r="A243" s="12">
        <v>6</v>
      </c>
      <c r="B243" s="13">
        <v>45152</v>
      </c>
      <c r="C243" s="14">
        <v>30.1</v>
      </c>
      <c r="D243" s="14">
        <v>64</v>
      </c>
      <c r="E243" s="14">
        <v>490</v>
      </c>
      <c r="F243" s="14">
        <v>6.6</v>
      </c>
      <c r="G243" s="14">
        <v>12</v>
      </c>
      <c r="H243" s="14">
        <v>86.18</v>
      </c>
      <c r="I243" s="15">
        <v>0.64</v>
      </c>
    </row>
    <row r="244" spans="1:9" x14ac:dyDescent="0.25">
      <c r="A244" s="12">
        <v>6</v>
      </c>
      <c r="B244" s="13">
        <v>45153</v>
      </c>
      <c r="C244" s="14">
        <v>30.1</v>
      </c>
      <c r="D244" s="14">
        <v>74</v>
      </c>
      <c r="E244" s="14">
        <v>425</v>
      </c>
      <c r="F244" s="14">
        <v>6.1</v>
      </c>
      <c r="G244" s="14">
        <v>13</v>
      </c>
      <c r="H244" s="14">
        <v>86.18</v>
      </c>
      <c r="I244" s="15">
        <v>0.74</v>
      </c>
    </row>
    <row r="245" spans="1:9" x14ac:dyDescent="0.25">
      <c r="A245" s="12">
        <v>6</v>
      </c>
      <c r="B245" s="13">
        <v>45154</v>
      </c>
      <c r="C245" s="14">
        <v>29.8</v>
      </c>
      <c r="D245" s="14">
        <v>78</v>
      </c>
      <c r="E245" s="14">
        <v>755</v>
      </c>
      <c r="F245" s="14">
        <v>6.8</v>
      </c>
      <c r="G245" s="14">
        <v>14</v>
      </c>
      <c r="H245" s="14">
        <v>85.64</v>
      </c>
      <c r="I245" s="15">
        <v>0.78</v>
      </c>
    </row>
    <row r="246" spans="1:9" x14ac:dyDescent="0.25">
      <c r="A246" s="12">
        <v>6</v>
      </c>
      <c r="B246" s="13">
        <v>45155</v>
      </c>
      <c r="C246" s="14">
        <v>29.6</v>
      </c>
      <c r="D246" s="14">
        <v>50</v>
      </c>
      <c r="E246" s="14">
        <v>437</v>
      </c>
      <c r="F246" s="14">
        <v>6.6</v>
      </c>
      <c r="G246" s="14">
        <v>15</v>
      </c>
      <c r="H246" s="14">
        <v>85.28</v>
      </c>
      <c r="I246" s="15">
        <v>0.5</v>
      </c>
    </row>
    <row r="247" spans="1:9" x14ac:dyDescent="0.25">
      <c r="A247" s="12">
        <v>6</v>
      </c>
      <c r="B247" s="13">
        <v>45156</v>
      </c>
      <c r="C247" s="14">
        <v>30.9</v>
      </c>
      <c r="D247" s="14">
        <v>59</v>
      </c>
      <c r="E247" s="14">
        <v>666</v>
      </c>
      <c r="F247" s="14">
        <v>6.4</v>
      </c>
      <c r="G247" s="14">
        <v>16</v>
      </c>
      <c r="H247" s="14">
        <v>87.62</v>
      </c>
      <c r="I247" s="15">
        <v>0.59</v>
      </c>
    </row>
    <row r="248" spans="1:9" x14ac:dyDescent="0.25">
      <c r="A248" s="12">
        <v>6</v>
      </c>
      <c r="B248" s="13">
        <v>45157</v>
      </c>
      <c r="C248" s="14">
        <v>30.8</v>
      </c>
      <c r="D248" s="14">
        <v>58</v>
      </c>
      <c r="E248" s="14">
        <v>583</v>
      </c>
      <c r="F248" s="14">
        <v>6.6</v>
      </c>
      <c r="G248" s="14">
        <v>17</v>
      </c>
      <c r="H248" s="14">
        <v>87.44</v>
      </c>
      <c r="I248" s="15">
        <v>0.57999999999999996</v>
      </c>
    </row>
    <row r="249" spans="1:9" x14ac:dyDescent="0.25">
      <c r="A249" s="12">
        <v>6</v>
      </c>
      <c r="B249" s="13">
        <v>45158</v>
      </c>
      <c r="C249" s="14">
        <v>30.9</v>
      </c>
      <c r="D249" s="14">
        <v>56</v>
      </c>
      <c r="E249" s="14">
        <v>568</v>
      </c>
      <c r="F249" s="14">
        <v>6.2</v>
      </c>
      <c r="G249" s="14">
        <v>18</v>
      </c>
      <c r="H249" s="14">
        <v>87.62</v>
      </c>
      <c r="I249" s="15">
        <v>0.56000000000000005</v>
      </c>
    </row>
    <row r="250" spans="1:9" x14ac:dyDescent="0.25">
      <c r="A250" s="12">
        <v>6</v>
      </c>
      <c r="B250" s="13">
        <v>45159</v>
      </c>
      <c r="C250" s="14">
        <v>30.2</v>
      </c>
      <c r="D250" s="14">
        <v>73</v>
      </c>
      <c r="E250" s="14">
        <v>662</v>
      </c>
      <c r="F250" s="14">
        <v>6.2</v>
      </c>
      <c r="G250" s="14">
        <v>19</v>
      </c>
      <c r="H250" s="14">
        <v>86.36</v>
      </c>
      <c r="I250" s="15">
        <v>0.73</v>
      </c>
    </row>
    <row r="251" spans="1:9" x14ac:dyDescent="0.25">
      <c r="A251" s="12">
        <v>6</v>
      </c>
      <c r="B251" s="13">
        <v>45160</v>
      </c>
      <c r="C251" s="14">
        <v>30.5</v>
      </c>
      <c r="D251" s="14">
        <v>63</v>
      </c>
      <c r="E251" s="14">
        <v>553</v>
      </c>
      <c r="F251" s="14">
        <v>6.5</v>
      </c>
      <c r="G251" s="14">
        <v>20</v>
      </c>
      <c r="H251" s="14">
        <v>86.9</v>
      </c>
      <c r="I251" s="15">
        <v>0.63</v>
      </c>
    </row>
    <row r="252" spans="1:9" x14ac:dyDescent="0.25">
      <c r="A252" s="12">
        <v>6</v>
      </c>
      <c r="B252" s="13">
        <v>45161</v>
      </c>
      <c r="C252" s="14">
        <v>30.8</v>
      </c>
      <c r="D252" s="14">
        <v>54</v>
      </c>
      <c r="E252" s="14">
        <v>474</v>
      </c>
      <c r="F252" s="14">
        <v>6.7</v>
      </c>
      <c r="G252" s="14">
        <v>21</v>
      </c>
      <c r="H252" s="14">
        <v>87.44</v>
      </c>
      <c r="I252" s="15">
        <v>0.54</v>
      </c>
    </row>
    <row r="253" spans="1:9" x14ac:dyDescent="0.25">
      <c r="A253" s="12">
        <v>6</v>
      </c>
      <c r="B253" s="13">
        <v>45162</v>
      </c>
      <c r="C253" s="14">
        <v>31.3</v>
      </c>
      <c r="D253" s="14">
        <v>51</v>
      </c>
      <c r="E253" s="14">
        <v>596</v>
      </c>
      <c r="F253" s="14">
        <v>6.5</v>
      </c>
      <c r="G253" s="14">
        <v>22</v>
      </c>
      <c r="H253" s="14">
        <v>88.34</v>
      </c>
      <c r="I253" s="15">
        <v>0.51</v>
      </c>
    </row>
    <row r="254" spans="1:9" x14ac:dyDescent="0.25">
      <c r="A254" s="12">
        <v>6</v>
      </c>
      <c r="B254" s="13">
        <v>45163</v>
      </c>
      <c r="C254" s="14">
        <v>31.4</v>
      </c>
      <c r="D254" s="14">
        <v>73</v>
      </c>
      <c r="E254" s="14">
        <v>614</v>
      </c>
      <c r="F254" s="14">
        <v>6.7</v>
      </c>
      <c r="G254" s="14">
        <v>23</v>
      </c>
      <c r="H254" s="14">
        <v>88.52</v>
      </c>
      <c r="I254" s="15">
        <v>0.73</v>
      </c>
    </row>
    <row r="255" spans="1:9" x14ac:dyDescent="0.25">
      <c r="A255" s="12">
        <v>6</v>
      </c>
      <c r="B255" s="13">
        <v>45164</v>
      </c>
      <c r="C255" s="14">
        <v>31.4</v>
      </c>
      <c r="D255" s="14">
        <v>52</v>
      </c>
      <c r="E255" s="14">
        <v>500</v>
      </c>
      <c r="F255" s="14">
        <v>6.2</v>
      </c>
      <c r="G255" s="14">
        <v>24</v>
      </c>
      <c r="H255" s="14">
        <v>88.52</v>
      </c>
      <c r="I255" s="15">
        <v>0.52</v>
      </c>
    </row>
    <row r="256" spans="1:9" x14ac:dyDescent="0.25">
      <c r="A256" s="12">
        <v>6</v>
      </c>
      <c r="B256" s="13">
        <v>45165</v>
      </c>
      <c r="C256" s="14">
        <v>30.1</v>
      </c>
      <c r="D256" s="14">
        <v>51</v>
      </c>
      <c r="E256" s="14">
        <v>474</v>
      </c>
      <c r="F256" s="14">
        <v>6.2</v>
      </c>
      <c r="G256" s="14">
        <v>25</v>
      </c>
      <c r="H256" s="14">
        <v>86.18</v>
      </c>
      <c r="I256" s="15">
        <v>0.51</v>
      </c>
    </row>
    <row r="257" spans="1:9" x14ac:dyDescent="0.25">
      <c r="A257" s="12">
        <v>6</v>
      </c>
      <c r="B257" s="13">
        <v>45166</v>
      </c>
      <c r="C257" s="14">
        <v>29.4</v>
      </c>
      <c r="D257" s="14">
        <v>76</v>
      </c>
      <c r="E257" s="14">
        <v>515</v>
      </c>
      <c r="F257" s="14">
        <v>6.5</v>
      </c>
      <c r="G257" s="14">
        <v>26</v>
      </c>
      <c r="H257" s="14">
        <v>84.92</v>
      </c>
      <c r="I257" s="15">
        <v>0.76</v>
      </c>
    </row>
    <row r="258" spans="1:9" x14ac:dyDescent="0.25">
      <c r="A258" s="12">
        <v>6</v>
      </c>
      <c r="B258" s="13">
        <v>45167</v>
      </c>
      <c r="C258" s="14">
        <v>28.7</v>
      </c>
      <c r="D258" s="14">
        <v>65</v>
      </c>
      <c r="E258" s="14">
        <v>693</v>
      </c>
      <c r="F258" s="14">
        <v>6</v>
      </c>
      <c r="G258" s="14">
        <v>27</v>
      </c>
      <c r="H258" s="14">
        <v>83.66</v>
      </c>
      <c r="I258" s="15">
        <v>0.65</v>
      </c>
    </row>
    <row r="259" spans="1:9" x14ac:dyDescent="0.25">
      <c r="A259" s="12">
        <v>6</v>
      </c>
      <c r="B259" s="13">
        <v>45168</v>
      </c>
      <c r="C259" s="14">
        <v>29.1</v>
      </c>
      <c r="D259" s="14">
        <v>68</v>
      </c>
      <c r="E259" s="14">
        <v>782</v>
      </c>
      <c r="F259" s="14">
        <v>6.2</v>
      </c>
      <c r="G259" s="14">
        <v>28</v>
      </c>
      <c r="H259" s="14">
        <v>84.38</v>
      </c>
      <c r="I259" s="15">
        <v>0.68</v>
      </c>
    </row>
    <row r="260" spans="1:9" x14ac:dyDescent="0.25">
      <c r="A260" s="12">
        <v>6</v>
      </c>
      <c r="B260" s="13">
        <v>45169</v>
      </c>
      <c r="C260" s="14">
        <v>29.2</v>
      </c>
      <c r="D260" s="14">
        <v>59</v>
      </c>
      <c r="E260" s="14">
        <v>626</v>
      </c>
      <c r="F260" s="14">
        <v>6.6</v>
      </c>
      <c r="G260" s="14">
        <v>29</v>
      </c>
      <c r="H260" s="14">
        <v>84.56</v>
      </c>
      <c r="I260" s="15">
        <v>0.59</v>
      </c>
    </row>
    <row r="261" spans="1:9" x14ac:dyDescent="0.25">
      <c r="A261" s="12">
        <v>6</v>
      </c>
      <c r="B261" s="13">
        <v>45170</v>
      </c>
      <c r="C261" s="14">
        <v>31.7</v>
      </c>
      <c r="D261" s="14">
        <v>77</v>
      </c>
      <c r="E261" s="14">
        <v>512</v>
      </c>
      <c r="F261" s="14">
        <v>6.5</v>
      </c>
      <c r="G261" s="14">
        <v>30</v>
      </c>
      <c r="H261" s="14">
        <v>89.06</v>
      </c>
      <c r="I261" s="15">
        <v>0.77</v>
      </c>
    </row>
    <row r="262" spans="1:9" x14ac:dyDescent="0.25">
      <c r="A262" s="12">
        <v>6</v>
      </c>
      <c r="B262" s="13">
        <v>45171</v>
      </c>
      <c r="C262" s="14">
        <v>31.7</v>
      </c>
      <c r="D262" s="14">
        <v>77</v>
      </c>
      <c r="E262" s="14">
        <v>742</v>
      </c>
      <c r="F262" s="14">
        <v>6.5</v>
      </c>
      <c r="G262" s="14">
        <v>31</v>
      </c>
      <c r="H262" s="14">
        <v>89.06</v>
      </c>
      <c r="I262" s="15">
        <v>0.77</v>
      </c>
    </row>
    <row r="263" spans="1:9" x14ac:dyDescent="0.25">
      <c r="A263" s="12">
        <v>6</v>
      </c>
      <c r="B263" s="13">
        <v>45172</v>
      </c>
      <c r="C263" s="14">
        <v>31.7</v>
      </c>
      <c r="D263" s="14">
        <v>53</v>
      </c>
      <c r="E263" s="14">
        <v>757</v>
      </c>
      <c r="F263" s="14">
        <v>6.5</v>
      </c>
      <c r="G263" s="14">
        <v>32</v>
      </c>
      <c r="H263" s="14">
        <v>89.06</v>
      </c>
      <c r="I263" s="15">
        <v>0.53</v>
      </c>
    </row>
    <row r="264" spans="1:9" x14ac:dyDescent="0.25">
      <c r="A264" s="12">
        <v>6</v>
      </c>
      <c r="B264" s="13">
        <v>45173</v>
      </c>
      <c r="C264" s="14">
        <v>31.7</v>
      </c>
      <c r="D264" s="14">
        <v>77</v>
      </c>
      <c r="E264" s="14">
        <v>456</v>
      </c>
      <c r="F264" s="14">
        <v>6.8</v>
      </c>
      <c r="G264" s="14">
        <v>33</v>
      </c>
      <c r="H264" s="14">
        <v>89.06</v>
      </c>
      <c r="I264" s="15">
        <v>0.77</v>
      </c>
    </row>
    <row r="265" spans="1:9" x14ac:dyDescent="0.25">
      <c r="A265" s="12">
        <v>6</v>
      </c>
      <c r="B265" s="13">
        <v>45174</v>
      </c>
      <c r="C265" s="14">
        <v>32</v>
      </c>
      <c r="D265" s="14">
        <v>64</v>
      </c>
      <c r="E265" s="14">
        <v>642</v>
      </c>
      <c r="F265" s="14">
        <v>6.4</v>
      </c>
      <c r="G265" s="14">
        <v>34</v>
      </c>
      <c r="H265" s="14">
        <v>89.6</v>
      </c>
      <c r="I265" s="15">
        <v>0.64</v>
      </c>
    </row>
    <row r="266" spans="1:9" x14ac:dyDescent="0.25">
      <c r="A266" s="12">
        <v>6</v>
      </c>
      <c r="B266" s="13">
        <v>45175</v>
      </c>
      <c r="C266" s="14">
        <v>32.1</v>
      </c>
      <c r="D266" s="14">
        <v>61</v>
      </c>
      <c r="E266" s="14">
        <v>517</v>
      </c>
      <c r="F266" s="14">
        <v>6.7</v>
      </c>
      <c r="G266" s="14">
        <v>35</v>
      </c>
      <c r="H266" s="14">
        <v>89.78</v>
      </c>
      <c r="I266" s="15">
        <v>0.61</v>
      </c>
    </row>
    <row r="267" spans="1:9" x14ac:dyDescent="0.25">
      <c r="A267" s="12">
        <v>6</v>
      </c>
      <c r="B267" s="13">
        <v>45176</v>
      </c>
      <c r="C267" s="14">
        <v>31.5</v>
      </c>
      <c r="D267" s="14">
        <v>56</v>
      </c>
      <c r="E267" s="14">
        <v>701</v>
      </c>
      <c r="F267" s="14">
        <v>6</v>
      </c>
      <c r="G267" s="14">
        <v>36</v>
      </c>
      <c r="H267" s="14">
        <v>88.7</v>
      </c>
      <c r="I267" s="15">
        <v>0.56000000000000005</v>
      </c>
    </row>
    <row r="268" spans="1:9" x14ac:dyDescent="0.25">
      <c r="A268" s="12">
        <v>6</v>
      </c>
      <c r="B268" s="13">
        <v>45177</v>
      </c>
      <c r="C268" s="14">
        <v>29.8</v>
      </c>
      <c r="D268" s="14">
        <v>74</v>
      </c>
      <c r="E268" s="14">
        <v>793</v>
      </c>
      <c r="F268" s="14">
        <v>6.7</v>
      </c>
      <c r="G268" s="14">
        <v>37</v>
      </c>
      <c r="H268" s="14">
        <v>85.64</v>
      </c>
      <c r="I268" s="15">
        <v>0.74</v>
      </c>
    </row>
    <row r="269" spans="1:9" x14ac:dyDescent="0.25">
      <c r="A269" s="12">
        <v>6</v>
      </c>
      <c r="B269" s="13">
        <v>45178</v>
      </c>
      <c r="C269" s="14">
        <v>20.100000000000001</v>
      </c>
      <c r="D269" s="14">
        <v>55</v>
      </c>
      <c r="E269" s="14">
        <v>490</v>
      </c>
      <c r="F269" s="14">
        <v>6.5</v>
      </c>
      <c r="G269" s="14">
        <v>38</v>
      </c>
      <c r="H269" s="14">
        <v>68.180000000000007</v>
      </c>
      <c r="I269" s="15">
        <v>0.55000000000000004</v>
      </c>
    </row>
    <row r="270" spans="1:9" x14ac:dyDescent="0.25">
      <c r="A270" s="12">
        <v>6</v>
      </c>
      <c r="B270" s="13">
        <v>45179</v>
      </c>
      <c r="C270" s="14">
        <v>31.1</v>
      </c>
      <c r="D270" s="14">
        <v>71</v>
      </c>
      <c r="E270" s="14">
        <v>555</v>
      </c>
      <c r="F270" s="14">
        <v>6.2</v>
      </c>
      <c r="G270" s="14">
        <v>39</v>
      </c>
      <c r="H270" s="14">
        <v>87.98</v>
      </c>
      <c r="I270" s="15">
        <v>0.71</v>
      </c>
    </row>
    <row r="271" spans="1:9" x14ac:dyDescent="0.25">
      <c r="A271" s="12">
        <v>6</v>
      </c>
      <c r="B271" s="13">
        <v>45180</v>
      </c>
      <c r="C271" s="14">
        <v>31.2</v>
      </c>
      <c r="D271" s="14">
        <v>56</v>
      </c>
      <c r="E271" s="14">
        <v>549</v>
      </c>
      <c r="F271" s="14">
        <v>6.5</v>
      </c>
      <c r="G271" s="14">
        <v>40</v>
      </c>
      <c r="H271" s="14">
        <v>88.16</v>
      </c>
      <c r="I271" s="15">
        <v>0.56000000000000005</v>
      </c>
    </row>
    <row r="272" spans="1:9" x14ac:dyDescent="0.25">
      <c r="A272" s="12">
        <v>6</v>
      </c>
      <c r="B272" s="13">
        <v>45181</v>
      </c>
      <c r="C272" s="14">
        <v>31.2</v>
      </c>
      <c r="D272" s="14">
        <v>57</v>
      </c>
      <c r="E272" s="14">
        <v>793</v>
      </c>
      <c r="F272" s="14">
        <v>6.4</v>
      </c>
      <c r="G272" s="14">
        <v>41</v>
      </c>
      <c r="H272" s="14">
        <v>88.16</v>
      </c>
      <c r="I272" s="15">
        <v>0.56999999999999995</v>
      </c>
    </row>
    <row r="273" spans="1:9" x14ac:dyDescent="0.25">
      <c r="A273" s="12">
        <v>6</v>
      </c>
      <c r="B273" s="13">
        <v>45182</v>
      </c>
      <c r="C273" s="14">
        <v>30.4</v>
      </c>
      <c r="D273" s="14">
        <v>68</v>
      </c>
      <c r="E273" s="14">
        <v>491</v>
      </c>
      <c r="F273" s="14">
        <v>6.6</v>
      </c>
      <c r="G273" s="14">
        <v>42</v>
      </c>
      <c r="H273" s="14">
        <v>86.72</v>
      </c>
      <c r="I273" s="15">
        <v>0.68</v>
      </c>
    </row>
    <row r="274" spans="1:9" x14ac:dyDescent="0.25">
      <c r="A274" s="12">
        <v>6</v>
      </c>
      <c r="B274" s="13">
        <v>45183</v>
      </c>
      <c r="C274" s="14">
        <v>29.1</v>
      </c>
      <c r="D274" s="14">
        <v>68</v>
      </c>
      <c r="E274" s="14">
        <v>789</v>
      </c>
      <c r="F274" s="14">
        <v>6.2</v>
      </c>
      <c r="G274" s="14">
        <v>43</v>
      </c>
      <c r="H274" s="14">
        <v>84.38</v>
      </c>
      <c r="I274" s="15">
        <v>0.68</v>
      </c>
    </row>
    <row r="275" spans="1:9" x14ac:dyDescent="0.25">
      <c r="A275" s="12">
        <v>6</v>
      </c>
      <c r="B275" s="13">
        <v>45184</v>
      </c>
      <c r="C275" s="14">
        <v>30.6</v>
      </c>
      <c r="D275" s="14">
        <v>61</v>
      </c>
      <c r="E275" s="14">
        <v>741</v>
      </c>
      <c r="F275" s="14">
        <v>6.3</v>
      </c>
      <c r="G275" s="14">
        <v>44</v>
      </c>
      <c r="H275" s="14">
        <v>87.08</v>
      </c>
      <c r="I275" s="15">
        <v>0.61</v>
      </c>
    </row>
    <row r="276" spans="1:9" x14ac:dyDescent="0.25">
      <c r="A276" s="12">
        <v>6</v>
      </c>
      <c r="B276" s="13">
        <v>45185</v>
      </c>
      <c r="C276" s="14">
        <v>31.5</v>
      </c>
      <c r="D276" s="14">
        <v>71</v>
      </c>
      <c r="E276" s="14">
        <v>591</v>
      </c>
      <c r="F276" s="14">
        <v>6.4</v>
      </c>
      <c r="G276" s="14">
        <v>45</v>
      </c>
      <c r="H276" s="14">
        <v>88.7</v>
      </c>
      <c r="I276" s="15">
        <v>0.71</v>
      </c>
    </row>
    <row r="277" spans="1:9" x14ac:dyDescent="0.25">
      <c r="A277" s="12">
        <v>7</v>
      </c>
      <c r="B277" s="13">
        <v>45141</v>
      </c>
      <c r="C277" s="14">
        <v>33.4</v>
      </c>
      <c r="D277" s="14">
        <v>74</v>
      </c>
      <c r="E277" s="14">
        <v>459</v>
      </c>
      <c r="F277" s="14">
        <v>6.5</v>
      </c>
      <c r="G277" s="14">
        <v>1</v>
      </c>
      <c r="H277" s="14">
        <v>92.12</v>
      </c>
      <c r="I277" s="15">
        <v>0.74</v>
      </c>
    </row>
    <row r="278" spans="1:9" x14ac:dyDescent="0.25">
      <c r="A278" s="12">
        <v>7</v>
      </c>
      <c r="B278" s="13">
        <v>45142</v>
      </c>
      <c r="C278" s="14">
        <v>33.5</v>
      </c>
      <c r="D278" s="14">
        <v>78</v>
      </c>
      <c r="E278" s="14">
        <v>598</v>
      </c>
      <c r="F278" s="14">
        <v>6.3</v>
      </c>
      <c r="G278" s="14">
        <v>2</v>
      </c>
      <c r="H278" s="14">
        <v>92.3</v>
      </c>
      <c r="I278" s="15">
        <v>0.78</v>
      </c>
    </row>
    <row r="279" spans="1:9" x14ac:dyDescent="0.25">
      <c r="A279" s="12">
        <v>7</v>
      </c>
      <c r="B279" s="13">
        <v>45143</v>
      </c>
      <c r="C279" s="14">
        <v>33.4</v>
      </c>
      <c r="D279" s="14">
        <v>51</v>
      </c>
      <c r="E279" s="14">
        <v>507</v>
      </c>
      <c r="F279" s="14">
        <v>6.1</v>
      </c>
      <c r="G279" s="14">
        <v>3</v>
      </c>
      <c r="H279" s="14">
        <v>92.12</v>
      </c>
      <c r="I279" s="15">
        <v>0.51</v>
      </c>
    </row>
    <row r="280" spans="1:9" x14ac:dyDescent="0.25">
      <c r="A280" s="12">
        <v>7</v>
      </c>
      <c r="B280" s="13">
        <v>45144</v>
      </c>
      <c r="C280" s="14">
        <v>33.4</v>
      </c>
      <c r="D280" s="14">
        <v>58</v>
      </c>
      <c r="E280" s="14">
        <v>583</v>
      </c>
      <c r="F280" s="14">
        <v>6.1</v>
      </c>
      <c r="G280" s="14">
        <v>4</v>
      </c>
      <c r="H280" s="14">
        <v>92.12</v>
      </c>
      <c r="I280" s="15">
        <v>0.57999999999999996</v>
      </c>
    </row>
    <row r="281" spans="1:9" x14ac:dyDescent="0.25">
      <c r="A281" s="12">
        <v>7</v>
      </c>
      <c r="B281" s="13">
        <v>45145</v>
      </c>
      <c r="C281" s="14">
        <v>33.4</v>
      </c>
      <c r="D281" s="14">
        <v>75</v>
      </c>
      <c r="E281" s="14">
        <v>555</v>
      </c>
      <c r="F281" s="14">
        <v>6.2</v>
      </c>
      <c r="G281" s="14">
        <v>5</v>
      </c>
      <c r="H281" s="14">
        <v>92.12</v>
      </c>
      <c r="I281" s="15">
        <v>0.75</v>
      </c>
    </row>
    <row r="282" spans="1:9" x14ac:dyDescent="0.25">
      <c r="A282" s="12">
        <v>7</v>
      </c>
      <c r="B282" s="13">
        <v>45146</v>
      </c>
      <c r="C282" s="14">
        <v>32.299999999999997</v>
      </c>
      <c r="D282" s="14">
        <v>61</v>
      </c>
      <c r="E282" s="14">
        <v>684</v>
      </c>
      <c r="F282" s="14">
        <v>6.7</v>
      </c>
      <c r="G282" s="14">
        <v>6</v>
      </c>
      <c r="H282" s="14">
        <v>90.14</v>
      </c>
      <c r="I282" s="15">
        <v>0.61</v>
      </c>
    </row>
    <row r="283" spans="1:9" x14ac:dyDescent="0.25">
      <c r="A283" s="12">
        <v>7</v>
      </c>
      <c r="B283" s="13">
        <v>45147</v>
      </c>
      <c r="C283" s="14">
        <v>32.299999999999997</v>
      </c>
      <c r="D283" s="14">
        <v>64</v>
      </c>
      <c r="E283" s="14">
        <v>769</v>
      </c>
      <c r="F283" s="14">
        <v>6.1</v>
      </c>
      <c r="G283" s="14">
        <v>7</v>
      </c>
      <c r="H283" s="14">
        <v>90.14</v>
      </c>
      <c r="I283" s="15">
        <v>0.64</v>
      </c>
    </row>
    <row r="284" spans="1:9" x14ac:dyDescent="0.25">
      <c r="A284" s="12">
        <v>7</v>
      </c>
      <c r="B284" s="13">
        <v>45148</v>
      </c>
      <c r="C284" s="14">
        <v>22.7</v>
      </c>
      <c r="D284" s="14">
        <v>70</v>
      </c>
      <c r="E284" s="14">
        <v>566</v>
      </c>
      <c r="F284" s="14">
        <v>6</v>
      </c>
      <c r="G284" s="14">
        <v>8</v>
      </c>
      <c r="H284" s="14">
        <v>72.86</v>
      </c>
      <c r="I284" s="15">
        <v>0.7</v>
      </c>
    </row>
    <row r="285" spans="1:9" x14ac:dyDescent="0.25">
      <c r="A285" s="12">
        <v>7</v>
      </c>
      <c r="B285" s="13">
        <v>45149</v>
      </c>
      <c r="C285" s="14">
        <v>31.9</v>
      </c>
      <c r="D285" s="14">
        <v>68</v>
      </c>
      <c r="E285" s="14">
        <v>763</v>
      </c>
      <c r="F285" s="14">
        <v>6.5</v>
      </c>
      <c r="G285" s="14">
        <v>9</v>
      </c>
      <c r="H285" s="14">
        <v>89.42</v>
      </c>
      <c r="I285" s="15">
        <v>0.68</v>
      </c>
    </row>
    <row r="286" spans="1:9" x14ac:dyDescent="0.25">
      <c r="A286" s="12">
        <v>7</v>
      </c>
      <c r="B286" s="13">
        <v>45150</v>
      </c>
      <c r="C286" s="14">
        <v>30.2</v>
      </c>
      <c r="D286" s="14">
        <v>80</v>
      </c>
      <c r="E286" s="14">
        <v>782</v>
      </c>
      <c r="F286" s="14">
        <v>6.5</v>
      </c>
      <c r="G286" s="14">
        <v>10</v>
      </c>
      <c r="H286" s="14">
        <v>86.36</v>
      </c>
      <c r="I286" s="15">
        <v>0.8</v>
      </c>
    </row>
    <row r="287" spans="1:9" x14ac:dyDescent="0.25">
      <c r="A287" s="12">
        <v>7</v>
      </c>
      <c r="B287" s="13">
        <v>45151</v>
      </c>
      <c r="C287" s="14">
        <v>30.1</v>
      </c>
      <c r="D287" s="14">
        <v>68</v>
      </c>
      <c r="E287" s="14">
        <v>432</v>
      </c>
      <c r="F287" s="14">
        <v>6.4</v>
      </c>
      <c r="G287" s="14">
        <v>11</v>
      </c>
      <c r="H287" s="14">
        <v>86.18</v>
      </c>
      <c r="I287" s="15">
        <v>0.68</v>
      </c>
    </row>
    <row r="288" spans="1:9" x14ac:dyDescent="0.25">
      <c r="A288" s="12">
        <v>7</v>
      </c>
      <c r="B288" s="13">
        <v>45152</v>
      </c>
      <c r="C288" s="14">
        <v>30.1</v>
      </c>
      <c r="D288" s="14">
        <v>56</v>
      </c>
      <c r="E288" s="14">
        <v>676</v>
      </c>
      <c r="F288" s="14">
        <v>6.8</v>
      </c>
      <c r="G288" s="14">
        <v>12</v>
      </c>
      <c r="H288" s="14">
        <v>86.18</v>
      </c>
      <c r="I288" s="15">
        <v>0.56000000000000005</v>
      </c>
    </row>
    <row r="289" spans="1:9" x14ac:dyDescent="0.25">
      <c r="A289" s="12">
        <v>7</v>
      </c>
      <c r="B289" s="13">
        <v>45153</v>
      </c>
      <c r="C289" s="14">
        <v>30.1</v>
      </c>
      <c r="D289" s="14">
        <v>52</v>
      </c>
      <c r="E289" s="14">
        <v>780</v>
      </c>
      <c r="F289" s="14">
        <v>6.5</v>
      </c>
      <c r="G289" s="14">
        <v>13</v>
      </c>
      <c r="H289" s="14">
        <v>86.18</v>
      </c>
      <c r="I289" s="15">
        <v>0.52</v>
      </c>
    </row>
    <row r="290" spans="1:9" x14ac:dyDescent="0.25">
      <c r="A290" s="12">
        <v>7</v>
      </c>
      <c r="B290" s="13">
        <v>45154</v>
      </c>
      <c r="C290" s="14">
        <v>29.8</v>
      </c>
      <c r="D290" s="14">
        <v>53</v>
      </c>
      <c r="E290" s="14">
        <v>778</v>
      </c>
      <c r="F290" s="14">
        <v>6.1</v>
      </c>
      <c r="G290" s="14">
        <v>14</v>
      </c>
      <c r="H290" s="14">
        <v>85.64</v>
      </c>
      <c r="I290" s="15">
        <v>0.53</v>
      </c>
    </row>
    <row r="291" spans="1:9" x14ac:dyDescent="0.25">
      <c r="A291" s="12">
        <v>7</v>
      </c>
      <c r="B291" s="13">
        <v>45155</v>
      </c>
      <c r="C291" s="14">
        <v>29.6</v>
      </c>
      <c r="D291" s="14">
        <v>58</v>
      </c>
      <c r="E291" s="14">
        <v>491</v>
      </c>
      <c r="F291" s="14">
        <v>6.6</v>
      </c>
      <c r="G291" s="14">
        <v>15</v>
      </c>
      <c r="H291" s="14">
        <v>85.28</v>
      </c>
      <c r="I291" s="15">
        <v>0.57999999999999996</v>
      </c>
    </row>
    <row r="292" spans="1:9" x14ac:dyDescent="0.25">
      <c r="A292" s="12">
        <v>7</v>
      </c>
      <c r="B292" s="13">
        <v>45156</v>
      </c>
      <c r="C292" s="14">
        <v>30.9</v>
      </c>
      <c r="D292" s="14">
        <v>72</v>
      </c>
      <c r="E292" s="14">
        <v>536</v>
      </c>
      <c r="F292" s="14">
        <v>6.8</v>
      </c>
      <c r="G292" s="14">
        <v>16</v>
      </c>
      <c r="H292" s="14">
        <v>87.62</v>
      </c>
      <c r="I292" s="15">
        <v>0.72</v>
      </c>
    </row>
    <row r="293" spans="1:9" x14ac:dyDescent="0.25">
      <c r="A293" s="12">
        <v>7</v>
      </c>
      <c r="B293" s="13">
        <v>45157</v>
      </c>
      <c r="C293" s="14">
        <v>30.8</v>
      </c>
      <c r="D293" s="14">
        <v>60</v>
      </c>
      <c r="E293" s="14">
        <v>701</v>
      </c>
      <c r="F293" s="14">
        <v>6.3</v>
      </c>
      <c r="G293" s="14">
        <v>17</v>
      </c>
      <c r="H293" s="14">
        <v>87.44</v>
      </c>
      <c r="I293" s="15">
        <v>0.6</v>
      </c>
    </row>
    <row r="294" spans="1:9" x14ac:dyDescent="0.25">
      <c r="A294" s="12">
        <v>7</v>
      </c>
      <c r="B294" s="13">
        <v>45158</v>
      </c>
      <c r="C294" s="14">
        <v>30.9</v>
      </c>
      <c r="D294" s="14">
        <v>77</v>
      </c>
      <c r="E294" s="14">
        <v>730</v>
      </c>
      <c r="F294" s="14">
        <v>6.4</v>
      </c>
      <c r="G294" s="14">
        <v>18</v>
      </c>
      <c r="H294" s="14">
        <v>87.62</v>
      </c>
      <c r="I294" s="15">
        <v>0.77</v>
      </c>
    </row>
    <row r="295" spans="1:9" x14ac:dyDescent="0.25">
      <c r="A295" s="12">
        <v>7</v>
      </c>
      <c r="B295" s="13">
        <v>45159</v>
      </c>
      <c r="C295" s="14">
        <v>30.2</v>
      </c>
      <c r="D295" s="14">
        <v>51</v>
      </c>
      <c r="E295" s="14">
        <v>619</v>
      </c>
      <c r="F295" s="14">
        <v>6.3</v>
      </c>
      <c r="G295" s="14">
        <v>19</v>
      </c>
      <c r="H295" s="14">
        <v>86.36</v>
      </c>
      <c r="I295" s="15">
        <v>0.51</v>
      </c>
    </row>
    <row r="296" spans="1:9" x14ac:dyDescent="0.25">
      <c r="A296" s="12">
        <v>7</v>
      </c>
      <c r="B296" s="13">
        <v>45160</v>
      </c>
      <c r="C296" s="14">
        <v>30.5</v>
      </c>
      <c r="D296" s="14">
        <v>71</v>
      </c>
      <c r="E296" s="14">
        <v>503</v>
      </c>
      <c r="F296" s="14">
        <v>6.2</v>
      </c>
      <c r="G296" s="14">
        <v>20</v>
      </c>
      <c r="H296" s="14">
        <v>86.9</v>
      </c>
      <c r="I296" s="15">
        <v>0.71</v>
      </c>
    </row>
    <row r="297" spans="1:9" x14ac:dyDescent="0.25">
      <c r="A297" s="12">
        <v>7</v>
      </c>
      <c r="B297" s="13">
        <v>45161</v>
      </c>
      <c r="C297" s="14">
        <v>30.8</v>
      </c>
      <c r="D297" s="14">
        <v>58</v>
      </c>
      <c r="E297" s="14">
        <v>503</v>
      </c>
      <c r="F297" s="14">
        <v>6.2</v>
      </c>
      <c r="G297" s="14">
        <v>21</v>
      </c>
      <c r="H297" s="14">
        <v>87.44</v>
      </c>
      <c r="I297" s="15">
        <v>0.57999999999999996</v>
      </c>
    </row>
    <row r="298" spans="1:9" x14ac:dyDescent="0.25">
      <c r="A298" s="12">
        <v>7</v>
      </c>
      <c r="B298" s="13">
        <v>45162</v>
      </c>
      <c r="C298" s="14">
        <v>31.3</v>
      </c>
      <c r="D298" s="14">
        <v>57</v>
      </c>
      <c r="E298" s="14">
        <v>552</v>
      </c>
      <c r="F298" s="14">
        <v>6.1</v>
      </c>
      <c r="G298" s="14">
        <v>22</v>
      </c>
      <c r="H298" s="14">
        <v>88.34</v>
      </c>
      <c r="I298" s="15">
        <v>0.56999999999999995</v>
      </c>
    </row>
    <row r="299" spans="1:9" x14ac:dyDescent="0.25">
      <c r="A299" s="12">
        <v>7</v>
      </c>
      <c r="B299" s="13">
        <v>45163</v>
      </c>
      <c r="C299" s="14">
        <v>31.4</v>
      </c>
      <c r="D299" s="14">
        <v>77</v>
      </c>
      <c r="E299" s="14">
        <v>617</v>
      </c>
      <c r="F299" s="14">
        <v>6.5</v>
      </c>
      <c r="G299" s="14">
        <v>23</v>
      </c>
      <c r="H299" s="14">
        <v>88.52</v>
      </c>
      <c r="I299" s="15">
        <v>0.77</v>
      </c>
    </row>
    <row r="300" spans="1:9" x14ac:dyDescent="0.25">
      <c r="A300" s="12">
        <v>7</v>
      </c>
      <c r="B300" s="13">
        <v>45164</v>
      </c>
      <c r="C300" s="14">
        <v>31.4</v>
      </c>
      <c r="D300" s="14">
        <v>61</v>
      </c>
      <c r="E300" s="14">
        <v>640</v>
      </c>
      <c r="F300" s="14">
        <v>6.6</v>
      </c>
      <c r="G300" s="14">
        <v>24</v>
      </c>
      <c r="H300" s="14">
        <v>88.52</v>
      </c>
      <c r="I300" s="15">
        <v>0.61</v>
      </c>
    </row>
    <row r="301" spans="1:9" x14ac:dyDescent="0.25">
      <c r="A301" s="12">
        <v>7</v>
      </c>
      <c r="B301" s="13">
        <v>45165</v>
      </c>
      <c r="C301" s="14">
        <v>30.1</v>
      </c>
      <c r="D301" s="14">
        <v>55</v>
      </c>
      <c r="E301" s="14">
        <v>600</v>
      </c>
      <c r="F301" s="14">
        <v>6.5</v>
      </c>
      <c r="G301" s="14">
        <v>25</v>
      </c>
      <c r="H301" s="14">
        <v>86.18</v>
      </c>
      <c r="I301" s="15">
        <v>0.55000000000000004</v>
      </c>
    </row>
    <row r="302" spans="1:9" x14ac:dyDescent="0.25">
      <c r="A302" s="12">
        <v>7</v>
      </c>
      <c r="B302" s="13">
        <v>45166</v>
      </c>
      <c r="C302" s="14">
        <v>29.4</v>
      </c>
      <c r="D302" s="14">
        <v>79</v>
      </c>
      <c r="E302" s="14">
        <v>670</v>
      </c>
      <c r="F302" s="14">
        <v>6.7</v>
      </c>
      <c r="G302" s="14">
        <v>26</v>
      </c>
      <c r="H302" s="14">
        <v>84.92</v>
      </c>
      <c r="I302" s="15">
        <v>0.79</v>
      </c>
    </row>
    <row r="303" spans="1:9" x14ac:dyDescent="0.25">
      <c r="A303" s="12">
        <v>7</v>
      </c>
      <c r="B303" s="13">
        <v>45167</v>
      </c>
      <c r="C303" s="14">
        <v>28.7</v>
      </c>
      <c r="D303" s="14">
        <v>63</v>
      </c>
      <c r="E303" s="14">
        <v>541</v>
      </c>
      <c r="F303" s="14">
        <v>6</v>
      </c>
      <c r="G303" s="14">
        <v>27</v>
      </c>
      <c r="H303" s="14">
        <v>83.66</v>
      </c>
      <c r="I303" s="15">
        <v>0.63</v>
      </c>
    </row>
    <row r="304" spans="1:9" x14ac:dyDescent="0.25">
      <c r="A304" s="12">
        <v>7</v>
      </c>
      <c r="B304" s="13">
        <v>45168</v>
      </c>
      <c r="C304" s="14">
        <v>29.1</v>
      </c>
      <c r="D304" s="14">
        <v>62</v>
      </c>
      <c r="E304" s="14">
        <v>498</v>
      </c>
      <c r="F304" s="14">
        <v>6.5</v>
      </c>
      <c r="G304" s="14">
        <v>28</v>
      </c>
      <c r="H304" s="14">
        <v>84.38</v>
      </c>
      <c r="I304" s="15">
        <v>0.62</v>
      </c>
    </row>
    <row r="305" spans="1:9" x14ac:dyDescent="0.25">
      <c r="A305" s="12">
        <v>7</v>
      </c>
      <c r="B305" s="13">
        <v>45169</v>
      </c>
      <c r="C305" s="14">
        <v>29.2</v>
      </c>
      <c r="D305" s="14">
        <v>80</v>
      </c>
      <c r="E305" s="14">
        <v>426</v>
      </c>
      <c r="F305" s="14">
        <v>6.6</v>
      </c>
      <c r="G305" s="14">
        <v>29</v>
      </c>
      <c r="H305" s="14">
        <v>84.56</v>
      </c>
      <c r="I305" s="15">
        <v>0.8</v>
      </c>
    </row>
    <row r="306" spans="1:9" x14ac:dyDescent="0.25">
      <c r="A306" s="12">
        <v>7</v>
      </c>
      <c r="B306" s="13">
        <v>45170</v>
      </c>
      <c r="C306" s="14">
        <v>31.7</v>
      </c>
      <c r="D306" s="14">
        <v>52</v>
      </c>
      <c r="E306" s="14">
        <v>583</v>
      </c>
      <c r="F306" s="14">
        <v>6.5</v>
      </c>
      <c r="G306" s="14">
        <v>30</v>
      </c>
      <c r="H306" s="14">
        <v>89.06</v>
      </c>
      <c r="I306" s="15">
        <v>0.52</v>
      </c>
    </row>
    <row r="307" spans="1:9" x14ac:dyDescent="0.25">
      <c r="A307" s="12">
        <v>7</v>
      </c>
      <c r="B307" s="13">
        <v>45171</v>
      </c>
      <c r="C307" s="14">
        <v>31.7</v>
      </c>
      <c r="D307" s="14">
        <v>67</v>
      </c>
      <c r="E307" s="14">
        <v>696</v>
      </c>
      <c r="F307" s="14">
        <v>6.7</v>
      </c>
      <c r="G307" s="14">
        <v>31</v>
      </c>
      <c r="H307" s="14">
        <v>89.06</v>
      </c>
      <c r="I307" s="15">
        <v>0.67</v>
      </c>
    </row>
    <row r="308" spans="1:9" x14ac:dyDescent="0.25">
      <c r="A308" s="12">
        <v>7</v>
      </c>
      <c r="B308" s="13">
        <v>45172</v>
      </c>
      <c r="C308" s="14">
        <v>31.7</v>
      </c>
      <c r="D308" s="14">
        <v>71</v>
      </c>
      <c r="E308" s="14">
        <v>781</v>
      </c>
      <c r="F308" s="14">
        <v>6.6</v>
      </c>
      <c r="G308" s="14">
        <v>32</v>
      </c>
      <c r="H308" s="14">
        <v>89.06</v>
      </c>
      <c r="I308" s="15">
        <v>0.71</v>
      </c>
    </row>
    <row r="309" spans="1:9" x14ac:dyDescent="0.25">
      <c r="A309" s="12">
        <v>7</v>
      </c>
      <c r="B309" s="13">
        <v>45173</v>
      </c>
      <c r="C309" s="14">
        <v>31.7</v>
      </c>
      <c r="D309" s="14">
        <v>79</v>
      </c>
      <c r="E309" s="14">
        <v>436</v>
      </c>
      <c r="F309" s="14">
        <v>6.7</v>
      </c>
      <c r="G309" s="14">
        <v>33</v>
      </c>
      <c r="H309" s="14">
        <v>89.06</v>
      </c>
      <c r="I309" s="15">
        <v>0.79</v>
      </c>
    </row>
    <row r="310" spans="1:9" x14ac:dyDescent="0.25">
      <c r="A310" s="12">
        <v>7</v>
      </c>
      <c r="B310" s="13">
        <v>45174</v>
      </c>
      <c r="C310" s="14">
        <v>32</v>
      </c>
      <c r="D310" s="14">
        <v>78</v>
      </c>
      <c r="E310" s="14">
        <v>466</v>
      </c>
      <c r="F310" s="14">
        <v>6.6</v>
      </c>
      <c r="G310" s="14">
        <v>34</v>
      </c>
      <c r="H310" s="14">
        <v>89.6</v>
      </c>
      <c r="I310" s="15">
        <v>0.78</v>
      </c>
    </row>
    <row r="311" spans="1:9" x14ac:dyDescent="0.25">
      <c r="A311" s="12">
        <v>7</v>
      </c>
      <c r="B311" s="13">
        <v>45175</v>
      </c>
      <c r="C311" s="14">
        <v>32.1</v>
      </c>
      <c r="D311" s="14">
        <v>76</v>
      </c>
      <c r="E311" s="14">
        <v>472</v>
      </c>
      <c r="F311" s="14">
        <v>6.5</v>
      </c>
      <c r="G311" s="14">
        <v>35</v>
      </c>
      <c r="H311" s="14">
        <v>89.78</v>
      </c>
      <c r="I311" s="15">
        <v>0.76</v>
      </c>
    </row>
    <row r="312" spans="1:9" x14ac:dyDescent="0.25">
      <c r="A312" s="12">
        <v>7</v>
      </c>
      <c r="B312" s="13">
        <v>45176</v>
      </c>
      <c r="C312" s="14">
        <v>31.5</v>
      </c>
      <c r="D312" s="14">
        <v>54</v>
      </c>
      <c r="E312" s="14">
        <v>749</v>
      </c>
      <c r="F312" s="14">
        <v>6.8</v>
      </c>
      <c r="G312" s="14">
        <v>36</v>
      </c>
      <c r="H312" s="14">
        <v>88.7</v>
      </c>
      <c r="I312" s="15">
        <v>0.54</v>
      </c>
    </row>
    <row r="313" spans="1:9" x14ac:dyDescent="0.25">
      <c r="A313" s="12">
        <v>7</v>
      </c>
      <c r="B313" s="13">
        <v>45177</v>
      </c>
      <c r="C313" s="14">
        <v>29.8</v>
      </c>
      <c r="D313" s="14">
        <v>54</v>
      </c>
      <c r="E313" s="14">
        <v>645</v>
      </c>
      <c r="F313" s="14">
        <v>6.4</v>
      </c>
      <c r="G313" s="14">
        <v>37</v>
      </c>
      <c r="H313" s="14">
        <v>85.64</v>
      </c>
      <c r="I313" s="15">
        <v>0.54</v>
      </c>
    </row>
    <row r="314" spans="1:9" x14ac:dyDescent="0.25">
      <c r="A314" s="12">
        <v>7</v>
      </c>
      <c r="B314" s="13">
        <v>45178</v>
      </c>
      <c r="C314" s="14">
        <v>20.100000000000001</v>
      </c>
      <c r="D314" s="14">
        <v>63</v>
      </c>
      <c r="E314" s="14">
        <v>555</v>
      </c>
      <c r="F314" s="14">
        <v>6.2</v>
      </c>
      <c r="G314" s="14">
        <v>38</v>
      </c>
      <c r="H314" s="14">
        <v>68.180000000000007</v>
      </c>
      <c r="I314" s="15">
        <v>0.63</v>
      </c>
    </row>
    <row r="315" spans="1:9" x14ac:dyDescent="0.25">
      <c r="A315" s="12">
        <v>7</v>
      </c>
      <c r="B315" s="13">
        <v>45179</v>
      </c>
      <c r="C315" s="14">
        <v>31.1</v>
      </c>
      <c r="D315" s="14">
        <v>53</v>
      </c>
      <c r="E315" s="14">
        <v>545</v>
      </c>
      <c r="F315" s="14">
        <v>6.2</v>
      </c>
      <c r="G315" s="14">
        <v>39</v>
      </c>
      <c r="H315" s="14">
        <v>87.98</v>
      </c>
      <c r="I315" s="15">
        <v>0.53</v>
      </c>
    </row>
    <row r="316" spans="1:9" x14ac:dyDescent="0.25">
      <c r="A316" s="12">
        <v>7</v>
      </c>
      <c r="B316" s="13">
        <v>45180</v>
      </c>
      <c r="C316" s="14">
        <v>31.2</v>
      </c>
      <c r="D316" s="14">
        <v>53</v>
      </c>
      <c r="E316" s="14">
        <v>800</v>
      </c>
      <c r="F316" s="14">
        <v>6.7</v>
      </c>
      <c r="G316" s="14">
        <v>40</v>
      </c>
      <c r="H316" s="14">
        <v>88.16</v>
      </c>
      <c r="I316" s="15">
        <v>0.53</v>
      </c>
    </row>
    <row r="317" spans="1:9" x14ac:dyDescent="0.25">
      <c r="A317" s="12">
        <v>7</v>
      </c>
      <c r="B317" s="13">
        <v>45181</v>
      </c>
      <c r="C317" s="14">
        <v>31.2</v>
      </c>
      <c r="D317" s="14">
        <v>52</v>
      </c>
      <c r="E317" s="14">
        <v>468</v>
      </c>
      <c r="F317" s="14">
        <v>6.7</v>
      </c>
      <c r="G317" s="14">
        <v>41</v>
      </c>
      <c r="H317" s="14">
        <v>88.16</v>
      </c>
      <c r="I317" s="15">
        <v>0.52</v>
      </c>
    </row>
    <row r="318" spans="1:9" x14ac:dyDescent="0.25">
      <c r="A318" s="12">
        <v>7</v>
      </c>
      <c r="B318" s="13">
        <v>45182</v>
      </c>
      <c r="C318" s="14">
        <v>30.4</v>
      </c>
      <c r="D318" s="14">
        <v>52</v>
      </c>
      <c r="E318" s="14">
        <v>777</v>
      </c>
      <c r="F318" s="14">
        <v>6.6</v>
      </c>
      <c r="G318" s="14">
        <v>42</v>
      </c>
      <c r="H318" s="14">
        <v>86.72</v>
      </c>
      <c r="I318" s="15">
        <v>0.52</v>
      </c>
    </row>
    <row r="319" spans="1:9" x14ac:dyDescent="0.25">
      <c r="A319" s="12">
        <v>7</v>
      </c>
      <c r="B319" s="13">
        <v>45183</v>
      </c>
      <c r="C319" s="14">
        <v>29.1</v>
      </c>
      <c r="D319" s="14">
        <v>60</v>
      </c>
      <c r="E319" s="14">
        <v>459</v>
      </c>
      <c r="F319" s="14">
        <v>6.6</v>
      </c>
      <c r="G319" s="14">
        <v>43</v>
      </c>
      <c r="H319" s="14">
        <v>84.38</v>
      </c>
      <c r="I319" s="15">
        <v>0.6</v>
      </c>
    </row>
    <row r="320" spans="1:9" x14ac:dyDescent="0.25">
      <c r="A320" s="12">
        <v>7</v>
      </c>
      <c r="B320" s="13">
        <v>45184</v>
      </c>
      <c r="C320" s="14">
        <v>30.6</v>
      </c>
      <c r="D320" s="14">
        <v>69</v>
      </c>
      <c r="E320" s="14">
        <v>787</v>
      </c>
      <c r="F320" s="14">
        <v>6</v>
      </c>
      <c r="G320" s="14">
        <v>44</v>
      </c>
      <c r="H320" s="14">
        <v>87.08</v>
      </c>
      <c r="I320" s="15">
        <v>0.69</v>
      </c>
    </row>
    <row r="321" spans="1:9" x14ac:dyDescent="0.25">
      <c r="A321" s="12">
        <v>7</v>
      </c>
      <c r="B321" s="13">
        <v>45185</v>
      </c>
      <c r="C321" s="14">
        <v>31.5</v>
      </c>
      <c r="D321" s="14">
        <v>72</v>
      </c>
      <c r="E321" s="14">
        <v>508</v>
      </c>
      <c r="F321" s="14">
        <v>6.3</v>
      </c>
      <c r="G321" s="14">
        <v>45</v>
      </c>
      <c r="H321" s="14">
        <v>88.7</v>
      </c>
      <c r="I321" s="15">
        <v>0.72</v>
      </c>
    </row>
    <row r="322" spans="1:9" x14ac:dyDescent="0.25">
      <c r="A322" s="12">
        <v>7</v>
      </c>
      <c r="B322" s="13">
        <v>45186</v>
      </c>
      <c r="C322" s="14">
        <v>29.1</v>
      </c>
      <c r="D322" s="14">
        <v>62</v>
      </c>
      <c r="E322" s="14">
        <v>696</v>
      </c>
      <c r="F322" s="14">
        <v>6.5</v>
      </c>
      <c r="G322" s="14">
        <v>46</v>
      </c>
      <c r="H322" s="14">
        <v>84.38</v>
      </c>
      <c r="I322" s="15">
        <v>0.62</v>
      </c>
    </row>
    <row r="323" spans="1:9" x14ac:dyDescent="0.25">
      <c r="A323" s="12">
        <v>7</v>
      </c>
      <c r="B323" s="13">
        <v>45187</v>
      </c>
      <c r="C323" s="14">
        <v>30.5</v>
      </c>
      <c r="D323" s="14">
        <v>58</v>
      </c>
      <c r="E323" s="14">
        <v>600</v>
      </c>
      <c r="F323" s="14">
        <v>6.2</v>
      </c>
      <c r="G323" s="14">
        <v>47</v>
      </c>
      <c r="H323" s="14">
        <v>86.9</v>
      </c>
      <c r="I323" s="15">
        <v>0.57999999999999996</v>
      </c>
    </row>
    <row r="324" spans="1:9" x14ac:dyDescent="0.25">
      <c r="A324" s="12">
        <v>8</v>
      </c>
      <c r="B324" s="13">
        <v>45141</v>
      </c>
      <c r="C324" s="14">
        <v>33.4</v>
      </c>
      <c r="D324" s="14">
        <v>76</v>
      </c>
      <c r="E324" s="14">
        <v>650</v>
      </c>
      <c r="F324" s="14">
        <v>6</v>
      </c>
      <c r="G324" s="14">
        <v>1</v>
      </c>
      <c r="H324" s="14">
        <v>92.12</v>
      </c>
      <c r="I324" s="15">
        <v>0.76</v>
      </c>
    </row>
    <row r="325" spans="1:9" x14ac:dyDescent="0.25">
      <c r="A325" s="12">
        <v>8</v>
      </c>
      <c r="B325" s="13">
        <v>45142</v>
      </c>
      <c r="C325" s="14">
        <v>33.5</v>
      </c>
      <c r="D325" s="14">
        <v>77</v>
      </c>
      <c r="E325" s="14">
        <v>457</v>
      </c>
      <c r="F325" s="14">
        <v>6.3</v>
      </c>
      <c r="G325" s="14">
        <v>2</v>
      </c>
      <c r="H325" s="14">
        <v>92.3</v>
      </c>
      <c r="I325" s="15">
        <v>0.77</v>
      </c>
    </row>
    <row r="326" spans="1:9" x14ac:dyDescent="0.25">
      <c r="A326" s="12">
        <v>8</v>
      </c>
      <c r="B326" s="13">
        <v>45143</v>
      </c>
      <c r="C326" s="14">
        <v>33.4</v>
      </c>
      <c r="D326" s="14">
        <v>72</v>
      </c>
      <c r="E326" s="14">
        <v>454</v>
      </c>
      <c r="F326" s="14">
        <v>6.7</v>
      </c>
      <c r="G326" s="14">
        <v>3</v>
      </c>
      <c r="H326" s="14">
        <v>92.12</v>
      </c>
      <c r="I326" s="15">
        <v>0.72</v>
      </c>
    </row>
    <row r="327" spans="1:9" x14ac:dyDescent="0.25">
      <c r="A327" s="12">
        <v>8</v>
      </c>
      <c r="B327" s="13">
        <v>45144</v>
      </c>
      <c r="C327" s="14">
        <v>33.4</v>
      </c>
      <c r="D327" s="14">
        <v>71</v>
      </c>
      <c r="E327" s="14">
        <v>673</v>
      </c>
      <c r="F327" s="14">
        <v>6.4</v>
      </c>
      <c r="G327" s="14">
        <v>4</v>
      </c>
      <c r="H327" s="14">
        <v>92.12</v>
      </c>
      <c r="I327" s="15">
        <v>0.71</v>
      </c>
    </row>
    <row r="328" spans="1:9" x14ac:dyDescent="0.25">
      <c r="A328" s="12">
        <v>8</v>
      </c>
      <c r="B328" s="13">
        <v>45145</v>
      </c>
      <c r="C328" s="14">
        <v>33.4</v>
      </c>
      <c r="D328" s="14">
        <v>78</v>
      </c>
      <c r="E328" s="14">
        <v>700</v>
      </c>
      <c r="F328" s="14">
        <v>6</v>
      </c>
      <c r="G328" s="14">
        <v>5</v>
      </c>
      <c r="H328" s="14">
        <v>92.12</v>
      </c>
      <c r="I328" s="15">
        <v>0.78</v>
      </c>
    </row>
    <row r="329" spans="1:9" x14ac:dyDescent="0.25">
      <c r="A329" s="12">
        <v>8</v>
      </c>
      <c r="B329" s="13">
        <v>45146</v>
      </c>
      <c r="C329" s="14">
        <v>32.299999999999997</v>
      </c>
      <c r="D329" s="14">
        <v>63</v>
      </c>
      <c r="E329" s="14">
        <v>588</v>
      </c>
      <c r="F329" s="14">
        <v>6.7</v>
      </c>
      <c r="G329" s="14">
        <v>6</v>
      </c>
      <c r="H329" s="14">
        <v>90.14</v>
      </c>
      <c r="I329" s="15">
        <v>0.63</v>
      </c>
    </row>
    <row r="330" spans="1:9" x14ac:dyDescent="0.25">
      <c r="A330" s="12">
        <v>8</v>
      </c>
      <c r="B330" s="13">
        <v>45147</v>
      </c>
      <c r="C330" s="14">
        <v>32.299999999999997</v>
      </c>
      <c r="D330" s="14">
        <v>59</v>
      </c>
      <c r="E330" s="14">
        <v>434</v>
      </c>
      <c r="F330" s="14">
        <v>6.4</v>
      </c>
      <c r="G330" s="14">
        <v>7</v>
      </c>
      <c r="H330" s="14">
        <v>90.14</v>
      </c>
      <c r="I330" s="15">
        <v>0.59</v>
      </c>
    </row>
    <row r="331" spans="1:9" x14ac:dyDescent="0.25">
      <c r="A331" s="12">
        <v>8</v>
      </c>
      <c r="B331" s="13">
        <v>45148</v>
      </c>
      <c r="C331" s="14">
        <v>22.7</v>
      </c>
      <c r="D331" s="14">
        <v>60</v>
      </c>
      <c r="E331" s="14">
        <v>708</v>
      </c>
      <c r="F331" s="14">
        <v>6.6</v>
      </c>
      <c r="G331" s="14">
        <v>8</v>
      </c>
      <c r="H331" s="14">
        <v>72.86</v>
      </c>
      <c r="I331" s="15">
        <v>0.6</v>
      </c>
    </row>
    <row r="332" spans="1:9" x14ac:dyDescent="0.25">
      <c r="A332" s="12">
        <v>8</v>
      </c>
      <c r="B332" s="13">
        <v>45149</v>
      </c>
      <c r="C332" s="14">
        <v>31.9</v>
      </c>
      <c r="D332" s="14">
        <v>64</v>
      </c>
      <c r="E332" s="14">
        <v>699</v>
      </c>
      <c r="F332" s="14">
        <v>6.6</v>
      </c>
      <c r="G332" s="14">
        <v>9</v>
      </c>
      <c r="H332" s="14">
        <v>89.42</v>
      </c>
      <c r="I332" s="15">
        <v>0.64</v>
      </c>
    </row>
    <row r="333" spans="1:9" x14ac:dyDescent="0.25">
      <c r="A333" s="12">
        <v>8</v>
      </c>
      <c r="B333" s="13">
        <v>45150</v>
      </c>
      <c r="C333" s="14">
        <v>30.2</v>
      </c>
      <c r="D333" s="14">
        <v>55</v>
      </c>
      <c r="E333" s="14">
        <v>403</v>
      </c>
      <c r="F333" s="14">
        <v>6.6</v>
      </c>
      <c r="G333" s="14">
        <v>10</v>
      </c>
      <c r="H333" s="14">
        <v>86.36</v>
      </c>
      <c r="I333" s="15">
        <v>0.55000000000000004</v>
      </c>
    </row>
    <row r="334" spans="1:9" x14ac:dyDescent="0.25">
      <c r="A334" s="12">
        <v>8</v>
      </c>
      <c r="B334" s="13">
        <v>45151</v>
      </c>
      <c r="C334" s="14">
        <v>30.1</v>
      </c>
      <c r="D334" s="14">
        <v>77</v>
      </c>
      <c r="E334" s="14">
        <v>606</v>
      </c>
      <c r="F334" s="14">
        <v>6.3</v>
      </c>
      <c r="G334" s="14">
        <v>11</v>
      </c>
      <c r="H334" s="14">
        <v>86.18</v>
      </c>
      <c r="I334" s="15">
        <v>0.77</v>
      </c>
    </row>
    <row r="335" spans="1:9" x14ac:dyDescent="0.25">
      <c r="A335" s="12">
        <v>8</v>
      </c>
      <c r="B335" s="13">
        <v>45152</v>
      </c>
      <c r="C335" s="14">
        <v>30.1</v>
      </c>
      <c r="D335" s="14">
        <v>57</v>
      </c>
      <c r="E335" s="14">
        <v>763</v>
      </c>
      <c r="F335" s="14">
        <v>6.3</v>
      </c>
      <c r="G335" s="14">
        <v>12</v>
      </c>
      <c r="H335" s="14">
        <v>86.18</v>
      </c>
      <c r="I335" s="15">
        <v>0.56999999999999995</v>
      </c>
    </row>
    <row r="336" spans="1:9" x14ac:dyDescent="0.25">
      <c r="A336" s="12">
        <v>8</v>
      </c>
      <c r="B336" s="13">
        <v>45153</v>
      </c>
      <c r="C336" s="14">
        <v>30.1</v>
      </c>
      <c r="D336" s="14">
        <v>59</v>
      </c>
      <c r="E336" s="14">
        <v>727</v>
      </c>
      <c r="F336" s="14">
        <v>6.2</v>
      </c>
      <c r="G336" s="14">
        <v>13</v>
      </c>
      <c r="H336" s="14">
        <v>86.18</v>
      </c>
      <c r="I336" s="15">
        <v>0.59</v>
      </c>
    </row>
    <row r="337" spans="1:9" x14ac:dyDescent="0.25">
      <c r="A337" s="12">
        <v>8</v>
      </c>
      <c r="B337" s="13">
        <v>45154</v>
      </c>
      <c r="C337" s="14">
        <v>29.8</v>
      </c>
      <c r="D337" s="14">
        <v>51</v>
      </c>
      <c r="E337" s="14">
        <v>649</v>
      </c>
      <c r="F337" s="14">
        <v>6.4</v>
      </c>
      <c r="G337" s="14">
        <v>14</v>
      </c>
      <c r="H337" s="14">
        <v>85.64</v>
      </c>
      <c r="I337" s="15">
        <v>0.51</v>
      </c>
    </row>
    <row r="338" spans="1:9" x14ac:dyDescent="0.25">
      <c r="A338" s="12">
        <v>8</v>
      </c>
      <c r="B338" s="13">
        <v>45155</v>
      </c>
      <c r="C338" s="14">
        <v>29.6</v>
      </c>
      <c r="D338" s="14">
        <v>74</v>
      </c>
      <c r="E338" s="14">
        <v>586</v>
      </c>
      <c r="F338" s="14">
        <v>6.5</v>
      </c>
      <c r="G338" s="14">
        <v>15</v>
      </c>
      <c r="H338" s="14">
        <v>85.28</v>
      </c>
      <c r="I338" s="15">
        <v>0.74</v>
      </c>
    </row>
    <row r="339" spans="1:9" x14ac:dyDescent="0.25">
      <c r="A339" s="12">
        <v>8</v>
      </c>
      <c r="B339" s="13">
        <v>45156</v>
      </c>
      <c r="C339" s="14">
        <v>30.9</v>
      </c>
      <c r="D339" s="14">
        <v>70</v>
      </c>
      <c r="E339" s="14">
        <v>415</v>
      </c>
      <c r="F339" s="14">
        <v>6.6</v>
      </c>
      <c r="G339" s="14">
        <v>16</v>
      </c>
      <c r="H339" s="14">
        <v>87.62</v>
      </c>
      <c r="I339" s="15">
        <v>0.7</v>
      </c>
    </row>
    <row r="340" spans="1:9" x14ac:dyDescent="0.25">
      <c r="A340" s="12">
        <v>8</v>
      </c>
      <c r="B340" s="13">
        <v>45157</v>
      </c>
      <c r="C340" s="14">
        <v>30.8</v>
      </c>
      <c r="D340" s="14">
        <v>62</v>
      </c>
      <c r="E340" s="14">
        <v>422</v>
      </c>
      <c r="F340" s="14">
        <v>6.4</v>
      </c>
      <c r="G340" s="14">
        <v>17</v>
      </c>
      <c r="H340" s="14">
        <v>87.44</v>
      </c>
      <c r="I340" s="15">
        <v>0.62</v>
      </c>
    </row>
    <row r="341" spans="1:9" x14ac:dyDescent="0.25">
      <c r="A341" s="12">
        <v>8</v>
      </c>
      <c r="B341" s="13">
        <v>45158</v>
      </c>
      <c r="C341" s="14">
        <v>30.9</v>
      </c>
      <c r="D341" s="14">
        <v>76</v>
      </c>
      <c r="E341" s="14">
        <v>781</v>
      </c>
      <c r="F341" s="14">
        <v>6.5</v>
      </c>
      <c r="G341" s="14">
        <v>18</v>
      </c>
      <c r="H341" s="14">
        <v>87.62</v>
      </c>
      <c r="I341" s="15">
        <v>0.76</v>
      </c>
    </row>
    <row r="342" spans="1:9" x14ac:dyDescent="0.25">
      <c r="A342" s="12">
        <v>8</v>
      </c>
      <c r="B342" s="13">
        <v>45159</v>
      </c>
      <c r="C342" s="14">
        <v>30.2</v>
      </c>
      <c r="D342" s="14">
        <v>79</v>
      </c>
      <c r="E342" s="14">
        <v>742</v>
      </c>
      <c r="F342" s="14">
        <v>6.7</v>
      </c>
      <c r="G342" s="14">
        <v>19</v>
      </c>
      <c r="H342" s="14">
        <v>86.36</v>
      </c>
      <c r="I342" s="15">
        <v>0.79</v>
      </c>
    </row>
    <row r="343" spans="1:9" x14ac:dyDescent="0.25">
      <c r="A343" s="12">
        <v>8</v>
      </c>
      <c r="B343" s="13">
        <v>45160</v>
      </c>
      <c r="C343" s="14">
        <v>30.5</v>
      </c>
      <c r="D343" s="14">
        <v>53</v>
      </c>
      <c r="E343" s="14">
        <v>715</v>
      </c>
      <c r="F343" s="14">
        <v>6.1</v>
      </c>
      <c r="G343" s="14">
        <v>20</v>
      </c>
      <c r="H343" s="14">
        <v>86.9</v>
      </c>
      <c r="I343" s="15">
        <v>0.53</v>
      </c>
    </row>
    <row r="344" spans="1:9" x14ac:dyDescent="0.25">
      <c r="A344" s="12">
        <v>8</v>
      </c>
      <c r="B344" s="13">
        <v>45161</v>
      </c>
      <c r="C344" s="14">
        <v>30.8</v>
      </c>
      <c r="D344" s="14">
        <v>59</v>
      </c>
      <c r="E344" s="14">
        <v>411</v>
      </c>
      <c r="F344" s="14">
        <v>6</v>
      </c>
      <c r="G344" s="14">
        <v>21</v>
      </c>
      <c r="H344" s="14">
        <v>87.44</v>
      </c>
      <c r="I344" s="15">
        <v>0.59</v>
      </c>
    </row>
    <row r="345" spans="1:9" x14ac:dyDescent="0.25">
      <c r="A345" s="12">
        <v>8</v>
      </c>
      <c r="B345" s="13">
        <v>45162</v>
      </c>
      <c r="C345" s="14">
        <v>31.3</v>
      </c>
      <c r="D345" s="14">
        <v>67</v>
      </c>
      <c r="E345" s="14">
        <v>553</v>
      </c>
      <c r="F345" s="14">
        <v>6.1</v>
      </c>
      <c r="G345" s="14">
        <v>22</v>
      </c>
      <c r="H345" s="14">
        <v>88.34</v>
      </c>
      <c r="I345" s="15">
        <v>0.67</v>
      </c>
    </row>
    <row r="346" spans="1:9" x14ac:dyDescent="0.25">
      <c r="A346" s="12">
        <v>8</v>
      </c>
      <c r="B346" s="13">
        <v>45163</v>
      </c>
      <c r="C346" s="14">
        <v>31.4</v>
      </c>
      <c r="D346" s="14">
        <v>73</v>
      </c>
      <c r="E346" s="14">
        <v>565</v>
      </c>
      <c r="F346" s="14">
        <v>6.2</v>
      </c>
      <c r="G346" s="14">
        <v>23</v>
      </c>
      <c r="H346" s="14">
        <v>88.52</v>
      </c>
      <c r="I346" s="15">
        <v>0.73</v>
      </c>
    </row>
    <row r="347" spans="1:9" x14ac:dyDescent="0.25">
      <c r="A347" s="12">
        <v>8</v>
      </c>
      <c r="B347" s="13">
        <v>45164</v>
      </c>
      <c r="C347" s="14">
        <v>31.4</v>
      </c>
      <c r="D347" s="14">
        <v>79</v>
      </c>
      <c r="E347" s="14">
        <v>619</v>
      </c>
      <c r="F347" s="14">
        <v>6.3</v>
      </c>
      <c r="G347" s="14">
        <v>24</v>
      </c>
      <c r="H347" s="14">
        <v>88.52</v>
      </c>
      <c r="I347" s="15">
        <v>0.79</v>
      </c>
    </row>
    <row r="348" spans="1:9" x14ac:dyDescent="0.25">
      <c r="A348" s="12">
        <v>8</v>
      </c>
      <c r="B348" s="13">
        <v>45165</v>
      </c>
      <c r="C348" s="14">
        <v>30.1</v>
      </c>
      <c r="D348" s="14">
        <v>68</v>
      </c>
      <c r="E348" s="14">
        <v>542</v>
      </c>
      <c r="F348" s="14">
        <v>6.7</v>
      </c>
      <c r="G348" s="14">
        <v>25</v>
      </c>
      <c r="H348" s="14">
        <v>86.18</v>
      </c>
      <c r="I348" s="15">
        <v>0.68</v>
      </c>
    </row>
    <row r="349" spans="1:9" x14ac:dyDescent="0.25">
      <c r="A349" s="12">
        <v>8</v>
      </c>
      <c r="B349" s="13">
        <v>45166</v>
      </c>
      <c r="C349" s="14">
        <v>29.4</v>
      </c>
      <c r="D349" s="14">
        <v>54</v>
      </c>
      <c r="E349" s="14">
        <v>559</v>
      </c>
      <c r="F349" s="14">
        <v>6.2</v>
      </c>
      <c r="G349" s="14">
        <v>26</v>
      </c>
      <c r="H349" s="14">
        <v>84.92</v>
      </c>
      <c r="I349" s="15">
        <v>0.54</v>
      </c>
    </row>
    <row r="350" spans="1:9" x14ac:dyDescent="0.25">
      <c r="A350" s="12">
        <v>8</v>
      </c>
      <c r="B350" s="13">
        <v>45167</v>
      </c>
      <c r="C350" s="14">
        <v>28.7</v>
      </c>
      <c r="D350" s="14">
        <v>78</v>
      </c>
      <c r="E350" s="14">
        <v>779</v>
      </c>
      <c r="F350" s="14">
        <v>6.5</v>
      </c>
      <c r="G350" s="14">
        <v>27</v>
      </c>
      <c r="H350" s="14">
        <v>83.66</v>
      </c>
      <c r="I350" s="15">
        <v>0.78</v>
      </c>
    </row>
    <row r="351" spans="1:9" x14ac:dyDescent="0.25">
      <c r="A351" s="12">
        <v>8</v>
      </c>
      <c r="B351" s="13">
        <v>45168</v>
      </c>
      <c r="C351" s="14">
        <v>29.1</v>
      </c>
      <c r="D351" s="14">
        <v>72</v>
      </c>
      <c r="E351" s="14">
        <v>630</v>
      </c>
      <c r="F351" s="14">
        <v>6.4</v>
      </c>
      <c r="G351" s="14">
        <v>28</v>
      </c>
      <c r="H351" s="14">
        <v>84.38</v>
      </c>
      <c r="I351" s="15">
        <v>0.72</v>
      </c>
    </row>
    <row r="352" spans="1:9" x14ac:dyDescent="0.25">
      <c r="A352" s="12">
        <v>8</v>
      </c>
      <c r="B352" s="13">
        <v>45169</v>
      </c>
      <c r="C352" s="14">
        <v>29.2</v>
      </c>
      <c r="D352" s="14">
        <v>55</v>
      </c>
      <c r="E352" s="14">
        <v>483</v>
      </c>
      <c r="F352" s="14">
        <v>6.4</v>
      </c>
      <c r="G352" s="14">
        <v>29</v>
      </c>
      <c r="H352" s="14">
        <v>84.56</v>
      </c>
      <c r="I352" s="15">
        <v>0.55000000000000004</v>
      </c>
    </row>
    <row r="353" spans="1:9" x14ac:dyDescent="0.25">
      <c r="A353" s="12">
        <v>8</v>
      </c>
      <c r="B353" s="13">
        <v>45170</v>
      </c>
      <c r="C353" s="14">
        <v>31.7</v>
      </c>
      <c r="D353" s="14">
        <v>61</v>
      </c>
      <c r="E353" s="14">
        <v>775</v>
      </c>
      <c r="F353" s="14">
        <v>6.6</v>
      </c>
      <c r="G353" s="14">
        <v>30</v>
      </c>
      <c r="H353" s="14">
        <v>89.06</v>
      </c>
      <c r="I353" s="15">
        <v>0.61</v>
      </c>
    </row>
    <row r="354" spans="1:9" x14ac:dyDescent="0.25">
      <c r="A354" s="12">
        <v>8</v>
      </c>
      <c r="B354" s="13">
        <v>45171</v>
      </c>
      <c r="C354" s="14">
        <v>31.7</v>
      </c>
      <c r="D354" s="14">
        <v>54</v>
      </c>
      <c r="E354" s="14">
        <v>458</v>
      </c>
      <c r="F354" s="14">
        <v>6.6</v>
      </c>
      <c r="G354" s="14">
        <v>31</v>
      </c>
      <c r="H354" s="14">
        <v>89.06</v>
      </c>
      <c r="I354" s="15">
        <v>0.54</v>
      </c>
    </row>
    <row r="355" spans="1:9" x14ac:dyDescent="0.25">
      <c r="A355" s="12">
        <v>8</v>
      </c>
      <c r="B355" s="13">
        <v>45172</v>
      </c>
      <c r="C355" s="14">
        <v>31.7</v>
      </c>
      <c r="D355" s="14">
        <v>76</v>
      </c>
      <c r="E355" s="14">
        <v>438</v>
      </c>
      <c r="F355" s="14">
        <v>6.5</v>
      </c>
      <c r="G355" s="14">
        <v>32</v>
      </c>
      <c r="H355" s="14">
        <v>89.06</v>
      </c>
      <c r="I355" s="15">
        <v>0.76</v>
      </c>
    </row>
    <row r="356" spans="1:9" x14ac:dyDescent="0.25">
      <c r="A356" s="12">
        <v>8</v>
      </c>
      <c r="B356" s="13">
        <v>45173</v>
      </c>
      <c r="C356" s="14">
        <v>31.7</v>
      </c>
      <c r="D356" s="14">
        <v>63</v>
      </c>
      <c r="E356" s="14">
        <v>538</v>
      </c>
      <c r="F356" s="14">
        <v>6.4</v>
      </c>
      <c r="G356" s="14">
        <v>33</v>
      </c>
      <c r="H356" s="14">
        <v>89.06</v>
      </c>
      <c r="I356" s="15">
        <v>0.63</v>
      </c>
    </row>
    <row r="357" spans="1:9" x14ac:dyDescent="0.25">
      <c r="A357" s="12">
        <v>8</v>
      </c>
      <c r="B357" s="13">
        <v>45174</v>
      </c>
      <c r="C357" s="14">
        <v>32</v>
      </c>
      <c r="D357" s="14">
        <v>75</v>
      </c>
      <c r="E357" s="14">
        <v>697</v>
      </c>
      <c r="F357" s="14">
        <v>6.7</v>
      </c>
      <c r="G357" s="14">
        <v>34</v>
      </c>
      <c r="H357" s="14">
        <v>89.6</v>
      </c>
      <c r="I357" s="15">
        <v>0.75</v>
      </c>
    </row>
    <row r="358" spans="1:9" x14ac:dyDescent="0.25">
      <c r="A358" s="12">
        <v>8</v>
      </c>
      <c r="B358" s="13">
        <v>45175</v>
      </c>
      <c r="C358" s="14">
        <v>32.1</v>
      </c>
      <c r="D358" s="14">
        <v>50</v>
      </c>
      <c r="E358" s="14">
        <v>605</v>
      </c>
      <c r="F358" s="14">
        <v>6.4</v>
      </c>
      <c r="G358" s="14">
        <v>35</v>
      </c>
      <c r="H358" s="14">
        <v>89.78</v>
      </c>
      <c r="I358" s="15">
        <v>0.5</v>
      </c>
    </row>
    <row r="359" spans="1:9" x14ac:dyDescent="0.25">
      <c r="A359" s="12">
        <v>8</v>
      </c>
      <c r="B359" s="13">
        <v>45176</v>
      </c>
      <c r="C359" s="14">
        <v>31.5</v>
      </c>
      <c r="D359" s="14">
        <v>75</v>
      </c>
      <c r="E359" s="14">
        <v>555</v>
      </c>
      <c r="F359" s="14">
        <v>6.6</v>
      </c>
      <c r="G359" s="14">
        <v>36</v>
      </c>
      <c r="H359" s="14">
        <v>88.7</v>
      </c>
      <c r="I359" s="15">
        <v>0.75</v>
      </c>
    </row>
    <row r="360" spans="1:9" x14ac:dyDescent="0.25">
      <c r="A360" s="12">
        <v>8</v>
      </c>
      <c r="B360" s="13">
        <v>45177</v>
      </c>
      <c r="C360" s="14">
        <v>29.8</v>
      </c>
      <c r="D360" s="14">
        <v>75</v>
      </c>
      <c r="E360" s="14">
        <v>484</v>
      </c>
      <c r="F360" s="14">
        <v>6.2</v>
      </c>
      <c r="G360" s="14">
        <v>37</v>
      </c>
      <c r="H360" s="14">
        <v>85.64</v>
      </c>
      <c r="I360" s="15">
        <v>0.75</v>
      </c>
    </row>
    <row r="361" spans="1:9" x14ac:dyDescent="0.25">
      <c r="A361" s="12">
        <v>8</v>
      </c>
      <c r="B361" s="13">
        <v>45178</v>
      </c>
      <c r="C361" s="14">
        <v>20.100000000000001</v>
      </c>
      <c r="D361" s="14">
        <v>69</v>
      </c>
      <c r="E361" s="14">
        <v>763</v>
      </c>
      <c r="F361" s="14">
        <v>6.8</v>
      </c>
      <c r="G361" s="14">
        <v>38</v>
      </c>
      <c r="H361" s="14">
        <v>68.180000000000007</v>
      </c>
      <c r="I361" s="15">
        <v>0.69</v>
      </c>
    </row>
    <row r="362" spans="1:9" x14ac:dyDescent="0.25">
      <c r="A362" s="12">
        <v>8</v>
      </c>
      <c r="B362" s="13">
        <v>45179</v>
      </c>
      <c r="C362" s="14">
        <v>31.1</v>
      </c>
      <c r="D362" s="14">
        <v>75</v>
      </c>
      <c r="E362" s="14">
        <v>698</v>
      </c>
      <c r="F362" s="14">
        <v>6.7</v>
      </c>
      <c r="G362" s="14">
        <v>39</v>
      </c>
      <c r="H362" s="14">
        <v>87.98</v>
      </c>
      <c r="I362" s="15">
        <v>0.75</v>
      </c>
    </row>
    <row r="363" spans="1:9" x14ac:dyDescent="0.25">
      <c r="A363" s="12">
        <v>8</v>
      </c>
      <c r="B363" s="13">
        <v>45180</v>
      </c>
      <c r="C363" s="14">
        <v>31.2</v>
      </c>
      <c r="D363" s="14">
        <v>76</v>
      </c>
      <c r="E363" s="14">
        <v>720</v>
      </c>
      <c r="F363" s="14">
        <v>6.5</v>
      </c>
      <c r="G363" s="14">
        <v>40</v>
      </c>
      <c r="H363" s="14">
        <v>88.16</v>
      </c>
      <c r="I363" s="15">
        <v>0.76</v>
      </c>
    </row>
    <row r="364" spans="1:9" x14ac:dyDescent="0.25">
      <c r="A364" s="12">
        <v>8</v>
      </c>
      <c r="B364" s="13">
        <v>45181</v>
      </c>
      <c r="C364" s="14">
        <v>31.2</v>
      </c>
      <c r="D364" s="14">
        <v>51</v>
      </c>
      <c r="E364" s="14">
        <v>768</v>
      </c>
      <c r="F364" s="14">
        <v>6.1</v>
      </c>
      <c r="G364" s="14">
        <v>41</v>
      </c>
      <c r="H364" s="14">
        <v>88.16</v>
      </c>
      <c r="I364" s="15">
        <v>0.51</v>
      </c>
    </row>
    <row r="365" spans="1:9" x14ac:dyDescent="0.25">
      <c r="A365" s="12">
        <v>8</v>
      </c>
      <c r="B365" s="13">
        <v>45182</v>
      </c>
      <c r="C365" s="14">
        <v>30.4</v>
      </c>
      <c r="D365" s="14">
        <v>78</v>
      </c>
      <c r="E365" s="14">
        <v>472</v>
      </c>
      <c r="F365" s="14">
        <v>6.2</v>
      </c>
      <c r="G365" s="14">
        <v>42</v>
      </c>
      <c r="H365" s="14">
        <v>86.72</v>
      </c>
      <c r="I365" s="15">
        <v>0.78</v>
      </c>
    </row>
    <row r="366" spans="1:9" x14ac:dyDescent="0.25">
      <c r="A366" s="12">
        <v>8</v>
      </c>
      <c r="B366" s="13">
        <v>45183</v>
      </c>
      <c r="C366" s="14">
        <v>29.1</v>
      </c>
      <c r="D366" s="14">
        <v>51</v>
      </c>
      <c r="E366" s="14">
        <v>458</v>
      </c>
      <c r="F366" s="14">
        <v>6.2</v>
      </c>
      <c r="G366" s="14">
        <v>43</v>
      </c>
      <c r="H366" s="14">
        <v>84.38</v>
      </c>
      <c r="I366" s="15">
        <v>0.51</v>
      </c>
    </row>
    <row r="367" spans="1:9" x14ac:dyDescent="0.25">
      <c r="A367" s="12">
        <v>8</v>
      </c>
      <c r="B367" s="13">
        <v>45184</v>
      </c>
      <c r="C367" s="14">
        <v>30.6</v>
      </c>
      <c r="D367" s="14">
        <v>50</v>
      </c>
      <c r="E367" s="14">
        <v>632</v>
      </c>
      <c r="F367" s="14">
        <v>6.2</v>
      </c>
      <c r="G367" s="14">
        <v>44</v>
      </c>
      <c r="H367" s="14">
        <v>87.08</v>
      </c>
      <c r="I367" s="15">
        <v>0.5</v>
      </c>
    </row>
    <row r="368" spans="1:9" x14ac:dyDescent="0.25">
      <c r="A368" s="12">
        <v>8</v>
      </c>
      <c r="B368" s="13">
        <v>45185</v>
      </c>
      <c r="C368" s="14">
        <v>31.5</v>
      </c>
      <c r="D368" s="14">
        <v>65</v>
      </c>
      <c r="E368" s="14">
        <v>546</v>
      </c>
      <c r="F368" s="14">
        <v>6.2</v>
      </c>
      <c r="G368" s="14">
        <v>45</v>
      </c>
      <c r="H368" s="14">
        <v>88.7</v>
      </c>
      <c r="I368" s="15">
        <v>0.65</v>
      </c>
    </row>
    <row r="369" spans="1:9" x14ac:dyDescent="0.25">
      <c r="A369" s="12">
        <v>9</v>
      </c>
      <c r="B369" s="13">
        <v>45141</v>
      </c>
      <c r="C369" s="14">
        <v>33.4</v>
      </c>
      <c r="D369" s="14">
        <v>72</v>
      </c>
      <c r="E369" s="14">
        <v>693</v>
      </c>
      <c r="F369" s="14">
        <v>6.4</v>
      </c>
      <c r="G369" s="14">
        <v>1</v>
      </c>
      <c r="H369" s="14">
        <v>92.12</v>
      </c>
      <c r="I369" s="15">
        <v>0.72</v>
      </c>
    </row>
    <row r="370" spans="1:9" x14ac:dyDescent="0.25">
      <c r="A370" s="12">
        <v>9</v>
      </c>
      <c r="B370" s="13">
        <v>45142</v>
      </c>
      <c r="C370" s="14">
        <v>33.5</v>
      </c>
      <c r="D370" s="14">
        <v>80</v>
      </c>
      <c r="E370" s="14">
        <v>434</v>
      </c>
      <c r="F370" s="14">
        <v>6</v>
      </c>
      <c r="G370" s="14">
        <v>2</v>
      </c>
      <c r="H370" s="14">
        <v>92.3</v>
      </c>
      <c r="I370" s="15">
        <v>0.8</v>
      </c>
    </row>
    <row r="371" spans="1:9" x14ac:dyDescent="0.25">
      <c r="A371" s="12">
        <v>9</v>
      </c>
      <c r="B371" s="13">
        <v>45143</v>
      </c>
      <c r="C371" s="14">
        <v>33.4</v>
      </c>
      <c r="D371" s="14">
        <v>70</v>
      </c>
      <c r="E371" s="14">
        <v>671</v>
      </c>
      <c r="F371" s="14">
        <v>6.3</v>
      </c>
      <c r="G371" s="14">
        <v>3</v>
      </c>
      <c r="H371" s="14">
        <v>92.12</v>
      </c>
      <c r="I371" s="15">
        <v>0.7</v>
      </c>
    </row>
    <row r="372" spans="1:9" x14ac:dyDescent="0.25">
      <c r="A372" s="12">
        <v>9</v>
      </c>
      <c r="B372" s="13">
        <v>45144</v>
      </c>
      <c r="C372" s="14">
        <v>33.4</v>
      </c>
      <c r="D372" s="14">
        <v>64</v>
      </c>
      <c r="E372" s="14">
        <v>613</v>
      </c>
      <c r="F372" s="14">
        <v>6.1</v>
      </c>
      <c r="G372" s="14">
        <v>4</v>
      </c>
      <c r="H372" s="14">
        <v>92.12</v>
      </c>
      <c r="I372" s="15">
        <v>0.64</v>
      </c>
    </row>
    <row r="373" spans="1:9" x14ac:dyDescent="0.25">
      <c r="A373" s="12">
        <v>9</v>
      </c>
      <c r="B373" s="13">
        <v>45145</v>
      </c>
      <c r="C373" s="14">
        <v>33.4</v>
      </c>
      <c r="D373" s="14">
        <v>79</v>
      </c>
      <c r="E373" s="14">
        <v>731</v>
      </c>
      <c r="F373" s="14">
        <v>6.3</v>
      </c>
      <c r="G373" s="14">
        <v>5</v>
      </c>
      <c r="H373" s="14">
        <v>92.12</v>
      </c>
      <c r="I373" s="15">
        <v>0.79</v>
      </c>
    </row>
    <row r="374" spans="1:9" x14ac:dyDescent="0.25">
      <c r="A374" s="12">
        <v>9</v>
      </c>
      <c r="B374" s="13">
        <v>45146</v>
      </c>
      <c r="C374" s="14">
        <v>32.299999999999997</v>
      </c>
      <c r="D374" s="14">
        <v>70</v>
      </c>
      <c r="E374" s="14">
        <v>658</v>
      </c>
      <c r="F374" s="14">
        <v>6.3</v>
      </c>
      <c r="G374" s="14">
        <v>6</v>
      </c>
      <c r="H374" s="14">
        <v>90.14</v>
      </c>
      <c r="I374" s="15">
        <v>0.7</v>
      </c>
    </row>
    <row r="375" spans="1:9" x14ac:dyDescent="0.25">
      <c r="A375" s="12">
        <v>9</v>
      </c>
      <c r="B375" s="13">
        <v>45147</v>
      </c>
      <c r="C375" s="14">
        <v>32.299999999999997</v>
      </c>
      <c r="D375" s="14">
        <v>62</v>
      </c>
      <c r="E375" s="14">
        <v>538</v>
      </c>
      <c r="F375" s="14">
        <v>6.6</v>
      </c>
      <c r="G375" s="14">
        <v>7</v>
      </c>
      <c r="H375" s="14">
        <v>90.14</v>
      </c>
      <c r="I375" s="15">
        <v>0.62</v>
      </c>
    </row>
    <row r="376" spans="1:9" x14ac:dyDescent="0.25">
      <c r="A376" s="12">
        <v>9</v>
      </c>
      <c r="B376" s="13">
        <v>45148</v>
      </c>
      <c r="C376" s="14">
        <v>22.7</v>
      </c>
      <c r="D376" s="14">
        <v>72</v>
      </c>
      <c r="E376" s="14">
        <v>455</v>
      </c>
      <c r="F376" s="14">
        <v>6.2</v>
      </c>
      <c r="G376" s="14">
        <v>8</v>
      </c>
      <c r="H376" s="14">
        <v>72.86</v>
      </c>
      <c r="I376" s="15">
        <v>0.72</v>
      </c>
    </row>
    <row r="377" spans="1:9" x14ac:dyDescent="0.25">
      <c r="A377" s="12">
        <v>9</v>
      </c>
      <c r="B377" s="13">
        <v>45149</v>
      </c>
      <c r="C377" s="14">
        <v>31.9</v>
      </c>
      <c r="D377" s="14">
        <v>62</v>
      </c>
      <c r="E377" s="14">
        <v>646</v>
      </c>
      <c r="F377" s="14">
        <v>6.7</v>
      </c>
      <c r="G377" s="14">
        <v>9</v>
      </c>
      <c r="H377" s="14">
        <v>89.42</v>
      </c>
      <c r="I377" s="15">
        <v>0.62</v>
      </c>
    </row>
    <row r="378" spans="1:9" x14ac:dyDescent="0.25">
      <c r="A378" s="12">
        <v>9</v>
      </c>
      <c r="B378" s="13">
        <v>45150</v>
      </c>
      <c r="C378" s="14">
        <v>30.2</v>
      </c>
      <c r="D378" s="14">
        <v>74</v>
      </c>
      <c r="E378" s="14">
        <v>563</v>
      </c>
      <c r="F378" s="14">
        <v>6.8</v>
      </c>
      <c r="G378" s="14">
        <v>10</v>
      </c>
      <c r="H378" s="14">
        <v>86.36</v>
      </c>
      <c r="I378" s="15">
        <v>0.74</v>
      </c>
    </row>
    <row r="379" spans="1:9" x14ac:dyDescent="0.25">
      <c r="A379" s="12">
        <v>9</v>
      </c>
      <c r="B379" s="13">
        <v>45151</v>
      </c>
      <c r="C379" s="14">
        <v>30.1</v>
      </c>
      <c r="D379" s="14">
        <v>80</v>
      </c>
      <c r="E379" s="14">
        <v>791</v>
      </c>
      <c r="F379" s="14">
        <v>6.4</v>
      </c>
      <c r="G379" s="14">
        <v>11</v>
      </c>
      <c r="H379" s="14">
        <v>86.18</v>
      </c>
      <c r="I379" s="15">
        <v>0.8</v>
      </c>
    </row>
    <row r="380" spans="1:9" x14ac:dyDescent="0.25">
      <c r="A380" s="12">
        <v>9</v>
      </c>
      <c r="B380" s="13">
        <v>45152</v>
      </c>
      <c r="C380" s="14">
        <v>30.1</v>
      </c>
      <c r="D380" s="14">
        <v>72</v>
      </c>
      <c r="E380" s="14">
        <v>473</v>
      </c>
      <c r="F380" s="14">
        <v>6.6</v>
      </c>
      <c r="G380" s="14">
        <v>12</v>
      </c>
      <c r="H380" s="14">
        <v>86.18</v>
      </c>
      <c r="I380" s="15">
        <v>0.72</v>
      </c>
    </row>
    <row r="381" spans="1:9" x14ac:dyDescent="0.25">
      <c r="A381" s="12">
        <v>9</v>
      </c>
      <c r="B381" s="13">
        <v>45153</v>
      </c>
      <c r="C381" s="14">
        <v>30.1</v>
      </c>
      <c r="D381" s="14">
        <v>52</v>
      </c>
      <c r="E381" s="14">
        <v>602</v>
      </c>
      <c r="F381" s="14">
        <v>6.3</v>
      </c>
      <c r="G381" s="14">
        <v>13</v>
      </c>
      <c r="H381" s="14">
        <v>86.18</v>
      </c>
      <c r="I381" s="15">
        <v>0.52</v>
      </c>
    </row>
    <row r="382" spans="1:9" x14ac:dyDescent="0.25">
      <c r="A382" s="12">
        <v>9</v>
      </c>
      <c r="B382" s="13">
        <v>45154</v>
      </c>
      <c r="C382" s="14">
        <v>29.8</v>
      </c>
      <c r="D382" s="14">
        <v>66</v>
      </c>
      <c r="E382" s="14">
        <v>613</v>
      </c>
      <c r="F382" s="14">
        <v>6.3</v>
      </c>
      <c r="G382" s="14">
        <v>14</v>
      </c>
      <c r="H382" s="14">
        <v>85.64</v>
      </c>
      <c r="I382" s="15">
        <v>0.66</v>
      </c>
    </row>
    <row r="383" spans="1:9" x14ac:dyDescent="0.25">
      <c r="A383" s="12">
        <v>9</v>
      </c>
      <c r="B383" s="13">
        <v>45155</v>
      </c>
      <c r="C383" s="14">
        <v>29.6</v>
      </c>
      <c r="D383" s="14">
        <v>63</v>
      </c>
      <c r="E383" s="14">
        <v>613</v>
      </c>
      <c r="F383" s="14">
        <v>6.7</v>
      </c>
      <c r="G383" s="14">
        <v>15</v>
      </c>
      <c r="H383" s="14">
        <v>85.28</v>
      </c>
      <c r="I383" s="15">
        <v>0.63</v>
      </c>
    </row>
    <row r="384" spans="1:9" x14ac:dyDescent="0.25">
      <c r="A384" s="12">
        <v>9</v>
      </c>
      <c r="B384" s="13">
        <v>45156</v>
      </c>
      <c r="C384" s="14">
        <v>30.9</v>
      </c>
      <c r="D384" s="14">
        <v>79</v>
      </c>
      <c r="E384" s="14">
        <v>569</v>
      </c>
      <c r="F384" s="14">
        <v>6.4</v>
      </c>
      <c r="G384" s="14">
        <v>16</v>
      </c>
      <c r="H384" s="14">
        <v>87.62</v>
      </c>
      <c r="I384" s="15">
        <v>0.79</v>
      </c>
    </row>
    <row r="385" spans="1:9" x14ac:dyDescent="0.25">
      <c r="A385" s="12">
        <v>9</v>
      </c>
      <c r="B385" s="13">
        <v>45157</v>
      </c>
      <c r="C385" s="14">
        <v>30.8</v>
      </c>
      <c r="D385" s="14">
        <v>73</v>
      </c>
      <c r="E385" s="14">
        <v>610</v>
      </c>
      <c r="F385" s="14">
        <v>6.5</v>
      </c>
      <c r="G385" s="14">
        <v>17</v>
      </c>
      <c r="H385" s="14">
        <v>87.44</v>
      </c>
      <c r="I385" s="15">
        <v>0.73</v>
      </c>
    </row>
    <row r="386" spans="1:9" x14ac:dyDescent="0.25">
      <c r="A386" s="12">
        <v>9</v>
      </c>
      <c r="B386" s="13">
        <v>45158</v>
      </c>
      <c r="C386" s="14">
        <v>30.9</v>
      </c>
      <c r="D386" s="14">
        <v>57</v>
      </c>
      <c r="E386" s="14">
        <v>746</v>
      </c>
      <c r="F386" s="14">
        <v>6.2</v>
      </c>
      <c r="G386" s="14">
        <v>18</v>
      </c>
      <c r="H386" s="14">
        <v>87.62</v>
      </c>
      <c r="I386" s="15">
        <v>0.56999999999999995</v>
      </c>
    </row>
    <row r="387" spans="1:9" x14ac:dyDescent="0.25">
      <c r="A387" s="12">
        <v>9</v>
      </c>
      <c r="B387" s="13">
        <v>45159</v>
      </c>
      <c r="C387" s="14">
        <v>30.2</v>
      </c>
      <c r="D387" s="14">
        <v>66</v>
      </c>
      <c r="E387" s="14">
        <v>607</v>
      </c>
      <c r="F387" s="14">
        <v>6.1</v>
      </c>
      <c r="G387" s="14">
        <v>19</v>
      </c>
      <c r="H387" s="14">
        <v>86.36</v>
      </c>
      <c r="I387" s="15">
        <v>0.66</v>
      </c>
    </row>
    <row r="388" spans="1:9" x14ac:dyDescent="0.25">
      <c r="A388" s="12">
        <v>9</v>
      </c>
      <c r="B388" s="13">
        <v>45160</v>
      </c>
      <c r="C388" s="14">
        <v>30.5</v>
      </c>
      <c r="D388" s="14">
        <v>71</v>
      </c>
      <c r="E388" s="14">
        <v>464</v>
      </c>
      <c r="F388" s="14">
        <v>6.3</v>
      </c>
      <c r="G388" s="14">
        <v>20</v>
      </c>
      <c r="H388" s="14">
        <v>86.9</v>
      </c>
      <c r="I388" s="15">
        <v>0.71</v>
      </c>
    </row>
    <row r="389" spans="1:9" x14ac:dyDescent="0.25">
      <c r="A389" s="12">
        <v>9</v>
      </c>
      <c r="B389" s="13">
        <v>45161</v>
      </c>
      <c r="C389" s="14">
        <v>30.8</v>
      </c>
      <c r="D389" s="14">
        <v>70</v>
      </c>
      <c r="E389" s="14">
        <v>474</v>
      </c>
      <c r="F389" s="14">
        <v>6.1</v>
      </c>
      <c r="G389" s="14">
        <v>21</v>
      </c>
      <c r="H389" s="14">
        <v>87.44</v>
      </c>
      <c r="I389" s="15">
        <v>0.7</v>
      </c>
    </row>
    <row r="390" spans="1:9" x14ac:dyDescent="0.25">
      <c r="A390" s="12">
        <v>9</v>
      </c>
      <c r="B390" s="13">
        <v>45162</v>
      </c>
      <c r="C390" s="14">
        <v>31.3</v>
      </c>
      <c r="D390" s="14">
        <v>59</v>
      </c>
      <c r="E390" s="14">
        <v>461</v>
      </c>
      <c r="F390" s="14">
        <v>6.1</v>
      </c>
      <c r="G390" s="14">
        <v>22</v>
      </c>
      <c r="H390" s="14">
        <v>88.34</v>
      </c>
      <c r="I390" s="15">
        <v>0.59</v>
      </c>
    </row>
    <row r="391" spans="1:9" x14ac:dyDescent="0.25">
      <c r="A391" s="12">
        <v>9</v>
      </c>
      <c r="B391" s="13">
        <v>45163</v>
      </c>
      <c r="C391" s="14">
        <v>31.4</v>
      </c>
      <c r="D391" s="14">
        <v>61</v>
      </c>
      <c r="E391" s="14">
        <v>667</v>
      </c>
      <c r="F391" s="14">
        <v>6.2</v>
      </c>
      <c r="G391" s="14">
        <v>23</v>
      </c>
      <c r="H391" s="14">
        <v>88.52</v>
      </c>
      <c r="I391" s="15">
        <v>0.61</v>
      </c>
    </row>
    <row r="392" spans="1:9" x14ac:dyDescent="0.25">
      <c r="A392" s="12">
        <v>9</v>
      </c>
      <c r="B392" s="13">
        <v>45164</v>
      </c>
      <c r="C392" s="14">
        <v>31.4</v>
      </c>
      <c r="D392" s="14">
        <v>69</v>
      </c>
      <c r="E392" s="14">
        <v>721</v>
      </c>
      <c r="F392" s="14">
        <v>6.1</v>
      </c>
      <c r="G392" s="14">
        <v>24</v>
      </c>
      <c r="H392" s="14">
        <v>88.52</v>
      </c>
      <c r="I392" s="15">
        <v>0.69</v>
      </c>
    </row>
    <row r="393" spans="1:9" x14ac:dyDescent="0.25">
      <c r="A393" s="12">
        <v>9</v>
      </c>
      <c r="B393" s="13">
        <v>45165</v>
      </c>
      <c r="C393" s="14">
        <v>30.1</v>
      </c>
      <c r="D393" s="14">
        <v>50</v>
      </c>
      <c r="E393" s="14">
        <v>775</v>
      </c>
      <c r="F393" s="14">
        <v>6.6</v>
      </c>
      <c r="G393" s="14">
        <v>25</v>
      </c>
      <c r="H393" s="14">
        <v>86.18</v>
      </c>
      <c r="I393" s="15">
        <v>0.5</v>
      </c>
    </row>
    <row r="394" spans="1:9" x14ac:dyDescent="0.25">
      <c r="A394" s="12">
        <v>9</v>
      </c>
      <c r="B394" s="13">
        <v>45166</v>
      </c>
      <c r="C394" s="14">
        <v>29.4</v>
      </c>
      <c r="D394" s="14">
        <v>74</v>
      </c>
      <c r="E394" s="14">
        <v>445</v>
      </c>
      <c r="F394" s="14">
        <v>6.1</v>
      </c>
      <c r="G394" s="14">
        <v>26</v>
      </c>
      <c r="H394" s="14">
        <v>84.92</v>
      </c>
      <c r="I394" s="15">
        <v>0.74</v>
      </c>
    </row>
    <row r="395" spans="1:9" x14ac:dyDescent="0.25">
      <c r="A395" s="12">
        <v>9</v>
      </c>
      <c r="B395" s="13">
        <v>45167</v>
      </c>
      <c r="C395" s="14">
        <v>28.7</v>
      </c>
      <c r="D395" s="14">
        <v>78</v>
      </c>
      <c r="E395" s="14">
        <v>635</v>
      </c>
      <c r="F395" s="14">
        <v>6.5</v>
      </c>
      <c r="G395" s="14">
        <v>27</v>
      </c>
      <c r="H395" s="14">
        <v>83.66</v>
      </c>
      <c r="I395" s="15">
        <v>0.78</v>
      </c>
    </row>
    <row r="396" spans="1:9" x14ac:dyDescent="0.25">
      <c r="A396" s="12">
        <v>9</v>
      </c>
      <c r="B396" s="13">
        <v>45168</v>
      </c>
      <c r="C396" s="14">
        <v>29.1</v>
      </c>
      <c r="D396" s="14">
        <v>73</v>
      </c>
      <c r="E396" s="14">
        <v>684</v>
      </c>
      <c r="F396" s="14">
        <v>6.7</v>
      </c>
      <c r="G396" s="14">
        <v>28</v>
      </c>
      <c r="H396" s="14">
        <v>84.38</v>
      </c>
      <c r="I396" s="15">
        <v>0.73</v>
      </c>
    </row>
    <row r="397" spans="1:9" x14ac:dyDescent="0.25">
      <c r="A397" s="12">
        <v>9</v>
      </c>
      <c r="B397" s="13">
        <v>45169</v>
      </c>
      <c r="C397" s="14">
        <v>29.2</v>
      </c>
      <c r="D397" s="14">
        <v>54</v>
      </c>
      <c r="E397" s="14">
        <v>784</v>
      </c>
      <c r="F397" s="14">
        <v>6</v>
      </c>
      <c r="G397" s="14">
        <v>29</v>
      </c>
      <c r="H397" s="14">
        <v>84.56</v>
      </c>
      <c r="I397" s="15">
        <v>0.54</v>
      </c>
    </row>
    <row r="398" spans="1:9" x14ac:dyDescent="0.25">
      <c r="A398" s="12">
        <v>9</v>
      </c>
      <c r="B398" s="13">
        <v>45170</v>
      </c>
      <c r="C398" s="14">
        <v>31.7</v>
      </c>
      <c r="D398" s="14">
        <v>66</v>
      </c>
      <c r="E398" s="14">
        <v>597</v>
      </c>
      <c r="F398" s="14">
        <v>6.1</v>
      </c>
      <c r="G398" s="14">
        <v>30</v>
      </c>
      <c r="H398" s="14">
        <v>89.06</v>
      </c>
      <c r="I398" s="15">
        <v>0.66</v>
      </c>
    </row>
    <row r="399" spans="1:9" x14ac:dyDescent="0.25">
      <c r="A399" s="12">
        <v>9</v>
      </c>
      <c r="B399" s="13">
        <v>45171</v>
      </c>
      <c r="C399" s="14">
        <v>31.7</v>
      </c>
      <c r="D399" s="14">
        <v>77</v>
      </c>
      <c r="E399" s="14">
        <v>501</v>
      </c>
      <c r="F399" s="14">
        <v>6.4</v>
      </c>
      <c r="G399" s="14">
        <v>31</v>
      </c>
      <c r="H399" s="14">
        <v>89.06</v>
      </c>
      <c r="I399" s="15">
        <v>0.77</v>
      </c>
    </row>
    <row r="400" spans="1:9" x14ac:dyDescent="0.25">
      <c r="A400" s="12">
        <v>9</v>
      </c>
      <c r="B400" s="13">
        <v>45172</v>
      </c>
      <c r="C400" s="14">
        <v>31.7</v>
      </c>
      <c r="D400" s="14">
        <v>55</v>
      </c>
      <c r="E400" s="14">
        <v>490</v>
      </c>
      <c r="F400" s="14">
        <v>6.4</v>
      </c>
      <c r="G400" s="14">
        <v>32</v>
      </c>
      <c r="H400" s="14">
        <v>89.06</v>
      </c>
      <c r="I400" s="15">
        <v>0.55000000000000004</v>
      </c>
    </row>
    <row r="401" spans="1:9" x14ac:dyDescent="0.25">
      <c r="A401" s="12">
        <v>9</v>
      </c>
      <c r="B401" s="13">
        <v>45173</v>
      </c>
      <c r="C401" s="14">
        <v>31.7</v>
      </c>
      <c r="D401" s="14">
        <v>55</v>
      </c>
      <c r="E401" s="14">
        <v>468</v>
      </c>
      <c r="F401" s="14">
        <v>6.2</v>
      </c>
      <c r="G401" s="14">
        <v>33</v>
      </c>
      <c r="H401" s="14">
        <v>89.06</v>
      </c>
      <c r="I401" s="15">
        <v>0.55000000000000004</v>
      </c>
    </row>
    <row r="402" spans="1:9" x14ac:dyDescent="0.25">
      <c r="A402" s="12">
        <v>9</v>
      </c>
      <c r="B402" s="13">
        <v>45174</v>
      </c>
      <c r="C402" s="14">
        <v>32</v>
      </c>
      <c r="D402" s="14">
        <v>66</v>
      </c>
      <c r="E402" s="14">
        <v>680</v>
      </c>
      <c r="F402" s="14">
        <v>6.4</v>
      </c>
      <c r="G402" s="14">
        <v>34</v>
      </c>
      <c r="H402" s="14">
        <v>89.6</v>
      </c>
      <c r="I402" s="15">
        <v>0.66</v>
      </c>
    </row>
    <row r="403" spans="1:9" x14ac:dyDescent="0.25">
      <c r="A403" s="12">
        <v>9</v>
      </c>
      <c r="B403" s="13">
        <v>45175</v>
      </c>
      <c r="C403" s="14">
        <v>32.1</v>
      </c>
      <c r="D403" s="14">
        <v>70</v>
      </c>
      <c r="E403" s="14">
        <v>561</v>
      </c>
      <c r="F403" s="14">
        <v>6.7</v>
      </c>
      <c r="G403" s="14">
        <v>35</v>
      </c>
      <c r="H403" s="14">
        <v>89.78</v>
      </c>
      <c r="I403" s="15">
        <v>0.7</v>
      </c>
    </row>
    <row r="404" spans="1:9" x14ac:dyDescent="0.25">
      <c r="A404" s="12">
        <v>9</v>
      </c>
      <c r="B404" s="13">
        <v>45176</v>
      </c>
      <c r="C404" s="14">
        <v>31.5</v>
      </c>
      <c r="D404" s="14">
        <v>54</v>
      </c>
      <c r="E404" s="14">
        <v>697</v>
      </c>
      <c r="F404" s="14">
        <v>6</v>
      </c>
      <c r="G404" s="14">
        <v>36</v>
      </c>
      <c r="H404" s="14">
        <v>88.7</v>
      </c>
      <c r="I404" s="15">
        <v>0.54</v>
      </c>
    </row>
    <row r="405" spans="1:9" x14ac:dyDescent="0.25">
      <c r="A405" s="12">
        <v>9</v>
      </c>
      <c r="B405" s="13">
        <v>45177</v>
      </c>
      <c r="C405" s="14">
        <v>29.8</v>
      </c>
      <c r="D405" s="14">
        <v>61</v>
      </c>
      <c r="E405" s="14">
        <v>629</v>
      </c>
      <c r="F405" s="14">
        <v>6.7</v>
      </c>
      <c r="G405" s="14">
        <v>37</v>
      </c>
      <c r="H405" s="14">
        <v>85.64</v>
      </c>
      <c r="I405" s="15">
        <v>0.61</v>
      </c>
    </row>
    <row r="406" spans="1:9" x14ac:dyDescent="0.25">
      <c r="A406" s="12">
        <v>9</v>
      </c>
      <c r="B406" s="13">
        <v>45178</v>
      </c>
      <c r="C406" s="14">
        <v>20.100000000000001</v>
      </c>
      <c r="D406" s="14">
        <v>66</v>
      </c>
      <c r="E406" s="14">
        <v>644</v>
      </c>
      <c r="F406" s="14">
        <v>6.4</v>
      </c>
      <c r="G406" s="14">
        <v>38</v>
      </c>
      <c r="H406" s="14">
        <v>68.180000000000007</v>
      </c>
      <c r="I406" s="15">
        <v>0.66</v>
      </c>
    </row>
    <row r="407" spans="1:9" x14ac:dyDescent="0.25">
      <c r="A407" s="12">
        <v>9</v>
      </c>
      <c r="B407" s="13">
        <v>45179</v>
      </c>
      <c r="C407" s="14">
        <v>31.1</v>
      </c>
      <c r="D407" s="14">
        <v>69</v>
      </c>
      <c r="E407" s="14">
        <v>726</v>
      </c>
      <c r="F407" s="14">
        <v>6.7</v>
      </c>
      <c r="G407" s="14">
        <v>39</v>
      </c>
      <c r="H407" s="14">
        <v>87.98</v>
      </c>
      <c r="I407" s="15">
        <v>0.69</v>
      </c>
    </row>
    <row r="408" spans="1:9" x14ac:dyDescent="0.25">
      <c r="A408" s="12">
        <v>9</v>
      </c>
      <c r="B408" s="13">
        <v>45180</v>
      </c>
      <c r="C408" s="14">
        <v>31.2</v>
      </c>
      <c r="D408" s="14">
        <v>65</v>
      </c>
      <c r="E408" s="14">
        <v>573</v>
      </c>
      <c r="F408" s="14">
        <v>6.2</v>
      </c>
      <c r="G408" s="14">
        <v>40</v>
      </c>
      <c r="H408" s="14">
        <v>88.16</v>
      </c>
      <c r="I408" s="15">
        <v>0.65</v>
      </c>
    </row>
    <row r="409" spans="1:9" x14ac:dyDescent="0.25">
      <c r="A409" s="12">
        <v>9</v>
      </c>
      <c r="B409" s="13">
        <v>45181</v>
      </c>
      <c r="C409" s="14">
        <v>31.2</v>
      </c>
      <c r="D409" s="14">
        <v>80</v>
      </c>
      <c r="E409" s="14">
        <v>793</v>
      </c>
      <c r="F409" s="14">
        <v>6.6</v>
      </c>
      <c r="G409" s="14">
        <v>41</v>
      </c>
      <c r="H409" s="14">
        <v>88.16</v>
      </c>
      <c r="I409" s="15">
        <v>0.8</v>
      </c>
    </row>
    <row r="410" spans="1:9" x14ac:dyDescent="0.25">
      <c r="A410" s="12">
        <v>9</v>
      </c>
      <c r="B410" s="13">
        <v>45182</v>
      </c>
      <c r="C410" s="14">
        <v>30.4</v>
      </c>
      <c r="D410" s="14">
        <v>51</v>
      </c>
      <c r="E410" s="14">
        <v>663</v>
      </c>
      <c r="F410" s="14">
        <v>6.5</v>
      </c>
      <c r="G410" s="14">
        <v>42</v>
      </c>
      <c r="H410" s="14">
        <v>86.72</v>
      </c>
      <c r="I410" s="15">
        <v>0.51</v>
      </c>
    </row>
    <row r="411" spans="1:9" x14ac:dyDescent="0.25">
      <c r="A411" s="12">
        <v>9</v>
      </c>
      <c r="B411" s="13">
        <v>45183</v>
      </c>
      <c r="C411" s="14">
        <v>29.1</v>
      </c>
      <c r="D411" s="14">
        <v>67</v>
      </c>
      <c r="E411" s="14">
        <v>516</v>
      </c>
      <c r="F411" s="14">
        <v>6.3</v>
      </c>
      <c r="G411" s="14">
        <v>43</v>
      </c>
      <c r="H411" s="14">
        <v>84.38</v>
      </c>
      <c r="I411" s="15">
        <v>0.67</v>
      </c>
    </row>
    <row r="412" spans="1:9" x14ac:dyDescent="0.25">
      <c r="A412" s="12">
        <v>9</v>
      </c>
      <c r="B412" s="13">
        <v>45184</v>
      </c>
      <c r="C412" s="14">
        <v>30.6</v>
      </c>
      <c r="D412" s="14">
        <v>58</v>
      </c>
      <c r="E412" s="14">
        <v>455</v>
      </c>
      <c r="F412" s="14">
        <v>6.7</v>
      </c>
      <c r="G412" s="14">
        <v>44</v>
      </c>
      <c r="H412" s="14">
        <v>87.08</v>
      </c>
      <c r="I412" s="15">
        <v>0.57999999999999996</v>
      </c>
    </row>
    <row r="413" spans="1:9" x14ac:dyDescent="0.25">
      <c r="A413" s="12">
        <v>9</v>
      </c>
      <c r="B413" s="13">
        <v>45185</v>
      </c>
      <c r="C413" s="14">
        <v>31.5</v>
      </c>
      <c r="D413" s="14">
        <v>78</v>
      </c>
      <c r="E413" s="14">
        <v>722</v>
      </c>
      <c r="F413" s="14">
        <v>6.1</v>
      </c>
      <c r="G413" s="14">
        <v>45</v>
      </c>
      <c r="H413" s="14">
        <v>88.7</v>
      </c>
      <c r="I413" s="15">
        <v>0.78</v>
      </c>
    </row>
    <row r="414" spans="1:9" x14ac:dyDescent="0.25">
      <c r="A414" s="12">
        <v>9</v>
      </c>
      <c r="B414" s="13">
        <v>45186</v>
      </c>
      <c r="C414" s="14">
        <v>31.3</v>
      </c>
      <c r="D414" s="14">
        <v>66</v>
      </c>
      <c r="E414" s="14">
        <v>505</v>
      </c>
      <c r="F414" s="14">
        <v>6.2</v>
      </c>
      <c r="G414" s="14">
        <v>46</v>
      </c>
      <c r="H414" s="14">
        <v>88.34</v>
      </c>
      <c r="I414" s="15">
        <v>0.66</v>
      </c>
    </row>
    <row r="415" spans="1:9" x14ac:dyDescent="0.25">
      <c r="A415" s="12">
        <v>10</v>
      </c>
      <c r="B415" s="13">
        <v>45141</v>
      </c>
      <c r="C415" s="14">
        <v>33.4</v>
      </c>
      <c r="D415" s="14">
        <v>66</v>
      </c>
      <c r="E415" s="14">
        <v>503</v>
      </c>
      <c r="F415" s="14">
        <v>6.5</v>
      </c>
      <c r="G415" s="14">
        <v>1</v>
      </c>
      <c r="H415" s="14">
        <v>92.12</v>
      </c>
      <c r="I415" s="15">
        <v>0.66</v>
      </c>
    </row>
    <row r="416" spans="1:9" x14ac:dyDescent="0.25">
      <c r="A416" s="12">
        <v>10</v>
      </c>
      <c r="B416" s="13">
        <v>45142</v>
      </c>
      <c r="C416" s="14">
        <v>33.5</v>
      </c>
      <c r="D416" s="14">
        <v>58</v>
      </c>
      <c r="E416" s="14">
        <v>414</v>
      </c>
      <c r="F416" s="14">
        <v>6.5</v>
      </c>
      <c r="G416" s="14">
        <v>2</v>
      </c>
      <c r="H416" s="14">
        <v>92.3</v>
      </c>
      <c r="I416" s="15">
        <v>0.57999999999999996</v>
      </c>
    </row>
    <row r="417" spans="1:9" x14ac:dyDescent="0.25">
      <c r="A417" s="12">
        <v>10</v>
      </c>
      <c r="B417" s="13">
        <v>45143</v>
      </c>
      <c r="C417" s="14">
        <v>33.4</v>
      </c>
      <c r="D417" s="14">
        <v>76</v>
      </c>
      <c r="E417" s="14">
        <v>679</v>
      </c>
      <c r="F417" s="14">
        <v>6.1</v>
      </c>
      <c r="G417" s="14">
        <v>3</v>
      </c>
      <c r="H417" s="14">
        <v>92.12</v>
      </c>
      <c r="I417" s="15">
        <v>0.76</v>
      </c>
    </row>
    <row r="418" spans="1:9" x14ac:dyDescent="0.25">
      <c r="A418" s="12">
        <v>10</v>
      </c>
      <c r="B418" s="13">
        <v>45144</v>
      </c>
      <c r="C418" s="14">
        <v>33.4</v>
      </c>
      <c r="D418" s="14">
        <v>56</v>
      </c>
      <c r="E418" s="14">
        <v>607</v>
      </c>
      <c r="F418" s="14">
        <v>6.4</v>
      </c>
      <c r="G418" s="14">
        <v>4</v>
      </c>
      <c r="H418" s="14">
        <v>92.12</v>
      </c>
      <c r="I418" s="15">
        <v>0.56000000000000005</v>
      </c>
    </row>
    <row r="419" spans="1:9" x14ac:dyDescent="0.25">
      <c r="A419" s="12">
        <v>10</v>
      </c>
      <c r="B419" s="13">
        <v>45145</v>
      </c>
      <c r="C419" s="14">
        <v>33.4</v>
      </c>
      <c r="D419" s="14">
        <v>53</v>
      </c>
      <c r="E419" s="14">
        <v>527</v>
      </c>
      <c r="F419" s="14">
        <v>6.3</v>
      </c>
      <c r="G419" s="14">
        <v>5</v>
      </c>
      <c r="H419" s="14">
        <v>92.12</v>
      </c>
      <c r="I419" s="15">
        <v>0.53</v>
      </c>
    </row>
    <row r="420" spans="1:9" x14ac:dyDescent="0.25">
      <c r="A420" s="12">
        <v>10</v>
      </c>
      <c r="B420" s="13">
        <v>45146</v>
      </c>
      <c r="C420" s="14">
        <v>32.299999999999997</v>
      </c>
      <c r="D420" s="14">
        <v>75</v>
      </c>
      <c r="E420" s="14">
        <v>658</v>
      </c>
      <c r="F420" s="14">
        <v>6.3</v>
      </c>
      <c r="G420" s="14">
        <v>6</v>
      </c>
      <c r="H420" s="14">
        <v>90.14</v>
      </c>
      <c r="I420" s="15">
        <v>0.75</v>
      </c>
    </row>
    <row r="421" spans="1:9" x14ac:dyDescent="0.25">
      <c r="A421" s="12">
        <v>10</v>
      </c>
      <c r="B421" s="13">
        <v>45147</v>
      </c>
      <c r="C421" s="14">
        <v>32.299999999999997</v>
      </c>
      <c r="D421" s="14">
        <v>72</v>
      </c>
      <c r="E421" s="14">
        <v>623</v>
      </c>
      <c r="F421" s="14">
        <v>6.7</v>
      </c>
      <c r="G421" s="14">
        <v>7</v>
      </c>
      <c r="H421" s="14">
        <v>90.14</v>
      </c>
      <c r="I421" s="15">
        <v>0.72</v>
      </c>
    </row>
    <row r="422" spans="1:9" x14ac:dyDescent="0.25">
      <c r="A422" s="12">
        <v>10</v>
      </c>
      <c r="B422" s="13">
        <v>45148</v>
      </c>
      <c r="C422" s="14">
        <v>22.7</v>
      </c>
      <c r="D422" s="14">
        <v>74</v>
      </c>
      <c r="E422" s="14">
        <v>778</v>
      </c>
      <c r="F422" s="14">
        <v>6.6</v>
      </c>
      <c r="G422" s="14">
        <v>8</v>
      </c>
      <c r="H422" s="14">
        <v>72.86</v>
      </c>
      <c r="I422" s="15">
        <v>0.74</v>
      </c>
    </row>
    <row r="423" spans="1:9" x14ac:dyDescent="0.25">
      <c r="A423" s="12">
        <v>10</v>
      </c>
      <c r="B423" s="13">
        <v>45149</v>
      </c>
      <c r="C423" s="14">
        <v>31.9</v>
      </c>
      <c r="D423" s="14">
        <v>67</v>
      </c>
      <c r="E423" s="14">
        <v>512</v>
      </c>
      <c r="F423" s="14">
        <v>6.4</v>
      </c>
      <c r="G423" s="14">
        <v>9</v>
      </c>
      <c r="H423" s="14">
        <v>89.42</v>
      </c>
      <c r="I423" s="15">
        <v>0.67</v>
      </c>
    </row>
    <row r="424" spans="1:9" x14ac:dyDescent="0.25">
      <c r="A424" s="12">
        <v>10</v>
      </c>
      <c r="B424" s="13">
        <v>45150</v>
      </c>
      <c r="C424" s="14">
        <v>30.2</v>
      </c>
      <c r="D424" s="14">
        <v>60</v>
      </c>
      <c r="E424" s="14">
        <v>800</v>
      </c>
      <c r="F424" s="14">
        <v>6.7</v>
      </c>
      <c r="G424" s="14">
        <v>10</v>
      </c>
      <c r="H424" s="14">
        <v>86.36</v>
      </c>
      <c r="I424" s="15">
        <v>0.6</v>
      </c>
    </row>
    <row r="425" spans="1:9" x14ac:dyDescent="0.25">
      <c r="A425" s="12">
        <v>10</v>
      </c>
      <c r="B425" s="13">
        <v>45151</v>
      </c>
      <c r="C425" s="14">
        <v>30.1</v>
      </c>
      <c r="D425" s="14">
        <v>52</v>
      </c>
      <c r="E425" s="14">
        <v>471</v>
      </c>
      <c r="F425" s="14">
        <v>6.2</v>
      </c>
      <c r="G425" s="14">
        <v>11</v>
      </c>
      <c r="H425" s="14">
        <v>86.18</v>
      </c>
      <c r="I425" s="15">
        <v>0.52</v>
      </c>
    </row>
    <row r="426" spans="1:9" x14ac:dyDescent="0.25">
      <c r="A426" s="12">
        <v>10</v>
      </c>
      <c r="B426" s="13">
        <v>45152</v>
      </c>
      <c r="C426" s="14">
        <v>30.1</v>
      </c>
      <c r="D426" s="14">
        <v>62</v>
      </c>
      <c r="E426" s="14">
        <v>552</v>
      </c>
      <c r="F426" s="14">
        <v>6.8</v>
      </c>
      <c r="G426" s="14">
        <v>12</v>
      </c>
      <c r="H426" s="14">
        <v>86.18</v>
      </c>
      <c r="I426" s="15">
        <v>0.62</v>
      </c>
    </row>
    <row r="427" spans="1:9" x14ac:dyDescent="0.25">
      <c r="A427" s="12">
        <v>10</v>
      </c>
      <c r="B427" s="13">
        <v>45153</v>
      </c>
      <c r="C427" s="14">
        <v>30.1</v>
      </c>
      <c r="D427" s="14">
        <v>74</v>
      </c>
      <c r="E427" s="14">
        <v>701</v>
      </c>
      <c r="F427" s="14">
        <v>6.6</v>
      </c>
      <c r="G427" s="14">
        <v>13</v>
      </c>
      <c r="H427" s="14">
        <v>86.18</v>
      </c>
      <c r="I427" s="15">
        <v>0.74</v>
      </c>
    </row>
    <row r="428" spans="1:9" x14ac:dyDescent="0.25">
      <c r="A428" s="12">
        <v>10</v>
      </c>
      <c r="B428" s="13">
        <v>45154</v>
      </c>
      <c r="C428" s="14">
        <v>29.8</v>
      </c>
      <c r="D428" s="14">
        <v>51</v>
      </c>
      <c r="E428" s="14">
        <v>594</v>
      </c>
      <c r="F428" s="14">
        <v>6.5</v>
      </c>
      <c r="G428" s="14">
        <v>14</v>
      </c>
      <c r="H428" s="14">
        <v>85.64</v>
      </c>
      <c r="I428" s="15">
        <v>0.51</v>
      </c>
    </row>
    <row r="429" spans="1:9" x14ac:dyDescent="0.25">
      <c r="A429" s="12">
        <v>10</v>
      </c>
      <c r="B429" s="13">
        <v>45155</v>
      </c>
      <c r="C429" s="14">
        <v>29.6</v>
      </c>
      <c r="D429" s="14">
        <v>73</v>
      </c>
      <c r="E429" s="14">
        <v>419</v>
      </c>
      <c r="F429" s="14">
        <v>6.2</v>
      </c>
      <c r="G429" s="14">
        <v>15</v>
      </c>
      <c r="H429" s="14">
        <v>85.28</v>
      </c>
      <c r="I429" s="15">
        <v>0.73</v>
      </c>
    </row>
    <row r="430" spans="1:9" x14ac:dyDescent="0.25">
      <c r="A430" s="12">
        <v>10</v>
      </c>
      <c r="B430" s="13">
        <v>45156</v>
      </c>
      <c r="C430" s="14">
        <v>30.9</v>
      </c>
      <c r="D430" s="14">
        <v>73</v>
      </c>
      <c r="E430" s="14">
        <v>579</v>
      </c>
      <c r="F430" s="14">
        <v>6.1</v>
      </c>
      <c r="G430" s="14">
        <v>16</v>
      </c>
      <c r="H430" s="14">
        <v>87.62</v>
      </c>
      <c r="I430" s="15">
        <v>0.73</v>
      </c>
    </row>
    <row r="431" spans="1:9" x14ac:dyDescent="0.25">
      <c r="A431" s="12">
        <v>10</v>
      </c>
      <c r="B431" s="13">
        <v>45157</v>
      </c>
      <c r="C431" s="14">
        <v>30.8</v>
      </c>
      <c r="D431" s="14">
        <v>50</v>
      </c>
      <c r="E431" s="14">
        <v>493</v>
      </c>
      <c r="F431" s="14">
        <v>6</v>
      </c>
      <c r="G431" s="14">
        <v>17</v>
      </c>
      <c r="H431" s="14">
        <v>87.44</v>
      </c>
      <c r="I431" s="15">
        <v>0.5</v>
      </c>
    </row>
    <row r="432" spans="1:9" x14ac:dyDescent="0.25">
      <c r="A432" s="12">
        <v>10</v>
      </c>
      <c r="B432" s="13">
        <v>45158</v>
      </c>
      <c r="C432" s="14">
        <v>30.9</v>
      </c>
      <c r="D432" s="14">
        <v>53</v>
      </c>
      <c r="E432" s="14">
        <v>721</v>
      </c>
      <c r="F432" s="14">
        <v>6.4</v>
      </c>
      <c r="G432" s="14">
        <v>18</v>
      </c>
      <c r="H432" s="14">
        <v>87.62</v>
      </c>
      <c r="I432" s="15">
        <v>0.53</v>
      </c>
    </row>
    <row r="433" spans="1:9" x14ac:dyDescent="0.25">
      <c r="A433" s="12">
        <v>10</v>
      </c>
      <c r="B433" s="13">
        <v>45159</v>
      </c>
      <c r="C433" s="14">
        <v>30.2</v>
      </c>
      <c r="D433" s="14">
        <v>77</v>
      </c>
      <c r="E433" s="14">
        <v>778</v>
      </c>
      <c r="F433" s="14">
        <v>6.2</v>
      </c>
      <c r="G433" s="14">
        <v>19</v>
      </c>
      <c r="H433" s="14">
        <v>86.36</v>
      </c>
      <c r="I433" s="15">
        <v>0.77</v>
      </c>
    </row>
    <row r="434" spans="1:9" x14ac:dyDescent="0.25">
      <c r="A434" s="12">
        <v>10</v>
      </c>
      <c r="B434" s="13">
        <v>45160</v>
      </c>
      <c r="C434" s="14">
        <v>30.5</v>
      </c>
      <c r="D434" s="14">
        <v>67</v>
      </c>
      <c r="E434" s="14">
        <v>668</v>
      </c>
      <c r="F434" s="14">
        <v>6.8</v>
      </c>
      <c r="G434" s="14">
        <v>20</v>
      </c>
      <c r="H434" s="14">
        <v>86.9</v>
      </c>
      <c r="I434" s="15">
        <v>0.67</v>
      </c>
    </row>
    <row r="435" spans="1:9" x14ac:dyDescent="0.25">
      <c r="A435" s="12">
        <v>10</v>
      </c>
      <c r="B435" s="13">
        <v>45161</v>
      </c>
      <c r="C435" s="14">
        <v>30.8</v>
      </c>
      <c r="D435" s="14">
        <v>57</v>
      </c>
      <c r="E435" s="14">
        <v>609</v>
      </c>
      <c r="F435" s="14">
        <v>6.6</v>
      </c>
      <c r="G435" s="14">
        <v>21</v>
      </c>
      <c r="H435" s="14">
        <v>87.44</v>
      </c>
      <c r="I435" s="15">
        <v>0.56999999999999995</v>
      </c>
    </row>
    <row r="436" spans="1:9" x14ac:dyDescent="0.25">
      <c r="A436" s="12">
        <v>10</v>
      </c>
      <c r="B436" s="13">
        <v>45162</v>
      </c>
      <c r="C436" s="14">
        <v>31.3</v>
      </c>
      <c r="D436" s="14">
        <v>64</v>
      </c>
      <c r="E436" s="14">
        <v>746</v>
      </c>
      <c r="F436" s="14">
        <v>6.3</v>
      </c>
      <c r="G436" s="14">
        <v>22</v>
      </c>
      <c r="H436" s="14">
        <v>88.34</v>
      </c>
      <c r="I436" s="15">
        <v>0.64</v>
      </c>
    </row>
    <row r="437" spans="1:9" x14ac:dyDescent="0.25">
      <c r="A437" s="12">
        <v>10</v>
      </c>
      <c r="B437" s="13">
        <v>45163</v>
      </c>
      <c r="C437" s="14">
        <v>31.4</v>
      </c>
      <c r="D437" s="14">
        <v>79</v>
      </c>
      <c r="E437" s="14">
        <v>725</v>
      </c>
      <c r="F437" s="14">
        <v>6.2</v>
      </c>
      <c r="G437" s="14">
        <v>23</v>
      </c>
      <c r="H437" s="14">
        <v>88.52</v>
      </c>
      <c r="I437" s="15">
        <v>0.79</v>
      </c>
    </row>
    <row r="438" spans="1:9" x14ac:dyDescent="0.25">
      <c r="A438" s="12">
        <v>10</v>
      </c>
      <c r="B438" s="13">
        <v>45164</v>
      </c>
      <c r="C438" s="14">
        <v>31.4</v>
      </c>
      <c r="D438" s="14">
        <v>60</v>
      </c>
      <c r="E438" s="14">
        <v>593</v>
      </c>
      <c r="F438" s="14">
        <v>6.3</v>
      </c>
      <c r="G438" s="14">
        <v>24</v>
      </c>
      <c r="H438" s="14">
        <v>88.52</v>
      </c>
      <c r="I438" s="15">
        <v>0.6</v>
      </c>
    </row>
    <row r="439" spans="1:9" x14ac:dyDescent="0.25">
      <c r="A439" s="12">
        <v>10</v>
      </c>
      <c r="B439" s="13">
        <v>45165</v>
      </c>
      <c r="C439" s="14">
        <v>30.1</v>
      </c>
      <c r="D439" s="14">
        <v>77</v>
      </c>
      <c r="E439" s="14">
        <v>560</v>
      </c>
      <c r="F439" s="14">
        <v>6.5</v>
      </c>
      <c r="G439" s="14">
        <v>25</v>
      </c>
      <c r="H439" s="14">
        <v>86.18</v>
      </c>
      <c r="I439" s="15">
        <v>0.77</v>
      </c>
    </row>
    <row r="440" spans="1:9" x14ac:dyDescent="0.25">
      <c r="A440" s="12">
        <v>10</v>
      </c>
      <c r="B440" s="13">
        <v>45166</v>
      </c>
      <c r="C440" s="14">
        <v>29.4</v>
      </c>
      <c r="D440" s="14">
        <v>74</v>
      </c>
      <c r="E440" s="14">
        <v>597</v>
      </c>
      <c r="F440" s="14">
        <v>6.6</v>
      </c>
      <c r="G440" s="14">
        <v>26</v>
      </c>
      <c r="H440" s="14">
        <v>84.92</v>
      </c>
      <c r="I440" s="15">
        <v>0.74</v>
      </c>
    </row>
    <row r="441" spans="1:9" x14ac:dyDescent="0.25">
      <c r="A441" s="12">
        <v>10</v>
      </c>
      <c r="B441" s="13">
        <v>45167</v>
      </c>
      <c r="C441" s="14">
        <v>28.7</v>
      </c>
      <c r="D441" s="14">
        <v>56</v>
      </c>
      <c r="E441" s="14">
        <v>613</v>
      </c>
      <c r="F441" s="14">
        <v>6.6</v>
      </c>
      <c r="G441" s="14">
        <v>27</v>
      </c>
      <c r="H441" s="14">
        <v>83.66</v>
      </c>
      <c r="I441" s="15">
        <v>0.56000000000000005</v>
      </c>
    </row>
    <row r="442" spans="1:9" x14ac:dyDescent="0.25">
      <c r="A442" s="12">
        <v>10</v>
      </c>
      <c r="B442" s="13">
        <v>45168</v>
      </c>
      <c r="C442" s="14">
        <v>29.1</v>
      </c>
      <c r="D442" s="14">
        <v>59</v>
      </c>
      <c r="E442" s="14">
        <v>704</v>
      </c>
      <c r="F442" s="14">
        <v>6.5</v>
      </c>
      <c r="G442" s="14">
        <v>28</v>
      </c>
      <c r="H442" s="14">
        <v>84.38</v>
      </c>
      <c r="I442" s="15">
        <v>0.59</v>
      </c>
    </row>
    <row r="443" spans="1:9" x14ac:dyDescent="0.25">
      <c r="A443" s="12">
        <v>10</v>
      </c>
      <c r="B443" s="13">
        <v>45169</v>
      </c>
      <c r="C443" s="14">
        <v>29.2</v>
      </c>
      <c r="D443" s="14">
        <v>54</v>
      </c>
      <c r="E443" s="14">
        <v>585</v>
      </c>
      <c r="F443" s="14">
        <v>6.5</v>
      </c>
      <c r="G443" s="14">
        <v>29</v>
      </c>
      <c r="H443" s="14">
        <v>84.56</v>
      </c>
      <c r="I443" s="15">
        <v>0.54</v>
      </c>
    </row>
    <row r="444" spans="1:9" x14ac:dyDescent="0.25">
      <c r="A444" s="12">
        <v>10</v>
      </c>
      <c r="B444" s="13">
        <v>45170</v>
      </c>
      <c r="C444" s="14">
        <v>31.7</v>
      </c>
      <c r="D444" s="14">
        <v>59</v>
      </c>
      <c r="E444" s="14">
        <v>616</v>
      </c>
      <c r="F444" s="14">
        <v>6.1</v>
      </c>
      <c r="G444" s="14">
        <v>30</v>
      </c>
      <c r="H444" s="14">
        <v>89.06</v>
      </c>
      <c r="I444" s="15">
        <v>0.59</v>
      </c>
    </row>
    <row r="445" spans="1:9" x14ac:dyDescent="0.25">
      <c r="A445" s="12">
        <v>10</v>
      </c>
      <c r="B445" s="13">
        <v>45171</v>
      </c>
      <c r="C445" s="14">
        <v>31.7</v>
      </c>
      <c r="D445" s="14">
        <v>78</v>
      </c>
      <c r="E445" s="14">
        <v>697</v>
      </c>
      <c r="F445" s="14">
        <v>6.4</v>
      </c>
      <c r="G445" s="14">
        <v>31</v>
      </c>
      <c r="H445" s="14">
        <v>89.06</v>
      </c>
      <c r="I445" s="15">
        <v>0.78</v>
      </c>
    </row>
    <row r="446" spans="1:9" x14ac:dyDescent="0.25">
      <c r="A446" s="12">
        <v>10</v>
      </c>
      <c r="B446" s="13">
        <v>45172</v>
      </c>
      <c r="C446" s="14">
        <v>31.7</v>
      </c>
      <c r="D446" s="14">
        <v>71</v>
      </c>
      <c r="E446" s="14">
        <v>623</v>
      </c>
      <c r="F446" s="14">
        <v>6.1</v>
      </c>
      <c r="G446" s="14">
        <v>32</v>
      </c>
      <c r="H446" s="14">
        <v>89.06</v>
      </c>
      <c r="I446" s="15">
        <v>0.71</v>
      </c>
    </row>
    <row r="447" spans="1:9" x14ac:dyDescent="0.25">
      <c r="A447" s="12">
        <v>10</v>
      </c>
      <c r="B447" s="13">
        <v>45173</v>
      </c>
      <c r="C447" s="14">
        <v>31.7</v>
      </c>
      <c r="D447" s="14">
        <v>69</v>
      </c>
      <c r="E447" s="14">
        <v>649</v>
      </c>
      <c r="F447" s="14">
        <v>6.4</v>
      </c>
      <c r="G447" s="14">
        <v>33</v>
      </c>
      <c r="H447" s="14">
        <v>89.06</v>
      </c>
      <c r="I447" s="15">
        <v>0.69</v>
      </c>
    </row>
    <row r="448" spans="1:9" x14ac:dyDescent="0.25">
      <c r="A448" s="12">
        <v>10</v>
      </c>
      <c r="B448" s="13">
        <v>45174</v>
      </c>
      <c r="C448" s="14">
        <v>32</v>
      </c>
      <c r="D448" s="14">
        <v>72</v>
      </c>
      <c r="E448" s="14">
        <v>440</v>
      </c>
      <c r="F448" s="14">
        <v>6.2</v>
      </c>
      <c r="G448" s="14">
        <v>34</v>
      </c>
      <c r="H448" s="14">
        <v>89.6</v>
      </c>
      <c r="I448" s="15">
        <v>0.72</v>
      </c>
    </row>
    <row r="449" spans="1:9" x14ac:dyDescent="0.25">
      <c r="A449" s="12">
        <v>10</v>
      </c>
      <c r="B449" s="13">
        <v>45175</v>
      </c>
      <c r="C449" s="14">
        <v>32.1</v>
      </c>
      <c r="D449" s="14">
        <v>72</v>
      </c>
      <c r="E449" s="14">
        <v>469</v>
      </c>
      <c r="F449" s="14">
        <v>6.3</v>
      </c>
      <c r="G449" s="14">
        <v>35</v>
      </c>
      <c r="H449" s="14">
        <v>89.78</v>
      </c>
      <c r="I449" s="15">
        <v>0.72</v>
      </c>
    </row>
    <row r="450" spans="1:9" x14ac:dyDescent="0.25">
      <c r="A450" s="12">
        <v>10</v>
      </c>
      <c r="B450" s="13">
        <v>45176</v>
      </c>
      <c r="C450" s="14">
        <v>31.5</v>
      </c>
      <c r="D450" s="14">
        <v>72</v>
      </c>
      <c r="E450" s="14">
        <v>603</v>
      </c>
      <c r="F450" s="14">
        <v>6.4</v>
      </c>
      <c r="G450" s="14">
        <v>36</v>
      </c>
      <c r="H450" s="14">
        <v>88.7</v>
      </c>
      <c r="I450" s="15">
        <v>0.72</v>
      </c>
    </row>
    <row r="451" spans="1:9" x14ac:dyDescent="0.25">
      <c r="A451" s="12">
        <v>10</v>
      </c>
      <c r="B451" s="13">
        <v>45177</v>
      </c>
      <c r="C451" s="14">
        <v>29.8</v>
      </c>
      <c r="D451" s="14">
        <v>57</v>
      </c>
      <c r="E451" s="14">
        <v>440</v>
      </c>
      <c r="F451" s="14">
        <v>6.6</v>
      </c>
      <c r="G451" s="14">
        <v>37</v>
      </c>
      <c r="H451" s="14">
        <v>85.64</v>
      </c>
      <c r="I451" s="15">
        <v>0.56999999999999995</v>
      </c>
    </row>
    <row r="452" spans="1:9" x14ac:dyDescent="0.25">
      <c r="A452" s="12">
        <v>10</v>
      </c>
      <c r="B452" s="13">
        <v>45178</v>
      </c>
      <c r="C452" s="14">
        <v>20.100000000000001</v>
      </c>
      <c r="D452" s="14">
        <v>69</v>
      </c>
      <c r="E452" s="14">
        <v>648</v>
      </c>
      <c r="F452" s="14">
        <v>6.7</v>
      </c>
      <c r="G452" s="14">
        <v>38</v>
      </c>
      <c r="H452" s="14">
        <v>68.180000000000007</v>
      </c>
      <c r="I452" s="15">
        <v>0.69</v>
      </c>
    </row>
    <row r="453" spans="1:9" x14ac:dyDescent="0.25">
      <c r="A453" s="12">
        <v>10</v>
      </c>
      <c r="B453" s="13">
        <v>45179</v>
      </c>
      <c r="C453" s="14">
        <v>31.1</v>
      </c>
      <c r="D453" s="14">
        <v>68</v>
      </c>
      <c r="E453" s="14">
        <v>538</v>
      </c>
      <c r="F453" s="14">
        <v>6.7</v>
      </c>
      <c r="G453" s="14">
        <v>39</v>
      </c>
      <c r="H453" s="14">
        <v>87.98</v>
      </c>
      <c r="I453" s="15">
        <v>0.68</v>
      </c>
    </row>
    <row r="454" spans="1:9" x14ac:dyDescent="0.25">
      <c r="A454" s="12">
        <v>10</v>
      </c>
      <c r="B454" s="13">
        <v>45180</v>
      </c>
      <c r="C454" s="14">
        <v>31.2</v>
      </c>
      <c r="D454" s="14">
        <v>71</v>
      </c>
      <c r="E454" s="14">
        <v>586</v>
      </c>
      <c r="F454" s="14">
        <v>6.1</v>
      </c>
      <c r="G454" s="14">
        <v>40</v>
      </c>
      <c r="H454" s="14">
        <v>88.16</v>
      </c>
      <c r="I454" s="15">
        <v>0.71</v>
      </c>
    </row>
    <row r="455" spans="1:9" x14ac:dyDescent="0.25">
      <c r="A455" s="12">
        <v>10</v>
      </c>
      <c r="B455" s="13">
        <v>45181</v>
      </c>
      <c r="C455" s="14">
        <v>31.2</v>
      </c>
      <c r="D455" s="14">
        <v>58</v>
      </c>
      <c r="E455" s="14">
        <v>794</v>
      </c>
      <c r="F455" s="14">
        <v>6.6</v>
      </c>
      <c r="G455" s="14">
        <v>41</v>
      </c>
      <c r="H455" s="14">
        <v>88.16</v>
      </c>
      <c r="I455" s="15">
        <v>0.57999999999999996</v>
      </c>
    </row>
    <row r="456" spans="1:9" x14ac:dyDescent="0.25">
      <c r="A456" s="12">
        <v>10</v>
      </c>
      <c r="B456" s="13">
        <v>45182</v>
      </c>
      <c r="C456" s="14">
        <v>30.4</v>
      </c>
      <c r="D456" s="14">
        <v>69</v>
      </c>
      <c r="E456" s="14">
        <v>674</v>
      </c>
      <c r="F456" s="14">
        <v>6.3</v>
      </c>
      <c r="G456" s="14">
        <v>42</v>
      </c>
      <c r="H456" s="14">
        <v>86.72</v>
      </c>
      <c r="I456" s="15">
        <v>0.69</v>
      </c>
    </row>
    <row r="457" spans="1:9" x14ac:dyDescent="0.25">
      <c r="A457" s="12">
        <v>10</v>
      </c>
      <c r="B457" s="13">
        <v>45183</v>
      </c>
      <c r="C457" s="14">
        <v>29.1</v>
      </c>
      <c r="D457" s="14">
        <v>63</v>
      </c>
      <c r="E457" s="14">
        <v>782</v>
      </c>
      <c r="F457" s="14">
        <v>6.5</v>
      </c>
      <c r="G457" s="14">
        <v>43</v>
      </c>
      <c r="H457" s="14">
        <v>84.38</v>
      </c>
      <c r="I457" s="15">
        <v>0.63</v>
      </c>
    </row>
    <row r="458" spans="1:9" x14ac:dyDescent="0.25">
      <c r="A458" s="12">
        <v>10</v>
      </c>
      <c r="B458" s="13">
        <v>45184</v>
      </c>
      <c r="C458" s="14">
        <v>30.6</v>
      </c>
      <c r="D458" s="14">
        <v>78</v>
      </c>
      <c r="E458" s="14">
        <v>578</v>
      </c>
      <c r="F458" s="14">
        <v>6.3</v>
      </c>
      <c r="G458" s="14">
        <v>44</v>
      </c>
      <c r="H458" s="14">
        <v>87.08</v>
      </c>
      <c r="I458" s="15">
        <v>0.78</v>
      </c>
    </row>
    <row r="459" spans="1:9" x14ac:dyDescent="0.25">
      <c r="A459" s="12">
        <v>10</v>
      </c>
      <c r="B459" s="13">
        <v>45185</v>
      </c>
      <c r="C459" s="14">
        <v>31.5</v>
      </c>
      <c r="D459" s="14">
        <v>67</v>
      </c>
      <c r="E459" s="14">
        <v>638</v>
      </c>
      <c r="F459" s="14">
        <v>6.2</v>
      </c>
      <c r="G459" s="14">
        <v>45</v>
      </c>
      <c r="H459" s="14">
        <v>88.7</v>
      </c>
      <c r="I459" s="15">
        <v>0.67</v>
      </c>
    </row>
    <row r="460" spans="1:9" x14ac:dyDescent="0.25">
      <c r="A460" s="12">
        <v>11</v>
      </c>
      <c r="B460" s="13">
        <v>45141</v>
      </c>
      <c r="C460" s="14">
        <v>33.4</v>
      </c>
      <c r="D460" s="14">
        <v>57</v>
      </c>
      <c r="E460" s="14">
        <v>695</v>
      </c>
      <c r="F460" s="14">
        <v>6.1</v>
      </c>
      <c r="G460" s="14">
        <v>1</v>
      </c>
      <c r="H460" s="14">
        <v>92.12</v>
      </c>
      <c r="I460" s="15">
        <v>0.56999999999999995</v>
      </c>
    </row>
    <row r="461" spans="1:9" x14ac:dyDescent="0.25">
      <c r="A461" s="12">
        <v>11</v>
      </c>
      <c r="B461" s="13">
        <v>45142</v>
      </c>
      <c r="C461" s="14">
        <v>33.5</v>
      </c>
      <c r="D461" s="14">
        <v>63</v>
      </c>
      <c r="E461" s="14">
        <v>706</v>
      </c>
      <c r="F461" s="14">
        <v>6.6</v>
      </c>
      <c r="G461" s="14">
        <v>2</v>
      </c>
      <c r="H461" s="14">
        <v>92.3</v>
      </c>
      <c r="I461" s="15">
        <v>0.63</v>
      </c>
    </row>
    <row r="462" spans="1:9" x14ac:dyDescent="0.25">
      <c r="A462" s="12">
        <v>11</v>
      </c>
      <c r="B462" s="13">
        <v>45143</v>
      </c>
      <c r="C462" s="14">
        <v>33.4</v>
      </c>
      <c r="D462" s="14">
        <v>63</v>
      </c>
      <c r="E462" s="14">
        <v>716</v>
      </c>
      <c r="F462" s="14">
        <v>6.6</v>
      </c>
      <c r="G462" s="14">
        <v>3</v>
      </c>
      <c r="H462" s="14">
        <v>92.12</v>
      </c>
      <c r="I462" s="15">
        <v>0.63</v>
      </c>
    </row>
    <row r="463" spans="1:9" x14ac:dyDescent="0.25">
      <c r="A463" s="12">
        <v>11</v>
      </c>
      <c r="B463" s="13">
        <v>45144</v>
      </c>
      <c r="C463" s="14">
        <v>33.4</v>
      </c>
      <c r="D463" s="14">
        <v>50</v>
      </c>
      <c r="E463" s="14">
        <v>734</v>
      </c>
      <c r="F463" s="14">
        <v>6.4</v>
      </c>
      <c r="G463" s="14">
        <v>4</v>
      </c>
      <c r="H463" s="14">
        <v>92.12</v>
      </c>
      <c r="I463" s="15">
        <v>0.5</v>
      </c>
    </row>
    <row r="464" spans="1:9" x14ac:dyDescent="0.25">
      <c r="A464" s="12">
        <v>11</v>
      </c>
      <c r="B464" s="13">
        <v>45145</v>
      </c>
      <c r="C464" s="14">
        <v>33.4</v>
      </c>
      <c r="D464" s="14">
        <v>55</v>
      </c>
      <c r="E464" s="14">
        <v>431</v>
      </c>
      <c r="F464" s="14">
        <v>6.2</v>
      </c>
      <c r="G464" s="14">
        <v>5</v>
      </c>
      <c r="H464" s="14">
        <v>92.12</v>
      </c>
      <c r="I464" s="15">
        <v>0.55000000000000004</v>
      </c>
    </row>
    <row r="465" spans="1:9" x14ac:dyDescent="0.25">
      <c r="A465" s="12">
        <v>11</v>
      </c>
      <c r="B465" s="13">
        <v>45146</v>
      </c>
      <c r="C465" s="14">
        <v>32.299999999999997</v>
      </c>
      <c r="D465" s="14">
        <v>54</v>
      </c>
      <c r="E465" s="14">
        <v>730</v>
      </c>
      <c r="F465" s="14">
        <v>6.7</v>
      </c>
      <c r="G465" s="14">
        <v>6</v>
      </c>
      <c r="H465" s="14">
        <v>90.14</v>
      </c>
      <c r="I465" s="15">
        <v>0.54</v>
      </c>
    </row>
    <row r="466" spans="1:9" x14ac:dyDescent="0.25">
      <c r="A466" s="12">
        <v>11</v>
      </c>
      <c r="B466" s="13">
        <v>45147</v>
      </c>
      <c r="C466" s="14">
        <v>32.299999999999997</v>
      </c>
      <c r="D466" s="14">
        <v>69</v>
      </c>
      <c r="E466" s="14">
        <v>529</v>
      </c>
      <c r="F466" s="14">
        <v>6.3</v>
      </c>
      <c r="G466" s="14">
        <v>7</v>
      </c>
      <c r="H466" s="14">
        <v>90.14</v>
      </c>
      <c r="I466" s="15">
        <v>0.69</v>
      </c>
    </row>
    <row r="467" spans="1:9" x14ac:dyDescent="0.25">
      <c r="A467" s="12">
        <v>11</v>
      </c>
      <c r="B467" s="13">
        <v>45148</v>
      </c>
      <c r="C467" s="14">
        <v>22.7</v>
      </c>
      <c r="D467" s="14">
        <v>56</v>
      </c>
      <c r="E467" s="14">
        <v>489</v>
      </c>
      <c r="F467" s="14">
        <v>6.4</v>
      </c>
      <c r="G467" s="14">
        <v>8</v>
      </c>
      <c r="H467" s="14">
        <v>72.86</v>
      </c>
      <c r="I467" s="15">
        <v>0.56000000000000005</v>
      </c>
    </row>
    <row r="468" spans="1:9" x14ac:dyDescent="0.25">
      <c r="A468" s="12">
        <v>11</v>
      </c>
      <c r="B468" s="13">
        <v>45149</v>
      </c>
      <c r="C468" s="14">
        <v>31.9</v>
      </c>
      <c r="D468" s="14">
        <v>58</v>
      </c>
      <c r="E468" s="14">
        <v>514</v>
      </c>
      <c r="F468" s="14">
        <v>6.2</v>
      </c>
      <c r="G468" s="14">
        <v>9</v>
      </c>
      <c r="H468" s="14">
        <v>89.42</v>
      </c>
      <c r="I468" s="15">
        <v>0.57999999999999996</v>
      </c>
    </row>
    <row r="469" spans="1:9" x14ac:dyDescent="0.25">
      <c r="A469" s="12">
        <v>11</v>
      </c>
      <c r="B469" s="13">
        <v>45150</v>
      </c>
      <c r="C469" s="14">
        <v>30.2</v>
      </c>
      <c r="D469" s="14">
        <v>51</v>
      </c>
      <c r="E469" s="14">
        <v>752</v>
      </c>
      <c r="F469" s="14">
        <v>6.2</v>
      </c>
      <c r="G469" s="14">
        <v>10</v>
      </c>
      <c r="H469" s="14">
        <v>86.36</v>
      </c>
      <c r="I469" s="15">
        <v>0.51</v>
      </c>
    </row>
    <row r="470" spans="1:9" x14ac:dyDescent="0.25">
      <c r="A470" s="12">
        <v>11</v>
      </c>
      <c r="B470" s="13">
        <v>45151</v>
      </c>
      <c r="C470" s="14">
        <v>30.1</v>
      </c>
      <c r="D470" s="14">
        <v>74</v>
      </c>
      <c r="E470" s="14">
        <v>557</v>
      </c>
      <c r="F470" s="14">
        <v>6.2</v>
      </c>
      <c r="G470" s="14">
        <v>11</v>
      </c>
      <c r="H470" s="14">
        <v>86.18</v>
      </c>
      <c r="I470" s="15">
        <v>0.74</v>
      </c>
    </row>
    <row r="471" spans="1:9" x14ac:dyDescent="0.25">
      <c r="A471" s="12">
        <v>11</v>
      </c>
      <c r="B471" s="13">
        <v>45152</v>
      </c>
      <c r="C471" s="14">
        <v>30.1</v>
      </c>
      <c r="D471" s="14">
        <v>50</v>
      </c>
      <c r="E471" s="14">
        <v>620</v>
      </c>
      <c r="F471" s="14">
        <v>6.1</v>
      </c>
      <c r="G471" s="14">
        <v>12</v>
      </c>
      <c r="H471" s="14">
        <v>86.18</v>
      </c>
      <c r="I471" s="15">
        <v>0.5</v>
      </c>
    </row>
    <row r="472" spans="1:9" x14ac:dyDescent="0.25">
      <c r="A472" s="12">
        <v>11</v>
      </c>
      <c r="B472" s="13">
        <v>45153</v>
      </c>
      <c r="C472" s="14">
        <v>30.1</v>
      </c>
      <c r="D472" s="14">
        <v>64</v>
      </c>
      <c r="E472" s="14">
        <v>511</v>
      </c>
      <c r="F472" s="14">
        <v>6.5</v>
      </c>
      <c r="G472" s="14">
        <v>13</v>
      </c>
      <c r="H472" s="14">
        <v>86.18</v>
      </c>
      <c r="I472" s="15">
        <v>0.64</v>
      </c>
    </row>
    <row r="473" spans="1:9" x14ac:dyDescent="0.25">
      <c r="A473" s="12">
        <v>11</v>
      </c>
      <c r="B473" s="13">
        <v>45154</v>
      </c>
      <c r="C473" s="14">
        <v>29.8</v>
      </c>
      <c r="D473" s="14">
        <v>74</v>
      </c>
      <c r="E473" s="14">
        <v>462</v>
      </c>
      <c r="F473" s="14">
        <v>6.6</v>
      </c>
      <c r="G473" s="14">
        <v>14</v>
      </c>
      <c r="H473" s="14">
        <v>85.64</v>
      </c>
      <c r="I473" s="15">
        <v>0.74</v>
      </c>
    </row>
    <row r="474" spans="1:9" x14ac:dyDescent="0.25">
      <c r="A474" s="12">
        <v>11</v>
      </c>
      <c r="B474" s="13">
        <v>45155</v>
      </c>
      <c r="C474" s="14">
        <v>29.6</v>
      </c>
      <c r="D474" s="14">
        <v>75</v>
      </c>
      <c r="E474" s="14">
        <v>760</v>
      </c>
      <c r="F474" s="14">
        <v>6.4</v>
      </c>
      <c r="G474" s="14">
        <v>15</v>
      </c>
      <c r="H474" s="14">
        <v>85.28</v>
      </c>
      <c r="I474" s="15">
        <v>0.75</v>
      </c>
    </row>
    <row r="475" spans="1:9" x14ac:dyDescent="0.25">
      <c r="A475" s="12">
        <v>11</v>
      </c>
      <c r="B475" s="13">
        <v>45156</v>
      </c>
      <c r="C475" s="14">
        <v>30.9</v>
      </c>
      <c r="D475" s="14">
        <v>80</v>
      </c>
      <c r="E475" s="14">
        <v>704</v>
      </c>
      <c r="F475" s="14">
        <v>6.6</v>
      </c>
      <c r="G475" s="14">
        <v>16</v>
      </c>
      <c r="H475" s="14">
        <v>87.62</v>
      </c>
      <c r="I475" s="15">
        <v>0.8</v>
      </c>
    </row>
    <row r="476" spans="1:9" x14ac:dyDescent="0.25">
      <c r="A476" s="12">
        <v>11</v>
      </c>
      <c r="B476" s="13">
        <v>45157</v>
      </c>
      <c r="C476" s="14">
        <v>30.8</v>
      </c>
      <c r="D476" s="14">
        <v>76</v>
      </c>
      <c r="E476" s="14">
        <v>466</v>
      </c>
      <c r="F476" s="14">
        <v>6.1</v>
      </c>
      <c r="G476" s="14">
        <v>17</v>
      </c>
      <c r="H476" s="14">
        <v>87.44</v>
      </c>
      <c r="I476" s="15">
        <v>0.76</v>
      </c>
    </row>
    <row r="477" spans="1:9" x14ac:dyDescent="0.25">
      <c r="A477" s="12">
        <v>11</v>
      </c>
      <c r="B477" s="13">
        <v>45158</v>
      </c>
      <c r="C477" s="14">
        <v>30.9</v>
      </c>
      <c r="D477" s="14">
        <v>61</v>
      </c>
      <c r="E477" s="14">
        <v>565</v>
      </c>
      <c r="F477" s="14">
        <v>6.4</v>
      </c>
      <c r="G477" s="14">
        <v>18</v>
      </c>
      <c r="H477" s="14">
        <v>87.62</v>
      </c>
      <c r="I477" s="15">
        <v>0.61</v>
      </c>
    </row>
    <row r="478" spans="1:9" x14ac:dyDescent="0.25">
      <c r="A478" s="12">
        <v>11</v>
      </c>
      <c r="B478" s="13">
        <v>45159</v>
      </c>
      <c r="C478" s="14">
        <v>30.2</v>
      </c>
      <c r="D478" s="14">
        <v>75</v>
      </c>
      <c r="E478" s="14">
        <v>602</v>
      </c>
      <c r="F478" s="14">
        <v>6.2</v>
      </c>
      <c r="G478" s="14">
        <v>19</v>
      </c>
      <c r="H478" s="14">
        <v>86.36</v>
      </c>
      <c r="I478" s="15">
        <v>0.75</v>
      </c>
    </row>
    <row r="479" spans="1:9" x14ac:dyDescent="0.25">
      <c r="A479" s="12">
        <v>11</v>
      </c>
      <c r="B479" s="13">
        <v>45160</v>
      </c>
      <c r="C479" s="14">
        <v>30.5</v>
      </c>
      <c r="D479" s="14">
        <v>71</v>
      </c>
      <c r="E479" s="14">
        <v>602</v>
      </c>
      <c r="F479" s="14">
        <v>6.7</v>
      </c>
      <c r="G479" s="14">
        <v>20</v>
      </c>
      <c r="H479" s="14">
        <v>86.9</v>
      </c>
      <c r="I479" s="15">
        <v>0.71</v>
      </c>
    </row>
    <row r="480" spans="1:9" x14ac:dyDescent="0.25">
      <c r="A480" s="12">
        <v>11</v>
      </c>
      <c r="B480" s="13">
        <v>45161</v>
      </c>
      <c r="C480" s="14">
        <v>30.8</v>
      </c>
      <c r="D480" s="14">
        <v>53</v>
      </c>
      <c r="E480" s="14">
        <v>537</v>
      </c>
      <c r="F480" s="14">
        <v>6.7</v>
      </c>
      <c r="G480" s="14">
        <v>21</v>
      </c>
      <c r="H480" s="14">
        <v>87.44</v>
      </c>
      <c r="I480" s="15">
        <v>0.53</v>
      </c>
    </row>
    <row r="481" spans="1:9" x14ac:dyDescent="0.25">
      <c r="A481" s="12">
        <v>11</v>
      </c>
      <c r="B481" s="13">
        <v>45162</v>
      </c>
      <c r="C481" s="14">
        <v>31.3</v>
      </c>
      <c r="D481" s="14">
        <v>76</v>
      </c>
      <c r="E481" s="14">
        <v>620</v>
      </c>
      <c r="F481" s="14">
        <v>6.6</v>
      </c>
      <c r="G481" s="14">
        <v>22</v>
      </c>
      <c r="H481" s="14">
        <v>88.34</v>
      </c>
      <c r="I481" s="15">
        <v>0.76</v>
      </c>
    </row>
    <row r="482" spans="1:9" x14ac:dyDescent="0.25">
      <c r="A482" s="12">
        <v>11</v>
      </c>
      <c r="B482" s="13">
        <v>45163</v>
      </c>
      <c r="C482" s="14">
        <v>31.4</v>
      </c>
      <c r="D482" s="14">
        <v>75</v>
      </c>
      <c r="E482" s="14">
        <v>539</v>
      </c>
      <c r="F482" s="14">
        <v>6.5</v>
      </c>
      <c r="G482" s="14">
        <v>23</v>
      </c>
      <c r="H482" s="14">
        <v>88.52</v>
      </c>
      <c r="I482" s="15">
        <v>0.75</v>
      </c>
    </row>
    <row r="483" spans="1:9" x14ac:dyDescent="0.25">
      <c r="A483" s="12">
        <v>11</v>
      </c>
      <c r="B483" s="13">
        <v>45164</v>
      </c>
      <c r="C483" s="14">
        <v>31.4</v>
      </c>
      <c r="D483" s="14">
        <v>79</v>
      </c>
      <c r="E483" s="14">
        <v>509</v>
      </c>
      <c r="F483" s="14">
        <v>6.3</v>
      </c>
      <c r="G483" s="14">
        <v>24</v>
      </c>
      <c r="H483" s="14">
        <v>88.52</v>
      </c>
      <c r="I483" s="15">
        <v>0.79</v>
      </c>
    </row>
    <row r="484" spans="1:9" x14ac:dyDescent="0.25">
      <c r="A484" s="12">
        <v>11</v>
      </c>
      <c r="B484" s="13">
        <v>45165</v>
      </c>
      <c r="C484" s="14">
        <v>30.1</v>
      </c>
      <c r="D484" s="14">
        <v>76</v>
      </c>
      <c r="E484" s="14">
        <v>489</v>
      </c>
      <c r="F484" s="14">
        <v>6.3</v>
      </c>
      <c r="G484" s="14">
        <v>25</v>
      </c>
      <c r="H484" s="14">
        <v>86.18</v>
      </c>
      <c r="I484" s="15">
        <v>0.76</v>
      </c>
    </row>
    <row r="485" spans="1:9" x14ac:dyDescent="0.25">
      <c r="A485" s="12">
        <v>11</v>
      </c>
      <c r="B485" s="13">
        <v>45166</v>
      </c>
      <c r="C485" s="14">
        <v>29.4</v>
      </c>
      <c r="D485" s="14">
        <v>52</v>
      </c>
      <c r="E485" s="14">
        <v>589</v>
      </c>
      <c r="F485" s="14">
        <v>6.1</v>
      </c>
      <c r="G485" s="14">
        <v>26</v>
      </c>
      <c r="H485" s="14">
        <v>84.92</v>
      </c>
      <c r="I485" s="15">
        <v>0.52</v>
      </c>
    </row>
    <row r="486" spans="1:9" x14ac:dyDescent="0.25">
      <c r="A486" s="12">
        <v>11</v>
      </c>
      <c r="B486" s="13">
        <v>45167</v>
      </c>
      <c r="C486" s="14">
        <v>28.7</v>
      </c>
      <c r="D486" s="14">
        <v>72</v>
      </c>
      <c r="E486" s="14">
        <v>695</v>
      </c>
      <c r="F486" s="14">
        <v>6.5</v>
      </c>
      <c r="G486" s="14">
        <v>27</v>
      </c>
      <c r="H486" s="14">
        <v>83.66</v>
      </c>
      <c r="I486" s="15">
        <v>0.72</v>
      </c>
    </row>
    <row r="487" spans="1:9" x14ac:dyDescent="0.25">
      <c r="A487" s="12">
        <v>11</v>
      </c>
      <c r="B487" s="13">
        <v>45168</v>
      </c>
      <c r="C487" s="14">
        <v>29.1</v>
      </c>
      <c r="D487" s="14">
        <v>69</v>
      </c>
      <c r="E487" s="14">
        <v>421</v>
      </c>
      <c r="F487" s="14">
        <v>6.1</v>
      </c>
      <c r="G487" s="14">
        <v>28</v>
      </c>
      <c r="H487" s="14">
        <v>84.38</v>
      </c>
      <c r="I487" s="15">
        <v>0.69</v>
      </c>
    </row>
    <row r="488" spans="1:9" x14ac:dyDescent="0.25">
      <c r="A488" s="12">
        <v>11</v>
      </c>
      <c r="B488" s="13">
        <v>45169</v>
      </c>
      <c r="C488" s="14">
        <v>29.2</v>
      </c>
      <c r="D488" s="14">
        <v>62</v>
      </c>
      <c r="E488" s="14">
        <v>402</v>
      </c>
      <c r="F488" s="14">
        <v>6.7</v>
      </c>
      <c r="G488" s="14">
        <v>29</v>
      </c>
      <c r="H488" s="14">
        <v>84.56</v>
      </c>
      <c r="I488" s="15">
        <v>0.62</v>
      </c>
    </row>
    <row r="489" spans="1:9" x14ac:dyDescent="0.25">
      <c r="A489" s="12">
        <v>11</v>
      </c>
      <c r="B489" s="13">
        <v>45170</v>
      </c>
      <c r="C489" s="14">
        <v>31.7</v>
      </c>
      <c r="D489" s="14">
        <v>55</v>
      </c>
      <c r="E489" s="14">
        <v>765</v>
      </c>
      <c r="F489" s="14">
        <v>6.5</v>
      </c>
      <c r="G489" s="14">
        <v>30</v>
      </c>
      <c r="H489" s="14">
        <v>89.06</v>
      </c>
      <c r="I489" s="15">
        <v>0.55000000000000004</v>
      </c>
    </row>
    <row r="490" spans="1:9" x14ac:dyDescent="0.25">
      <c r="A490" s="12">
        <v>11</v>
      </c>
      <c r="B490" s="13">
        <v>45171</v>
      </c>
      <c r="C490" s="14">
        <v>31.7</v>
      </c>
      <c r="D490" s="14">
        <v>67</v>
      </c>
      <c r="E490" s="14">
        <v>473</v>
      </c>
      <c r="F490" s="14">
        <v>6.7</v>
      </c>
      <c r="G490" s="14">
        <v>31</v>
      </c>
      <c r="H490" s="14">
        <v>89.06</v>
      </c>
      <c r="I490" s="15">
        <v>0.67</v>
      </c>
    </row>
    <row r="491" spans="1:9" x14ac:dyDescent="0.25">
      <c r="A491" s="12">
        <v>11</v>
      </c>
      <c r="B491" s="13">
        <v>45172</v>
      </c>
      <c r="C491" s="14">
        <v>31.7</v>
      </c>
      <c r="D491" s="14">
        <v>54</v>
      </c>
      <c r="E491" s="14">
        <v>749</v>
      </c>
      <c r="F491" s="14">
        <v>6.3</v>
      </c>
      <c r="G491" s="14">
        <v>32</v>
      </c>
      <c r="H491" s="14">
        <v>89.06</v>
      </c>
      <c r="I491" s="15">
        <v>0.54</v>
      </c>
    </row>
    <row r="492" spans="1:9" x14ac:dyDescent="0.25">
      <c r="A492" s="12">
        <v>11</v>
      </c>
      <c r="B492" s="13">
        <v>45173</v>
      </c>
      <c r="C492" s="14">
        <v>31.7</v>
      </c>
      <c r="D492" s="14">
        <v>76</v>
      </c>
      <c r="E492" s="14">
        <v>452</v>
      </c>
      <c r="F492" s="14">
        <v>6.3</v>
      </c>
      <c r="G492" s="14">
        <v>33</v>
      </c>
      <c r="H492" s="14">
        <v>89.06</v>
      </c>
      <c r="I492" s="15">
        <v>0.76</v>
      </c>
    </row>
    <row r="493" spans="1:9" x14ac:dyDescent="0.25">
      <c r="A493" s="12">
        <v>11</v>
      </c>
      <c r="B493" s="13">
        <v>45174</v>
      </c>
      <c r="C493" s="14">
        <v>32</v>
      </c>
      <c r="D493" s="14">
        <v>63</v>
      </c>
      <c r="E493" s="14">
        <v>539</v>
      </c>
      <c r="F493" s="14">
        <v>6.6</v>
      </c>
      <c r="G493" s="14">
        <v>34</v>
      </c>
      <c r="H493" s="14">
        <v>89.6</v>
      </c>
      <c r="I493" s="15">
        <v>0.63</v>
      </c>
    </row>
    <row r="494" spans="1:9" x14ac:dyDescent="0.25">
      <c r="A494" s="12">
        <v>11</v>
      </c>
      <c r="B494" s="13">
        <v>45175</v>
      </c>
      <c r="C494" s="14">
        <v>32.1</v>
      </c>
      <c r="D494" s="14">
        <v>56</v>
      </c>
      <c r="E494" s="14">
        <v>519</v>
      </c>
      <c r="F494" s="14">
        <v>6.7</v>
      </c>
      <c r="G494" s="14">
        <v>35</v>
      </c>
      <c r="H494" s="14">
        <v>89.78</v>
      </c>
      <c r="I494" s="15">
        <v>0.56000000000000005</v>
      </c>
    </row>
    <row r="495" spans="1:9" x14ac:dyDescent="0.25">
      <c r="A495" s="12">
        <v>11</v>
      </c>
      <c r="B495" s="13">
        <v>45176</v>
      </c>
      <c r="C495" s="14">
        <v>31.5</v>
      </c>
      <c r="D495" s="14">
        <v>80</v>
      </c>
      <c r="E495" s="14">
        <v>424</v>
      </c>
      <c r="F495" s="14">
        <v>6.6</v>
      </c>
      <c r="G495" s="14">
        <v>36</v>
      </c>
      <c r="H495" s="14">
        <v>88.7</v>
      </c>
      <c r="I495" s="15">
        <v>0.8</v>
      </c>
    </row>
    <row r="496" spans="1:9" x14ac:dyDescent="0.25">
      <c r="A496" s="12">
        <v>11</v>
      </c>
      <c r="B496" s="13">
        <v>45177</v>
      </c>
      <c r="C496" s="14">
        <v>29.8</v>
      </c>
      <c r="D496" s="14">
        <v>57</v>
      </c>
      <c r="E496" s="14">
        <v>476</v>
      </c>
      <c r="F496" s="14">
        <v>6.3</v>
      </c>
      <c r="G496" s="14">
        <v>37</v>
      </c>
      <c r="H496" s="14">
        <v>85.64</v>
      </c>
      <c r="I496" s="15">
        <v>0.56999999999999995</v>
      </c>
    </row>
    <row r="497" spans="1:9" x14ac:dyDescent="0.25">
      <c r="A497" s="12">
        <v>11</v>
      </c>
      <c r="B497" s="13">
        <v>45178</v>
      </c>
      <c r="C497" s="14">
        <v>20.100000000000001</v>
      </c>
      <c r="D497" s="14">
        <v>50</v>
      </c>
      <c r="E497" s="14">
        <v>662</v>
      </c>
      <c r="F497" s="14">
        <v>6</v>
      </c>
      <c r="G497" s="14">
        <v>38</v>
      </c>
      <c r="H497" s="14">
        <v>68.180000000000007</v>
      </c>
      <c r="I497" s="15">
        <v>0.5</v>
      </c>
    </row>
    <row r="498" spans="1:9" x14ac:dyDescent="0.25">
      <c r="A498" s="12">
        <v>11</v>
      </c>
      <c r="B498" s="13">
        <v>45179</v>
      </c>
      <c r="C498" s="14">
        <v>31.1</v>
      </c>
      <c r="D498" s="14">
        <v>67</v>
      </c>
      <c r="E498" s="14">
        <v>552</v>
      </c>
      <c r="F498" s="14">
        <v>6.5</v>
      </c>
      <c r="G498" s="14">
        <v>39</v>
      </c>
      <c r="H498" s="14">
        <v>87.98</v>
      </c>
      <c r="I498" s="15">
        <v>0.67</v>
      </c>
    </row>
    <row r="499" spans="1:9" x14ac:dyDescent="0.25">
      <c r="A499" s="12">
        <v>11</v>
      </c>
      <c r="B499" s="13">
        <v>45180</v>
      </c>
      <c r="C499" s="14">
        <v>31.2</v>
      </c>
      <c r="D499" s="14">
        <v>52</v>
      </c>
      <c r="E499" s="14">
        <v>671</v>
      </c>
      <c r="F499" s="14">
        <v>6.4</v>
      </c>
      <c r="G499" s="14">
        <v>40</v>
      </c>
      <c r="H499" s="14">
        <v>88.16</v>
      </c>
      <c r="I499" s="15">
        <v>0.52</v>
      </c>
    </row>
    <row r="500" spans="1:9" x14ac:dyDescent="0.25">
      <c r="A500" s="12">
        <v>11</v>
      </c>
      <c r="B500" s="13">
        <v>45181</v>
      </c>
      <c r="C500" s="14">
        <v>31.2</v>
      </c>
      <c r="D500" s="14">
        <v>66</v>
      </c>
      <c r="E500" s="14">
        <v>402</v>
      </c>
      <c r="F500" s="14">
        <v>6.6</v>
      </c>
      <c r="G500" s="14">
        <v>41</v>
      </c>
      <c r="H500" s="14">
        <v>88.16</v>
      </c>
      <c r="I500" s="15">
        <v>0.66</v>
      </c>
    </row>
    <row r="501" spans="1:9" x14ac:dyDescent="0.25">
      <c r="A501" s="12">
        <v>11</v>
      </c>
      <c r="B501" s="13">
        <v>45182</v>
      </c>
      <c r="C501" s="14">
        <v>30.4</v>
      </c>
      <c r="D501" s="14">
        <v>60</v>
      </c>
      <c r="E501" s="14">
        <v>690</v>
      </c>
      <c r="F501" s="14">
        <v>6.3</v>
      </c>
      <c r="G501" s="14">
        <v>42</v>
      </c>
      <c r="H501" s="14">
        <v>86.72</v>
      </c>
      <c r="I501" s="15">
        <v>0.6</v>
      </c>
    </row>
    <row r="502" spans="1:9" x14ac:dyDescent="0.25">
      <c r="A502" s="12">
        <v>11</v>
      </c>
      <c r="B502" s="13">
        <v>45183</v>
      </c>
      <c r="C502" s="14">
        <v>29.1</v>
      </c>
      <c r="D502" s="14">
        <v>55</v>
      </c>
      <c r="E502" s="14">
        <v>660</v>
      </c>
      <c r="F502" s="14">
        <v>6.3</v>
      </c>
      <c r="G502" s="14">
        <v>43</v>
      </c>
      <c r="H502" s="14">
        <v>84.38</v>
      </c>
      <c r="I502" s="15">
        <v>0.55000000000000004</v>
      </c>
    </row>
    <row r="503" spans="1:9" x14ac:dyDescent="0.25">
      <c r="A503" s="12">
        <v>11</v>
      </c>
      <c r="B503" s="13">
        <v>45184</v>
      </c>
      <c r="C503" s="14">
        <v>30.6</v>
      </c>
      <c r="D503" s="14">
        <v>63</v>
      </c>
      <c r="E503" s="14">
        <v>692</v>
      </c>
      <c r="F503" s="14">
        <v>6.1</v>
      </c>
      <c r="G503" s="14">
        <v>44</v>
      </c>
      <c r="H503" s="14">
        <v>87.08</v>
      </c>
      <c r="I503" s="15">
        <v>0.63</v>
      </c>
    </row>
    <row r="504" spans="1:9" x14ac:dyDescent="0.25">
      <c r="A504" s="12">
        <v>11</v>
      </c>
      <c r="B504" s="13">
        <v>45185</v>
      </c>
      <c r="C504" s="14">
        <v>31.5</v>
      </c>
      <c r="D504" s="14">
        <v>79</v>
      </c>
      <c r="E504" s="14">
        <v>508</v>
      </c>
      <c r="F504" s="14">
        <v>6.5</v>
      </c>
      <c r="G504" s="14">
        <v>45</v>
      </c>
      <c r="H504" s="14">
        <v>88.7</v>
      </c>
      <c r="I504" s="15">
        <v>0.79</v>
      </c>
    </row>
    <row r="505" spans="1:9" x14ac:dyDescent="0.25">
      <c r="A505" s="12">
        <v>11</v>
      </c>
      <c r="B505" s="13">
        <v>45186</v>
      </c>
      <c r="C505" s="14">
        <v>32.1</v>
      </c>
      <c r="D505" s="14">
        <v>62</v>
      </c>
      <c r="E505" s="14">
        <v>589</v>
      </c>
      <c r="F505" s="14">
        <v>6.4</v>
      </c>
      <c r="G505" s="14">
        <v>46</v>
      </c>
      <c r="H505" s="14">
        <v>89.78</v>
      </c>
      <c r="I505" s="15">
        <v>0.62</v>
      </c>
    </row>
    <row r="506" spans="1:9" x14ac:dyDescent="0.25">
      <c r="A506" s="12">
        <v>11</v>
      </c>
      <c r="B506" s="13">
        <v>45187</v>
      </c>
      <c r="C506" s="14">
        <v>31.2</v>
      </c>
      <c r="D506" s="14">
        <v>75</v>
      </c>
      <c r="E506" s="14">
        <v>519</v>
      </c>
      <c r="F506" s="14">
        <v>6.3</v>
      </c>
      <c r="G506" s="14">
        <v>47</v>
      </c>
      <c r="H506" s="14">
        <v>88.16</v>
      </c>
      <c r="I506" s="15">
        <v>0.75</v>
      </c>
    </row>
    <row r="507" spans="1:9" x14ac:dyDescent="0.25">
      <c r="A507" s="12">
        <v>12</v>
      </c>
      <c r="B507" s="13">
        <v>45141</v>
      </c>
      <c r="C507" s="14">
        <v>33.4</v>
      </c>
      <c r="D507" s="14">
        <v>77</v>
      </c>
      <c r="E507" s="14">
        <v>611</v>
      </c>
      <c r="F507" s="14">
        <v>6.2</v>
      </c>
      <c r="G507" s="14">
        <v>1</v>
      </c>
      <c r="H507" s="14">
        <v>92.12</v>
      </c>
      <c r="I507" s="15">
        <v>0.77</v>
      </c>
    </row>
    <row r="508" spans="1:9" x14ac:dyDescent="0.25">
      <c r="A508" s="12">
        <v>12</v>
      </c>
      <c r="B508" s="13">
        <v>45142</v>
      </c>
      <c r="C508" s="14">
        <v>33.5</v>
      </c>
      <c r="D508" s="14">
        <v>58</v>
      </c>
      <c r="E508" s="14">
        <v>442</v>
      </c>
      <c r="F508" s="14">
        <v>6.7</v>
      </c>
      <c r="G508" s="14">
        <v>2</v>
      </c>
      <c r="H508" s="14">
        <v>92.3</v>
      </c>
      <c r="I508" s="15">
        <v>0.57999999999999996</v>
      </c>
    </row>
    <row r="509" spans="1:9" x14ac:dyDescent="0.25">
      <c r="A509" s="12">
        <v>12</v>
      </c>
      <c r="B509" s="13">
        <v>45143</v>
      </c>
      <c r="C509" s="14">
        <v>33.4</v>
      </c>
      <c r="D509" s="14">
        <v>75</v>
      </c>
      <c r="E509" s="14">
        <v>756</v>
      </c>
      <c r="F509" s="14">
        <v>6.6</v>
      </c>
      <c r="G509" s="14">
        <v>3</v>
      </c>
      <c r="H509" s="14">
        <v>92.12</v>
      </c>
      <c r="I509" s="15">
        <v>0.75</v>
      </c>
    </row>
    <row r="510" spans="1:9" x14ac:dyDescent="0.25">
      <c r="A510" s="12">
        <v>12</v>
      </c>
      <c r="B510" s="13">
        <v>45144</v>
      </c>
      <c r="C510" s="14">
        <v>33.4</v>
      </c>
      <c r="D510" s="14">
        <v>60</v>
      </c>
      <c r="E510" s="14">
        <v>732</v>
      </c>
      <c r="F510" s="14">
        <v>6.1</v>
      </c>
      <c r="G510" s="14">
        <v>4</v>
      </c>
      <c r="H510" s="14">
        <v>92.12</v>
      </c>
      <c r="I510" s="15">
        <v>0.6</v>
      </c>
    </row>
    <row r="511" spans="1:9" x14ac:dyDescent="0.25">
      <c r="A511" s="12">
        <v>12</v>
      </c>
      <c r="B511" s="13">
        <v>45145</v>
      </c>
      <c r="C511" s="14">
        <v>33.4</v>
      </c>
      <c r="D511" s="14">
        <v>71</v>
      </c>
      <c r="E511" s="14">
        <v>640</v>
      </c>
      <c r="F511" s="14">
        <v>6.3</v>
      </c>
      <c r="G511" s="14">
        <v>5</v>
      </c>
      <c r="H511" s="14">
        <v>92.12</v>
      </c>
      <c r="I511" s="15">
        <v>0.71</v>
      </c>
    </row>
    <row r="512" spans="1:9" x14ac:dyDescent="0.25">
      <c r="A512" s="12">
        <v>12</v>
      </c>
      <c r="B512" s="13">
        <v>45146</v>
      </c>
      <c r="C512" s="14">
        <v>32.299999999999997</v>
      </c>
      <c r="D512" s="14">
        <v>71</v>
      </c>
      <c r="E512" s="14">
        <v>515</v>
      </c>
      <c r="F512" s="14">
        <v>6.6</v>
      </c>
      <c r="G512" s="14">
        <v>6</v>
      </c>
      <c r="H512" s="14">
        <v>90.14</v>
      </c>
      <c r="I512" s="15">
        <v>0.71</v>
      </c>
    </row>
    <row r="513" spans="1:9" x14ac:dyDescent="0.25">
      <c r="A513" s="12">
        <v>12</v>
      </c>
      <c r="B513" s="13">
        <v>45147</v>
      </c>
      <c r="C513" s="14">
        <v>32.299999999999997</v>
      </c>
      <c r="D513" s="14">
        <v>60</v>
      </c>
      <c r="E513" s="14">
        <v>435</v>
      </c>
      <c r="F513" s="14">
        <v>6.4</v>
      </c>
      <c r="G513" s="14">
        <v>7</v>
      </c>
      <c r="H513" s="14">
        <v>90.14</v>
      </c>
      <c r="I513" s="15">
        <v>0.6</v>
      </c>
    </row>
    <row r="514" spans="1:9" x14ac:dyDescent="0.25">
      <c r="A514" s="12">
        <v>12</v>
      </c>
      <c r="B514" s="13">
        <v>45148</v>
      </c>
      <c r="C514" s="14">
        <v>22.7</v>
      </c>
      <c r="D514" s="14">
        <v>58</v>
      </c>
      <c r="E514" s="14">
        <v>517</v>
      </c>
      <c r="F514" s="14">
        <v>6.2</v>
      </c>
      <c r="G514" s="14">
        <v>8</v>
      </c>
      <c r="H514" s="14">
        <v>72.86</v>
      </c>
      <c r="I514" s="15">
        <v>0.57999999999999996</v>
      </c>
    </row>
    <row r="515" spans="1:9" x14ac:dyDescent="0.25">
      <c r="A515" s="12">
        <v>12</v>
      </c>
      <c r="B515" s="13">
        <v>45149</v>
      </c>
      <c r="C515" s="14">
        <v>31.9</v>
      </c>
      <c r="D515" s="14">
        <v>55</v>
      </c>
      <c r="E515" s="14">
        <v>602</v>
      </c>
      <c r="F515" s="14">
        <v>6.2</v>
      </c>
      <c r="G515" s="14">
        <v>9</v>
      </c>
      <c r="H515" s="14">
        <v>89.42</v>
      </c>
      <c r="I515" s="15">
        <v>0.55000000000000004</v>
      </c>
    </row>
    <row r="516" spans="1:9" x14ac:dyDescent="0.25">
      <c r="A516" s="12">
        <v>12</v>
      </c>
      <c r="B516" s="13">
        <v>45150</v>
      </c>
      <c r="C516" s="14">
        <v>30.2</v>
      </c>
      <c r="D516" s="14">
        <v>51</v>
      </c>
      <c r="E516" s="14">
        <v>711</v>
      </c>
      <c r="F516" s="14">
        <v>6</v>
      </c>
      <c r="G516" s="14">
        <v>10</v>
      </c>
      <c r="H516" s="14">
        <v>86.36</v>
      </c>
      <c r="I516" s="15">
        <v>0.51</v>
      </c>
    </row>
    <row r="517" spans="1:9" x14ac:dyDescent="0.25">
      <c r="A517" s="12">
        <v>12</v>
      </c>
      <c r="B517" s="13">
        <v>45151</v>
      </c>
      <c r="C517" s="14">
        <v>30.1</v>
      </c>
      <c r="D517" s="14">
        <v>59</v>
      </c>
      <c r="E517" s="14">
        <v>712</v>
      </c>
      <c r="F517" s="14">
        <v>6.1</v>
      </c>
      <c r="G517" s="14">
        <v>11</v>
      </c>
      <c r="H517" s="14">
        <v>86.18</v>
      </c>
      <c r="I517" s="15">
        <v>0.59</v>
      </c>
    </row>
    <row r="518" spans="1:9" x14ac:dyDescent="0.25">
      <c r="A518" s="12">
        <v>12</v>
      </c>
      <c r="B518" s="13">
        <v>45152</v>
      </c>
      <c r="C518" s="14">
        <v>30.1</v>
      </c>
      <c r="D518" s="14">
        <v>64</v>
      </c>
      <c r="E518" s="14">
        <v>529</v>
      </c>
      <c r="F518" s="14">
        <v>6.8</v>
      </c>
      <c r="G518" s="14">
        <v>12</v>
      </c>
      <c r="H518" s="14">
        <v>86.18</v>
      </c>
      <c r="I518" s="15">
        <v>0.64</v>
      </c>
    </row>
    <row r="519" spans="1:9" x14ac:dyDescent="0.25">
      <c r="A519" s="12">
        <v>12</v>
      </c>
      <c r="B519" s="13">
        <v>45153</v>
      </c>
      <c r="C519" s="14">
        <v>30.1</v>
      </c>
      <c r="D519" s="14">
        <v>53</v>
      </c>
      <c r="E519" s="14">
        <v>791</v>
      </c>
      <c r="F519" s="14">
        <v>6.8</v>
      </c>
      <c r="G519" s="14">
        <v>13</v>
      </c>
      <c r="H519" s="14">
        <v>86.18</v>
      </c>
      <c r="I519" s="15">
        <v>0.53</v>
      </c>
    </row>
    <row r="520" spans="1:9" x14ac:dyDescent="0.25">
      <c r="A520" s="12">
        <v>12</v>
      </c>
      <c r="B520" s="13">
        <v>45154</v>
      </c>
      <c r="C520" s="14">
        <v>29.8</v>
      </c>
      <c r="D520" s="14">
        <v>78</v>
      </c>
      <c r="E520" s="14">
        <v>710</v>
      </c>
      <c r="F520" s="14">
        <v>6.6</v>
      </c>
      <c r="G520" s="14">
        <v>14</v>
      </c>
      <c r="H520" s="14">
        <v>85.64</v>
      </c>
      <c r="I520" s="15">
        <v>0.78</v>
      </c>
    </row>
    <row r="521" spans="1:9" x14ac:dyDescent="0.25">
      <c r="A521" s="12">
        <v>12</v>
      </c>
      <c r="B521" s="13">
        <v>45155</v>
      </c>
      <c r="C521" s="14">
        <v>29.6</v>
      </c>
      <c r="D521" s="14">
        <v>70</v>
      </c>
      <c r="E521" s="14">
        <v>497</v>
      </c>
      <c r="F521" s="14">
        <v>6.3</v>
      </c>
      <c r="G521" s="14">
        <v>15</v>
      </c>
      <c r="H521" s="14">
        <v>85.28</v>
      </c>
      <c r="I521" s="15">
        <v>0.7</v>
      </c>
    </row>
    <row r="522" spans="1:9" x14ac:dyDescent="0.25">
      <c r="A522" s="12">
        <v>12</v>
      </c>
      <c r="B522" s="13">
        <v>45156</v>
      </c>
      <c r="C522" s="14">
        <v>30.9</v>
      </c>
      <c r="D522" s="14">
        <v>59</v>
      </c>
      <c r="E522" s="14">
        <v>585</v>
      </c>
      <c r="F522" s="14">
        <v>6.6</v>
      </c>
      <c r="G522" s="14">
        <v>16</v>
      </c>
      <c r="H522" s="14">
        <v>87.62</v>
      </c>
      <c r="I522" s="15">
        <v>0.59</v>
      </c>
    </row>
    <row r="523" spans="1:9" x14ac:dyDescent="0.25">
      <c r="A523" s="12">
        <v>12</v>
      </c>
      <c r="B523" s="13">
        <v>45157</v>
      </c>
      <c r="C523" s="14">
        <v>30.8</v>
      </c>
      <c r="D523" s="14">
        <v>62</v>
      </c>
      <c r="E523" s="14">
        <v>742</v>
      </c>
      <c r="F523" s="14">
        <v>6.7</v>
      </c>
      <c r="G523" s="14">
        <v>17</v>
      </c>
      <c r="H523" s="14">
        <v>87.44</v>
      </c>
      <c r="I523" s="15">
        <v>0.62</v>
      </c>
    </row>
    <row r="524" spans="1:9" x14ac:dyDescent="0.25">
      <c r="A524" s="12">
        <v>12</v>
      </c>
      <c r="B524" s="13">
        <v>45158</v>
      </c>
      <c r="C524" s="14">
        <v>30.9</v>
      </c>
      <c r="D524" s="14">
        <v>70</v>
      </c>
      <c r="E524" s="14">
        <v>628</v>
      </c>
      <c r="F524" s="14">
        <v>6.7</v>
      </c>
      <c r="G524" s="14">
        <v>18</v>
      </c>
      <c r="H524" s="14">
        <v>87.62</v>
      </c>
      <c r="I524" s="15">
        <v>0.7</v>
      </c>
    </row>
    <row r="525" spans="1:9" x14ac:dyDescent="0.25">
      <c r="A525" s="12">
        <v>12</v>
      </c>
      <c r="B525" s="13">
        <v>45159</v>
      </c>
      <c r="C525" s="14">
        <v>30.2</v>
      </c>
      <c r="D525" s="14">
        <v>58</v>
      </c>
      <c r="E525" s="14">
        <v>595</v>
      </c>
      <c r="F525" s="14">
        <v>6.5</v>
      </c>
      <c r="G525" s="14">
        <v>19</v>
      </c>
      <c r="H525" s="14">
        <v>86.36</v>
      </c>
      <c r="I525" s="15">
        <v>0.57999999999999996</v>
      </c>
    </row>
    <row r="526" spans="1:9" x14ac:dyDescent="0.25">
      <c r="A526" s="12">
        <v>12</v>
      </c>
      <c r="B526" s="13">
        <v>45160</v>
      </c>
      <c r="C526" s="14">
        <v>30.5</v>
      </c>
      <c r="D526" s="14">
        <v>54</v>
      </c>
      <c r="E526" s="14">
        <v>463</v>
      </c>
      <c r="F526" s="14">
        <v>6.1</v>
      </c>
      <c r="G526" s="14">
        <v>20</v>
      </c>
      <c r="H526" s="14">
        <v>86.9</v>
      </c>
      <c r="I526" s="15">
        <v>0.54</v>
      </c>
    </row>
    <row r="527" spans="1:9" x14ac:dyDescent="0.25">
      <c r="A527" s="12">
        <v>12</v>
      </c>
      <c r="B527" s="13">
        <v>45161</v>
      </c>
      <c r="C527" s="14">
        <v>30.8</v>
      </c>
      <c r="D527" s="14">
        <v>72</v>
      </c>
      <c r="E527" s="14">
        <v>450</v>
      </c>
      <c r="F527" s="14">
        <v>6.7</v>
      </c>
      <c r="G527" s="14">
        <v>21</v>
      </c>
      <c r="H527" s="14">
        <v>87.44</v>
      </c>
      <c r="I527" s="15">
        <v>0.72</v>
      </c>
    </row>
    <row r="528" spans="1:9" x14ac:dyDescent="0.25">
      <c r="A528" s="12">
        <v>12</v>
      </c>
      <c r="B528" s="13">
        <v>45162</v>
      </c>
      <c r="C528" s="14">
        <v>31.3</v>
      </c>
      <c r="D528" s="14">
        <v>71</v>
      </c>
      <c r="E528" s="14">
        <v>485</v>
      </c>
      <c r="F528" s="14">
        <v>6</v>
      </c>
      <c r="G528" s="14">
        <v>22</v>
      </c>
      <c r="H528" s="14">
        <v>88.34</v>
      </c>
      <c r="I528" s="15">
        <v>0.71</v>
      </c>
    </row>
    <row r="529" spans="1:9" x14ac:dyDescent="0.25">
      <c r="A529" s="12">
        <v>12</v>
      </c>
      <c r="B529" s="13">
        <v>45163</v>
      </c>
      <c r="C529" s="14">
        <v>31.4</v>
      </c>
      <c r="D529" s="14">
        <v>73</v>
      </c>
      <c r="E529" s="14">
        <v>501</v>
      </c>
      <c r="F529" s="14">
        <v>6.2</v>
      </c>
      <c r="G529" s="14">
        <v>23</v>
      </c>
      <c r="H529" s="14">
        <v>88.52</v>
      </c>
      <c r="I529" s="15">
        <v>0.73</v>
      </c>
    </row>
    <row r="530" spans="1:9" x14ac:dyDescent="0.25">
      <c r="A530" s="12">
        <v>12</v>
      </c>
      <c r="B530" s="13">
        <v>45164</v>
      </c>
      <c r="C530" s="14">
        <v>31.4</v>
      </c>
      <c r="D530" s="14">
        <v>72</v>
      </c>
      <c r="E530" s="14">
        <v>483</v>
      </c>
      <c r="F530" s="14">
        <v>6.6</v>
      </c>
      <c r="G530" s="14">
        <v>24</v>
      </c>
      <c r="H530" s="14">
        <v>88.52</v>
      </c>
      <c r="I530" s="15">
        <v>0.72</v>
      </c>
    </row>
    <row r="531" spans="1:9" x14ac:dyDescent="0.25">
      <c r="A531" s="12">
        <v>12</v>
      </c>
      <c r="B531" s="13">
        <v>45165</v>
      </c>
      <c r="C531" s="14">
        <v>30.1</v>
      </c>
      <c r="D531" s="14">
        <v>73</v>
      </c>
      <c r="E531" s="14">
        <v>598</v>
      </c>
      <c r="F531" s="14">
        <v>6.5</v>
      </c>
      <c r="G531" s="14">
        <v>25</v>
      </c>
      <c r="H531" s="14">
        <v>86.18</v>
      </c>
      <c r="I531" s="15">
        <v>0.73</v>
      </c>
    </row>
    <row r="532" spans="1:9" x14ac:dyDescent="0.25">
      <c r="A532" s="12">
        <v>12</v>
      </c>
      <c r="B532" s="13">
        <v>45166</v>
      </c>
      <c r="C532" s="14">
        <v>29.4</v>
      </c>
      <c r="D532" s="14">
        <v>63</v>
      </c>
      <c r="E532" s="14">
        <v>682</v>
      </c>
      <c r="F532" s="14">
        <v>6.5</v>
      </c>
      <c r="G532" s="14">
        <v>26</v>
      </c>
      <c r="H532" s="14">
        <v>84.92</v>
      </c>
      <c r="I532" s="15">
        <v>0.63</v>
      </c>
    </row>
    <row r="533" spans="1:9" x14ac:dyDescent="0.25">
      <c r="A533" s="12">
        <v>12</v>
      </c>
      <c r="B533" s="13">
        <v>45167</v>
      </c>
      <c r="C533" s="14">
        <v>28.7</v>
      </c>
      <c r="D533" s="14">
        <v>66</v>
      </c>
      <c r="E533" s="14">
        <v>577</v>
      </c>
      <c r="F533" s="14">
        <v>6.1</v>
      </c>
      <c r="G533" s="14">
        <v>27</v>
      </c>
      <c r="H533" s="14">
        <v>83.66</v>
      </c>
      <c r="I533" s="15">
        <v>0.66</v>
      </c>
    </row>
    <row r="534" spans="1:9" x14ac:dyDescent="0.25">
      <c r="A534" s="12">
        <v>12</v>
      </c>
      <c r="B534" s="13">
        <v>45168</v>
      </c>
      <c r="C534" s="14">
        <v>29.1</v>
      </c>
      <c r="D534" s="14">
        <v>72</v>
      </c>
      <c r="E534" s="14">
        <v>497</v>
      </c>
      <c r="F534" s="14">
        <v>6.6</v>
      </c>
      <c r="G534" s="14">
        <v>28</v>
      </c>
      <c r="H534" s="14">
        <v>84.38</v>
      </c>
      <c r="I534" s="15">
        <v>0.72</v>
      </c>
    </row>
    <row r="535" spans="1:9" x14ac:dyDescent="0.25">
      <c r="A535" s="12">
        <v>12</v>
      </c>
      <c r="B535" s="13">
        <v>45169</v>
      </c>
      <c r="C535" s="14">
        <v>29.2</v>
      </c>
      <c r="D535" s="14">
        <v>78</v>
      </c>
      <c r="E535" s="14">
        <v>756</v>
      </c>
      <c r="F535" s="14">
        <v>6.1</v>
      </c>
      <c r="G535" s="14">
        <v>29</v>
      </c>
      <c r="H535" s="14">
        <v>84.56</v>
      </c>
      <c r="I535" s="15">
        <v>0.78</v>
      </c>
    </row>
    <row r="536" spans="1:9" x14ac:dyDescent="0.25">
      <c r="A536" s="12">
        <v>12</v>
      </c>
      <c r="B536" s="13">
        <v>45170</v>
      </c>
      <c r="C536" s="14">
        <v>31.7</v>
      </c>
      <c r="D536" s="14">
        <v>75</v>
      </c>
      <c r="E536" s="14">
        <v>467</v>
      </c>
      <c r="F536" s="14">
        <v>6.4</v>
      </c>
      <c r="G536" s="14">
        <v>30</v>
      </c>
      <c r="H536" s="14">
        <v>89.06</v>
      </c>
      <c r="I536" s="15">
        <v>0.75</v>
      </c>
    </row>
    <row r="537" spans="1:9" x14ac:dyDescent="0.25">
      <c r="A537" s="12">
        <v>12</v>
      </c>
      <c r="B537" s="13">
        <v>45171</v>
      </c>
      <c r="C537" s="14">
        <v>31.7</v>
      </c>
      <c r="D537" s="14">
        <v>60</v>
      </c>
      <c r="E537" s="14">
        <v>450</v>
      </c>
      <c r="F537" s="14">
        <v>6.1</v>
      </c>
      <c r="G537" s="14">
        <v>31</v>
      </c>
      <c r="H537" s="14">
        <v>89.06</v>
      </c>
      <c r="I537" s="15">
        <v>0.6</v>
      </c>
    </row>
    <row r="538" spans="1:9" x14ac:dyDescent="0.25">
      <c r="A538" s="12">
        <v>12</v>
      </c>
      <c r="B538" s="13">
        <v>45172</v>
      </c>
      <c r="C538" s="14">
        <v>31.7</v>
      </c>
      <c r="D538" s="14">
        <v>74</v>
      </c>
      <c r="E538" s="14">
        <v>591</v>
      </c>
      <c r="F538" s="14">
        <v>6.2</v>
      </c>
      <c r="G538" s="14">
        <v>32</v>
      </c>
      <c r="H538" s="14">
        <v>89.06</v>
      </c>
      <c r="I538" s="15">
        <v>0.74</v>
      </c>
    </row>
    <row r="539" spans="1:9" x14ac:dyDescent="0.25">
      <c r="A539" s="12">
        <v>12</v>
      </c>
      <c r="B539" s="13">
        <v>45173</v>
      </c>
      <c r="C539" s="14">
        <v>31.7</v>
      </c>
      <c r="D539" s="14">
        <v>73</v>
      </c>
      <c r="E539" s="14">
        <v>693</v>
      </c>
      <c r="F539" s="14">
        <v>6.5</v>
      </c>
      <c r="G539" s="14">
        <v>33</v>
      </c>
      <c r="H539" s="14">
        <v>89.06</v>
      </c>
      <c r="I539" s="15">
        <v>0.73</v>
      </c>
    </row>
    <row r="540" spans="1:9" x14ac:dyDescent="0.25">
      <c r="A540" s="12">
        <v>12</v>
      </c>
      <c r="B540" s="13">
        <v>45174</v>
      </c>
      <c r="C540" s="14">
        <v>32</v>
      </c>
      <c r="D540" s="14">
        <v>75</v>
      </c>
      <c r="E540" s="14">
        <v>467</v>
      </c>
      <c r="F540" s="14">
        <v>6.7</v>
      </c>
      <c r="G540" s="14">
        <v>34</v>
      </c>
      <c r="H540" s="14">
        <v>89.6</v>
      </c>
      <c r="I540" s="15">
        <v>0.75</v>
      </c>
    </row>
    <row r="541" spans="1:9" x14ac:dyDescent="0.25">
      <c r="A541" s="12">
        <v>12</v>
      </c>
      <c r="B541" s="13">
        <v>45175</v>
      </c>
      <c r="C541" s="14">
        <v>32.1</v>
      </c>
      <c r="D541" s="14">
        <v>55</v>
      </c>
      <c r="E541" s="14">
        <v>537</v>
      </c>
      <c r="F541" s="14">
        <v>6</v>
      </c>
      <c r="G541" s="14">
        <v>35</v>
      </c>
      <c r="H541" s="14">
        <v>89.78</v>
      </c>
      <c r="I541" s="15">
        <v>0.55000000000000004</v>
      </c>
    </row>
    <row r="542" spans="1:9" x14ac:dyDescent="0.25">
      <c r="A542" s="12">
        <v>12</v>
      </c>
      <c r="B542" s="13">
        <v>45176</v>
      </c>
      <c r="C542" s="14">
        <v>31.5</v>
      </c>
      <c r="D542" s="14">
        <v>69</v>
      </c>
      <c r="E542" s="14">
        <v>630</v>
      </c>
      <c r="F542" s="14">
        <v>6.4</v>
      </c>
      <c r="G542" s="14">
        <v>36</v>
      </c>
      <c r="H542" s="14">
        <v>88.7</v>
      </c>
      <c r="I542" s="15">
        <v>0.69</v>
      </c>
    </row>
    <row r="543" spans="1:9" x14ac:dyDescent="0.25">
      <c r="A543" s="12">
        <v>12</v>
      </c>
      <c r="B543" s="13">
        <v>45177</v>
      </c>
      <c r="C543" s="14">
        <v>29.8</v>
      </c>
      <c r="D543" s="14">
        <v>58</v>
      </c>
      <c r="E543" s="14">
        <v>612</v>
      </c>
      <c r="F543" s="14">
        <v>6.8</v>
      </c>
      <c r="G543" s="14">
        <v>37</v>
      </c>
      <c r="H543" s="14">
        <v>85.64</v>
      </c>
      <c r="I543" s="15">
        <v>0.57999999999999996</v>
      </c>
    </row>
    <row r="544" spans="1:9" x14ac:dyDescent="0.25">
      <c r="A544" s="12">
        <v>12</v>
      </c>
      <c r="B544" s="13">
        <v>45178</v>
      </c>
      <c r="C544" s="14">
        <v>20.100000000000001</v>
      </c>
      <c r="D544" s="14">
        <v>58</v>
      </c>
      <c r="E544" s="14">
        <v>752</v>
      </c>
      <c r="F544" s="14">
        <v>6.2</v>
      </c>
      <c r="G544" s="14">
        <v>38</v>
      </c>
      <c r="H544" s="14">
        <v>68.180000000000007</v>
      </c>
      <c r="I544" s="15">
        <v>0.57999999999999996</v>
      </c>
    </row>
    <row r="545" spans="1:9" x14ac:dyDescent="0.25">
      <c r="A545" s="12">
        <v>12</v>
      </c>
      <c r="B545" s="13">
        <v>45179</v>
      </c>
      <c r="C545" s="14">
        <v>31.1</v>
      </c>
      <c r="D545" s="14">
        <v>73</v>
      </c>
      <c r="E545" s="14">
        <v>435</v>
      </c>
      <c r="F545" s="14">
        <v>6.3</v>
      </c>
      <c r="G545" s="14">
        <v>39</v>
      </c>
      <c r="H545" s="14">
        <v>87.98</v>
      </c>
      <c r="I545" s="15">
        <v>0.73</v>
      </c>
    </row>
    <row r="546" spans="1:9" x14ac:dyDescent="0.25">
      <c r="A546" s="12">
        <v>12</v>
      </c>
      <c r="B546" s="13">
        <v>45180</v>
      </c>
      <c r="C546" s="14">
        <v>31.2</v>
      </c>
      <c r="D546" s="14">
        <v>60</v>
      </c>
      <c r="E546" s="14">
        <v>616</v>
      </c>
      <c r="F546" s="14">
        <v>6.5</v>
      </c>
      <c r="G546" s="14">
        <v>40</v>
      </c>
      <c r="H546" s="14">
        <v>88.16</v>
      </c>
      <c r="I546" s="15">
        <v>0.6</v>
      </c>
    </row>
    <row r="547" spans="1:9" x14ac:dyDescent="0.25">
      <c r="A547" s="12">
        <v>12</v>
      </c>
      <c r="B547" s="13">
        <v>45181</v>
      </c>
      <c r="C547" s="14">
        <v>31.2</v>
      </c>
      <c r="D547" s="14">
        <v>64</v>
      </c>
      <c r="E547" s="14">
        <v>438</v>
      </c>
      <c r="F547" s="14">
        <v>6</v>
      </c>
      <c r="G547" s="14">
        <v>41</v>
      </c>
      <c r="H547" s="14">
        <v>88.16</v>
      </c>
      <c r="I547" s="15">
        <v>0.64</v>
      </c>
    </row>
    <row r="548" spans="1:9" x14ac:dyDescent="0.25">
      <c r="A548" s="12">
        <v>12</v>
      </c>
      <c r="B548" s="13">
        <v>45182</v>
      </c>
      <c r="C548" s="14">
        <v>30.4</v>
      </c>
      <c r="D548" s="14">
        <v>56</v>
      </c>
      <c r="E548" s="14">
        <v>507</v>
      </c>
      <c r="F548" s="14">
        <v>6.4</v>
      </c>
      <c r="G548" s="14">
        <v>42</v>
      </c>
      <c r="H548" s="14">
        <v>86.72</v>
      </c>
      <c r="I548" s="15">
        <v>0.56000000000000005</v>
      </c>
    </row>
    <row r="549" spans="1:9" x14ac:dyDescent="0.25">
      <c r="A549" s="12">
        <v>12</v>
      </c>
      <c r="B549" s="13">
        <v>45183</v>
      </c>
      <c r="C549" s="14">
        <v>29.1</v>
      </c>
      <c r="D549" s="14">
        <v>51</v>
      </c>
      <c r="E549" s="14">
        <v>423</v>
      </c>
      <c r="F549" s="14">
        <v>6.5</v>
      </c>
      <c r="G549" s="14">
        <v>43</v>
      </c>
      <c r="H549" s="14">
        <v>84.38</v>
      </c>
      <c r="I549" s="15">
        <v>0.51</v>
      </c>
    </row>
    <row r="550" spans="1:9" x14ac:dyDescent="0.25">
      <c r="A550" s="12">
        <v>12</v>
      </c>
      <c r="B550" s="13">
        <v>45184</v>
      </c>
      <c r="C550" s="14">
        <v>30.6</v>
      </c>
      <c r="D550" s="14">
        <v>71</v>
      </c>
      <c r="E550" s="14">
        <v>538</v>
      </c>
      <c r="F550" s="14">
        <v>6.4</v>
      </c>
      <c r="G550" s="14">
        <v>44</v>
      </c>
      <c r="H550" s="14">
        <v>87.08</v>
      </c>
      <c r="I550" s="15">
        <v>0.71</v>
      </c>
    </row>
    <row r="551" spans="1:9" x14ac:dyDescent="0.25">
      <c r="A551" s="12">
        <v>12</v>
      </c>
      <c r="B551" s="13">
        <v>45185</v>
      </c>
      <c r="C551" s="14">
        <v>31.5</v>
      </c>
      <c r="D551" s="14">
        <v>72</v>
      </c>
      <c r="E551" s="14">
        <v>735</v>
      </c>
      <c r="F551" s="14">
        <v>6</v>
      </c>
      <c r="G551" s="14">
        <v>45</v>
      </c>
      <c r="H551" s="14">
        <v>88.7</v>
      </c>
      <c r="I551" s="15">
        <v>0.72</v>
      </c>
    </row>
    <row r="552" spans="1:9" x14ac:dyDescent="0.25">
      <c r="A552" s="12">
        <v>13</v>
      </c>
      <c r="B552" s="13">
        <v>45141</v>
      </c>
      <c r="C552" s="14">
        <v>33.4</v>
      </c>
      <c r="D552" s="14">
        <v>59</v>
      </c>
      <c r="E552" s="14">
        <v>544</v>
      </c>
      <c r="F552" s="14">
        <v>6.8</v>
      </c>
      <c r="G552" s="14">
        <v>1</v>
      </c>
      <c r="H552" s="14">
        <v>92.12</v>
      </c>
      <c r="I552" s="15">
        <v>0.59</v>
      </c>
    </row>
    <row r="553" spans="1:9" x14ac:dyDescent="0.25">
      <c r="A553" s="12">
        <v>13</v>
      </c>
      <c r="B553" s="13">
        <v>45142</v>
      </c>
      <c r="C553" s="14">
        <v>33.5</v>
      </c>
      <c r="D553" s="14">
        <v>52</v>
      </c>
      <c r="E553" s="14">
        <v>452</v>
      </c>
      <c r="F553" s="14">
        <v>6.2</v>
      </c>
      <c r="G553" s="14">
        <v>2</v>
      </c>
      <c r="H553" s="14">
        <v>92.3</v>
      </c>
      <c r="I553" s="15">
        <v>0.52</v>
      </c>
    </row>
    <row r="554" spans="1:9" x14ac:dyDescent="0.25">
      <c r="A554" s="12">
        <v>13</v>
      </c>
      <c r="B554" s="13">
        <v>45143</v>
      </c>
      <c r="C554" s="14">
        <v>33.4</v>
      </c>
      <c r="D554" s="14">
        <v>71</v>
      </c>
      <c r="E554" s="14">
        <v>789</v>
      </c>
      <c r="F554" s="14">
        <v>6.2</v>
      </c>
      <c r="G554" s="14">
        <v>3</v>
      </c>
      <c r="H554" s="14">
        <v>92.12</v>
      </c>
      <c r="I554" s="15">
        <v>0.71</v>
      </c>
    </row>
    <row r="555" spans="1:9" x14ac:dyDescent="0.25">
      <c r="A555" s="12">
        <v>13</v>
      </c>
      <c r="B555" s="13">
        <v>45144</v>
      </c>
      <c r="C555" s="14">
        <v>33.4</v>
      </c>
      <c r="D555" s="14">
        <v>63</v>
      </c>
      <c r="E555" s="14">
        <v>583</v>
      </c>
      <c r="F555" s="14">
        <v>6.5</v>
      </c>
      <c r="G555" s="14">
        <v>4</v>
      </c>
      <c r="H555" s="14">
        <v>92.12</v>
      </c>
      <c r="I555" s="15">
        <v>0.63</v>
      </c>
    </row>
    <row r="556" spans="1:9" x14ac:dyDescent="0.25">
      <c r="A556" s="12">
        <v>13</v>
      </c>
      <c r="B556" s="13">
        <v>45145</v>
      </c>
      <c r="C556" s="14">
        <v>33.4</v>
      </c>
      <c r="D556" s="14">
        <v>77</v>
      </c>
      <c r="E556" s="14">
        <v>657</v>
      </c>
      <c r="F556" s="14">
        <v>6.5</v>
      </c>
      <c r="G556" s="14">
        <v>5</v>
      </c>
      <c r="H556" s="14">
        <v>92.12</v>
      </c>
      <c r="I556" s="15">
        <v>0.77</v>
      </c>
    </row>
    <row r="557" spans="1:9" x14ac:dyDescent="0.25">
      <c r="A557" s="12">
        <v>13</v>
      </c>
      <c r="B557" s="13">
        <v>45146</v>
      </c>
      <c r="C557" s="14">
        <v>32.299999999999997</v>
      </c>
      <c r="D557" s="14">
        <v>67</v>
      </c>
      <c r="E557" s="14">
        <v>435</v>
      </c>
      <c r="F557" s="14">
        <v>6.3</v>
      </c>
      <c r="G557" s="14">
        <v>6</v>
      </c>
      <c r="H557" s="14">
        <v>90.14</v>
      </c>
      <c r="I557" s="15">
        <v>0.67</v>
      </c>
    </row>
    <row r="558" spans="1:9" x14ac:dyDescent="0.25">
      <c r="A558" s="12">
        <v>13</v>
      </c>
      <c r="B558" s="13">
        <v>45147</v>
      </c>
      <c r="C558" s="14">
        <v>32.299999999999997</v>
      </c>
      <c r="D558" s="14">
        <v>72</v>
      </c>
      <c r="E558" s="14">
        <v>459</v>
      </c>
      <c r="F558" s="14">
        <v>6.1</v>
      </c>
      <c r="G558" s="14">
        <v>7</v>
      </c>
      <c r="H558" s="14">
        <v>90.14</v>
      </c>
      <c r="I558" s="15">
        <v>0.72</v>
      </c>
    </row>
    <row r="559" spans="1:9" x14ac:dyDescent="0.25">
      <c r="A559" s="12">
        <v>13</v>
      </c>
      <c r="B559" s="13">
        <v>45148</v>
      </c>
      <c r="C559" s="14">
        <v>22.7</v>
      </c>
      <c r="D559" s="14">
        <v>54</v>
      </c>
      <c r="E559" s="14">
        <v>663</v>
      </c>
      <c r="F559" s="14">
        <v>6.6</v>
      </c>
      <c r="G559" s="14">
        <v>8</v>
      </c>
      <c r="H559" s="14">
        <v>72.86</v>
      </c>
      <c r="I559" s="15">
        <v>0.54</v>
      </c>
    </row>
    <row r="560" spans="1:9" x14ac:dyDescent="0.25">
      <c r="A560" s="12">
        <v>13</v>
      </c>
      <c r="B560" s="13">
        <v>45149</v>
      </c>
      <c r="C560" s="14">
        <v>31.9</v>
      </c>
      <c r="D560" s="14">
        <v>73</v>
      </c>
      <c r="E560" s="14">
        <v>415</v>
      </c>
      <c r="F560" s="14">
        <v>6.3</v>
      </c>
      <c r="G560" s="14">
        <v>9</v>
      </c>
      <c r="H560" s="14">
        <v>89.42</v>
      </c>
      <c r="I560" s="15">
        <v>0.73</v>
      </c>
    </row>
    <row r="561" spans="1:9" x14ac:dyDescent="0.25">
      <c r="A561" s="12">
        <v>13</v>
      </c>
      <c r="B561" s="13">
        <v>45150</v>
      </c>
      <c r="C561" s="14">
        <v>30.2</v>
      </c>
      <c r="D561" s="14">
        <v>73</v>
      </c>
      <c r="E561" s="14">
        <v>546</v>
      </c>
      <c r="F561" s="14">
        <v>6.8</v>
      </c>
      <c r="G561" s="14">
        <v>10</v>
      </c>
      <c r="H561" s="14">
        <v>86.36</v>
      </c>
      <c r="I561" s="15">
        <v>0.73</v>
      </c>
    </row>
    <row r="562" spans="1:9" x14ac:dyDescent="0.25">
      <c r="A562" s="12">
        <v>13</v>
      </c>
      <c r="B562" s="13">
        <v>45151</v>
      </c>
      <c r="C562" s="14">
        <v>30.1</v>
      </c>
      <c r="D562" s="14">
        <v>77</v>
      </c>
      <c r="E562" s="14">
        <v>696</v>
      </c>
      <c r="F562" s="14">
        <v>6.1</v>
      </c>
      <c r="G562" s="14">
        <v>11</v>
      </c>
      <c r="H562" s="14">
        <v>86.18</v>
      </c>
      <c r="I562" s="15">
        <v>0.77</v>
      </c>
    </row>
    <row r="563" spans="1:9" x14ac:dyDescent="0.25">
      <c r="A563" s="12">
        <v>13</v>
      </c>
      <c r="B563" s="13">
        <v>45152</v>
      </c>
      <c r="C563" s="14">
        <v>30.1</v>
      </c>
      <c r="D563" s="14">
        <v>56</v>
      </c>
      <c r="E563" s="14">
        <v>656</v>
      </c>
      <c r="F563" s="14">
        <v>6.6</v>
      </c>
      <c r="G563" s="14">
        <v>12</v>
      </c>
      <c r="H563" s="14">
        <v>86.18</v>
      </c>
      <c r="I563" s="15">
        <v>0.56000000000000005</v>
      </c>
    </row>
    <row r="564" spans="1:9" x14ac:dyDescent="0.25">
      <c r="A564" s="12">
        <v>13</v>
      </c>
      <c r="B564" s="13">
        <v>45153</v>
      </c>
      <c r="C564" s="14">
        <v>30.1</v>
      </c>
      <c r="D564" s="14">
        <v>73</v>
      </c>
      <c r="E564" s="14">
        <v>476</v>
      </c>
      <c r="F564" s="14">
        <v>6.3</v>
      </c>
      <c r="G564" s="14">
        <v>13</v>
      </c>
      <c r="H564" s="14">
        <v>86.18</v>
      </c>
      <c r="I564" s="15">
        <v>0.73</v>
      </c>
    </row>
    <row r="565" spans="1:9" x14ac:dyDescent="0.25">
      <c r="A565" s="12">
        <v>13</v>
      </c>
      <c r="B565" s="13">
        <v>45154</v>
      </c>
      <c r="C565" s="14">
        <v>29.8</v>
      </c>
      <c r="D565" s="14">
        <v>75</v>
      </c>
      <c r="E565" s="14">
        <v>739</v>
      </c>
      <c r="F565" s="14">
        <v>6.7</v>
      </c>
      <c r="G565" s="14">
        <v>14</v>
      </c>
      <c r="H565" s="14">
        <v>85.64</v>
      </c>
      <c r="I565" s="15">
        <v>0.75</v>
      </c>
    </row>
    <row r="566" spans="1:9" x14ac:dyDescent="0.25">
      <c r="A566" s="12">
        <v>13</v>
      </c>
      <c r="B566" s="13">
        <v>45155</v>
      </c>
      <c r="C566" s="14">
        <v>29.6</v>
      </c>
      <c r="D566" s="14">
        <v>71</v>
      </c>
      <c r="E566" s="14">
        <v>772</v>
      </c>
      <c r="F566" s="14">
        <v>6.3</v>
      </c>
      <c r="G566" s="14">
        <v>15</v>
      </c>
      <c r="H566" s="14">
        <v>85.28</v>
      </c>
      <c r="I566" s="15">
        <v>0.71</v>
      </c>
    </row>
    <row r="567" spans="1:9" x14ac:dyDescent="0.25">
      <c r="A567" s="12">
        <v>13</v>
      </c>
      <c r="B567" s="13">
        <v>45156</v>
      </c>
      <c r="C567" s="14">
        <v>30.9</v>
      </c>
      <c r="D567" s="14">
        <v>51</v>
      </c>
      <c r="E567" s="14">
        <v>692</v>
      </c>
      <c r="F567" s="14">
        <v>6.7</v>
      </c>
      <c r="G567" s="14">
        <v>16</v>
      </c>
      <c r="H567" s="14">
        <v>87.62</v>
      </c>
      <c r="I567" s="15">
        <v>0.51</v>
      </c>
    </row>
    <row r="568" spans="1:9" x14ac:dyDescent="0.25">
      <c r="A568" s="12">
        <v>13</v>
      </c>
      <c r="B568" s="13">
        <v>45157</v>
      </c>
      <c r="C568" s="14">
        <v>30.8</v>
      </c>
      <c r="D568" s="14">
        <v>52</v>
      </c>
      <c r="E568" s="14">
        <v>565</v>
      </c>
      <c r="F568" s="14">
        <v>6.3</v>
      </c>
      <c r="G568" s="14">
        <v>17</v>
      </c>
      <c r="H568" s="14">
        <v>87.44</v>
      </c>
      <c r="I568" s="15">
        <v>0.52</v>
      </c>
    </row>
    <row r="569" spans="1:9" x14ac:dyDescent="0.25">
      <c r="A569" s="12">
        <v>13</v>
      </c>
      <c r="B569" s="13">
        <v>45158</v>
      </c>
      <c r="C569" s="14">
        <v>30.9</v>
      </c>
      <c r="D569" s="14">
        <v>65</v>
      </c>
      <c r="E569" s="14">
        <v>463</v>
      </c>
      <c r="F569" s="14">
        <v>6.4</v>
      </c>
      <c r="G569" s="14">
        <v>18</v>
      </c>
      <c r="H569" s="14">
        <v>87.62</v>
      </c>
      <c r="I569" s="15">
        <v>0.65</v>
      </c>
    </row>
    <row r="570" spans="1:9" x14ac:dyDescent="0.25">
      <c r="A570" s="12">
        <v>13</v>
      </c>
      <c r="B570" s="13">
        <v>45159</v>
      </c>
      <c r="C570" s="14">
        <v>30.2</v>
      </c>
      <c r="D570" s="14">
        <v>63</v>
      </c>
      <c r="E570" s="14">
        <v>458</v>
      </c>
      <c r="F570" s="14">
        <v>6.2</v>
      </c>
      <c r="G570" s="14">
        <v>19</v>
      </c>
      <c r="H570" s="14">
        <v>86.36</v>
      </c>
      <c r="I570" s="15">
        <v>0.63</v>
      </c>
    </row>
    <row r="571" spans="1:9" x14ac:dyDescent="0.25">
      <c r="A571" s="12">
        <v>13</v>
      </c>
      <c r="B571" s="13">
        <v>45160</v>
      </c>
      <c r="C571" s="14">
        <v>30.5</v>
      </c>
      <c r="D571" s="14">
        <v>66</v>
      </c>
      <c r="E571" s="14">
        <v>693</v>
      </c>
      <c r="F571" s="14">
        <v>6.2</v>
      </c>
      <c r="G571" s="14">
        <v>20</v>
      </c>
      <c r="H571" s="14">
        <v>86.9</v>
      </c>
      <c r="I571" s="15">
        <v>0.66</v>
      </c>
    </row>
    <row r="572" spans="1:9" x14ac:dyDescent="0.25">
      <c r="A572" s="12">
        <v>13</v>
      </c>
      <c r="B572" s="13">
        <v>45161</v>
      </c>
      <c r="C572" s="14">
        <v>30.8</v>
      </c>
      <c r="D572" s="14">
        <v>68</v>
      </c>
      <c r="E572" s="14">
        <v>667</v>
      </c>
      <c r="F572" s="14">
        <v>6.5</v>
      </c>
      <c r="G572" s="14">
        <v>21</v>
      </c>
      <c r="H572" s="14">
        <v>87.44</v>
      </c>
      <c r="I572" s="15">
        <v>0.68</v>
      </c>
    </row>
    <row r="573" spans="1:9" x14ac:dyDescent="0.25">
      <c r="A573" s="12">
        <v>13</v>
      </c>
      <c r="B573" s="13">
        <v>45162</v>
      </c>
      <c r="C573" s="14">
        <v>31.3</v>
      </c>
      <c r="D573" s="14">
        <v>55</v>
      </c>
      <c r="E573" s="14">
        <v>490</v>
      </c>
      <c r="F573" s="14">
        <v>6.8</v>
      </c>
      <c r="G573" s="14">
        <v>22</v>
      </c>
      <c r="H573" s="14">
        <v>88.34</v>
      </c>
      <c r="I573" s="15">
        <v>0.55000000000000004</v>
      </c>
    </row>
    <row r="574" spans="1:9" x14ac:dyDescent="0.25">
      <c r="A574" s="12">
        <v>13</v>
      </c>
      <c r="B574" s="13">
        <v>45163</v>
      </c>
      <c r="C574" s="14">
        <v>31.4</v>
      </c>
      <c r="D574" s="14">
        <v>52</v>
      </c>
      <c r="E574" s="14">
        <v>486</v>
      </c>
      <c r="F574" s="14">
        <v>6.7</v>
      </c>
      <c r="G574" s="14">
        <v>23</v>
      </c>
      <c r="H574" s="14">
        <v>88.52</v>
      </c>
      <c r="I574" s="15">
        <v>0.52</v>
      </c>
    </row>
    <row r="575" spans="1:9" x14ac:dyDescent="0.25">
      <c r="A575" s="12">
        <v>13</v>
      </c>
      <c r="B575" s="13">
        <v>45164</v>
      </c>
      <c r="C575" s="14">
        <v>31.4</v>
      </c>
      <c r="D575" s="14">
        <v>73</v>
      </c>
      <c r="E575" s="14">
        <v>626</v>
      </c>
      <c r="F575" s="14">
        <v>6.5</v>
      </c>
      <c r="G575" s="14">
        <v>24</v>
      </c>
      <c r="H575" s="14">
        <v>88.52</v>
      </c>
      <c r="I575" s="15">
        <v>0.73</v>
      </c>
    </row>
    <row r="576" spans="1:9" x14ac:dyDescent="0.25">
      <c r="A576" s="12">
        <v>13</v>
      </c>
      <c r="B576" s="13">
        <v>45165</v>
      </c>
      <c r="C576" s="14">
        <v>30.1</v>
      </c>
      <c r="D576" s="14">
        <v>53</v>
      </c>
      <c r="E576" s="14">
        <v>740</v>
      </c>
      <c r="F576" s="14">
        <v>6.7</v>
      </c>
      <c r="G576" s="14">
        <v>25</v>
      </c>
      <c r="H576" s="14">
        <v>86.18</v>
      </c>
      <c r="I576" s="15">
        <v>0.53</v>
      </c>
    </row>
    <row r="577" spans="1:9" x14ac:dyDescent="0.25">
      <c r="A577" s="12">
        <v>13</v>
      </c>
      <c r="B577" s="13">
        <v>45166</v>
      </c>
      <c r="C577" s="14">
        <v>29.4</v>
      </c>
      <c r="D577" s="14">
        <v>60</v>
      </c>
      <c r="E577" s="14">
        <v>539</v>
      </c>
      <c r="F577" s="14">
        <v>6.1</v>
      </c>
      <c r="G577" s="14">
        <v>26</v>
      </c>
      <c r="H577" s="14">
        <v>84.92</v>
      </c>
      <c r="I577" s="15">
        <v>0.6</v>
      </c>
    </row>
    <row r="578" spans="1:9" x14ac:dyDescent="0.25">
      <c r="A578" s="12">
        <v>13</v>
      </c>
      <c r="B578" s="13">
        <v>45167</v>
      </c>
      <c r="C578" s="14">
        <v>28.7</v>
      </c>
      <c r="D578" s="14">
        <v>57</v>
      </c>
      <c r="E578" s="14">
        <v>475</v>
      </c>
      <c r="F578" s="14">
        <v>6.5</v>
      </c>
      <c r="G578" s="14">
        <v>27</v>
      </c>
      <c r="H578" s="14">
        <v>83.66</v>
      </c>
      <c r="I578" s="15">
        <v>0.56999999999999995</v>
      </c>
    </row>
    <row r="579" spans="1:9" x14ac:dyDescent="0.25">
      <c r="A579" s="12">
        <v>13</v>
      </c>
      <c r="B579" s="13">
        <v>45168</v>
      </c>
      <c r="C579" s="14">
        <v>29.1</v>
      </c>
      <c r="D579" s="14">
        <v>75</v>
      </c>
      <c r="E579" s="14">
        <v>719</v>
      </c>
      <c r="F579" s="14">
        <v>6.4</v>
      </c>
      <c r="G579" s="14">
        <v>28</v>
      </c>
      <c r="H579" s="14">
        <v>84.38</v>
      </c>
      <c r="I579" s="15">
        <v>0.75</v>
      </c>
    </row>
    <row r="580" spans="1:9" x14ac:dyDescent="0.25">
      <c r="A580" s="12">
        <v>13</v>
      </c>
      <c r="B580" s="13">
        <v>45169</v>
      </c>
      <c r="C580" s="14">
        <v>29.2</v>
      </c>
      <c r="D580" s="14">
        <v>59</v>
      </c>
      <c r="E580" s="14">
        <v>492</v>
      </c>
      <c r="F580" s="14">
        <v>6.7</v>
      </c>
      <c r="G580" s="14">
        <v>29</v>
      </c>
      <c r="H580" s="14">
        <v>84.56</v>
      </c>
      <c r="I580" s="15">
        <v>0.59</v>
      </c>
    </row>
    <row r="581" spans="1:9" x14ac:dyDescent="0.25">
      <c r="A581" s="12">
        <v>13</v>
      </c>
      <c r="B581" s="13">
        <v>45170</v>
      </c>
      <c r="C581" s="14">
        <v>31.7</v>
      </c>
      <c r="D581" s="14">
        <v>77</v>
      </c>
      <c r="E581" s="14">
        <v>425</v>
      </c>
      <c r="F581" s="14">
        <v>6.8</v>
      </c>
      <c r="G581" s="14">
        <v>30</v>
      </c>
      <c r="H581" s="14">
        <v>89.06</v>
      </c>
      <c r="I581" s="15">
        <v>0.77</v>
      </c>
    </row>
    <row r="582" spans="1:9" x14ac:dyDescent="0.25">
      <c r="A582" s="12">
        <v>13</v>
      </c>
      <c r="B582" s="13">
        <v>45171</v>
      </c>
      <c r="C582" s="14">
        <v>31.7</v>
      </c>
      <c r="D582" s="14">
        <v>77</v>
      </c>
      <c r="E582" s="14">
        <v>626</v>
      </c>
      <c r="F582" s="14">
        <v>6.2</v>
      </c>
      <c r="G582" s="14">
        <v>31</v>
      </c>
      <c r="H582" s="14">
        <v>89.06</v>
      </c>
      <c r="I582" s="15">
        <v>0.77</v>
      </c>
    </row>
    <row r="583" spans="1:9" x14ac:dyDescent="0.25">
      <c r="A583" s="12">
        <v>13</v>
      </c>
      <c r="B583" s="13">
        <v>45172</v>
      </c>
      <c r="C583" s="14">
        <v>31.7</v>
      </c>
      <c r="D583" s="14">
        <v>56</v>
      </c>
      <c r="E583" s="14">
        <v>509</v>
      </c>
      <c r="F583" s="14">
        <v>6.5</v>
      </c>
      <c r="G583" s="14">
        <v>32</v>
      </c>
      <c r="H583" s="14">
        <v>89.06</v>
      </c>
      <c r="I583" s="15">
        <v>0.56000000000000005</v>
      </c>
    </row>
    <row r="584" spans="1:9" x14ac:dyDescent="0.25">
      <c r="A584" s="12">
        <v>13</v>
      </c>
      <c r="B584" s="13">
        <v>45173</v>
      </c>
      <c r="C584" s="14">
        <v>31.7</v>
      </c>
      <c r="D584" s="14">
        <v>69</v>
      </c>
      <c r="E584" s="14">
        <v>518</v>
      </c>
      <c r="F584" s="14">
        <v>6</v>
      </c>
      <c r="G584" s="14">
        <v>33</v>
      </c>
      <c r="H584" s="14">
        <v>89.06</v>
      </c>
      <c r="I584" s="15">
        <v>0.69</v>
      </c>
    </row>
    <row r="585" spans="1:9" x14ac:dyDescent="0.25">
      <c r="A585" s="12">
        <v>13</v>
      </c>
      <c r="B585" s="13">
        <v>45174</v>
      </c>
      <c r="C585" s="14">
        <v>32</v>
      </c>
      <c r="D585" s="14">
        <v>71</v>
      </c>
      <c r="E585" s="14">
        <v>744</v>
      </c>
      <c r="F585" s="14">
        <v>6.2</v>
      </c>
      <c r="G585" s="14">
        <v>34</v>
      </c>
      <c r="H585" s="14">
        <v>89.6</v>
      </c>
      <c r="I585" s="15">
        <v>0.71</v>
      </c>
    </row>
    <row r="586" spans="1:9" x14ac:dyDescent="0.25">
      <c r="A586" s="12">
        <v>13</v>
      </c>
      <c r="B586" s="13">
        <v>45175</v>
      </c>
      <c r="C586" s="14">
        <v>32.1</v>
      </c>
      <c r="D586" s="14">
        <v>64</v>
      </c>
      <c r="E586" s="14">
        <v>416</v>
      </c>
      <c r="F586" s="14">
        <v>6.6</v>
      </c>
      <c r="G586" s="14">
        <v>35</v>
      </c>
      <c r="H586" s="14">
        <v>89.78</v>
      </c>
      <c r="I586" s="15">
        <v>0.64</v>
      </c>
    </row>
    <row r="587" spans="1:9" x14ac:dyDescent="0.25">
      <c r="A587" s="12">
        <v>13</v>
      </c>
      <c r="B587" s="13">
        <v>45176</v>
      </c>
      <c r="C587" s="14">
        <v>31.5</v>
      </c>
      <c r="D587" s="14">
        <v>52</v>
      </c>
      <c r="E587" s="14">
        <v>724</v>
      </c>
      <c r="F587" s="14">
        <v>6.8</v>
      </c>
      <c r="G587" s="14">
        <v>36</v>
      </c>
      <c r="H587" s="14">
        <v>88.7</v>
      </c>
      <c r="I587" s="15">
        <v>0.52</v>
      </c>
    </row>
    <row r="588" spans="1:9" x14ac:dyDescent="0.25">
      <c r="A588" s="12">
        <v>13</v>
      </c>
      <c r="B588" s="13">
        <v>45177</v>
      </c>
      <c r="C588" s="14">
        <v>29.8</v>
      </c>
      <c r="D588" s="14">
        <v>62</v>
      </c>
      <c r="E588" s="14">
        <v>423</v>
      </c>
      <c r="F588" s="14">
        <v>6.8</v>
      </c>
      <c r="G588" s="14">
        <v>37</v>
      </c>
      <c r="H588" s="14">
        <v>85.64</v>
      </c>
      <c r="I588" s="15">
        <v>0.62</v>
      </c>
    </row>
    <row r="589" spans="1:9" x14ac:dyDescent="0.25">
      <c r="A589" s="12">
        <v>13</v>
      </c>
      <c r="B589" s="13">
        <v>45178</v>
      </c>
      <c r="C589" s="14">
        <v>20.100000000000001</v>
      </c>
      <c r="D589" s="14">
        <v>78</v>
      </c>
      <c r="E589" s="14">
        <v>419</v>
      </c>
      <c r="F589" s="14">
        <v>6.4</v>
      </c>
      <c r="G589" s="14">
        <v>38</v>
      </c>
      <c r="H589" s="14">
        <v>68.180000000000007</v>
      </c>
      <c r="I589" s="15">
        <v>0.78</v>
      </c>
    </row>
    <row r="590" spans="1:9" x14ac:dyDescent="0.25">
      <c r="A590" s="12">
        <v>13</v>
      </c>
      <c r="B590" s="13">
        <v>45179</v>
      </c>
      <c r="C590" s="14">
        <v>31.1</v>
      </c>
      <c r="D590" s="14">
        <v>50</v>
      </c>
      <c r="E590" s="14">
        <v>653</v>
      </c>
      <c r="F590" s="14">
        <v>6.6</v>
      </c>
      <c r="G590" s="14">
        <v>39</v>
      </c>
      <c r="H590" s="14">
        <v>87.98</v>
      </c>
      <c r="I590" s="15">
        <v>0.5</v>
      </c>
    </row>
    <row r="591" spans="1:9" x14ac:dyDescent="0.25">
      <c r="A591" s="12">
        <v>13</v>
      </c>
      <c r="B591" s="13">
        <v>45180</v>
      </c>
      <c r="C591" s="14">
        <v>31.2</v>
      </c>
      <c r="D591" s="14">
        <v>71</v>
      </c>
      <c r="E591" s="14">
        <v>589</v>
      </c>
      <c r="F591" s="14">
        <v>6.7</v>
      </c>
      <c r="G591" s="14">
        <v>40</v>
      </c>
      <c r="H591" s="14">
        <v>88.16</v>
      </c>
      <c r="I591" s="15">
        <v>0.71</v>
      </c>
    </row>
    <row r="592" spans="1:9" x14ac:dyDescent="0.25">
      <c r="A592" s="12">
        <v>13</v>
      </c>
      <c r="B592" s="13">
        <v>45181</v>
      </c>
      <c r="C592" s="14">
        <v>31.2</v>
      </c>
      <c r="D592" s="14">
        <v>51</v>
      </c>
      <c r="E592" s="14">
        <v>724</v>
      </c>
      <c r="F592" s="14">
        <v>6.3</v>
      </c>
      <c r="G592" s="14">
        <v>41</v>
      </c>
      <c r="H592" s="14">
        <v>88.16</v>
      </c>
      <c r="I592" s="15">
        <v>0.51</v>
      </c>
    </row>
    <row r="593" spans="1:9" x14ac:dyDescent="0.25">
      <c r="A593" s="12">
        <v>13</v>
      </c>
      <c r="B593" s="13">
        <v>45182</v>
      </c>
      <c r="C593" s="14">
        <v>30.4</v>
      </c>
      <c r="D593" s="14">
        <v>65</v>
      </c>
      <c r="E593" s="14">
        <v>415</v>
      </c>
      <c r="F593" s="14">
        <v>6.1</v>
      </c>
      <c r="G593" s="14">
        <v>42</v>
      </c>
      <c r="H593" s="14">
        <v>86.72</v>
      </c>
      <c r="I593" s="15">
        <v>0.65</v>
      </c>
    </row>
    <row r="594" spans="1:9" x14ac:dyDescent="0.25">
      <c r="A594" s="12">
        <v>13</v>
      </c>
      <c r="B594" s="13">
        <v>45183</v>
      </c>
      <c r="C594" s="14">
        <v>29.1</v>
      </c>
      <c r="D594" s="14">
        <v>66</v>
      </c>
      <c r="E594" s="14">
        <v>609</v>
      </c>
      <c r="F594" s="14">
        <v>6.2</v>
      </c>
      <c r="G594" s="14">
        <v>43</v>
      </c>
      <c r="H594" s="14">
        <v>84.38</v>
      </c>
      <c r="I594" s="15">
        <v>0.66</v>
      </c>
    </row>
    <row r="595" spans="1:9" x14ac:dyDescent="0.25">
      <c r="A595" s="12">
        <v>13</v>
      </c>
      <c r="B595" s="13">
        <v>45184</v>
      </c>
      <c r="C595" s="14">
        <v>30.6</v>
      </c>
      <c r="D595" s="14">
        <v>57</v>
      </c>
      <c r="E595" s="14">
        <v>475</v>
      </c>
      <c r="F595" s="14">
        <v>6.1</v>
      </c>
      <c r="G595" s="14">
        <v>44</v>
      </c>
      <c r="H595" s="14">
        <v>87.08</v>
      </c>
      <c r="I595" s="15">
        <v>0.56999999999999995</v>
      </c>
    </row>
    <row r="596" spans="1:9" x14ac:dyDescent="0.25">
      <c r="A596" s="12">
        <v>13</v>
      </c>
      <c r="B596" s="13">
        <v>45185</v>
      </c>
      <c r="C596" s="14">
        <v>31.5</v>
      </c>
      <c r="D596" s="14">
        <v>69</v>
      </c>
      <c r="E596" s="14">
        <v>732</v>
      </c>
      <c r="F596" s="14">
        <v>6.5</v>
      </c>
      <c r="G596" s="14">
        <v>45</v>
      </c>
      <c r="H596" s="14">
        <v>88.7</v>
      </c>
      <c r="I596" s="15">
        <v>0.69</v>
      </c>
    </row>
    <row r="597" spans="1:9" x14ac:dyDescent="0.25">
      <c r="A597" s="12">
        <v>14</v>
      </c>
      <c r="B597" s="13">
        <v>45141</v>
      </c>
      <c r="C597" s="14">
        <v>33.4</v>
      </c>
      <c r="D597" s="14">
        <v>56</v>
      </c>
      <c r="E597" s="14">
        <v>535</v>
      </c>
      <c r="F597" s="14">
        <v>6.2</v>
      </c>
      <c r="G597" s="14">
        <v>1</v>
      </c>
      <c r="H597" s="14">
        <v>92.12</v>
      </c>
      <c r="I597" s="15">
        <v>0.56000000000000005</v>
      </c>
    </row>
    <row r="598" spans="1:9" x14ac:dyDescent="0.25">
      <c r="A598" s="12">
        <v>14</v>
      </c>
      <c r="B598" s="13">
        <v>45142</v>
      </c>
      <c r="C598" s="14">
        <v>33.5</v>
      </c>
      <c r="D598" s="14">
        <v>76</v>
      </c>
      <c r="E598" s="14">
        <v>664</v>
      </c>
      <c r="F598" s="14">
        <v>6</v>
      </c>
      <c r="G598" s="14">
        <v>2</v>
      </c>
      <c r="H598" s="14">
        <v>92.3</v>
      </c>
      <c r="I598" s="15">
        <v>0.76</v>
      </c>
    </row>
    <row r="599" spans="1:9" x14ac:dyDescent="0.25">
      <c r="A599" s="12">
        <v>14</v>
      </c>
      <c r="B599" s="13">
        <v>45143</v>
      </c>
      <c r="C599" s="14">
        <v>33.4</v>
      </c>
      <c r="D599" s="14">
        <v>59</v>
      </c>
      <c r="E599" s="14">
        <v>498</v>
      </c>
      <c r="F599" s="14">
        <v>6.3</v>
      </c>
      <c r="G599" s="14">
        <v>3</v>
      </c>
      <c r="H599" s="14">
        <v>92.12</v>
      </c>
      <c r="I599" s="15">
        <v>0.59</v>
      </c>
    </row>
    <row r="600" spans="1:9" x14ac:dyDescent="0.25">
      <c r="A600" s="12">
        <v>14</v>
      </c>
      <c r="B600" s="13">
        <v>45144</v>
      </c>
      <c r="C600" s="14">
        <v>33.4</v>
      </c>
      <c r="D600" s="14">
        <v>63</v>
      </c>
      <c r="E600" s="14">
        <v>511</v>
      </c>
      <c r="F600" s="14">
        <v>6.6</v>
      </c>
      <c r="G600" s="14">
        <v>4</v>
      </c>
      <c r="H600" s="14">
        <v>92.12</v>
      </c>
      <c r="I600" s="15">
        <v>0.63</v>
      </c>
    </row>
    <row r="601" spans="1:9" x14ac:dyDescent="0.25">
      <c r="A601" s="12">
        <v>14</v>
      </c>
      <c r="B601" s="13">
        <v>45145</v>
      </c>
      <c r="C601" s="14">
        <v>33.4</v>
      </c>
      <c r="D601" s="14">
        <v>53</v>
      </c>
      <c r="E601" s="14">
        <v>589</v>
      </c>
      <c r="F601" s="14">
        <v>6.3</v>
      </c>
      <c r="G601" s="14">
        <v>5</v>
      </c>
      <c r="H601" s="14">
        <v>92.12</v>
      </c>
      <c r="I601" s="15">
        <v>0.53</v>
      </c>
    </row>
    <row r="602" spans="1:9" x14ac:dyDescent="0.25">
      <c r="A602" s="12">
        <v>14</v>
      </c>
      <c r="B602" s="13">
        <v>45146</v>
      </c>
      <c r="C602" s="14">
        <v>32.299999999999997</v>
      </c>
      <c r="D602" s="14">
        <v>51</v>
      </c>
      <c r="E602" s="14">
        <v>574</v>
      </c>
      <c r="F602" s="14">
        <v>6.7</v>
      </c>
      <c r="G602" s="14">
        <v>6</v>
      </c>
      <c r="H602" s="14">
        <v>90.14</v>
      </c>
      <c r="I602" s="15">
        <v>0.51</v>
      </c>
    </row>
    <row r="603" spans="1:9" x14ac:dyDescent="0.25">
      <c r="A603" s="12">
        <v>14</v>
      </c>
      <c r="B603" s="13">
        <v>45147</v>
      </c>
      <c r="C603" s="14">
        <v>32.299999999999997</v>
      </c>
      <c r="D603" s="14">
        <v>61</v>
      </c>
      <c r="E603" s="14">
        <v>522</v>
      </c>
      <c r="F603" s="14">
        <v>6.3</v>
      </c>
      <c r="G603" s="14">
        <v>7</v>
      </c>
      <c r="H603" s="14">
        <v>90.14</v>
      </c>
      <c r="I603" s="15">
        <v>0.61</v>
      </c>
    </row>
    <row r="604" spans="1:9" x14ac:dyDescent="0.25">
      <c r="A604" s="12">
        <v>14</v>
      </c>
      <c r="B604" s="13">
        <v>45148</v>
      </c>
      <c r="C604" s="14">
        <v>22.7</v>
      </c>
      <c r="D604" s="14">
        <v>68</v>
      </c>
      <c r="E604" s="14">
        <v>714</v>
      </c>
      <c r="F604" s="14">
        <v>6.6</v>
      </c>
      <c r="G604" s="14">
        <v>8</v>
      </c>
      <c r="H604" s="14">
        <v>72.86</v>
      </c>
      <c r="I604" s="15">
        <v>0.68</v>
      </c>
    </row>
    <row r="605" spans="1:9" x14ac:dyDescent="0.25">
      <c r="A605" s="12">
        <v>14</v>
      </c>
      <c r="B605" s="13">
        <v>45149</v>
      </c>
      <c r="C605" s="14">
        <v>31.9</v>
      </c>
      <c r="D605" s="14">
        <v>76</v>
      </c>
      <c r="E605" s="14">
        <v>630</v>
      </c>
      <c r="F605" s="14">
        <v>6.7</v>
      </c>
      <c r="G605" s="14">
        <v>9</v>
      </c>
      <c r="H605" s="14">
        <v>89.42</v>
      </c>
      <c r="I605" s="15">
        <v>0.76</v>
      </c>
    </row>
    <row r="606" spans="1:9" x14ac:dyDescent="0.25">
      <c r="A606" s="12">
        <v>14</v>
      </c>
      <c r="B606" s="13">
        <v>45150</v>
      </c>
      <c r="C606" s="14">
        <v>30.2</v>
      </c>
      <c r="D606" s="14">
        <v>78</v>
      </c>
      <c r="E606" s="14">
        <v>514</v>
      </c>
      <c r="F606" s="14">
        <v>6.7</v>
      </c>
      <c r="G606" s="14">
        <v>10</v>
      </c>
      <c r="H606" s="14">
        <v>86.36</v>
      </c>
      <c r="I606" s="15">
        <v>0.78</v>
      </c>
    </row>
    <row r="607" spans="1:9" x14ac:dyDescent="0.25">
      <c r="A607" s="12">
        <v>14</v>
      </c>
      <c r="B607" s="13">
        <v>45151</v>
      </c>
      <c r="C607" s="14">
        <v>30.1</v>
      </c>
      <c r="D607" s="14">
        <v>75</v>
      </c>
      <c r="E607" s="14">
        <v>602</v>
      </c>
      <c r="F607" s="14">
        <v>6</v>
      </c>
      <c r="G607" s="14">
        <v>11</v>
      </c>
      <c r="H607" s="14">
        <v>86.18</v>
      </c>
      <c r="I607" s="15">
        <v>0.75</v>
      </c>
    </row>
    <row r="608" spans="1:9" x14ac:dyDescent="0.25">
      <c r="A608" s="12">
        <v>14</v>
      </c>
      <c r="B608" s="13">
        <v>45152</v>
      </c>
      <c r="C608" s="14">
        <v>30.1</v>
      </c>
      <c r="D608" s="14">
        <v>75</v>
      </c>
      <c r="E608" s="14">
        <v>769</v>
      </c>
      <c r="F608" s="14">
        <v>6.5</v>
      </c>
      <c r="G608" s="14">
        <v>12</v>
      </c>
      <c r="H608" s="14">
        <v>86.18</v>
      </c>
      <c r="I608" s="15">
        <v>0.75</v>
      </c>
    </row>
    <row r="609" spans="1:9" x14ac:dyDescent="0.25">
      <c r="A609" s="12">
        <v>14</v>
      </c>
      <c r="B609" s="13">
        <v>45153</v>
      </c>
      <c r="C609" s="14">
        <v>30.1</v>
      </c>
      <c r="D609" s="14">
        <v>69</v>
      </c>
      <c r="E609" s="14">
        <v>501</v>
      </c>
      <c r="F609" s="14">
        <v>6.1</v>
      </c>
      <c r="G609" s="14">
        <v>13</v>
      </c>
      <c r="H609" s="14">
        <v>86.18</v>
      </c>
      <c r="I609" s="15">
        <v>0.69</v>
      </c>
    </row>
    <row r="610" spans="1:9" x14ac:dyDescent="0.25">
      <c r="A610" s="12">
        <v>14</v>
      </c>
      <c r="B610" s="13">
        <v>45154</v>
      </c>
      <c r="C610" s="14">
        <v>29.8</v>
      </c>
      <c r="D610" s="14">
        <v>52</v>
      </c>
      <c r="E610" s="14">
        <v>798</v>
      </c>
      <c r="F610" s="14">
        <v>6.6</v>
      </c>
      <c r="G610" s="14">
        <v>14</v>
      </c>
      <c r="H610" s="14">
        <v>85.64</v>
      </c>
      <c r="I610" s="15">
        <v>0.52</v>
      </c>
    </row>
    <row r="611" spans="1:9" x14ac:dyDescent="0.25">
      <c r="A611" s="12">
        <v>14</v>
      </c>
      <c r="B611" s="13">
        <v>45155</v>
      </c>
      <c r="C611" s="14">
        <v>29.6</v>
      </c>
      <c r="D611" s="14">
        <v>80</v>
      </c>
      <c r="E611" s="14">
        <v>455</v>
      </c>
      <c r="F611" s="14">
        <v>6.3</v>
      </c>
      <c r="G611" s="14">
        <v>15</v>
      </c>
      <c r="H611" s="14">
        <v>85.28</v>
      </c>
      <c r="I611" s="15">
        <v>0.8</v>
      </c>
    </row>
    <row r="612" spans="1:9" x14ac:dyDescent="0.25">
      <c r="A612" s="12">
        <v>14</v>
      </c>
      <c r="B612" s="13">
        <v>45156</v>
      </c>
      <c r="C612" s="14">
        <v>30.9</v>
      </c>
      <c r="D612" s="14">
        <v>57</v>
      </c>
      <c r="E612" s="14">
        <v>719</v>
      </c>
      <c r="F612" s="14">
        <v>6.1</v>
      </c>
      <c r="G612" s="14">
        <v>16</v>
      </c>
      <c r="H612" s="14">
        <v>87.62</v>
      </c>
      <c r="I612" s="15">
        <v>0.56999999999999995</v>
      </c>
    </row>
    <row r="613" spans="1:9" x14ac:dyDescent="0.25">
      <c r="A613" s="12">
        <v>14</v>
      </c>
      <c r="B613" s="13">
        <v>45157</v>
      </c>
      <c r="C613" s="14">
        <v>30.8</v>
      </c>
      <c r="D613" s="14">
        <v>65</v>
      </c>
      <c r="E613" s="14">
        <v>453</v>
      </c>
      <c r="F613" s="14">
        <v>6.4</v>
      </c>
      <c r="G613" s="14">
        <v>17</v>
      </c>
      <c r="H613" s="14">
        <v>87.44</v>
      </c>
      <c r="I613" s="15">
        <v>0.65</v>
      </c>
    </row>
    <row r="614" spans="1:9" x14ac:dyDescent="0.25">
      <c r="A614" s="12">
        <v>14</v>
      </c>
      <c r="B614" s="13">
        <v>45158</v>
      </c>
      <c r="C614" s="14">
        <v>30.9</v>
      </c>
      <c r="D614" s="14">
        <v>63</v>
      </c>
      <c r="E614" s="14">
        <v>652</v>
      </c>
      <c r="F614" s="14">
        <v>6.6</v>
      </c>
      <c r="G614" s="14">
        <v>18</v>
      </c>
      <c r="H614" s="14">
        <v>87.62</v>
      </c>
      <c r="I614" s="15">
        <v>0.63</v>
      </c>
    </row>
    <row r="615" spans="1:9" x14ac:dyDescent="0.25">
      <c r="A615" s="12">
        <v>14</v>
      </c>
      <c r="B615" s="13">
        <v>45159</v>
      </c>
      <c r="C615" s="14">
        <v>30.2</v>
      </c>
      <c r="D615" s="14">
        <v>66</v>
      </c>
      <c r="E615" s="14">
        <v>409</v>
      </c>
      <c r="F615" s="14">
        <v>6.4</v>
      </c>
      <c r="G615" s="14">
        <v>19</v>
      </c>
      <c r="H615" s="14">
        <v>86.36</v>
      </c>
      <c r="I615" s="15">
        <v>0.66</v>
      </c>
    </row>
    <row r="616" spans="1:9" x14ac:dyDescent="0.25">
      <c r="A616" s="12">
        <v>14</v>
      </c>
      <c r="B616" s="13">
        <v>45160</v>
      </c>
      <c r="C616" s="14">
        <v>30.5</v>
      </c>
      <c r="D616" s="14">
        <v>56</v>
      </c>
      <c r="E616" s="14">
        <v>651</v>
      </c>
      <c r="F616" s="14">
        <v>6.5</v>
      </c>
      <c r="G616" s="14">
        <v>20</v>
      </c>
      <c r="H616" s="14">
        <v>86.9</v>
      </c>
      <c r="I616" s="15">
        <v>0.56000000000000005</v>
      </c>
    </row>
    <row r="617" spans="1:9" x14ac:dyDescent="0.25">
      <c r="A617" s="12">
        <v>14</v>
      </c>
      <c r="B617" s="13">
        <v>45161</v>
      </c>
      <c r="C617" s="14">
        <v>30.8</v>
      </c>
      <c r="D617" s="14">
        <v>55</v>
      </c>
      <c r="E617" s="14">
        <v>466</v>
      </c>
      <c r="F617" s="14">
        <v>6</v>
      </c>
      <c r="G617" s="14">
        <v>21</v>
      </c>
      <c r="H617" s="14">
        <v>87.44</v>
      </c>
      <c r="I617" s="15">
        <v>0.55000000000000004</v>
      </c>
    </row>
    <row r="618" spans="1:9" x14ac:dyDescent="0.25">
      <c r="A618" s="12">
        <v>14</v>
      </c>
      <c r="B618" s="13">
        <v>45162</v>
      </c>
      <c r="C618" s="14">
        <v>31.3</v>
      </c>
      <c r="D618" s="14">
        <v>66</v>
      </c>
      <c r="E618" s="14">
        <v>498</v>
      </c>
      <c r="F618" s="14">
        <v>6.2</v>
      </c>
      <c r="G618" s="14">
        <v>22</v>
      </c>
      <c r="H618" s="14">
        <v>88.34</v>
      </c>
      <c r="I618" s="15">
        <v>0.66</v>
      </c>
    </row>
    <row r="619" spans="1:9" x14ac:dyDescent="0.25">
      <c r="A619" s="12">
        <v>14</v>
      </c>
      <c r="B619" s="13">
        <v>45163</v>
      </c>
      <c r="C619" s="14">
        <v>31.4</v>
      </c>
      <c r="D619" s="14">
        <v>65</v>
      </c>
      <c r="E619" s="14">
        <v>645</v>
      </c>
      <c r="F619" s="14">
        <v>6.3</v>
      </c>
      <c r="G619" s="14">
        <v>23</v>
      </c>
      <c r="H619" s="14">
        <v>88.52</v>
      </c>
      <c r="I619" s="15">
        <v>0.65</v>
      </c>
    </row>
    <row r="620" spans="1:9" x14ac:dyDescent="0.25">
      <c r="A620" s="12">
        <v>14</v>
      </c>
      <c r="B620" s="13">
        <v>45164</v>
      </c>
      <c r="C620" s="14">
        <v>31.4</v>
      </c>
      <c r="D620" s="14">
        <v>58</v>
      </c>
      <c r="E620" s="14">
        <v>637</v>
      </c>
      <c r="F620" s="14">
        <v>6.2</v>
      </c>
      <c r="G620" s="14">
        <v>24</v>
      </c>
      <c r="H620" s="14">
        <v>88.52</v>
      </c>
      <c r="I620" s="15">
        <v>0.57999999999999996</v>
      </c>
    </row>
    <row r="621" spans="1:9" x14ac:dyDescent="0.25">
      <c r="A621" s="12">
        <v>14</v>
      </c>
      <c r="B621" s="13">
        <v>45165</v>
      </c>
      <c r="C621" s="14">
        <v>30.1</v>
      </c>
      <c r="D621" s="14">
        <v>55</v>
      </c>
      <c r="E621" s="14">
        <v>743</v>
      </c>
      <c r="F621" s="14">
        <v>6.4</v>
      </c>
      <c r="G621" s="14">
        <v>25</v>
      </c>
      <c r="H621" s="14">
        <v>86.18</v>
      </c>
      <c r="I621" s="15">
        <v>0.55000000000000004</v>
      </c>
    </row>
    <row r="622" spans="1:9" x14ac:dyDescent="0.25">
      <c r="A622" s="12">
        <v>14</v>
      </c>
      <c r="B622" s="13">
        <v>45166</v>
      </c>
      <c r="C622" s="14">
        <v>29.4</v>
      </c>
      <c r="D622" s="14">
        <v>65</v>
      </c>
      <c r="E622" s="14">
        <v>573</v>
      </c>
      <c r="F622" s="14">
        <v>6.2</v>
      </c>
      <c r="G622" s="14">
        <v>26</v>
      </c>
      <c r="H622" s="14">
        <v>84.92</v>
      </c>
      <c r="I622" s="15">
        <v>0.65</v>
      </c>
    </row>
    <row r="623" spans="1:9" x14ac:dyDescent="0.25">
      <c r="A623" s="12">
        <v>14</v>
      </c>
      <c r="B623" s="13">
        <v>45167</v>
      </c>
      <c r="C623" s="14">
        <v>28.7</v>
      </c>
      <c r="D623" s="14">
        <v>66</v>
      </c>
      <c r="E623" s="14">
        <v>522</v>
      </c>
      <c r="F623" s="14">
        <v>6.5</v>
      </c>
      <c r="G623" s="14">
        <v>27</v>
      </c>
      <c r="H623" s="14">
        <v>83.66</v>
      </c>
      <c r="I623" s="15">
        <v>0.66</v>
      </c>
    </row>
    <row r="624" spans="1:9" x14ac:dyDescent="0.25">
      <c r="A624" s="12">
        <v>14</v>
      </c>
      <c r="B624" s="13">
        <v>45168</v>
      </c>
      <c r="C624" s="14">
        <v>29.1</v>
      </c>
      <c r="D624" s="14">
        <v>77</v>
      </c>
      <c r="E624" s="14">
        <v>413</v>
      </c>
      <c r="F624" s="14">
        <v>6.4</v>
      </c>
      <c r="G624" s="14">
        <v>28</v>
      </c>
      <c r="H624" s="14">
        <v>84.38</v>
      </c>
      <c r="I624" s="15">
        <v>0.77</v>
      </c>
    </row>
    <row r="625" spans="1:9" x14ac:dyDescent="0.25">
      <c r="A625" s="12">
        <v>14</v>
      </c>
      <c r="B625" s="13">
        <v>45169</v>
      </c>
      <c r="C625" s="14">
        <v>29.2</v>
      </c>
      <c r="D625" s="14">
        <v>73</v>
      </c>
      <c r="E625" s="14">
        <v>505</v>
      </c>
      <c r="F625" s="14">
        <v>6</v>
      </c>
      <c r="G625" s="14">
        <v>29</v>
      </c>
      <c r="H625" s="14">
        <v>84.56</v>
      </c>
      <c r="I625" s="15">
        <v>0.73</v>
      </c>
    </row>
    <row r="626" spans="1:9" x14ac:dyDescent="0.25">
      <c r="A626" s="12">
        <v>14</v>
      </c>
      <c r="B626" s="13">
        <v>45170</v>
      </c>
      <c r="C626" s="14">
        <v>31.7</v>
      </c>
      <c r="D626" s="14">
        <v>54</v>
      </c>
      <c r="E626" s="14">
        <v>448</v>
      </c>
      <c r="F626" s="14">
        <v>6.5</v>
      </c>
      <c r="G626" s="14">
        <v>30</v>
      </c>
      <c r="H626" s="14">
        <v>89.06</v>
      </c>
      <c r="I626" s="15">
        <v>0.54</v>
      </c>
    </row>
    <row r="627" spans="1:9" x14ac:dyDescent="0.25">
      <c r="A627" s="12">
        <v>14</v>
      </c>
      <c r="B627" s="13">
        <v>45171</v>
      </c>
      <c r="C627" s="14">
        <v>31.7</v>
      </c>
      <c r="D627" s="14">
        <v>51</v>
      </c>
      <c r="E627" s="14">
        <v>472</v>
      </c>
      <c r="F627" s="14">
        <v>6.4</v>
      </c>
      <c r="G627" s="14">
        <v>31</v>
      </c>
      <c r="H627" s="14">
        <v>89.06</v>
      </c>
      <c r="I627" s="15">
        <v>0.51</v>
      </c>
    </row>
    <row r="628" spans="1:9" x14ac:dyDescent="0.25">
      <c r="A628" s="12">
        <v>14</v>
      </c>
      <c r="B628" s="13">
        <v>45172</v>
      </c>
      <c r="C628" s="14">
        <v>31.7</v>
      </c>
      <c r="D628" s="14">
        <v>63</v>
      </c>
      <c r="E628" s="14">
        <v>710</v>
      </c>
      <c r="F628" s="14">
        <v>6.3</v>
      </c>
      <c r="G628" s="14">
        <v>32</v>
      </c>
      <c r="H628" s="14">
        <v>89.06</v>
      </c>
      <c r="I628" s="15">
        <v>0.63</v>
      </c>
    </row>
    <row r="629" spans="1:9" x14ac:dyDescent="0.25">
      <c r="A629" s="12">
        <v>14</v>
      </c>
      <c r="B629" s="13">
        <v>45173</v>
      </c>
      <c r="C629" s="14">
        <v>31.7</v>
      </c>
      <c r="D629" s="14">
        <v>67</v>
      </c>
      <c r="E629" s="14">
        <v>698</v>
      </c>
      <c r="F629" s="14">
        <v>6.4</v>
      </c>
      <c r="G629" s="14">
        <v>33</v>
      </c>
      <c r="H629" s="14">
        <v>89.06</v>
      </c>
      <c r="I629" s="15">
        <v>0.67</v>
      </c>
    </row>
    <row r="630" spans="1:9" x14ac:dyDescent="0.25">
      <c r="A630" s="12">
        <v>14</v>
      </c>
      <c r="B630" s="13">
        <v>45174</v>
      </c>
      <c r="C630" s="14">
        <v>32</v>
      </c>
      <c r="D630" s="14">
        <v>75</v>
      </c>
      <c r="E630" s="14">
        <v>683</v>
      </c>
      <c r="F630" s="14">
        <v>6.7</v>
      </c>
      <c r="G630" s="14">
        <v>34</v>
      </c>
      <c r="H630" s="14">
        <v>89.6</v>
      </c>
      <c r="I630" s="15">
        <v>0.75</v>
      </c>
    </row>
    <row r="631" spans="1:9" x14ac:dyDescent="0.25">
      <c r="A631" s="12">
        <v>14</v>
      </c>
      <c r="B631" s="13">
        <v>45175</v>
      </c>
      <c r="C631" s="14">
        <v>32.1</v>
      </c>
      <c r="D631" s="14">
        <v>66</v>
      </c>
      <c r="E631" s="14">
        <v>434</v>
      </c>
      <c r="F631" s="14">
        <v>6.3</v>
      </c>
      <c r="G631" s="14">
        <v>35</v>
      </c>
      <c r="H631" s="14">
        <v>89.78</v>
      </c>
      <c r="I631" s="15">
        <v>0.66</v>
      </c>
    </row>
    <row r="632" spans="1:9" x14ac:dyDescent="0.25">
      <c r="A632" s="12">
        <v>14</v>
      </c>
      <c r="B632" s="13">
        <v>45176</v>
      </c>
      <c r="C632" s="14">
        <v>31.5</v>
      </c>
      <c r="D632" s="14">
        <v>57</v>
      </c>
      <c r="E632" s="14">
        <v>642</v>
      </c>
      <c r="F632" s="14">
        <v>6.4</v>
      </c>
      <c r="G632" s="14">
        <v>36</v>
      </c>
      <c r="H632" s="14">
        <v>88.7</v>
      </c>
      <c r="I632" s="15">
        <v>0.56999999999999995</v>
      </c>
    </row>
    <row r="633" spans="1:9" x14ac:dyDescent="0.25">
      <c r="A633" s="12">
        <v>14</v>
      </c>
      <c r="B633" s="13">
        <v>45177</v>
      </c>
      <c r="C633" s="14">
        <v>29.8</v>
      </c>
      <c r="D633" s="14">
        <v>56</v>
      </c>
      <c r="E633" s="14">
        <v>550</v>
      </c>
      <c r="F633" s="14">
        <v>6.4</v>
      </c>
      <c r="G633" s="14">
        <v>37</v>
      </c>
      <c r="H633" s="14">
        <v>85.64</v>
      </c>
      <c r="I633" s="15">
        <v>0.56000000000000005</v>
      </c>
    </row>
    <row r="634" spans="1:9" x14ac:dyDescent="0.25">
      <c r="A634" s="12">
        <v>14</v>
      </c>
      <c r="B634" s="13">
        <v>45178</v>
      </c>
      <c r="C634" s="14">
        <v>20.100000000000001</v>
      </c>
      <c r="D634" s="14">
        <v>64</v>
      </c>
      <c r="E634" s="14">
        <v>590</v>
      </c>
      <c r="F634" s="14">
        <v>6.4</v>
      </c>
      <c r="G634" s="14">
        <v>38</v>
      </c>
      <c r="H634" s="14">
        <v>68.180000000000007</v>
      </c>
      <c r="I634" s="15">
        <v>0.64</v>
      </c>
    </row>
    <row r="635" spans="1:9" x14ac:dyDescent="0.25">
      <c r="A635" s="12">
        <v>14</v>
      </c>
      <c r="B635" s="13">
        <v>45179</v>
      </c>
      <c r="C635" s="14">
        <v>31.1</v>
      </c>
      <c r="D635" s="14">
        <v>69</v>
      </c>
      <c r="E635" s="14">
        <v>536</v>
      </c>
      <c r="F635" s="14">
        <v>6</v>
      </c>
      <c r="G635" s="14">
        <v>39</v>
      </c>
      <c r="H635" s="14">
        <v>87.98</v>
      </c>
      <c r="I635" s="15">
        <v>0.69</v>
      </c>
    </row>
    <row r="636" spans="1:9" x14ac:dyDescent="0.25">
      <c r="A636" s="12">
        <v>14</v>
      </c>
      <c r="B636" s="13">
        <v>45180</v>
      </c>
      <c r="C636" s="14">
        <v>31.2</v>
      </c>
      <c r="D636" s="14">
        <v>73</v>
      </c>
      <c r="E636" s="14">
        <v>465</v>
      </c>
      <c r="F636" s="14">
        <v>6.4</v>
      </c>
      <c r="G636" s="14">
        <v>40</v>
      </c>
      <c r="H636" s="14">
        <v>88.16</v>
      </c>
      <c r="I636" s="15">
        <v>0.73</v>
      </c>
    </row>
    <row r="637" spans="1:9" x14ac:dyDescent="0.25">
      <c r="A637" s="12">
        <v>14</v>
      </c>
      <c r="B637" s="13">
        <v>45181</v>
      </c>
      <c r="C637" s="14">
        <v>31.2</v>
      </c>
      <c r="D637" s="14">
        <v>53</v>
      </c>
      <c r="E637" s="14">
        <v>795</v>
      </c>
      <c r="F637" s="14">
        <v>6.4</v>
      </c>
      <c r="G637" s="14">
        <v>41</v>
      </c>
      <c r="H637" s="14">
        <v>88.16</v>
      </c>
      <c r="I637" s="15">
        <v>0.53</v>
      </c>
    </row>
    <row r="638" spans="1:9" x14ac:dyDescent="0.25">
      <c r="A638" s="12">
        <v>14</v>
      </c>
      <c r="B638" s="13">
        <v>45182</v>
      </c>
      <c r="C638" s="14">
        <v>30.4</v>
      </c>
      <c r="D638" s="14">
        <v>76</v>
      </c>
      <c r="E638" s="14">
        <v>449</v>
      </c>
      <c r="F638" s="14">
        <v>6.3</v>
      </c>
      <c r="G638" s="14">
        <v>42</v>
      </c>
      <c r="H638" s="14">
        <v>86.72</v>
      </c>
      <c r="I638" s="15">
        <v>0.76</v>
      </c>
    </row>
    <row r="639" spans="1:9" x14ac:dyDescent="0.25">
      <c r="A639" s="12">
        <v>14</v>
      </c>
      <c r="B639" s="13">
        <v>45183</v>
      </c>
      <c r="C639" s="14">
        <v>29.1</v>
      </c>
      <c r="D639" s="14">
        <v>61</v>
      </c>
      <c r="E639" s="14">
        <v>764</v>
      </c>
      <c r="F639" s="14">
        <v>6.4</v>
      </c>
      <c r="G639" s="14">
        <v>43</v>
      </c>
      <c r="H639" s="14">
        <v>84.38</v>
      </c>
      <c r="I639" s="15">
        <v>0.61</v>
      </c>
    </row>
    <row r="640" spans="1:9" x14ac:dyDescent="0.25">
      <c r="A640" s="12">
        <v>14</v>
      </c>
      <c r="B640" s="13">
        <v>45184</v>
      </c>
      <c r="C640" s="14">
        <v>30.6</v>
      </c>
      <c r="D640" s="14">
        <v>57</v>
      </c>
      <c r="E640" s="14">
        <v>645</v>
      </c>
      <c r="F640" s="14">
        <v>6.1</v>
      </c>
      <c r="G640" s="14">
        <v>44</v>
      </c>
      <c r="H640" s="14">
        <v>87.08</v>
      </c>
      <c r="I640" s="15">
        <v>0.56999999999999995</v>
      </c>
    </row>
    <row r="641" spans="1:9" x14ac:dyDescent="0.25">
      <c r="A641" s="12">
        <v>14</v>
      </c>
      <c r="B641" s="13">
        <v>45185</v>
      </c>
      <c r="C641" s="14">
        <v>31.5</v>
      </c>
      <c r="D641" s="14">
        <v>75</v>
      </c>
      <c r="E641" s="14">
        <v>663</v>
      </c>
      <c r="F641" s="14">
        <v>6.5</v>
      </c>
      <c r="G641" s="14">
        <v>45</v>
      </c>
      <c r="H641" s="14">
        <v>88.7</v>
      </c>
      <c r="I641" s="15">
        <v>0.75</v>
      </c>
    </row>
    <row r="642" spans="1:9" x14ac:dyDescent="0.25">
      <c r="A642" s="12">
        <v>15</v>
      </c>
      <c r="B642" s="13">
        <v>45141</v>
      </c>
      <c r="C642" s="14">
        <v>33.4</v>
      </c>
      <c r="D642" s="14">
        <v>61</v>
      </c>
      <c r="E642" s="14">
        <v>555</v>
      </c>
      <c r="F642" s="14">
        <v>6.1</v>
      </c>
      <c r="G642" s="14">
        <v>1</v>
      </c>
      <c r="H642" s="14">
        <v>92.12</v>
      </c>
      <c r="I642" s="15">
        <v>0.61</v>
      </c>
    </row>
    <row r="643" spans="1:9" x14ac:dyDescent="0.25">
      <c r="A643" s="12">
        <v>15</v>
      </c>
      <c r="B643" s="13">
        <v>45142</v>
      </c>
      <c r="C643" s="14">
        <v>33.5</v>
      </c>
      <c r="D643" s="14">
        <v>57</v>
      </c>
      <c r="E643" s="14">
        <v>584</v>
      </c>
      <c r="F643" s="14">
        <v>6.3</v>
      </c>
      <c r="G643" s="14">
        <v>2</v>
      </c>
      <c r="H643" s="14">
        <v>92.3</v>
      </c>
      <c r="I643" s="15">
        <v>0.56999999999999995</v>
      </c>
    </row>
    <row r="644" spans="1:9" x14ac:dyDescent="0.25">
      <c r="A644" s="12">
        <v>15</v>
      </c>
      <c r="B644" s="13">
        <v>45143</v>
      </c>
      <c r="C644" s="14">
        <v>33.4</v>
      </c>
      <c r="D644" s="14">
        <v>56</v>
      </c>
      <c r="E644" s="14">
        <v>590</v>
      </c>
      <c r="F644" s="14">
        <v>6.7</v>
      </c>
      <c r="G644" s="14">
        <v>3</v>
      </c>
      <c r="H644" s="14">
        <v>92.12</v>
      </c>
      <c r="I644" s="15">
        <v>0.56000000000000005</v>
      </c>
    </row>
    <row r="645" spans="1:9" x14ac:dyDescent="0.25">
      <c r="A645" s="12">
        <v>15</v>
      </c>
      <c r="B645" s="13">
        <v>45144</v>
      </c>
      <c r="C645" s="14">
        <v>33.4</v>
      </c>
      <c r="D645" s="14">
        <v>63</v>
      </c>
      <c r="E645" s="14">
        <v>782</v>
      </c>
      <c r="F645" s="14">
        <v>6.7</v>
      </c>
      <c r="G645" s="14">
        <v>4</v>
      </c>
      <c r="H645" s="14">
        <v>92.12</v>
      </c>
      <c r="I645" s="15">
        <v>0.63</v>
      </c>
    </row>
    <row r="646" spans="1:9" x14ac:dyDescent="0.25">
      <c r="A646" s="12">
        <v>15</v>
      </c>
      <c r="B646" s="13">
        <v>45145</v>
      </c>
      <c r="C646" s="14">
        <v>33.4</v>
      </c>
      <c r="D646" s="14">
        <v>73</v>
      </c>
      <c r="E646" s="14">
        <v>767</v>
      </c>
      <c r="F646" s="14">
        <v>6.4</v>
      </c>
      <c r="G646" s="14">
        <v>5</v>
      </c>
      <c r="H646" s="14">
        <v>92.12</v>
      </c>
      <c r="I646" s="15">
        <v>0.73</v>
      </c>
    </row>
    <row r="647" spans="1:9" x14ac:dyDescent="0.25">
      <c r="A647" s="12">
        <v>15</v>
      </c>
      <c r="B647" s="13">
        <v>45146</v>
      </c>
      <c r="C647" s="14">
        <v>32.299999999999997</v>
      </c>
      <c r="D647" s="14">
        <v>61</v>
      </c>
      <c r="E647" s="14">
        <v>459</v>
      </c>
      <c r="F647" s="14">
        <v>6</v>
      </c>
      <c r="G647" s="14">
        <v>6</v>
      </c>
      <c r="H647" s="14">
        <v>90.14</v>
      </c>
      <c r="I647" s="15">
        <v>0.61</v>
      </c>
    </row>
    <row r="648" spans="1:9" x14ac:dyDescent="0.25">
      <c r="A648" s="12">
        <v>15</v>
      </c>
      <c r="B648" s="13">
        <v>45147</v>
      </c>
      <c r="C648" s="14">
        <v>32.299999999999997</v>
      </c>
      <c r="D648" s="14">
        <v>71</v>
      </c>
      <c r="E648" s="14">
        <v>741</v>
      </c>
      <c r="F648" s="14">
        <v>6.2</v>
      </c>
      <c r="G648" s="14">
        <v>7</v>
      </c>
      <c r="H648" s="14">
        <v>90.14</v>
      </c>
      <c r="I648" s="15">
        <v>0.71</v>
      </c>
    </row>
    <row r="649" spans="1:9" x14ac:dyDescent="0.25">
      <c r="A649" s="12">
        <v>15</v>
      </c>
      <c r="B649" s="13">
        <v>45148</v>
      </c>
      <c r="C649" s="14">
        <v>22.7</v>
      </c>
      <c r="D649" s="14">
        <v>58</v>
      </c>
      <c r="E649" s="14">
        <v>724</v>
      </c>
      <c r="F649" s="14">
        <v>6.5</v>
      </c>
      <c r="G649" s="14">
        <v>8</v>
      </c>
      <c r="H649" s="14">
        <v>72.86</v>
      </c>
      <c r="I649" s="15">
        <v>0.57999999999999996</v>
      </c>
    </row>
    <row r="650" spans="1:9" x14ac:dyDescent="0.25">
      <c r="A650" s="12">
        <v>15</v>
      </c>
      <c r="B650" s="13">
        <v>45149</v>
      </c>
      <c r="C650" s="14">
        <v>31.9</v>
      </c>
      <c r="D650" s="14">
        <v>79</v>
      </c>
      <c r="E650" s="14">
        <v>779</v>
      </c>
      <c r="F650" s="14">
        <v>6.5</v>
      </c>
      <c r="G650" s="14">
        <v>9</v>
      </c>
      <c r="H650" s="14">
        <v>89.42</v>
      </c>
      <c r="I650" s="15">
        <v>0.79</v>
      </c>
    </row>
    <row r="651" spans="1:9" x14ac:dyDescent="0.25">
      <c r="A651" s="12">
        <v>15</v>
      </c>
      <c r="B651" s="13">
        <v>45150</v>
      </c>
      <c r="C651" s="14">
        <v>30.2</v>
      </c>
      <c r="D651" s="14">
        <v>54</v>
      </c>
      <c r="E651" s="14">
        <v>743</v>
      </c>
      <c r="F651" s="14">
        <v>6.1</v>
      </c>
      <c r="G651" s="14">
        <v>10</v>
      </c>
      <c r="H651" s="14">
        <v>86.36</v>
      </c>
      <c r="I651" s="15">
        <v>0.54</v>
      </c>
    </row>
    <row r="652" spans="1:9" x14ac:dyDescent="0.25">
      <c r="A652" s="12">
        <v>15</v>
      </c>
      <c r="B652" s="13">
        <v>45151</v>
      </c>
      <c r="C652" s="14">
        <v>30.1</v>
      </c>
      <c r="D652" s="14">
        <v>77</v>
      </c>
      <c r="E652" s="14">
        <v>509</v>
      </c>
      <c r="F652" s="14">
        <v>6</v>
      </c>
      <c r="G652" s="14">
        <v>11</v>
      </c>
      <c r="H652" s="14">
        <v>86.18</v>
      </c>
      <c r="I652" s="15">
        <v>0.77</v>
      </c>
    </row>
    <row r="653" spans="1:9" x14ac:dyDescent="0.25">
      <c r="A653" s="12">
        <v>15</v>
      </c>
      <c r="B653" s="13">
        <v>45152</v>
      </c>
      <c r="C653" s="14">
        <v>30.1</v>
      </c>
      <c r="D653" s="14">
        <v>55</v>
      </c>
      <c r="E653" s="14">
        <v>770</v>
      </c>
      <c r="F653" s="14">
        <v>6.1</v>
      </c>
      <c r="G653" s="14">
        <v>12</v>
      </c>
      <c r="H653" s="14">
        <v>86.18</v>
      </c>
      <c r="I653" s="15">
        <v>0.55000000000000004</v>
      </c>
    </row>
    <row r="654" spans="1:9" x14ac:dyDescent="0.25">
      <c r="A654" s="12">
        <v>15</v>
      </c>
      <c r="B654" s="13">
        <v>45153</v>
      </c>
      <c r="C654" s="14">
        <v>30.1</v>
      </c>
      <c r="D654" s="14">
        <v>57</v>
      </c>
      <c r="E654" s="14">
        <v>490</v>
      </c>
      <c r="F654" s="14">
        <v>6.5</v>
      </c>
      <c r="G654" s="14">
        <v>13</v>
      </c>
      <c r="H654" s="14">
        <v>86.18</v>
      </c>
      <c r="I654" s="15">
        <v>0.56999999999999995</v>
      </c>
    </row>
    <row r="655" spans="1:9" x14ac:dyDescent="0.25">
      <c r="A655" s="12">
        <v>15</v>
      </c>
      <c r="B655" s="13">
        <v>45154</v>
      </c>
      <c r="C655" s="14">
        <v>29.8</v>
      </c>
      <c r="D655" s="14">
        <v>58</v>
      </c>
      <c r="E655" s="14">
        <v>409</v>
      </c>
      <c r="F655" s="14">
        <v>6.3</v>
      </c>
      <c r="G655" s="14">
        <v>14</v>
      </c>
      <c r="H655" s="14">
        <v>85.64</v>
      </c>
      <c r="I655" s="15">
        <v>0.57999999999999996</v>
      </c>
    </row>
    <row r="656" spans="1:9" x14ac:dyDescent="0.25">
      <c r="A656" s="12">
        <v>15</v>
      </c>
      <c r="B656" s="13">
        <v>45155</v>
      </c>
      <c r="C656" s="14">
        <v>29.6</v>
      </c>
      <c r="D656" s="14">
        <v>59</v>
      </c>
      <c r="E656" s="14">
        <v>734</v>
      </c>
      <c r="F656" s="14">
        <v>6.5</v>
      </c>
      <c r="G656" s="14">
        <v>15</v>
      </c>
      <c r="H656" s="14">
        <v>85.28</v>
      </c>
      <c r="I656" s="15">
        <v>0.59</v>
      </c>
    </row>
    <row r="657" spans="1:9" x14ac:dyDescent="0.25">
      <c r="A657" s="12">
        <v>15</v>
      </c>
      <c r="B657" s="13">
        <v>45156</v>
      </c>
      <c r="C657" s="14">
        <v>30.9</v>
      </c>
      <c r="D657" s="14">
        <v>58</v>
      </c>
      <c r="E657" s="14">
        <v>587</v>
      </c>
      <c r="F657" s="14">
        <v>6.5</v>
      </c>
      <c r="G657" s="14">
        <v>16</v>
      </c>
      <c r="H657" s="14">
        <v>87.62</v>
      </c>
      <c r="I657" s="15">
        <v>0.57999999999999996</v>
      </c>
    </row>
    <row r="658" spans="1:9" x14ac:dyDescent="0.25">
      <c r="A658" s="12">
        <v>15</v>
      </c>
      <c r="B658" s="13">
        <v>45157</v>
      </c>
      <c r="C658" s="14">
        <v>30.8</v>
      </c>
      <c r="D658" s="14">
        <v>80</v>
      </c>
      <c r="E658" s="14">
        <v>501</v>
      </c>
      <c r="F658" s="14">
        <v>6.5</v>
      </c>
      <c r="G658" s="14">
        <v>17</v>
      </c>
      <c r="H658" s="14">
        <v>87.44</v>
      </c>
      <c r="I658" s="15">
        <v>0.8</v>
      </c>
    </row>
    <row r="659" spans="1:9" x14ac:dyDescent="0.25">
      <c r="A659" s="12">
        <v>15</v>
      </c>
      <c r="B659" s="13">
        <v>45158</v>
      </c>
      <c r="C659" s="14">
        <v>30.9</v>
      </c>
      <c r="D659" s="14">
        <v>53</v>
      </c>
      <c r="E659" s="14">
        <v>513</v>
      </c>
      <c r="F659" s="14">
        <v>6.5</v>
      </c>
      <c r="G659" s="14">
        <v>18</v>
      </c>
      <c r="H659" s="14">
        <v>87.62</v>
      </c>
      <c r="I659" s="15">
        <v>0.53</v>
      </c>
    </row>
    <row r="660" spans="1:9" x14ac:dyDescent="0.25">
      <c r="A660" s="12">
        <v>15</v>
      </c>
      <c r="B660" s="13">
        <v>45159</v>
      </c>
      <c r="C660" s="14">
        <v>30.2</v>
      </c>
      <c r="D660" s="14">
        <v>69</v>
      </c>
      <c r="E660" s="14">
        <v>493</v>
      </c>
      <c r="F660" s="14">
        <v>6</v>
      </c>
      <c r="G660" s="14">
        <v>19</v>
      </c>
      <c r="H660" s="14">
        <v>86.36</v>
      </c>
      <c r="I660" s="15">
        <v>0.69</v>
      </c>
    </row>
    <row r="661" spans="1:9" x14ac:dyDescent="0.25">
      <c r="A661" s="12">
        <v>15</v>
      </c>
      <c r="B661" s="13">
        <v>45160</v>
      </c>
      <c r="C661" s="14">
        <v>30.5</v>
      </c>
      <c r="D661" s="14">
        <v>80</v>
      </c>
      <c r="E661" s="14">
        <v>578</v>
      </c>
      <c r="F661" s="14">
        <v>6.3</v>
      </c>
      <c r="G661" s="14">
        <v>20</v>
      </c>
      <c r="H661" s="14">
        <v>86.9</v>
      </c>
      <c r="I661" s="15">
        <v>0.8</v>
      </c>
    </row>
    <row r="662" spans="1:9" x14ac:dyDescent="0.25">
      <c r="A662" s="12">
        <v>15</v>
      </c>
      <c r="B662" s="13">
        <v>45161</v>
      </c>
      <c r="C662" s="14">
        <v>30.8</v>
      </c>
      <c r="D662" s="14">
        <v>74</v>
      </c>
      <c r="E662" s="14">
        <v>609</v>
      </c>
      <c r="F662" s="14">
        <v>6.4</v>
      </c>
      <c r="G662" s="14">
        <v>21</v>
      </c>
      <c r="H662" s="14">
        <v>87.44</v>
      </c>
      <c r="I662" s="15">
        <v>0.74</v>
      </c>
    </row>
    <row r="663" spans="1:9" x14ac:dyDescent="0.25">
      <c r="A663" s="12">
        <v>15</v>
      </c>
      <c r="B663" s="13">
        <v>45162</v>
      </c>
      <c r="C663" s="14">
        <v>31.3</v>
      </c>
      <c r="D663" s="14">
        <v>60</v>
      </c>
      <c r="E663" s="14">
        <v>590</v>
      </c>
      <c r="F663" s="14">
        <v>6.2</v>
      </c>
      <c r="G663" s="14">
        <v>22</v>
      </c>
      <c r="H663" s="14">
        <v>88.34</v>
      </c>
      <c r="I663" s="15">
        <v>0.6</v>
      </c>
    </row>
    <row r="664" spans="1:9" x14ac:dyDescent="0.25">
      <c r="A664" s="12">
        <v>15</v>
      </c>
      <c r="B664" s="13">
        <v>45163</v>
      </c>
      <c r="C664" s="14">
        <v>31.4</v>
      </c>
      <c r="D664" s="14">
        <v>55</v>
      </c>
      <c r="E664" s="14">
        <v>539</v>
      </c>
      <c r="F664" s="14">
        <v>6.8</v>
      </c>
      <c r="G664" s="14">
        <v>23</v>
      </c>
      <c r="H664" s="14">
        <v>88.52</v>
      </c>
      <c r="I664" s="15">
        <v>0.55000000000000004</v>
      </c>
    </row>
    <row r="665" spans="1:9" x14ac:dyDescent="0.25">
      <c r="A665" s="12">
        <v>15</v>
      </c>
      <c r="B665" s="13">
        <v>45164</v>
      </c>
      <c r="C665" s="14">
        <v>31.4</v>
      </c>
      <c r="D665" s="14">
        <v>63</v>
      </c>
      <c r="E665" s="14">
        <v>759</v>
      </c>
      <c r="F665" s="14">
        <v>6.1</v>
      </c>
      <c r="G665" s="14">
        <v>24</v>
      </c>
      <c r="H665" s="14">
        <v>88.52</v>
      </c>
      <c r="I665" s="15">
        <v>0.63</v>
      </c>
    </row>
    <row r="666" spans="1:9" x14ac:dyDescent="0.25">
      <c r="A666" s="12">
        <v>15</v>
      </c>
      <c r="B666" s="13">
        <v>45165</v>
      </c>
      <c r="C666" s="14">
        <v>30.1</v>
      </c>
      <c r="D666" s="14">
        <v>52</v>
      </c>
      <c r="E666" s="14">
        <v>663</v>
      </c>
      <c r="F666" s="14">
        <v>6.6</v>
      </c>
      <c r="G666" s="14">
        <v>25</v>
      </c>
      <c r="H666" s="14">
        <v>86.18</v>
      </c>
      <c r="I666" s="15">
        <v>0.52</v>
      </c>
    </row>
    <row r="667" spans="1:9" x14ac:dyDescent="0.25">
      <c r="A667" s="12">
        <v>15</v>
      </c>
      <c r="B667" s="13">
        <v>45166</v>
      </c>
      <c r="C667" s="14">
        <v>29.4</v>
      </c>
      <c r="D667" s="14">
        <v>53</v>
      </c>
      <c r="E667" s="14">
        <v>587</v>
      </c>
      <c r="F667" s="14">
        <v>6.6</v>
      </c>
      <c r="G667" s="14">
        <v>26</v>
      </c>
      <c r="H667" s="14">
        <v>84.92</v>
      </c>
      <c r="I667" s="15">
        <v>0.53</v>
      </c>
    </row>
    <row r="668" spans="1:9" x14ac:dyDescent="0.25">
      <c r="A668" s="12">
        <v>15</v>
      </c>
      <c r="B668" s="13">
        <v>45167</v>
      </c>
      <c r="C668" s="14">
        <v>28.7</v>
      </c>
      <c r="D668" s="14">
        <v>54</v>
      </c>
      <c r="E668" s="14">
        <v>474</v>
      </c>
      <c r="F668" s="14">
        <v>6.5</v>
      </c>
      <c r="G668" s="14">
        <v>27</v>
      </c>
      <c r="H668" s="14">
        <v>83.66</v>
      </c>
      <c r="I668" s="15">
        <v>0.54</v>
      </c>
    </row>
    <row r="669" spans="1:9" x14ac:dyDescent="0.25">
      <c r="A669" s="12">
        <v>15</v>
      </c>
      <c r="B669" s="13">
        <v>45168</v>
      </c>
      <c r="C669" s="14">
        <v>29.1</v>
      </c>
      <c r="D669" s="14">
        <v>75</v>
      </c>
      <c r="E669" s="14">
        <v>543</v>
      </c>
      <c r="F669" s="14">
        <v>6.1</v>
      </c>
      <c r="G669" s="14">
        <v>28</v>
      </c>
      <c r="H669" s="14">
        <v>84.38</v>
      </c>
      <c r="I669" s="15">
        <v>0.75</v>
      </c>
    </row>
    <row r="670" spans="1:9" x14ac:dyDescent="0.25">
      <c r="A670" s="12">
        <v>15</v>
      </c>
      <c r="B670" s="13">
        <v>45169</v>
      </c>
      <c r="C670" s="14">
        <v>29.2</v>
      </c>
      <c r="D670" s="14">
        <v>78</v>
      </c>
      <c r="E670" s="14">
        <v>518</v>
      </c>
      <c r="F670" s="14">
        <v>6.6</v>
      </c>
      <c r="G670" s="14">
        <v>29</v>
      </c>
      <c r="H670" s="14">
        <v>84.56</v>
      </c>
      <c r="I670" s="15">
        <v>0.78</v>
      </c>
    </row>
    <row r="671" spans="1:9" x14ac:dyDescent="0.25">
      <c r="A671" s="12">
        <v>15</v>
      </c>
      <c r="B671" s="13">
        <v>45170</v>
      </c>
      <c r="C671" s="14">
        <v>31.7</v>
      </c>
      <c r="D671" s="14">
        <v>51</v>
      </c>
      <c r="E671" s="14">
        <v>725</v>
      </c>
      <c r="F671" s="14">
        <v>6.2</v>
      </c>
      <c r="G671" s="14">
        <v>30</v>
      </c>
      <c r="H671" s="14">
        <v>89.06</v>
      </c>
      <c r="I671" s="15">
        <v>0.51</v>
      </c>
    </row>
    <row r="672" spans="1:9" x14ac:dyDescent="0.25">
      <c r="A672" s="12">
        <v>15</v>
      </c>
      <c r="B672" s="13">
        <v>45171</v>
      </c>
      <c r="C672" s="14">
        <v>31.7</v>
      </c>
      <c r="D672" s="14">
        <v>73</v>
      </c>
      <c r="E672" s="14">
        <v>559</v>
      </c>
      <c r="F672" s="14">
        <v>6.6</v>
      </c>
      <c r="G672" s="14">
        <v>31</v>
      </c>
      <c r="H672" s="14">
        <v>89.06</v>
      </c>
      <c r="I672" s="15">
        <v>0.73</v>
      </c>
    </row>
    <row r="673" spans="1:9" x14ac:dyDescent="0.25">
      <c r="A673" s="12">
        <v>15</v>
      </c>
      <c r="B673" s="13">
        <v>45172</v>
      </c>
      <c r="C673" s="14">
        <v>31.7</v>
      </c>
      <c r="D673" s="14">
        <v>65</v>
      </c>
      <c r="E673" s="14">
        <v>619</v>
      </c>
      <c r="F673" s="14">
        <v>6.7</v>
      </c>
      <c r="G673" s="14">
        <v>32</v>
      </c>
      <c r="H673" s="14">
        <v>89.06</v>
      </c>
      <c r="I673" s="15">
        <v>0.65</v>
      </c>
    </row>
    <row r="674" spans="1:9" x14ac:dyDescent="0.25">
      <c r="A674" s="12">
        <v>15</v>
      </c>
      <c r="B674" s="13">
        <v>45173</v>
      </c>
      <c r="C674" s="14">
        <v>31.7</v>
      </c>
      <c r="D674" s="14">
        <v>72</v>
      </c>
      <c r="E674" s="14">
        <v>415</v>
      </c>
      <c r="F674" s="14">
        <v>6.8</v>
      </c>
      <c r="G674" s="14">
        <v>33</v>
      </c>
      <c r="H674" s="14">
        <v>89.06</v>
      </c>
      <c r="I674" s="15">
        <v>0.72</v>
      </c>
    </row>
    <row r="675" spans="1:9" x14ac:dyDescent="0.25">
      <c r="A675" s="12">
        <v>15</v>
      </c>
      <c r="B675" s="13">
        <v>45174</v>
      </c>
      <c r="C675" s="14">
        <v>32</v>
      </c>
      <c r="D675" s="14">
        <v>73</v>
      </c>
      <c r="E675" s="14">
        <v>714</v>
      </c>
      <c r="F675" s="14">
        <v>6.5</v>
      </c>
      <c r="G675" s="14">
        <v>34</v>
      </c>
      <c r="H675" s="14">
        <v>89.6</v>
      </c>
      <c r="I675" s="15">
        <v>0.73</v>
      </c>
    </row>
    <row r="676" spans="1:9" x14ac:dyDescent="0.25">
      <c r="A676" s="12">
        <v>15</v>
      </c>
      <c r="B676" s="13">
        <v>45175</v>
      </c>
      <c r="C676" s="14">
        <v>32.1</v>
      </c>
      <c r="D676" s="14">
        <v>75</v>
      </c>
      <c r="E676" s="14">
        <v>427</v>
      </c>
      <c r="F676" s="14">
        <v>6.3</v>
      </c>
      <c r="G676" s="14">
        <v>35</v>
      </c>
      <c r="H676" s="14">
        <v>89.78</v>
      </c>
      <c r="I676" s="15">
        <v>0.75</v>
      </c>
    </row>
    <row r="677" spans="1:9" x14ac:dyDescent="0.25">
      <c r="A677" s="12">
        <v>15</v>
      </c>
      <c r="B677" s="13">
        <v>45176</v>
      </c>
      <c r="C677" s="14">
        <v>31.5</v>
      </c>
      <c r="D677" s="14">
        <v>52</v>
      </c>
      <c r="E677" s="14">
        <v>501</v>
      </c>
      <c r="F677" s="14">
        <v>6</v>
      </c>
      <c r="G677" s="14">
        <v>36</v>
      </c>
      <c r="H677" s="14">
        <v>88.7</v>
      </c>
      <c r="I677" s="15">
        <v>0.52</v>
      </c>
    </row>
    <row r="678" spans="1:9" x14ac:dyDescent="0.25">
      <c r="A678" s="12">
        <v>15</v>
      </c>
      <c r="B678" s="13">
        <v>45177</v>
      </c>
      <c r="C678" s="14">
        <v>29.8</v>
      </c>
      <c r="D678" s="14">
        <v>73</v>
      </c>
      <c r="E678" s="14">
        <v>584</v>
      </c>
      <c r="F678" s="14">
        <v>6.6</v>
      </c>
      <c r="G678" s="14">
        <v>37</v>
      </c>
      <c r="H678" s="14">
        <v>85.64</v>
      </c>
      <c r="I678" s="15">
        <v>0.73</v>
      </c>
    </row>
    <row r="679" spans="1:9" x14ac:dyDescent="0.25">
      <c r="A679" s="12">
        <v>15</v>
      </c>
      <c r="B679" s="13">
        <v>45178</v>
      </c>
      <c r="C679" s="14">
        <v>20.100000000000001</v>
      </c>
      <c r="D679" s="14">
        <v>50</v>
      </c>
      <c r="E679" s="14">
        <v>556</v>
      </c>
      <c r="F679" s="14">
        <v>6</v>
      </c>
      <c r="G679" s="14">
        <v>38</v>
      </c>
      <c r="H679" s="14">
        <v>68.180000000000007</v>
      </c>
      <c r="I679" s="15">
        <v>0.5</v>
      </c>
    </row>
    <row r="680" spans="1:9" x14ac:dyDescent="0.25">
      <c r="A680" s="12">
        <v>15</v>
      </c>
      <c r="B680" s="13">
        <v>45179</v>
      </c>
      <c r="C680" s="14">
        <v>31.1</v>
      </c>
      <c r="D680" s="14">
        <v>53</v>
      </c>
      <c r="E680" s="14">
        <v>604</v>
      </c>
      <c r="F680" s="14">
        <v>6.8</v>
      </c>
      <c r="G680" s="14">
        <v>39</v>
      </c>
      <c r="H680" s="14">
        <v>87.98</v>
      </c>
      <c r="I680" s="15">
        <v>0.53</v>
      </c>
    </row>
    <row r="681" spans="1:9" x14ac:dyDescent="0.25">
      <c r="A681" s="12">
        <v>15</v>
      </c>
      <c r="B681" s="13">
        <v>45180</v>
      </c>
      <c r="C681" s="14">
        <v>31.2</v>
      </c>
      <c r="D681" s="14">
        <v>62</v>
      </c>
      <c r="E681" s="14">
        <v>402</v>
      </c>
      <c r="F681" s="14">
        <v>6.8</v>
      </c>
      <c r="G681" s="14">
        <v>40</v>
      </c>
      <c r="H681" s="14">
        <v>88.16</v>
      </c>
      <c r="I681" s="15">
        <v>0.62</v>
      </c>
    </row>
    <row r="682" spans="1:9" x14ac:dyDescent="0.25">
      <c r="A682" s="12">
        <v>15</v>
      </c>
      <c r="B682" s="13">
        <v>45181</v>
      </c>
      <c r="C682" s="14">
        <v>31.2</v>
      </c>
      <c r="D682" s="14">
        <v>61</v>
      </c>
      <c r="E682" s="14">
        <v>403</v>
      </c>
      <c r="F682" s="14">
        <v>6.6</v>
      </c>
      <c r="G682" s="14">
        <v>41</v>
      </c>
      <c r="H682" s="14">
        <v>88.16</v>
      </c>
      <c r="I682" s="15">
        <v>0.61</v>
      </c>
    </row>
    <row r="683" spans="1:9" x14ac:dyDescent="0.25">
      <c r="A683" s="12">
        <v>15</v>
      </c>
      <c r="B683" s="13">
        <v>45182</v>
      </c>
      <c r="C683" s="14">
        <v>30.4</v>
      </c>
      <c r="D683" s="14">
        <v>75</v>
      </c>
      <c r="E683" s="14">
        <v>561</v>
      </c>
      <c r="F683" s="14">
        <v>6.1</v>
      </c>
      <c r="G683" s="14">
        <v>42</v>
      </c>
      <c r="H683" s="14">
        <v>86.72</v>
      </c>
      <c r="I683" s="15">
        <v>0.75</v>
      </c>
    </row>
    <row r="684" spans="1:9" x14ac:dyDescent="0.25">
      <c r="A684" s="12">
        <v>15</v>
      </c>
      <c r="B684" s="13">
        <v>45183</v>
      </c>
      <c r="C684" s="14">
        <v>29.1</v>
      </c>
      <c r="D684" s="14">
        <v>68</v>
      </c>
      <c r="E684" s="14">
        <v>420</v>
      </c>
      <c r="F684" s="14">
        <v>6.6</v>
      </c>
      <c r="G684" s="14">
        <v>43</v>
      </c>
      <c r="H684" s="14">
        <v>84.38</v>
      </c>
      <c r="I684" s="15">
        <v>0.68</v>
      </c>
    </row>
    <row r="685" spans="1:9" x14ac:dyDescent="0.25">
      <c r="A685" s="12">
        <v>15</v>
      </c>
      <c r="B685" s="13">
        <v>45184</v>
      </c>
      <c r="C685" s="14">
        <v>30.6</v>
      </c>
      <c r="D685" s="14">
        <v>60</v>
      </c>
      <c r="E685" s="14">
        <v>708</v>
      </c>
      <c r="F685" s="14">
        <v>6</v>
      </c>
      <c r="G685" s="14">
        <v>44</v>
      </c>
      <c r="H685" s="14">
        <v>87.08</v>
      </c>
      <c r="I685" s="15">
        <v>0.6</v>
      </c>
    </row>
    <row r="686" spans="1:9" x14ac:dyDescent="0.25">
      <c r="A686" s="12">
        <v>15</v>
      </c>
      <c r="B686" s="13">
        <v>45185</v>
      </c>
      <c r="C686" s="14">
        <v>31.5</v>
      </c>
      <c r="D686" s="14">
        <v>57</v>
      </c>
      <c r="E686" s="14">
        <v>783</v>
      </c>
      <c r="F686" s="14">
        <v>6.7</v>
      </c>
      <c r="G686" s="14">
        <v>45</v>
      </c>
      <c r="H686" s="14">
        <v>88.7</v>
      </c>
      <c r="I686" s="15">
        <v>0.56999999999999995</v>
      </c>
    </row>
    <row r="687" spans="1:9" x14ac:dyDescent="0.25">
      <c r="A687" s="12">
        <v>16</v>
      </c>
      <c r="B687" s="13">
        <v>45141</v>
      </c>
      <c r="C687" s="14">
        <v>33.4</v>
      </c>
      <c r="D687" s="14">
        <v>50</v>
      </c>
      <c r="E687" s="14">
        <v>769</v>
      </c>
      <c r="F687" s="14">
        <v>6.7</v>
      </c>
      <c r="G687" s="14">
        <v>1</v>
      </c>
      <c r="H687" s="14">
        <v>92.12</v>
      </c>
      <c r="I687" s="15">
        <v>0.5</v>
      </c>
    </row>
    <row r="688" spans="1:9" x14ac:dyDescent="0.25">
      <c r="A688" s="12">
        <v>16</v>
      </c>
      <c r="B688" s="13">
        <v>45142</v>
      </c>
      <c r="C688" s="14">
        <v>33.5</v>
      </c>
      <c r="D688" s="14">
        <v>64</v>
      </c>
      <c r="E688" s="14">
        <v>794</v>
      </c>
      <c r="F688" s="14">
        <v>6.1</v>
      </c>
      <c r="G688" s="14">
        <v>2</v>
      </c>
      <c r="H688" s="14">
        <v>92.3</v>
      </c>
      <c r="I688" s="15">
        <v>0.64</v>
      </c>
    </row>
    <row r="689" spans="1:9" x14ac:dyDescent="0.25">
      <c r="A689" s="12">
        <v>16</v>
      </c>
      <c r="B689" s="13">
        <v>45143</v>
      </c>
      <c r="C689" s="14">
        <v>33.4</v>
      </c>
      <c r="D689" s="14">
        <v>71</v>
      </c>
      <c r="E689" s="14">
        <v>533</v>
      </c>
      <c r="F689" s="14">
        <v>6.8</v>
      </c>
      <c r="G689" s="14">
        <v>3</v>
      </c>
      <c r="H689" s="14">
        <v>92.12</v>
      </c>
      <c r="I689" s="15">
        <v>0.71</v>
      </c>
    </row>
    <row r="690" spans="1:9" x14ac:dyDescent="0.25">
      <c r="A690" s="12">
        <v>16</v>
      </c>
      <c r="B690" s="13">
        <v>45144</v>
      </c>
      <c r="C690" s="14">
        <v>33.4</v>
      </c>
      <c r="D690" s="14">
        <v>56</v>
      </c>
      <c r="E690" s="14">
        <v>588</v>
      </c>
      <c r="F690" s="14">
        <v>6</v>
      </c>
      <c r="G690" s="14">
        <v>4</v>
      </c>
      <c r="H690" s="14">
        <v>92.12</v>
      </c>
      <c r="I690" s="15">
        <v>0.56000000000000005</v>
      </c>
    </row>
    <row r="691" spans="1:9" x14ac:dyDescent="0.25">
      <c r="A691" s="12">
        <v>16</v>
      </c>
      <c r="B691" s="13">
        <v>45145</v>
      </c>
      <c r="C691" s="14">
        <v>33.4</v>
      </c>
      <c r="D691" s="14">
        <v>68</v>
      </c>
      <c r="E691" s="14">
        <v>554</v>
      </c>
      <c r="F691" s="14">
        <v>6.6</v>
      </c>
      <c r="G691" s="14">
        <v>5</v>
      </c>
      <c r="H691" s="14">
        <v>92.12</v>
      </c>
      <c r="I691" s="15">
        <v>0.68</v>
      </c>
    </row>
    <row r="692" spans="1:9" x14ac:dyDescent="0.25">
      <c r="A692" s="12">
        <v>16</v>
      </c>
      <c r="B692" s="13">
        <v>45146</v>
      </c>
      <c r="C692" s="14">
        <v>32.299999999999997</v>
      </c>
      <c r="D692" s="14">
        <v>70</v>
      </c>
      <c r="E692" s="14">
        <v>482</v>
      </c>
      <c r="F692" s="14">
        <v>6.1</v>
      </c>
      <c r="G692" s="14">
        <v>6</v>
      </c>
      <c r="H692" s="14">
        <v>90.14</v>
      </c>
      <c r="I692" s="15">
        <v>0.7</v>
      </c>
    </row>
    <row r="693" spans="1:9" x14ac:dyDescent="0.25">
      <c r="A693" s="12">
        <v>16</v>
      </c>
      <c r="B693" s="13">
        <v>45147</v>
      </c>
      <c r="C693" s="14">
        <v>32.299999999999997</v>
      </c>
      <c r="D693" s="14">
        <v>58</v>
      </c>
      <c r="E693" s="14">
        <v>779</v>
      </c>
      <c r="F693" s="14">
        <v>6.3</v>
      </c>
      <c r="G693" s="14">
        <v>7</v>
      </c>
      <c r="H693" s="14">
        <v>90.14</v>
      </c>
      <c r="I693" s="15">
        <v>0.57999999999999996</v>
      </c>
    </row>
    <row r="694" spans="1:9" x14ac:dyDescent="0.25">
      <c r="A694" s="12">
        <v>16</v>
      </c>
      <c r="B694" s="13">
        <v>45148</v>
      </c>
      <c r="C694" s="14">
        <v>22.7</v>
      </c>
      <c r="D694" s="14">
        <v>80</v>
      </c>
      <c r="E694" s="14">
        <v>503</v>
      </c>
      <c r="F694" s="14">
        <v>6.1</v>
      </c>
      <c r="G694" s="14">
        <v>8</v>
      </c>
      <c r="H694" s="14">
        <v>72.86</v>
      </c>
      <c r="I694" s="15">
        <v>0.8</v>
      </c>
    </row>
    <row r="695" spans="1:9" x14ac:dyDescent="0.25">
      <c r="A695" s="12">
        <v>16</v>
      </c>
      <c r="B695" s="13">
        <v>45149</v>
      </c>
      <c r="C695" s="14">
        <v>31.9</v>
      </c>
      <c r="D695" s="14">
        <v>68</v>
      </c>
      <c r="E695" s="14">
        <v>692</v>
      </c>
      <c r="F695" s="14">
        <v>6.5</v>
      </c>
      <c r="G695" s="14">
        <v>9</v>
      </c>
      <c r="H695" s="14">
        <v>89.42</v>
      </c>
      <c r="I695" s="15">
        <v>0.68</v>
      </c>
    </row>
    <row r="696" spans="1:9" x14ac:dyDescent="0.25">
      <c r="A696" s="12">
        <v>16</v>
      </c>
      <c r="B696" s="13">
        <v>45150</v>
      </c>
      <c r="C696" s="14">
        <v>30.2</v>
      </c>
      <c r="D696" s="14">
        <v>68</v>
      </c>
      <c r="E696" s="14">
        <v>454</v>
      </c>
      <c r="F696" s="14">
        <v>6.4</v>
      </c>
      <c r="G696" s="14">
        <v>10</v>
      </c>
      <c r="H696" s="14">
        <v>86.36</v>
      </c>
      <c r="I696" s="15">
        <v>0.68</v>
      </c>
    </row>
    <row r="697" spans="1:9" x14ac:dyDescent="0.25">
      <c r="A697" s="12">
        <v>16</v>
      </c>
      <c r="B697" s="13">
        <v>45151</v>
      </c>
      <c r="C697" s="14">
        <v>30.1</v>
      </c>
      <c r="D697" s="14">
        <v>62</v>
      </c>
      <c r="E697" s="14">
        <v>477</v>
      </c>
      <c r="F697" s="14">
        <v>6.6</v>
      </c>
      <c r="G697" s="14">
        <v>11</v>
      </c>
      <c r="H697" s="14">
        <v>86.18</v>
      </c>
      <c r="I697" s="15">
        <v>0.62</v>
      </c>
    </row>
    <row r="698" spans="1:9" x14ac:dyDescent="0.25">
      <c r="A698" s="12">
        <v>16</v>
      </c>
      <c r="B698" s="13">
        <v>45152</v>
      </c>
      <c r="C698" s="14">
        <v>30.1</v>
      </c>
      <c r="D698" s="14">
        <v>67</v>
      </c>
      <c r="E698" s="14">
        <v>737</v>
      </c>
      <c r="F698" s="14">
        <v>6.4</v>
      </c>
      <c r="G698" s="14">
        <v>12</v>
      </c>
      <c r="H698" s="14">
        <v>86.18</v>
      </c>
      <c r="I698" s="15">
        <v>0.67</v>
      </c>
    </row>
    <row r="699" spans="1:9" x14ac:dyDescent="0.25">
      <c r="A699" s="12">
        <v>16</v>
      </c>
      <c r="B699" s="13">
        <v>45153</v>
      </c>
      <c r="C699" s="14">
        <v>30.1</v>
      </c>
      <c r="D699" s="14">
        <v>67</v>
      </c>
      <c r="E699" s="14">
        <v>454</v>
      </c>
      <c r="F699" s="14">
        <v>6.7</v>
      </c>
      <c r="G699" s="14">
        <v>13</v>
      </c>
      <c r="H699" s="14">
        <v>86.18</v>
      </c>
      <c r="I699" s="15">
        <v>0.67</v>
      </c>
    </row>
    <row r="700" spans="1:9" x14ac:dyDescent="0.25">
      <c r="A700" s="12">
        <v>16</v>
      </c>
      <c r="B700" s="13">
        <v>45154</v>
      </c>
      <c r="C700" s="14">
        <v>29.8</v>
      </c>
      <c r="D700" s="14">
        <v>71</v>
      </c>
      <c r="E700" s="14">
        <v>654</v>
      </c>
      <c r="F700" s="14">
        <v>6.2</v>
      </c>
      <c r="G700" s="14">
        <v>14</v>
      </c>
      <c r="H700" s="14">
        <v>85.64</v>
      </c>
      <c r="I700" s="15">
        <v>0.71</v>
      </c>
    </row>
    <row r="701" spans="1:9" x14ac:dyDescent="0.25">
      <c r="A701" s="12">
        <v>16</v>
      </c>
      <c r="B701" s="13">
        <v>45155</v>
      </c>
      <c r="C701" s="14">
        <v>29.6</v>
      </c>
      <c r="D701" s="14">
        <v>64</v>
      </c>
      <c r="E701" s="14">
        <v>439</v>
      </c>
      <c r="F701" s="14">
        <v>6.1</v>
      </c>
      <c r="G701" s="14">
        <v>15</v>
      </c>
      <c r="H701" s="14">
        <v>85.28</v>
      </c>
      <c r="I701" s="15">
        <v>0.64</v>
      </c>
    </row>
    <row r="702" spans="1:9" x14ac:dyDescent="0.25">
      <c r="A702" s="12">
        <v>16</v>
      </c>
      <c r="B702" s="13">
        <v>45156</v>
      </c>
      <c r="C702" s="14">
        <v>30.9</v>
      </c>
      <c r="D702" s="14">
        <v>58</v>
      </c>
      <c r="E702" s="14">
        <v>794</v>
      </c>
      <c r="F702" s="14">
        <v>6.5</v>
      </c>
      <c r="G702" s="14">
        <v>16</v>
      </c>
      <c r="H702" s="14">
        <v>87.62</v>
      </c>
      <c r="I702" s="15">
        <v>0.57999999999999996</v>
      </c>
    </row>
    <row r="703" spans="1:9" x14ac:dyDescent="0.25">
      <c r="A703" s="12">
        <v>16</v>
      </c>
      <c r="B703" s="13">
        <v>45157</v>
      </c>
      <c r="C703" s="14">
        <v>30.8</v>
      </c>
      <c r="D703" s="14">
        <v>66</v>
      </c>
      <c r="E703" s="14">
        <v>454</v>
      </c>
      <c r="F703" s="14">
        <v>6.7</v>
      </c>
      <c r="G703" s="14">
        <v>17</v>
      </c>
      <c r="H703" s="14">
        <v>87.44</v>
      </c>
      <c r="I703" s="15">
        <v>0.66</v>
      </c>
    </row>
    <row r="704" spans="1:9" x14ac:dyDescent="0.25">
      <c r="A704" s="12">
        <v>16</v>
      </c>
      <c r="B704" s="13">
        <v>45158</v>
      </c>
      <c r="C704" s="14">
        <v>30.9</v>
      </c>
      <c r="D704" s="14">
        <v>69</v>
      </c>
      <c r="E704" s="14">
        <v>402</v>
      </c>
      <c r="F704" s="14">
        <v>6.5</v>
      </c>
      <c r="G704" s="14">
        <v>18</v>
      </c>
      <c r="H704" s="14">
        <v>87.62</v>
      </c>
      <c r="I704" s="15">
        <v>0.69</v>
      </c>
    </row>
    <row r="705" spans="1:9" x14ac:dyDescent="0.25">
      <c r="A705" s="12">
        <v>16</v>
      </c>
      <c r="B705" s="13">
        <v>45159</v>
      </c>
      <c r="C705" s="14">
        <v>30.2</v>
      </c>
      <c r="D705" s="14">
        <v>64</v>
      </c>
      <c r="E705" s="14">
        <v>426</v>
      </c>
      <c r="F705" s="14">
        <v>6.6</v>
      </c>
      <c r="G705" s="14">
        <v>19</v>
      </c>
      <c r="H705" s="14">
        <v>86.36</v>
      </c>
      <c r="I705" s="15">
        <v>0.64</v>
      </c>
    </row>
    <row r="706" spans="1:9" x14ac:dyDescent="0.25">
      <c r="A706" s="12">
        <v>16</v>
      </c>
      <c r="B706" s="13">
        <v>45160</v>
      </c>
      <c r="C706" s="14">
        <v>30.5</v>
      </c>
      <c r="D706" s="14">
        <v>80</v>
      </c>
      <c r="E706" s="14">
        <v>515</v>
      </c>
      <c r="F706" s="14">
        <v>6.8</v>
      </c>
      <c r="G706" s="14">
        <v>20</v>
      </c>
      <c r="H706" s="14">
        <v>86.9</v>
      </c>
      <c r="I706" s="15">
        <v>0.8</v>
      </c>
    </row>
    <row r="707" spans="1:9" x14ac:dyDescent="0.25">
      <c r="A707" s="12">
        <v>16</v>
      </c>
      <c r="B707" s="13">
        <v>45161</v>
      </c>
      <c r="C707" s="14">
        <v>30.8</v>
      </c>
      <c r="D707" s="14">
        <v>79</v>
      </c>
      <c r="E707" s="14">
        <v>513</v>
      </c>
      <c r="F707" s="14">
        <v>6.8</v>
      </c>
      <c r="G707" s="14">
        <v>21</v>
      </c>
      <c r="H707" s="14">
        <v>87.44</v>
      </c>
      <c r="I707" s="15">
        <v>0.79</v>
      </c>
    </row>
    <row r="708" spans="1:9" x14ac:dyDescent="0.25">
      <c r="A708" s="12">
        <v>16</v>
      </c>
      <c r="B708" s="13">
        <v>45162</v>
      </c>
      <c r="C708" s="14">
        <v>31.3</v>
      </c>
      <c r="D708" s="14">
        <v>54</v>
      </c>
      <c r="E708" s="14">
        <v>738</v>
      </c>
      <c r="F708" s="14">
        <v>6.8</v>
      </c>
      <c r="G708" s="14">
        <v>22</v>
      </c>
      <c r="H708" s="14">
        <v>88.34</v>
      </c>
      <c r="I708" s="15">
        <v>0.54</v>
      </c>
    </row>
    <row r="709" spans="1:9" x14ac:dyDescent="0.25">
      <c r="A709" s="12">
        <v>16</v>
      </c>
      <c r="B709" s="13">
        <v>45163</v>
      </c>
      <c r="C709" s="14">
        <v>31.4</v>
      </c>
      <c r="D709" s="14">
        <v>68</v>
      </c>
      <c r="E709" s="14">
        <v>682</v>
      </c>
      <c r="F709" s="14">
        <v>6.2</v>
      </c>
      <c r="G709" s="14">
        <v>23</v>
      </c>
      <c r="H709" s="14">
        <v>88.52</v>
      </c>
      <c r="I709" s="15">
        <v>0.68</v>
      </c>
    </row>
    <row r="710" spans="1:9" x14ac:dyDescent="0.25">
      <c r="A710" s="12">
        <v>16</v>
      </c>
      <c r="B710" s="13">
        <v>45164</v>
      </c>
      <c r="C710" s="14">
        <v>31.4</v>
      </c>
      <c r="D710" s="14">
        <v>67</v>
      </c>
      <c r="E710" s="14">
        <v>462</v>
      </c>
      <c r="F710" s="14">
        <v>6</v>
      </c>
      <c r="G710" s="14">
        <v>24</v>
      </c>
      <c r="H710" s="14">
        <v>88.52</v>
      </c>
      <c r="I710" s="15">
        <v>0.67</v>
      </c>
    </row>
    <row r="711" spans="1:9" x14ac:dyDescent="0.25">
      <c r="A711" s="12">
        <v>16</v>
      </c>
      <c r="B711" s="13">
        <v>45165</v>
      </c>
      <c r="C711" s="14">
        <v>30.1</v>
      </c>
      <c r="D711" s="14">
        <v>51</v>
      </c>
      <c r="E711" s="14">
        <v>626</v>
      </c>
      <c r="F711" s="14">
        <v>6.1</v>
      </c>
      <c r="G711" s="14">
        <v>25</v>
      </c>
      <c r="H711" s="14">
        <v>86.18</v>
      </c>
      <c r="I711" s="15">
        <v>0.51</v>
      </c>
    </row>
    <row r="712" spans="1:9" x14ac:dyDescent="0.25">
      <c r="A712" s="12">
        <v>16</v>
      </c>
      <c r="B712" s="13">
        <v>45166</v>
      </c>
      <c r="C712" s="14">
        <v>29.4</v>
      </c>
      <c r="D712" s="14">
        <v>50</v>
      </c>
      <c r="E712" s="14">
        <v>502</v>
      </c>
      <c r="F712" s="14">
        <v>6.8</v>
      </c>
      <c r="G712" s="14">
        <v>26</v>
      </c>
      <c r="H712" s="14">
        <v>84.92</v>
      </c>
      <c r="I712" s="15">
        <v>0.5</v>
      </c>
    </row>
    <row r="713" spans="1:9" x14ac:dyDescent="0.25">
      <c r="A713" s="12">
        <v>16</v>
      </c>
      <c r="B713" s="13">
        <v>45167</v>
      </c>
      <c r="C713" s="14">
        <v>28.7</v>
      </c>
      <c r="D713" s="14">
        <v>65</v>
      </c>
      <c r="E713" s="14">
        <v>553</v>
      </c>
      <c r="F713" s="14">
        <v>6.4</v>
      </c>
      <c r="G713" s="14">
        <v>27</v>
      </c>
      <c r="H713" s="14">
        <v>83.66</v>
      </c>
      <c r="I713" s="15">
        <v>0.65</v>
      </c>
    </row>
    <row r="714" spans="1:9" x14ac:dyDescent="0.25">
      <c r="A714" s="12">
        <v>16</v>
      </c>
      <c r="B714" s="13">
        <v>45168</v>
      </c>
      <c r="C714" s="14">
        <v>29.1</v>
      </c>
      <c r="D714" s="14">
        <v>70</v>
      </c>
      <c r="E714" s="14">
        <v>755</v>
      </c>
      <c r="F714" s="14">
        <v>6.5</v>
      </c>
      <c r="G714" s="14">
        <v>28</v>
      </c>
      <c r="H714" s="14">
        <v>84.38</v>
      </c>
      <c r="I714" s="15">
        <v>0.7</v>
      </c>
    </row>
    <row r="715" spans="1:9" x14ac:dyDescent="0.25">
      <c r="A715" s="12">
        <v>16</v>
      </c>
      <c r="B715" s="13">
        <v>45169</v>
      </c>
      <c r="C715" s="14">
        <v>29.2</v>
      </c>
      <c r="D715" s="14">
        <v>64</v>
      </c>
      <c r="E715" s="14">
        <v>662</v>
      </c>
      <c r="F715" s="14">
        <v>6.4</v>
      </c>
      <c r="G715" s="14">
        <v>29</v>
      </c>
      <c r="H715" s="14">
        <v>84.56</v>
      </c>
      <c r="I715" s="15">
        <v>0.64</v>
      </c>
    </row>
    <row r="716" spans="1:9" x14ac:dyDescent="0.25">
      <c r="A716" s="12">
        <v>16</v>
      </c>
      <c r="B716" s="13">
        <v>45170</v>
      </c>
      <c r="C716" s="14">
        <v>31.7</v>
      </c>
      <c r="D716" s="14">
        <v>50</v>
      </c>
      <c r="E716" s="14">
        <v>771</v>
      </c>
      <c r="F716" s="14">
        <v>6</v>
      </c>
      <c r="G716" s="14">
        <v>30</v>
      </c>
      <c r="H716" s="14">
        <v>89.06</v>
      </c>
      <c r="I716" s="15">
        <v>0.5</v>
      </c>
    </row>
    <row r="717" spans="1:9" x14ac:dyDescent="0.25">
      <c r="A717" s="12">
        <v>16</v>
      </c>
      <c r="B717" s="13">
        <v>45171</v>
      </c>
      <c r="C717" s="14">
        <v>31.7</v>
      </c>
      <c r="D717" s="14">
        <v>67</v>
      </c>
      <c r="E717" s="14">
        <v>793</v>
      </c>
      <c r="F717" s="14">
        <v>6.5</v>
      </c>
      <c r="G717" s="14">
        <v>31</v>
      </c>
      <c r="H717" s="14">
        <v>89.06</v>
      </c>
      <c r="I717" s="15">
        <v>0.67</v>
      </c>
    </row>
    <row r="718" spans="1:9" x14ac:dyDescent="0.25">
      <c r="A718" s="12">
        <v>16</v>
      </c>
      <c r="B718" s="13">
        <v>45172</v>
      </c>
      <c r="C718" s="14">
        <v>31.7</v>
      </c>
      <c r="D718" s="14">
        <v>62</v>
      </c>
      <c r="E718" s="14">
        <v>657</v>
      </c>
      <c r="F718" s="14">
        <v>6.4</v>
      </c>
      <c r="G718" s="14">
        <v>32</v>
      </c>
      <c r="H718" s="14">
        <v>89.06</v>
      </c>
      <c r="I718" s="15">
        <v>0.62</v>
      </c>
    </row>
    <row r="719" spans="1:9" x14ac:dyDescent="0.25">
      <c r="A719" s="12">
        <v>16</v>
      </c>
      <c r="B719" s="13">
        <v>45173</v>
      </c>
      <c r="C719" s="14">
        <v>31.7</v>
      </c>
      <c r="D719" s="14">
        <v>62</v>
      </c>
      <c r="E719" s="14">
        <v>659</v>
      </c>
      <c r="F719" s="14">
        <v>6.8</v>
      </c>
      <c r="G719" s="14">
        <v>33</v>
      </c>
      <c r="H719" s="14">
        <v>89.06</v>
      </c>
      <c r="I719" s="15">
        <v>0.62</v>
      </c>
    </row>
    <row r="720" spans="1:9" x14ac:dyDescent="0.25">
      <c r="A720" s="12">
        <v>16</v>
      </c>
      <c r="B720" s="13">
        <v>45174</v>
      </c>
      <c r="C720" s="14">
        <v>32</v>
      </c>
      <c r="D720" s="14">
        <v>53</v>
      </c>
      <c r="E720" s="14">
        <v>522</v>
      </c>
      <c r="F720" s="14">
        <v>6.1</v>
      </c>
      <c r="G720" s="14">
        <v>34</v>
      </c>
      <c r="H720" s="14">
        <v>89.6</v>
      </c>
      <c r="I720" s="15">
        <v>0.53</v>
      </c>
    </row>
    <row r="721" spans="1:9" x14ac:dyDescent="0.25">
      <c r="A721" s="12">
        <v>16</v>
      </c>
      <c r="B721" s="13">
        <v>45175</v>
      </c>
      <c r="C721" s="14">
        <v>32.1</v>
      </c>
      <c r="D721" s="14">
        <v>65</v>
      </c>
      <c r="E721" s="14">
        <v>627</v>
      </c>
      <c r="F721" s="14">
        <v>6.2</v>
      </c>
      <c r="G721" s="14">
        <v>35</v>
      </c>
      <c r="H721" s="14">
        <v>89.78</v>
      </c>
      <c r="I721" s="15">
        <v>0.65</v>
      </c>
    </row>
    <row r="722" spans="1:9" x14ac:dyDescent="0.25">
      <c r="A722" s="12">
        <v>16</v>
      </c>
      <c r="B722" s="13">
        <v>45176</v>
      </c>
      <c r="C722" s="14">
        <v>31.5</v>
      </c>
      <c r="D722" s="14">
        <v>55</v>
      </c>
      <c r="E722" s="14">
        <v>423</v>
      </c>
      <c r="F722" s="14">
        <v>6.4</v>
      </c>
      <c r="G722" s="14">
        <v>36</v>
      </c>
      <c r="H722" s="14">
        <v>88.7</v>
      </c>
      <c r="I722" s="15">
        <v>0.55000000000000004</v>
      </c>
    </row>
    <row r="723" spans="1:9" x14ac:dyDescent="0.25">
      <c r="A723" s="12">
        <v>16</v>
      </c>
      <c r="B723" s="13">
        <v>45177</v>
      </c>
      <c r="C723" s="14">
        <v>29.8</v>
      </c>
      <c r="D723" s="14">
        <v>69</v>
      </c>
      <c r="E723" s="14">
        <v>403</v>
      </c>
      <c r="F723" s="14">
        <v>6.7</v>
      </c>
      <c r="G723" s="14">
        <v>37</v>
      </c>
      <c r="H723" s="14">
        <v>85.64</v>
      </c>
      <c r="I723" s="15">
        <v>0.69</v>
      </c>
    </row>
    <row r="724" spans="1:9" x14ac:dyDescent="0.25">
      <c r="A724" s="12">
        <v>16</v>
      </c>
      <c r="B724" s="13">
        <v>45178</v>
      </c>
      <c r="C724" s="14">
        <v>20.100000000000001</v>
      </c>
      <c r="D724" s="14">
        <v>76</v>
      </c>
      <c r="E724" s="14">
        <v>409</v>
      </c>
      <c r="F724" s="14">
        <v>6.6</v>
      </c>
      <c r="G724" s="14">
        <v>38</v>
      </c>
      <c r="H724" s="14">
        <v>68.180000000000007</v>
      </c>
      <c r="I724" s="15">
        <v>0.76</v>
      </c>
    </row>
    <row r="725" spans="1:9" x14ac:dyDescent="0.25">
      <c r="A725" s="12">
        <v>16</v>
      </c>
      <c r="B725" s="13">
        <v>45179</v>
      </c>
      <c r="C725" s="14">
        <v>31.1</v>
      </c>
      <c r="D725" s="14">
        <v>54</v>
      </c>
      <c r="E725" s="14">
        <v>645</v>
      </c>
      <c r="F725" s="14">
        <v>6.3</v>
      </c>
      <c r="G725" s="14">
        <v>39</v>
      </c>
      <c r="H725" s="14">
        <v>87.98</v>
      </c>
      <c r="I725" s="15">
        <v>0.54</v>
      </c>
    </row>
    <row r="726" spans="1:9" x14ac:dyDescent="0.25">
      <c r="A726" s="12">
        <v>16</v>
      </c>
      <c r="B726" s="13">
        <v>45180</v>
      </c>
      <c r="C726" s="14">
        <v>31.2</v>
      </c>
      <c r="D726" s="14">
        <v>65</v>
      </c>
      <c r="E726" s="14">
        <v>572</v>
      </c>
      <c r="F726" s="14">
        <v>6.5</v>
      </c>
      <c r="G726" s="14">
        <v>40</v>
      </c>
      <c r="H726" s="14">
        <v>88.16</v>
      </c>
      <c r="I726" s="15">
        <v>0.65</v>
      </c>
    </row>
    <row r="727" spans="1:9" x14ac:dyDescent="0.25">
      <c r="A727" s="12">
        <v>16</v>
      </c>
      <c r="B727" s="13">
        <v>45181</v>
      </c>
      <c r="C727" s="14">
        <v>31.2</v>
      </c>
      <c r="D727" s="14">
        <v>80</v>
      </c>
      <c r="E727" s="14">
        <v>732</v>
      </c>
      <c r="F727" s="14">
        <v>6.6</v>
      </c>
      <c r="G727" s="14">
        <v>41</v>
      </c>
      <c r="H727" s="14">
        <v>88.16</v>
      </c>
      <c r="I727" s="15">
        <v>0.8</v>
      </c>
    </row>
    <row r="728" spans="1:9" x14ac:dyDescent="0.25">
      <c r="A728" s="12">
        <v>16</v>
      </c>
      <c r="B728" s="13">
        <v>45182</v>
      </c>
      <c r="C728" s="14">
        <v>30.4</v>
      </c>
      <c r="D728" s="14">
        <v>68</v>
      </c>
      <c r="E728" s="14">
        <v>701</v>
      </c>
      <c r="F728" s="14">
        <v>6.7</v>
      </c>
      <c r="G728" s="14">
        <v>42</v>
      </c>
      <c r="H728" s="14">
        <v>86.72</v>
      </c>
      <c r="I728" s="15">
        <v>0.68</v>
      </c>
    </row>
    <row r="729" spans="1:9" x14ac:dyDescent="0.25">
      <c r="A729" s="12">
        <v>16</v>
      </c>
      <c r="B729" s="13">
        <v>45183</v>
      </c>
      <c r="C729" s="14">
        <v>29.1</v>
      </c>
      <c r="D729" s="14">
        <v>75</v>
      </c>
      <c r="E729" s="14">
        <v>564</v>
      </c>
      <c r="F729" s="14">
        <v>6.1</v>
      </c>
      <c r="G729" s="14">
        <v>43</v>
      </c>
      <c r="H729" s="14">
        <v>84.38</v>
      </c>
      <c r="I729" s="15">
        <v>0.75</v>
      </c>
    </row>
    <row r="730" spans="1:9" x14ac:dyDescent="0.25">
      <c r="A730" s="12">
        <v>16</v>
      </c>
      <c r="B730" s="13">
        <v>45184</v>
      </c>
      <c r="C730" s="14">
        <v>30.6</v>
      </c>
      <c r="D730" s="14">
        <v>52</v>
      </c>
      <c r="E730" s="14">
        <v>703</v>
      </c>
      <c r="F730" s="14">
        <v>6.5</v>
      </c>
      <c r="G730" s="14">
        <v>44</v>
      </c>
      <c r="H730" s="14">
        <v>87.08</v>
      </c>
      <c r="I730" s="15">
        <v>0.52</v>
      </c>
    </row>
    <row r="731" spans="1:9" x14ac:dyDescent="0.25">
      <c r="A731" s="12">
        <v>16</v>
      </c>
      <c r="B731" s="13">
        <v>45185</v>
      </c>
      <c r="C731" s="14">
        <v>31.5</v>
      </c>
      <c r="D731" s="14">
        <v>79</v>
      </c>
      <c r="E731" s="14">
        <v>742</v>
      </c>
      <c r="F731" s="14">
        <v>6.4</v>
      </c>
      <c r="G731" s="14">
        <v>45</v>
      </c>
      <c r="H731" s="14">
        <v>88.7</v>
      </c>
      <c r="I731" s="15">
        <v>0.79</v>
      </c>
    </row>
    <row r="732" spans="1:9" x14ac:dyDescent="0.25">
      <c r="A732" s="12">
        <v>16</v>
      </c>
      <c r="B732" s="13">
        <v>45186</v>
      </c>
      <c r="C732" s="14">
        <v>30.9</v>
      </c>
      <c r="D732" s="14">
        <v>65</v>
      </c>
      <c r="E732" s="14">
        <v>651</v>
      </c>
      <c r="F732" s="14">
        <v>6</v>
      </c>
      <c r="G732" s="14">
        <v>46</v>
      </c>
      <c r="H732" s="14">
        <v>87.62</v>
      </c>
      <c r="I732" s="15">
        <v>0.65</v>
      </c>
    </row>
    <row r="733" spans="1:9" x14ac:dyDescent="0.25">
      <c r="A733" s="12">
        <v>17</v>
      </c>
      <c r="B733" s="13">
        <v>45141</v>
      </c>
      <c r="C733" s="14">
        <v>33.4</v>
      </c>
      <c r="D733" s="14">
        <v>58</v>
      </c>
      <c r="E733" s="14">
        <v>631</v>
      </c>
      <c r="F733" s="14">
        <v>6.6</v>
      </c>
      <c r="G733" s="14">
        <v>1</v>
      </c>
      <c r="H733" s="14">
        <v>92.12</v>
      </c>
      <c r="I733" s="15">
        <v>0.57999999999999996</v>
      </c>
    </row>
    <row r="734" spans="1:9" x14ac:dyDescent="0.25">
      <c r="A734" s="12">
        <v>17</v>
      </c>
      <c r="B734" s="13">
        <v>45142</v>
      </c>
      <c r="C734" s="14">
        <v>33.5</v>
      </c>
      <c r="D734" s="14">
        <v>66</v>
      </c>
      <c r="E734" s="14">
        <v>627</v>
      </c>
      <c r="F734" s="14">
        <v>6.2</v>
      </c>
      <c r="G734" s="14">
        <v>2</v>
      </c>
      <c r="H734" s="14">
        <v>92.3</v>
      </c>
      <c r="I734" s="15">
        <v>0.66</v>
      </c>
    </row>
    <row r="735" spans="1:9" x14ac:dyDescent="0.25">
      <c r="A735" s="12">
        <v>17</v>
      </c>
      <c r="B735" s="13">
        <v>45143</v>
      </c>
      <c r="C735" s="14">
        <v>33.4</v>
      </c>
      <c r="D735" s="14">
        <v>77</v>
      </c>
      <c r="E735" s="14">
        <v>491</v>
      </c>
      <c r="F735" s="14">
        <v>6.4</v>
      </c>
      <c r="G735" s="14">
        <v>3</v>
      </c>
      <c r="H735" s="14">
        <v>92.12</v>
      </c>
      <c r="I735" s="15">
        <v>0.77</v>
      </c>
    </row>
    <row r="736" spans="1:9" x14ac:dyDescent="0.25">
      <c r="A736" s="12">
        <v>17</v>
      </c>
      <c r="B736" s="13">
        <v>45144</v>
      </c>
      <c r="C736" s="14">
        <v>33.4</v>
      </c>
      <c r="D736" s="14">
        <v>62</v>
      </c>
      <c r="E736" s="14">
        <v>647</v>
      </c>
      <c r="F736" s="14">
        <v>6.1</v>
      </c>
      <c r="G736" s="14">
        <v>4</v>
      </c>
      <c r="H736" s="14">
        <v>92.12</v>
      </c>
      <c r="I736" s="15">
        <v>0.62</v>
      </c>
    </row>
    <row r="737" spans="1:9" x14ac:dyDescent="0.25">
      <c r="A737" s="12">
        <v>17</v>
      </c>
      <c r="B737" s="13">
        <v>45145</v>
      </c>
      <c r="C737" s="14">
        <v>33.4</v>
      </c>
      <c r="D737" s="14">
        <v>61</v>
      </c>
      <c r="E737" s="14">
        <v>505</v>
      </c>
      <c r="F737" s="14">
        <v>6.6</v>
      </c>
      <c r="G737" s="14">
        <v>5</v>
      </c>
      <c r="H737" s="14">
        <v>92.12</v>
      </c>
      <c r="I737" s="15">
        <v>0.61</v>
      </c>
    </row>
    <row r="738" spans="1:9" x14ac:dyDescent="0.25">
      <c r="A738" s="12">
        <v>17</v>
      </c>
      <c r="B738" s="13">
        <v>45146</v>
      </c>
      <c r="C738" s="14">
        <v>32.299999999999997</v>
      </c>
      <c r="D738" s="14">
        <v>55</v>
      </c>
      <c r="E738" s="14">
        <v>617</v>
      </c>
      <c r="F738" s="14">
        <v>6</v>
      </c>
      <c r="G738" s="14">
        <v>6</v>
      </c>
      <c r="H738" s="14">
        <v>90.14</v>
      </c>
      <c r="I738" s="15">
        <v>0.55000000000000004</v>
      </c>
    </row>
    <row r="739" spans="1:9" x14ac:dyDescent="0.25">
      <c r="A739" s="12">
        <v>17</v>
      </c>
      <c r="B739" s="13">
        <v>45147</v>
      </c>
      <c r="C739" s="14">
        <v>32.299999999999997</v>
      </c>
      <c r="D739" s="14">
        <v>71</v>
      </c>
      <c r="E739" s="14">
        <v>552</v>
      </c>
      <c r="F739" s="14">
        <v>6.5</v>
      </c>
      <c r="G739" s="14">
        <v>7</v>
      </c>
      <c r="H739" s="14">
        <v>90.14</v>
      </c>
      <c r="I739" s="15">
        <v>0.71</v>
      </c>
    </row>
    <row r="740" spans="1:9" x14ac:dyDescent="0.25">
      <c r="A740" s="12">
        <v>17</v>
      </c>
      <c r="B740" s="13">
        <v>45148</v>
      </c>
      <c r="C740" s="14">
        <v>22.7</v>
      </c>
      <c r="D740" s="14">
        <v>67</v>
      </c>
      <c r="E740" s="14">
        <v>744</v>
      </c>
      <c r="F740" s="14">
        <v>6.3</v>
      </c>
      <c r="G740" s="14">
        <v>8</v>
      </c>
      <c r="H740" s="14">
        <v>72.86</v>
      </c>
      <c r="I740" s="15">
        <v>0.67</v>
      </c>
    </row>
    <row r="741" spans="1:9" x14ac:dyDescent="0.25">
      <c r="A741" s="12">
        <v>17</v>
      </c>
      <c r="B741" s="13">
        <v>45149</v>
      </c>
      <c r="C741" s="14">
        <v>31.9</v>
      </c>
      <c r="D741" s="14">
        <v>58</v>
      </c>
      <c r="E741" s="14">
        <v>735</v>
      </c>
      <c r="F741" s="14">
        <v>6.1</v>
      </c>
      <c r="G741" s="14">
        <v>9</v>
      </c>
      <c r="H741" s="14">
        <v>89.42</v>
      </c>
      <c r="I741" s="15">
        <v>0.57999999999999996</v>
      </c>
    </row>
    <row r="742" spans="1:9" x14ac:dyDescent="0.25">
      <c r="A742" s="12">
        <v>17</v>
      </c>
      <c r="B742" s="13">
        <v>45150</v>
      </c>
      <c r="C742" s="14">
        <v>30.2</v>
      </c>
      <c r="D742" s="14">
        <v>58</v>
      </c>
      <c r="E742" s="14">
        <v>462</v>
      </c>
      <c r="F742" s="14">
        <v>6</v>
      </c>
      <c r="G742" s="14">
        <v>10</v>
      </c>
      <c r="H742" s="14">
        <v>86.36</v>
      </c>
      <c r="I742" s="15">
        <v>0.57999999999999996</v>
      </c>
    </row>
    <row r="743" spans="1:9" x14ac:dyDescent="0.25">
      <c r="A743" s="12">
        <v>17</v>
      </c>
      <c r="B743" s="13">
        <v>45151</v>
      </c>
      <c r="C743" s="14">
        <v>30.1</v>
      </c>
      <c r="D743" s="14">
        <v>51</v>
      </c>
      <c r="E743" s="14">
        <v>798</v>
      </c>
      <c r="F743" s="14">
        <v>6.5</v>
      </c>
      <c r="G743" s="14">
        <v>11</v>
      </c>
      <c r="H743" s="14">
        <v>86.18</v>
      </c>
      <c r="I743" s="15">
        <v>0.51</v>
      </c>
    </row>
    <row r="744" spans="1:9" x14ac:dyDescent="0.25">
      <c r="A744" s="12">
        <v>17</v>
      </c>
      <c r="B744" s="13">
        <v>45152</v>
      </c>
      <c r="C744" s="14">
        <v>30.1</v>
      </c>
      <c r="D744" s="14">
        <v>55</v>
      </c>
      <c r="E744" s="14">
        <v>737</v>
      </c>
      <c r="F744" s="14">
        <v>6.6</v>
      </c>
      <c r="G744" s="14">
        <v>12</v>
      </c>
      <c r="H744" s="14">
        <v>86.18</v>
      </c>
      <c r="I744" s="15">
        <v>0.55000000000000004</v>
      </c>
    </row>
    <row r="745" spans="1:9" x14ac:dyDescent="0.25">
      <c r="A745" s="12">
        <v>17</v>
      </c>
      <c r="B745" s="13">
        <v>45153</v>
      </c>
      <c r="C745" s="14">
        <v>30.1</v>
      </c>
      <c r="D745" s="14">
        <v>73</v>
      </c>
      <c r="E745" s="14">
        <v>607</v>
      </c>
      <c r="F745" s="14">
        <v>6.2</v>
      </c>
      <c r="G745" s="14">
        <v>13</v>
      </c>
      <c r="H745" s="14">
        <v>86.18</v>
      </c>
      <c r="I745" s="15">
        <v>0.73</v>
      </c>
    </row>
    <row r="746" spans="1:9" x14ac:dyDescent="0.25">
      <c r="A746" s="12">
        <v>17</v>
      </c>
      <c r="B746" s="13">
        <v>45154</v>
      </c>
      <c r="C746" s="14">
        <v>29.8</v>
      </c>
      <c r="D746" s="14">
        <v>58</v>
      </c>
      <c r="E746" s="14">
        <v>543</v>
      </c>
      <c r="F746" s="14">
        <v>6.2</v>
      </c>
      <c r="G746" s="14">
        <v>14</v>
      </c>
      <c r="H746" s="14">
        <v>85.64</v>
      </c>
      <c r="I746" s="15">
        <v>0.57999999999999996</v>
      </c>
    </row>
    <row r="747" spans="1:9" x14ac:dyDescent="0.25">
      <c r="A747" s="12">
        <v>17</v>
      </c>
      <c r="B747" s="13">
        <v>45155</v>
      </c>
      <c r="C747" s="14">
        <v>29.6</v>
      </c>
      <c r="D747" s="14">
        <v>58</v>
      </c>
      <c r="E747" s="14">
        <v>587</v>
      </c>
      <c r="F747" s="14">
        <v>6.3</v>
      </c>
      <c r="G747" s="14">
        <v>15</v>
      </c>
      <c r="H747" s="14">
        <v>85.28</v>
      </c>
      <c r="I747" s="15">
        <v>0.57999999999999996</v>
      </c>
    </row>
    <row r="748" spans="1:9" x14ac:dyDescent="0.25">
      <c r="A748" s="12">
        <v>17</v>
      </c>
      <c r="B748" s="13">
        <v>45156</v>
      </c>
      <c r="C748" s="14">
        <v>30.9</v>
      </c>
      <c r="D748" s="14">
        <v>79</v>
      </c>
      <c r="E748" s="14">
        <v>672</v>
      </c>
      <c r="F748" s="14">
        <v>6.7</v>
      </c>
      <c r="G748" s="14">
        <v>16</v>
      </c>
      <c r="H748" s="14">
        <v>87.62</v>
      </c>
      <c r="I748" s="15">
        <v>0.79</v>
      </c>
    </row>
    <row r="749" spans="1:9" x14ac:dyDescent="0.25">
      <c r="A749" s="12">
        <v>17</v>
      </c>
      <c r="B749" s="13">
        <v>45157</v>
      </c>
      <c r="C749" s="14">
        <v>30.8</v>
      </c>
      <c r="D749" s="14">
        <v>52</v>
      </c>
      <c r="E749" s="14">
        <v>595</v>
      </c>
      <c r="F749" s="14">
        <v>6.8</v>
      </c>
      <c r="G749" s="14">
        <v>17</v>
      </c>
      <c r="H749" s="14">
        <v>87.44</v>
      </c>
      <c r="I749" s="15">
        <v>0.52</v>
      </c>
    </row>
    <row r="750" spans="1:9" x14ac:dyDescent="0.25">
      <c r="A750" s="12">
        <v>17</v>
      </c>
      <c r="B750" s="13">
        <v>45158</v>
      </c>
      <c r="C750" s="14">
        <v>30.9</v>
      </c>
      <c r="D750" s="14">
        <v>80</v>
      </c>
      <c r="E750" s="14">
        <v>716</v>
      </c>
      <c r="F750" s="14">
        <v>6.7</v>
      </c>
      <c r="G750" s="14">
        <v>18</v>
      </c>
      <c r="H750" s="14">
        <v>87.62</v>
      </c>
      <c r="I750" s="15">
        <v>0.8</v>
      </c>
    </row>
    <row r="751" spans="1:9" x14ac:dyDescent="0.25">
      <c r="A751" s="12">
        <v>17</v>
      </c>
      <c r="B751" s="13">
        <v>45159</v>
      </c>
      <c r="C751" s="14">
        <v>30.2</v>
      </c>
      <c r="D751" s="14">
        <v>57</v>
      </c>
      <c r="E751" s="14">
        <v>736</v>
      </c>
      <c r="F751" s="14">
        <v>6.3</v>
      </c>
      <c r="G751" s="14">
        <v>19</v>
      </c>
      <c r="H751" s="14">
        <v>86.36</v>
      </c>
      <c r="I751" s="15">
        <v>0.56999999999999995</v>
      </c>
    </row>
    <row r="752" spans="1:9" x14ac:dyDescent="0.25">
      <c r="A752" s="12">
        <v>17</v>
      </c>
      <c r="B752" s="13">
        <v>45160</v>
      </c>
      <c r="C752" s="14">
        <v>30.5</v>
      </c>
      <c r="D752" s="14">
        <v>58</v>
      </c>
      <c r="E752" s="14">
        <v>542</v>
      </c>
      <c r="F752" s="14">
        <v>6.6</v>
      </c>
      <c r="G752" s="14">
        <v>20</v>
      </c>
      <c r="H752" s="14">
        <v>86.9</v>
      </c>
      <c r="I752" s="15">
        <v>0.57999999999999996</v>
      </c>
    </row>
    <row r="753" spans="1:9" x14ac:dyDescent="0.25">
      <c r="A753" s="12">
        <v>17</v>
      </c>
      <c r="B753" s="13">
        <v>45161</v>
      </c>
      <c r="C753" s="14">
        <v>30.8</v>
      </c>
      <c r="D753" s="14">
        <v>58</v>
      </c>
      <c r="E753" s="14">
        <v>625</v>
      </c>
      <c r="F753" s="14">
        <v>6.8</v>
      </c>
      <c r="G753" s="14">
        <v>21</v>
      </c>
      <c r="H753" s="14">
        <v>87.44</v>
      </c>
      <c r="I753" s="15">
        <v>0.57999999999999996</v>
      </c>
    </row>
    <row r="754" spans="1:9" x14ac:dyDescent="0.25">
      <c r="A754" s="12">
        <v>17</v>
      </c>
      <c r="B754" s="13">
        <v>45162</v>
      </c>
      <c r="C754" s="14">
        <v>31.3</v>
      </c>
      <c r="D754" s="14">
        <v>65</v>
      </c>
      <c r="E754" s="14">
        <v>765</v>
      </c>
      <c r="F754" s="14">
        <v>6.5</v>
      </c>
      <c r="G754" s="14">
        <v>22</v>
      </c>
      <c r="H754" s="14">
        <v>88.34</v>
      </c>
      <c r="I754" s="15">
        <v>0.65</v>
      </c>
    </row>
    <row r="755" spans="1:9" x14ac:dyDescent="0.25">
      <c r="A755" s="12">
        <v>17</v>
      </c>
      <c r="B755" s="13">
        <v>45163</v>
      </c>
      <c r="C755" s="14">
        <v>31.4</v>
      </c>
      <c r="D755" s="14">
        <v>75</v>
      </c>
      <c r="E755" s="14">
        <v>552</v>
      </c>
      <c r="F755" s="14">
        <v>6.1</v>
      </c>
      <c r="G755" s="14">
        <v>23</v>
      </c>
      <c r="H755" s="14">
        <v>88.52</v>
      </c>
      <c r="I755" s="15">
        <v>0.75</v>
      </c>
    </row>
    <row r="756" spans="1:9" x14ac:dyDescent="0.25">
      <c r="A756" s="12">
        <v>17</v>
      </c>
      <c r="B756" s="13">
        <v>45164</v>
      </c>
      <c r="C756" s="14">
        <v>31.4</v>
      </c>
      <c r="D756" s="14">
        <v>70</v>
      </c>
      <c r="E756" s="14">
        <v>416</v>
      </c>
      <c r="F756" s="14">
        <v>6.6</v>
      </c>
      <c r="G756" s="14">
        <v>24</v>
      </c>
      <c r="H756" s="14">
        <v>88.52</v>
      </c>
      <c r="I756" s="15">
        <v>0.7</v>
      </c>
    </row>
    <row r="757" spans="1:9" x14ac:dyDescent="0.25">
      <c r="A757" s="12">
        <v>17</v>
      </c>
      <c r="B757" s="13">
        <v>45165</v>
      </c>
      <c r="C757" s="14">
        <v>30.1</v>
      </c>
      <c r="D757" s="14">
        <v>66</v>
      </c>
      <c r="E757" s="14">
        <v>697</v>
      </c>
      <c r="F757" s="14">
        <v>6.6</v>
      </c>
      <c r="G757" s="14">
        <v>25</v>
      </c>
      <c r="H757" s="14">
        <v>86.18</v>
      </c>
      <c r="I757" s="15">
        <v>0.66</v>
      </c>
    </row>
    <row r="758" spans="1:9" x14ac:dyDescent="0.25">
      <c r="A758" s="12">
        <v>17</v>
      </c>
      <c r="B758" s="13">
        <v>45166</v>
      </c>
      <c r="C758" s="14">
        <v>29.4</v>
      </c>
      <c r="D758" s="14">
        <v>73</v>
      </c>
      <c r="E758" s="14">
        <v>762</v>
      </c>
      <c r="F758" s="14">
        <v>6.5</v>
      </c>
      <c r="G758" s="14">
        <v>26</v>
      </c>
      <c r="H758" s="14">
        <v>84.92</v>
      </c>
      <c r="I758" s="15">
        <v>0.73</v>
      </c>
    </row>
    <row r="759" spans="1:9" x14ac:dyDescent="0.25">
      <c r="A759" s="12">
        <v>17</v>
      </c>
      <c r="B759" s="13">
        <v>45167</v>
      </c>
      <c r="C759" s="14">
        <v>28.7</v>
      </c>
      <c r="D759" s="14">
        <v>69</v>
      </c>
      <c r="E759" s="14">
        <v>598</v>
      </c>
      <c r="F759" s="14">
        <v>6.1</v>
      </c>
      <c r="G759" s="14">
        <v>27</v>
      </c>
      <c r="H759" s="14">
        <v>83.66</v>
      </c>
      <c r="I759" s="15">
        <v>0.69</v>
      </c>
    </row>
    <row r="760" spans="1:9" x14ac:dyDescent="0.25">
      <c r="A760" s="12">
        <v>17</v>
      </c>
      <c r="B760" s="13">
        <v>45168</v>
      </c>
      <c r="C760" s="14">
        <v>29.1</v>
      </c>
      <c r="D760" s="14">
        <v>80</v>
      </c>
      <c r="E760" s="14">
        <v>632</v>
      </c>
      <c r="F760" s="14">
        <v>6.5</v>
      </c>
      <c r="G760" s="14">
        <v>28</v>
      </c>
      <c r="H760" s="14">
        <v>84.38</v>
      </c>
      <c r="I760" s="15">
        <v>0.8</v>
      </c>
    </row>
    <row r="761" spans="1:9" x14ac:dyDescent="0.25">
      <c r="A761" s="12">
        <v>17</v>
      </c>
      <c r="B761" s="13">
        <v>45169</v>
      </c>
      <c r="C761" s="14">
        <v>29.2</v>
      </c>
      <c r="D761" s="14">
        <v>50</v>
      </c>
      <c r="E761" s="14">
        <v>728</v>
      </c>
      <c r="F761" s="14">
        <v>6.3</v>
      </c>
      <c r="G761" s="14">
        <v>29</v>
      </c>
      <c r="H761" s="14">
        <v>84.56</v>
      </c>
      <c r="I761" s="15">
        <v>0.5</v>
      </c>
    </row>
    <row r="762" spans="1:9" x14ac:dyDescent="0.25">
      <c r="A762" s="12">
        <v>17</v>
      </c>
      <c r="B762" s="13">
        <v>45170</v>
      </c>
      <c r="C762" s="14">
        <v>31.7</v>
      </c>
      <c r="D762" s="14">
        <v>73</v>
      </c>
      <c r="E762" s="14">
        <v>657</v>
      </c>
      <c r="F762" s="14">
        <v>6.3</v>
      </c>
      <c r="G762" s="14">
        <v>30</v>
      </c>
      <c r="H762" s="14">
        <v>89.06</v>
      </c>
      <c r="I762" s="15">
        <v>0.73</v>
      </c>
    </row>
    <row r="763" spans="1:9" x14ac:dyDescent="0.25">
      <c r="A763" s="12">
        <v>17</v>
      </c>
      <c r="B763" s="13">
        <v>45171</v>
      </c>
      <c r="C763" s="14">
        <v>31.7</v>
      </c>
      <c r="D763" s="14">
        <v>65</v>
      </c>
      <c r="E763" s="14">
        <v>406</v>
      </c>
      <c r="F763" s="14">
        <v>6.1</v>
      </c>
      <c r="G763" s="14">
        <v>31</v>
      </c>
      <c r="H763" s="14">
        <v>89.06</v>
      </c>
      <c r="I763" s="15">
        <v>0.65</v>
      </c>
    </row>
    <row r="764" spans="1:9" x14ac:dyDescent="0.25">
      <c r="A764" s="12">
        <v>17</v>
      </c>
      <c r="B764" s="13">
        <v>45172</v>
      </c>
      <c r="C764" s="14">
        <v>31.7</v>
      </c>
      <c r="D764" s="14">
        <v>53</v>
      </c>
      <c r="E764" s="14">
        <v>461</v>
      </c>
      <c r="F764" s="14">
        <v>6.3</v>
      </c>
      <c r="G764" s="14">
        <v>32</v>
      </c>
      <c r="H764" s="14">
        <v>89.06</v>
      </c>
      <c r="I764" s="15">
        <v>0.53</v>
      </c>
    </row>
    <row r="765" spans="1:9" x14ac:dyDescent="0.25">
      <c r="A765" s="12">
        <v>17</v>
      </c>
      <c r="B765" s="13">
        <v>45173</v>
      </c>
      <c r="C765" s="14">
        <v>31.7</v>
      </c>
      <c r="D765" s="14">
        <v>68</v>
      </c>
      <c r="E765" s="14">
        <v>424</v>
      </c>
      <c r="F765" s="14">
        <v>6.6</v>
      </c>
      <c r="G765" s="14">
        <v>33</v>
      </c>
      <c r="H765" s="14">
        <v>89.06</v>
      </c>
      <c r="I765" s="15">
        <v>0.68</v>
      </c>
    </row>
    <row r="766" spans="1:9" x14ac:dyDescent="0.25">
      <c r="A766" s="12">
        <v>17</v>
      </c>
      <c r="B766" s="13">
        <v>45174</v>
      </c>
      <c r="C766" s="14">
        <v>32</v>
      </c>
      <c r="D766" s="14">
        <v>58</v>
      </c>
      <c r="E766" s="14">
        <v>743</v>
      </c>
      <c r="F766" s="14">
        <v>6.1</v>
      </c>
      <c r="G766" s="14">
        <v>34</v>
      </c>
      <c r="H766" s="14">
        <v>89.6</v>
      </c>
      <c r="I766" s="15">
        <v>0.57999999999999996</v>
      </c>
    </row>
    <row r="767" spans="1:9" x14ac:dyDescent="0.25">
      <c r="A767" s="12">
        <v>17</v>
      </c>
      <c r="B767" s="13">
        <v>45175</v>
      </c>
      <c r="C767" s="14">
        <v>32.1</v>
      </c>
      <c r="D767" s="14">
        <v>67</v>
      </c>
      <c r="E767" s="14">
        <v>672</v>
      </c>
      <c r="F767" s="14">
        <v>6.6</v>
      </c>
      <c r="G767" s="14">
        <v>35</v>
      </c>
      <c r="H767" s="14">
        <v>89.78</v>
      </c>
      <c r="I767" s="15">
        <v>0.67</v>
      </c>
    </row>
    <row r="768" spans="1:9" x14ac:dyDescent="0.25">
      <c r="A768" s="12">
        <v>17</v>
      </c>
      <c r="B768" s="13">
        <v>45176</v>
      </c>
      <c r="C768" s="14">
        <v>31.5</v>
      </c>
      <c r="D768" s="14">
        <v>73</v>
      </c>
      <c r="E768" s="14">
        <v>400</v>
      </c>
      <c r="F768" s="14">
        <v>6.8</v>
      </c>
      <c r="G768" s="14">
        <v>36</v>
      </c>
      <c r="H768" s="14">
        <v>88.7</v>
      </c>
      <c r="I768" s="15">
        <v>0.73</v>
      </c>
    </row>
    <row r="769" spans="1:9" x14ac:dyDescent="0.25">
      <c r="A769" s="12">
        <v>17</v>
      </c>
      <c r="B769" s="13">
        <v>45177</v>
      </c>
      <c r="C769" s="14">
        <v>29.8</v>
      </c>
      <c r="D769" s="14">
        <v>78</v>
      </c>
      <c r="E769" s="14">
        <v>732</v>
      </c>
      <c r="F769" s="14">
        <v>6.5</v>
      </c>
      <c r="G769" s="14">
        <v>37</v>
      </c>
      <c r="H769" s="14">
        <v>85.64</v>
      </c>
      <c r="I769" s="15">
        <v>0.78</v>
      </c>
    </row>
    <row r="770" spans="1:9" x14ac:dyDescent="0.25">
      <c r="A770" s="12">
        <v>17</v>
      </c>
      <c r="B770" s="13">
        <v>45178</v>
      </c>
      <c r="C770" s="14">
        <v>20.100000000000001</v>
      </c>
      <c r="D770" s="14">
        <v>62</v>
      </c>
      <c r="E770" s="14">
        <v>472</v>
      </c>
      <c r="F770" s="14">
        <v>6.1</v>
      </c>
      <c r="G770" s="14">
        <v>38</v>
      </c>
      <c r="H770" s="14">
        <v>68.180000000000007</v>
      </c>
      <c r="I770" s="15">
        <v>0.62</v>
      </c>
    </row>
    <row r="771" spans="1:9" x14ac:dyDescent="0.25">
      <c r="A771" s="12">
        <v>17</v>
      </c>
      <c r="B771" s="13">
        <v>45179</v>
      </c>
      <c r="C771" s="14">
        <v>31.1</v>
      </c>
      <c r="D771" s="14">
        <v>68</v>
      </c>
      <c r="E771" s="14">
        <v>648</v>
      </c>
      <c r="F771" s="14">
        <v>6</v>
      </c>
      <c r="G771" s="14">
        <v>39</v>
      </c>
      <c r="H771" s="14">
        <v>87.98</v>
      </c>
      <c r="I771" s="15">
        <v>0.68</v>
      </c>
    </row>
    <row r="772" spans="1:9" x14ac:dyDescent="0.25">
      <c r="A772" s="12">
        <v>17</v>
      </c>
      <c r="B772" s="13">
        <v>45180</v>
      </c>
      <c r="C772" s="14">
        <v>31.2</v>
      </c>
      <c r="D772" s="14">
        <v>72</v>
      </c>
      <c r="E772" s="14">
        <v>786</v>
      </c>
      <c r="F772" s="14">
        <v>6.3</v>
      </c>
      <c r="G772" s="14">
        <v>40</v>
      </c>
      <c r="H772" s="14">
        <v>88.16</v>
      </c>
      <c r="I772" s="15">
        <v>0.72</v>
      </c>
    </row>
    <row r="773" spans="1:9" x14ac:dyDescent="0.25">
      <c r="A773" s="12">
        <v>17</v>
      </c>
      <c r="B773" s="13">
        <v>45181</v>
      </c>
      <c r="C773" s="14">
        <v>31.2</v>
      </c>
      <c r="D773" s="14">
        <v>61</v>
      </c>
      <c r="E773" s="14">
        <v>482</v>
      </c>
      <c r="F773" s="14">
        <v>6.6</v>
      </c>
      <c r="G773" s="14">
        <v>41</v>
      </c>
      <c r="H773" s="14">
        <v>88.16</v>
      </c>
      <c r="I773" s="15">
        <v>0.61</v>
      </c>
    </row>
    <row r="774" spans="1:9" x14ac:dyDescent="0.25">
      <c r="A774" s="12">
        <v>17</v>
      </c>
      <c r="B774" s="13">
        <v>45182</v>
      </c>
      <c r="C774" s="14">
        <v>30.4</v>
      </c>
      <c r="D774" s="14">
        <v>60</v>
      </c>
      <c r="E774" s="14">
        <v>716</v>
      </c>
      <c r="F774" s="14">
        <v>6.3</v>
      </c>
      <c r="G774" s="14">
        <v>42</v>
      </c>
      <c r="H774" s="14">
        <v>86.72</v>
      </c>
      <c r="I774" s="15">
        <v>0.6</v>
      </c>
    </row>
    <row r="775" spans="1:9" x14ac:dyDescent="0.25">
      <c r="A775" s="12">
        <v>17</v>
      </c>
      <c r="B775" s="13">
        <v>45183</v>
      </c>
      <c r="C775" s="14">
        <v>29.1</v>
      </c>
      <c r="D775" s="14">
        <v>57</v>
      </c>
      <c r="E775" s="14">
        <v>743</v>
      </c>
      <c r="F775" s="14">
        <v>6.6</v>
      </c>
      <c r="G775" s="14">
        <v>43</v>
      </c>
      <c r="H775" s="14">
        <v>84.38</v>
      </c>
      <c r="I775" s="15">
        <v>0.56999999999999995</v>
      </c>
    </row>
    <row r="776" spans="1:9" x14ac:dyDescent="0.25">
      <c r="A776" s="12">
        <v>17</v>
      </c>
      <c r="B776" s="13">
        <v>45184</v>
      </c>
      <c r="C776" s="14">
        <v>30.6</v>
      </c>
      <c r="D776" s="14">
        <v>75</v>
      </c>
      <c r="E776" s="14">
        <v>575</v>
      </c>
      <c r="F776" s="14">
        <v>6.3</v>
      </c>
      <c r="G776" s="14">
        <v>44</v>
      </c>
      <c r="H776" s="14">
        <v>87.08</v>
      </c>
      <c r="I776" s="15">
        <v>0.75</v>
      </c>
    </row>
    <row r="777" spans="1:9" x14ac:dyDescent="0.25">
      <c r="A777" s="12">
        <v>17</v>
      </c>
      <c r="B777" s="13">
        <v>45185</v>
      </c>
      <c r="C777" s="14">
        <v>31.5</v>
      </c>
      <c r="D777" s="14">
        <v>61</v>
      </c>
      <c r="E777" s="14">
        <v>710</v>
      </c>
      <c r="F777" s="14">
        <v>6.6</v>
      </c>
      <c r="G777" s="14">
        <v>45</v>
      </c>
      <c r="H777" s="14">
        <v>88.7</v>
      </c>
      <c r="I777" s="15">
        <v>0.61</v>
      </c>
    </row>
    <row r="778" spans="1:9" x14ac:dyDescent="0.25">
      <c r="A778" s="12">
        <v>18</v>
      </c>
      <c r="B778" s="13">
        <v>45141</v>
      </c>
      <c r="C778" s="14">
        <v>33.4</v>
      </c>
      <c r="D778" s="14">
        <v>78</v>
      </c>
      <c r="E778" s="14">
        <v>623</v>
      </c>
      <c r="F778" s="14">
        <v>6.2</v>
      </c>
      <c r="G778" s="14">
        <v>1</v>
      </c>
      <c r="H778" s="14">
        <v>92.12</v>
      </c>
      <c r="I778" s="15">
        <v>0.78</v>
      </c>
    </row>
    <row r="779" spans="1:9" x14ac:dyDescent="0.25">
      <c r="A779" s="12">
        <v>18</v>
      </c>
      <c r="B779" s="13">
        <v>45142</v>
      </c>
      <c r="C779" s="14">
        <v>33.5</v>
      </c>
      <c r="D779" s="14">
        <v>73</v>
      </c>
      <c r="E779" s="14">
        <v>463</v>
      </c>
      <c r="F779" s="14">
        <v>6.4</v>
      </c>
      <c r="G779" s="14">
        <v>2</v>
      </c>
      <c r="H779" s="14">
        <v>92.3</v>
      </c>
      <c r="I779" s="15">
        <v>0.73</v>
      </c>
    </row>
    <row r="780" spans="1:9" x14ac:dyDescent="0.25">
      <c r="A780" s="12">
        <v>18</v>
      </c>
      <c r="B780" s="13">
        <v>45143</v>
      </c>
      <c r="C780" s="14">
        <v>33.4</v>
      </c>
      <c r="D780" s="14">
        <v>61</v>
      </c>
      <c r="E780" s="14">
        <v>440</v>
      </c>
      <c r="F780" s="14">
        <v>6.3</v>
      </c>
      <c r="G780" s="14">
        <v>3</v>
      </c>
      <c r="H780" s="14">
        <v>92.12</v>
      </c>
      <c r="I780" s="15">
        <v>0.61</v>
      </c>
    </row>
    <row r="781" spans="1:9" x14ac:dyDescent="0.25">
      <c r="A781" s="12">
        <v>18</v>
      </c>
      <c r="B781" s="13">
        <v>45144</v>
      </c>
      <c r="C781" s="14">
        <v>33.4</v>
      </c>
      <c r="D781" s="14">
        <v>55</v>
      </c>
      <c r="E781" s="14">
        <v>451</v>
      </c>
      <c r="F781" s="14">
        <v>6.5</v>
      </c>
      <c r="G781" s="14">
        <v>4</v>
      </c>
      <c r="H781" s="14">
        <v>92.12</v>
      </c>
      <c r="I781" s="15">
        <v>0.55000000000000004</v>
      </c>
    </row>
    <row r="782" spans="1:9" x14ac:dyDescent="0.25">
      <c r="A782" s="12">
        <v>18</v>
      </c>
      <c r="B782" s="13">
        <v>45145</v>
      </c>
      <c r="C782" s="14">
        <v>33.4</v>
      </c>
      <c r="D782" s="14">
        <v>51</v>
      </c>
      <c r="E782" s="14">
        <v>798</v>
      </c>
      <c r="F782" s="14">
        <v>6.6</v>
      </c>
      <c r="G782" s="14">
        <v>5</v>
      </c>
      <c r="H782" s="14">
        <v>92.12</v>
      </c>
      <c r="I782" s="15">
        <v>0.51</v>
      </c>
    </row>
    <row r="783" spans="1:9" x14ac:dyDescent="0.25">
      <c r="A783" s="12">
        <v>18</v>
      </c>
      <c r="B783" s="13">
        <v>45146</v>
      </c>
      <c r="C783" s="14">
        <v>32.299999999999997</v>
      </c>
      <c r="D783" s="14">
        <v>58</v>
      </c>
      <c r="E783" s="14">
        <v>556</v>
      </c>
      <c r="F783" s="14">
        <v>6.5</v>
      </c>
      <c r="G783" s="14">
        <v>6</v>
      </c>
      <c r="H783" s="14">
        <v>90.14</v>
      </c>
      <c r="I783" s="15">
        <v>0.57999999999999996</v>
      </c>
    </row>
    <row r="784" spans="1:9" x14ac:dyDescent="0.25">
      <c r="A784" s="12">
        <v>18</v>
      </c>
      <c r="B784" s="13">
        <v>45147</v>
      </c>
      <c r="C784" s="14">
        <v>32.299999999999997</v>
      </c>
      <c r="D784" s="14">
        <v>67</v>
      </c>
      <c r="E784" s="14">
        <v>794</v>
      </c>
      <c r="F784" s="14">
        <v>6</v>
      </c>
      <c r="G784" s="14">
        <v>7</v>
      </c>
      <c r="H784" s="14">
        <v>90.14</v>
      </c>
      <c r="I784" s="15">
        <v>0.67</v>
      </c>
    </row>
    <row r="785" spans="1:9" x14ac:dyDescent="0.25">
      <c r="A785" s="12">
        <v>18</v>
      </c>
      <c r="B785" s="13">
        <v>45148</v>
      </c>
      <c r="C785" s="14">
        <v>22.7</v>
      </c>
      <c r="D785" s="14">
        <v>53</v>
      </c>
      <c r="E785" s="14">
        <v>653</v>
      </c>
      <c r="F785" s="14">
        <v>6</v>
      </c>
      <c r="G785" s="14">
        <v>8</v>
      </c>
      <c r="H785" s="14">
        <v>72.86</v>
      </c>
      <c r="I785" s="15">
        <v>0.53</v>
      </c>
    </row>
    <row r="786" spans="1:9" x14ac:dyDescent="0.25">
      <c r="A786" s="12">
        <v>18</v>
      </c>
      <c r="B786" s="13">
        <v>45149</v>
      </c>
      <c r="C786" s="14">
        <v>31.9</v>
      </c>
      <c r="D786" s="14">
        <v>76</v>
      </c>
      <c r="E786" s="14">
        <v>407</v>
      </c>
      <c r="F786" s="14">
        <v>6.7</v>
      </c>
      <c r="G786" s="14">
        <v>9</v>
      </c>
      <c r="H786" s="14">
        <v>89.42</v>
      </c>
      <c r="I786" s="15">
        <v>0.76</v>
      </c>
    </row>
    <row r="787" spans="1:9" x14ac:dyDescent="0.25">
      <c r="A787" s="12">
        <v>18</v>
      </c>
      <c r="B787" s="13">
        <v>45150</v>
      </c>
      <c r="C787" s="14">
        <v>30.2</v>
      </c>
      <c r="D787" s="14">
        <v>52</v>
      </c>
      <c r="E787" s="14">
        <v>478</v>
      </c>
      <c r="F787" s="14">
        <v>6.8</v>
      </c>
      <c r="G787" s="14">
        <v>10</v>
      </c>
      <c r="H787" s="14">
        <v>86.36</v>
      </c>
      <c r="I787" s="15">
        <v>0.52</v>
      </c>
    </row>
    <row r="788" spans="1:9" x14ac:dyDescent="0.25">
      <c r="A788" s="12">
        <v>18</v>
      </c>
      <c r="B788" s="13">
        <v>45151</v>
      </c>
      <c r="C788" s="14">
        <v>30.1</v>
      </c>
      <c r="D788" s="14">
        <v>54</v>
      </c>
      <c r="E788" s="14">
        <v>528</v>
      </c>
      <c r="F788" s="14">
        <v>6.5</v>
      </c>
      <c r="G788" s="14">
        <v>11</v>
      </c>
      <c r="H788" s="14">
        <v>86.18</v>
      </c>
      <c r="I788" s="15">
        <v>0.54</v>
      </c>
    </row>
    <row r="789" spans="1:9" x14ac:dyDescent="0.25">
      <c r="A789" s="12">
        <v>18</v>
      </c>
      <c r="B789" s="13">
        <v>45152</v>
      </c>
      <c r="C789" s="14">
        <v>30.1</v>
      </c>
      <c r="D789" s="14">
        <v>67</v>
      </c>
      <c r="E789" s="14">
        <v>769</v>
      </c>
      <c r="F789" s="14">
        <v>6.4</v>
      </c>
      <c r="G789" s="14">
        <v>12</v>
      </c>
      <c r="H789" s="14">
        <v>86.18</v>
      </c>
      <c r="I789" s="15">
        <v>0.67</v>
      </c>
    </row>
    <row r="790" spans="1:9" x14ac:dyDescent="0.25">
      <c r="A790" s="12">
        <v>18</v>
      </c>
      <c r="B790" s="13">
        <v>45153</v>
      </c>
      <c r="C790" s="14">
        <v>30.1</v>
      </c>
      <c r="D790" s="14">
        <v>52</v>
      </c>
      <c r="E790" s="14">
        <v>723</v>
      </c>
      <c r="F790" s="14">
        <v>6.1</v>
      </c>
      <c r="G790" s="14">
        <v>13</v>
      </c>
      <c r="H790" s="14">
        <v>86.18</v>
      </c>
      <c r="I790" s="15">
        <v>0.52</v>
      </c>
    </row>
    <row r="791" spans="1:9" x14ac:dyDescent="0.25">
      <c r="A791" s="12">
        <v>18</v>
      </c>
      <c r="B791" s="13">
        <v>45154</v>
      </c>
      <c r="C791" s="14">
        <v>29.8</v>
      </c>
      <c r="D791" s="14">
        <v>69</v>
      </c>
      <c r="E791" s="14">
        <v>688</v>
      </c>
      <c r="F791" s="14">
        <v>6</v>
      </c>
      <c r="G791" s="14">
        <v>14</v>
      </c>
      <c r="H791" s="14">
        <v>85.64</v>
      </c>
      <c r="I791" s="15">
        <v>0.69</v>
      </c>
    </row>
    <row r="792" spans="1:9" x14ac:dyDescent="0.25">
      <c r="A792" s="12">
        <v>18</v>
      </c>
      <c r="B792" s="13">
        <v>45155</v>
      </c>
      <c r="C792" s="14">
        <v>29.6</v>
      </c>
      <c r="D792" s="14">
        <v>62</v>
      </c>
      <c r="E792" s="14">
        <v>479</v>
      </c>
      <c r="F792" s="14">
        <v>6.1</v>
      </c>
      <c r="G792" s="14">
        <v>15</v>
      </c>
      <c r="H792" s="14">
        <v>85.28</v>
      </c>
      <c r="I792" s="15">
        <v>0.62</v>
      </c>
    </row>
    <row r="793" spans="1:9" x14ac:dyDescent="0.25">
      <c r="A793" s="12">
        <v>18</v>
      </c>
      <c r="B793" s="13">
        <v>45156</v>
      </c>
      <c r="C793" s="14">
        <v>30.9</v>
      </c>
      <c r="D793" s="14">
        <v>50</v>
      </c>
      <c r="E793" s="14">
        <v>408</v>
      </c>
      <c r="F793" s="14">
        <v>6</v>
      </c>
      <c r="G793" s="14">
        <v>16</v>
      </c>
      <c r="H793" s="14">
        <v>87.62</v>
      </c>
      <c r="I793" s="15">
        <v>0.5</v>
      </c>
    </row>
    <row r="794" spans="1:9" x14ac:dyDescent="0.25">
      <c r="A794" s="12">
        <v>18</v>
      </c>
      <c r="B794" s="13">
        <v>45157</v>
      </c>
      <c r="C794" s="14">
        <v>30.8</v>
      </c>
      <c r="D794" s="14">
        <v>80</v>
      </c>
      <c r="E794" s="14">
        <v>489</v>
      </c>
      <c r="F794" s="14">
        <v>6.2</v>
      </c>
      <c r="G794" s="14">
        <v>17</v>
      </c>
      <c r="H794" s="14">
        <v>87.44</v>
      </c>
      <c r="I794" s="15">
        <v>0.8</v>
      </c>
    </row>
    <row r="795" spans="1:9" x14ac:dyDescent="0.25">
      <c r="A795" s="12">
        <v>18</v>
      </c>
      <c r="B795" s="13">
        <v>45158</v>
      </c>
      <c r="C795" s="14">
        <v>30.9</v>
      </c>
      <c r="D795" s="14">
        <v>60</v>
      </c>
      <c r="E795" s="14">
        <v>630</v>
      </c>
      <c r="F795" s="14">
        <v>6.2</v>
      </c>
      <c r="G795" s="14">
        <v>18</v>
      </c>
      <c r="H795" s="14">
        <v>87.62</v>
      </c>
      <c r="I795" s="15">
        <v>0.6</v>
      </c>
    </row>
    <row r="796" spans="1:9" x14ac:dyDescent="0.25">
      <c r="A796" s="12">
        <v>18</v>
      </c>
      <c r="B796" s="13">
        <v>45159</v>
      </c>
      <c r="C796" s="14">
        <v>30.2</v>
      </c>
      <c r="D796" s="14">
        <v>57</v>
      </c>
      <c r="E796" s="14">
        <v>540</v>
      </c>
      <c r="F796" s="14">
        <v>6.4</v>
      </c>
      <c r="G796" s="14">
        <v>19</v>
      </c>
      <c r="H796" s="14">
        <v>86.36</v>
      </c>
      <c r="I796" s="15">
        <v>0.56999999999999995</v>
      </c>
    </row>
    <row r="797" spans="1:9" x14ac:dyDescent="0.25">
      <c r="A797" s="12">
        <v>18</v>
      </c>
      <c r="B797" s="13">
        <v>45160</v>
      </c>
      <c r="C797" s="14">
        <v>30.5</v>
      </c>
      <c r="D797" s="14">
        <v>69</v>
      </c>
      <c r="E797" s="14">
        <v>413</v>
      </c>
      <c r="F797" s="14">
        <v>6.1</v>
      </c>
      <c r="G797" s="14">
        <v>20</v>
      </c>
      <c r="H797" s="14">
        <v>86.9</v>
      </c>
      <c r="I797" s="15">
        <v>0.69</v>
      </c>
    </row>
    <row r="798" spans="1:9" x14ac:dyDescent="0.25">
      <c r="A798" s="12">
        <v>18</v>
      </c>
      <c r="B798" s="13">
        <v>45161</v>
      </c>
      <c r="C798" s="14">
        <v>30.8</v>
      </c>
      <c r="D798" s="14">
        <v>74</v>
      </c>
      <c r="E798" s="14">
        <v>505</v>
      </c>
      <c r="F798" s="14">
        <v>6.3</v>
      </c>
      <c r="G798" s="14">
        <v>21</v>
      </c>
      <c r="H798" s="14">
        <v>87.44</v>
      </c>
      <c r="I798" s="15">
        <v>0.74</v>
      </c>
    </row>
    <row r="799" spans="1:9" x14ac:dyDescent="0.25">
      <c r="A799" s="12">
        <v>18</v>
      </c>
      <c r="B799" s="13">
        <v>45162</v>
      </c>
      <c r="C799" s="14">
        <v>31.3</v>
      </c>
      <c r="D799" s="14">
        <v>73</v>
      </c>
      <c r="E799" s="14">
        <v>414</v>
      </c>
      <c r="F799" s="14">
        <v>6.6</v>
      </c>
      <c r="G799" s="14">
        <v>22</v>
      </c>
      <c r="H799" s="14">
        <v>88.34</v>
      </c>
      <c r="I799" s="15">
        <v>0.73</v>
      </c>
    </row>
    <row r="800" spans="1:9" x14ac:dyDescent="0.25">
      <c r="A800" s="12">
        <v>18</v>
      </c>
      <c r="B800" s="13">
        <v>45163</v>
      </c>
      <c r="C800" s="14">
        <v>31.4</v>
      </c>
      <c r="D800" s="14">
        <v>64</v>
      </c>
      <c r="E800" s="14">
        <v>448</v>
      </c>
      <c r="F800" s="14">
        <v>6.4</v>
      </c>
      <c r="G800" s="14">
        <v>23</v>
      </c>
      <c r="H800" s="14">
        <v>88.52</v>
      </c>
      <c r="I800" s="15">
        <v>0.64</v>
      </c>
    </row>
    <row r="801" spans="1:9" x14ac:dyDescent="0.25">
      <c r="A801" s="12">
        <v>18</v>
      </c>
      <c r="B801" s="13">
        <v>45164</v>
      </c>
      <c r="C801" s="14">
        <v>31.4</v>
      </c>
      <c r="D801" s="14">
        <v>55</v>
      </c>
      <c r="E801" s="14">
        <v>660</v>
      </c>
      <c r="F801" s="14">
        <v>6.6</v>
      </c>
      <c r="G801" s="14">
        <v>24</v>
      </c>
      <c r="H801" s="14">
        <v>88.52</v>
      </c>
      <c r="I801" s="15">
        <v>0.55000000000000004</v>
      </c>
    </row>
    <row r="802" spans="1:9" x14ac:dyDescent="0.25">
      <c r="A802" s="12">
        <v>18</v>
      </c>
      <c r="B802" s="13">
        <v>45165</v>
      </c>
      <c r="C802" s="14">
        <v>30.1</v>
      </c>
      <c r="D802" s="14">
        <v>69</v>
      </c>
      <c r="E802" s="14">
        <v>757</v>
      </c>
      <c r="F802" s="14">
        <v>6.8</v>
      </c>
      <c r="G802" s="14">
        <v>25</v>
      </c>
      <c r="H802" s="14">
        <v>86.18</v>
      </c>
      <c r="I802" s="15">
        <v>0.69</v>
      </c>
    </row>
    <row r="803" spans="1:9" x14ac:dyDescent="0.25">
      <c r="A803" s="12">
        <v>18</v>
      </c>
      <c r="B803" s="13">
        <v>45166</v>
      </c>
      <c r="C803" s="14">
        <v>29.4</v>
      </c>
      <c r="D803" s="14">
        <v>66</v>
      </c>
      <c r="E803" s="14">
        <v>544</v>
      </c>
      <c r="F803" s="14">
        <v>6.1</v>
      </c>
      <c r="G803" s="14">
        <v>26</v>
      </c>
      <c r="H803" s="14">
        <v>84.92</v>
      </c>
      <c r="I803" s="15">
        <v>0.66</v>
      </c>
    </row>
    <row r="804" spans="1:9" x14ac:dyDescent="0.25">
      <c r="A804" s="12">
        <v>18</v>
      </c>
      <c r="B804" s="13">
        <v>45167</v>
      </c>
      <c r="C804" s="14">
        <v>28.7</v>
      </c>
      <c r="D804" s="14">
        <v>59</v>
      </c>
      <c r="E804" s="14">
        <v>699</v>
      </c>
      <c r="F804" s="14">
        <v>6.8</v>
      </c>
      <c r="G804" s="14">
        <v>27</v>
      </c>
      <c r="H804" s="14">
        <v>83.66</v>
      </c>
      <c r="I804" s="15">
        <v>0.59</v>
      </c>
    </row>
    <row r="805" spans="1:9" x14ac:dyDescent="0.25">
      <c r="A805" s="12">
        <v>18</v>
      </c>
      <c r="B805" s="13">
        <v>45168</v>
      </c>
      <c r="C805" s="14">
        <v>29.1</v>
      </c>
      <c r="D805" s="14">
        <v>70</v>
      </c>
      <c r="E805" s="14">
        <v>637</v>
      </c>
      <c r="F805" s="14">
        <v>6.4</v>
      </c>
      <c r="G805" s="14">
        <v>28</v>
      </c>
      <c r="H805" s="14">
        <v>84.38</v>
      </c>
      <c r="I805" s="15">
        <v>0.7</v>
      </c>
    </row>
    <row r="806" spans="1:9" x14ac:dyDescent="0.25">
      <c r="A806" s="12">
        <v>18</v>
      </c>
      <c r="B806" s="13">
        <v>45169</v>
      </c>
      <c r="C806" s="14">
        <v>29.2</v>
      </c>
      <c r="D806" s="14">
        <v>73</v>
      </c>
      <c r="E806" s="14">
        <v>772</v>
      </c>
      <c r="F806" s="14">
        <v>6.6</v>
      </c>
      <c r="G806" s="14">
        <v>29</v>
      </c>
      <c r="H806" s="14">
        <v>84.56</v>
      </c>
      <c r="I806" s="15">
        <v>0.73</v>
      </c>
    </row>
    <row r="807" spans="1:9" x14ac:dyDescent="0.25">
      <c r="A807" s="12">
        <v>18</v>
      </c>
      <c r="B807" s="13">
        <v>45170</v>
      </c>
      <c r="C807" s="14">
        <v>31.7</v>
      </c>
      <c r="D807" s="14">
        <v>78</v>
      </c>
      <c r="E807" s="14">
        <v>746</v>
      </c>
      <c r="F807" s="14">
        <v>6.2</v>
      </c>
      <c r="G807" s="14">
        <v>30</v>
      </c>
      <c r="H807" s="14">
        <v>89.06</v>
      </c>
      <c r="I807" s="15">
        <v>0.78</v>
      </c>
    </row>
    <row r="808" spans="1:9" x14ac:dyDescent="0.25">
      <c r="A808" s="12">
        <v>18</v>
      </c>
      <c r="B808" s="13">
        <v>45171</v>
      </c>
      <c r="C808" s="14">
        <v>31.7</v>
      </c>
      <c r="D808" s="14">
        <v>67</v>
      </c>
      <c r="E808" s="14">
        <v>579</v>
      </c>
      <c r="F808" s="14">
        <v>6.3</v>
      </c>
      <c r="G808" s="14">
        <v>31</v>
      </c>
      <c r="H808" s="14">
        <v>89.06</v>
      </c>
      <c r="I808" s="15">
        <v>0.67</v>
      </c>
    </row>
    <row r="809" spans="1:9" x14ac:dyDescent="0.25">
      <c r="A809" s="12">
        <v>18</v>
      </c>
      <c r="B809" s="13">
        <v>45172</v>
      </c>
      <c r="C809" s="14">
        <v>31.7</v>
      </c>
      <c r="D809" s="14">
        <v>64</v>
      </c>
      <c r="E809" s="14">
        <v>740</v>
      </c>
      <c r="F809" s="14">
        <v>6.1</v>
      </c>
      <c r="G809" s="14">
        <v>32</v>
      </c>
      <c r="H809" s="14">
        <v>89.06</v>
      </c>
      <c r="I809" s="15">
        <v>0.64</v>
      </c>
    </row>
    <row r="810" spans="1:9" x14ac:dyDescent="0.25">
      <c r="A810" s="12">
        <v>18</v>
      </c>
      <c r="B810" s="13">
        <v>45173</v>
      </c>
      <c r="C810" s="14">
        <v>31.7</v>
      </c>
      <c r="D810" s="14">
        <v>68</v>
      </c>
      <c r="E810" s="14">
        <v>442</v>
      </c>
      <c r="F810" s="14">
        <v>6.6</v>
      </c>
      <c r="G810" s="14">
        <v>33</v>
      </c>
      <c r="H810" s="14">
        <v>89.06</v>
      </c>
      <c r="I810" s="15">
        <v>0.68</v>
      </c>
    </row>
    <row r="811" spans="1:9" x14ac:dyDescent="0.25">
      <c r="A811" s="12">
        <v>18</v>
      </c>
      <c r="B811" s="13">
        <v>45174</v>
      </c>
      <c r="C811" s="14">
        <v>32</v>
      </c>
      <c r="D811" s="14">
        <v>60</v>
      </c>
      <c r="E811" s="14">
        <v>730</v>
      </c>
      <c r="F811" s="14">
        <v>6.5</v>
      </c>
      <c r="G811" s="14">
        <v>34</v>
      </c>
      <c r="H811" s="14">
        <v>89.6</v>
      </c>
      <c r="I811" s="15">
        <v>0.6</v>
      </c>
    </row>
    <row r="812" spans="1:9" x14ac:dyDescent="0.25">
      <c r="A812" s="12">
        <v>18</v>
      </c>
      <c r="B812" s="13">
        <v>45175</v>
      </c>
      <c r="C812" s="14">
        <v>32.1</v>
      </c>
      <c r="D812" s="14">
        <v>73</v>
      </c>
      <c r="E812" s="14">
        <v>423</v>
      </c>
      <c r="F812" s="14">
        <v>6.2</v>
      </c>
      <c r="G812" s="14">
        <v>35</v>
      </c>
      <c r="H812" s="14">
        <v>89.78</v>
      </c>
      <c r="I812" s="15">
        <v>0.73</v>
      </c>
    </row>
    <row r="813" spans="1:9" x14ac:dyDescent="0.25">
      <c r="A813" s="12">
        <v>18</v>
      </c>
      <c r="B813" s="13">
        <v>45176</v>
      </c>
      <c r="C813" s="14">
        <v>31.5</v>
      </c>
      <c r="D813" s="14">
        <v>75</v>
      </c>
      <c r="E813" s="14">
        <v>493</v>
      </c>
      <c r="F813" s="14">
        <v>6.2</v>
      </c>
      <c r="G813" s="14">
        <v>36</v>
      </c>
      <c r="H813" s="14">
        <v>88.7</v>
      </c>
      <c r="I813" s="15">
        <v>0.75</v>
      </c>
    </row>
    <row r="814" spans="1:9" x14ac:dyDescent="0.25">
      <c r="A814" s="12">
        <v>18</v>
      </c>
      <c r="B814" s="13">
        <v>45177</v>
      </c>
      <c r="C814" s="14">
        <v>29.8</v>
      </c>
      <c r="D814" s="14">
        <v>75</v>
      </c>
      <c r="E814" s="14">
        <v>587</v>
      </c>
      <c r="F814" s="14">
        <v>6.1</v>
      </c>
      <c r="G814" s="14">
        <v>37</v>
      </c>
      <c r="H814" s="14">
        <v>85.64</v>
      </c>
      <c r="I814" s="15">
        <v>0.75</v>
      </c>
    </row>
    <row r="815" spans="1:9" x14ac:dyDescent="0.25">
      <c r="A815" s="12">
        <v>18</v>
      </c>
      <c r="B815" s="13">
        <v>45178</v>
      </c>
      <c r="C815" s="14">
        <v>20.100000000000001</v>
      </c>
      <c r="D815" s="14">
        <v>77</v>
      </c>
      <c r="E815" s="14">
        <v>404</v>
      </c>
      <c r="F815" s="14">
        <v>6.4</v>
      </c>
      <c r="G815" s="14">
        <v>38</v>
      </c>
      <c r="H815" s="14">
        <v>68.180000000000007</v>
      </c>
      <c r="I815" s="15">
        <v>0.77</v>
      </c>
    </row>
    <row r="816" spans="1:9" x14ac:dyDescent="0.25">
      <c r="A816" s="12">
        <v>18</v>
      </c>
      <c r="B816" s="13">
        <v>45179</v>
      </c>
      <c r="C816" s="14">
        <v>31.1</v>
      </c>
      <c r="D816" s="14">
        <v>61</v>
      </c>
      <c r="E816" s="14">
        <v>408</v>
      </c>
      <c r="F816" s="14">
        <v>6.5</v>
      </c>
      <c r="G816" s="14">
        <v>39</v>
      </c>
      <c r="H816" s="14">
        <v>87.98</v>
      </c>
      <c r="I816" s="15">
        <v>0.61</v>
      </c>
    </row>
    <row r="817" spans="1:9" x14ac:dyDescent="0.25">
      <c r="A817" s="12">
        <v>18</v>
      </c>
      <c r="B817" s="13">
        <v>45180</v>
      </c>
      <c r="C817" s="14">
        <v>31.2</v>
      </c>
      <c r="D817" s="14">
        <v>70</v>
      </c>
      <c r="E817" s="14">
        <v>555</v>
      </c>
      <c r="F817" s="14">
        <v>6.3</v>
      </c>
      <c r="G817" s="14">
        <v>40</v>
      </c>
      <c r="H817" s="14">
        <v>88.16</v>
      </c>
      <c r="I817" s="15">
        <v>0.7</v>
      </c>
    </row>
    <row r="818" spans="1:9" x14ac:dyDescent="0.25">
      <c r="A818" s="12">
        <v>18</v>
      </c>
      <c r="B818" s="13">
        <v>45181</v>
      </c>
      <c r="C818" s="14">
        <v>31.2</v>
      </c>
      <c r="D818" s="14">
        <v>78</v>
      </c>
      <c r="E818" s="14">
        <v>440</v>
      </c>
      <c r="F818" s="14">
        <v>6.5</v>
      </c>
      <c r="G818" s="14">
        <v>41</v>
      </c>
      <c r="H818" s="14">
        <v>88.16</v>
      </c>
      <c r="I818" s="15">
        <v>0.78</v>
      </c>
    </row>
    <row r="819" spans="1:9" x14ac:dyDescent="0.25">
      <c r="A819" s="12">
        <v>18</v>
      </c>
      <c r="B819" s="13">
        <v>45182</v>
      </c>
      <c r="C819" s="14">
        <v>30.4</v>
      </c>
      <c r="D819" s="14">
        <v>59</v>
      </c>
      <c r="E819" s="14">
        <v>501</v>
      </c>
      <c r="F819" s="14">
        <v>6</v>
      </c>
      <c r="G819" s="14">
        <v>42</v>
      </c>
      <c r="H819" s="14">
        <v>86.72</v>
      </c>
      <c r="I819" s="15">
        <v>0.59</v>
      </c>
    </row>
    <row r="820" spans="1:9" x14ac:dyDescent="0.25">
      <c r="A820" s="12">
        <v>18</v>
      </c>
      <c r="B820" s="13">
        <v>45183</v>
      </c>
      <c r="C820" s="14">
        <v>29.1</v>
      </c>
      <c r="D820" s="14">
        <v>76</v>
      </c>
      <c r="E820" s="14">
        <v>750</v>
      </c>
      <c r="F820" s="14">
        <v>6.6</v>
      </c>
      <c r="G820" s="14">
        <v>43</v>
      </c>
      <c r="H820" s="14">
        <v>84.38</v>
      </c>
      <c r="I820" s="15">
        <v>0.76</v>
      </c>
    </row>
    <row r="821" spans="1:9" x14ac:dyDescent="0.25">
      <c r="A821" s="12">
        <v>18</v>
      </c>
      <c r="B821" s="13">
        <v>45184</v>
      </c>
      <c r="C821" s="14">
        <v>30.6</v>
      </c>
      <c r="D821" s="14">
        <v>51</v>
      </c>
      <c r="E821" s="14">
        <v>491</v>
      </c>
      <c r="F821" s="14">
        <v>6.5</v>
      </c>
      <c r="G821" s="14">
        <v>44</v>
      </c>
      <c r="H821" s="14">
        <v>87.08</v>
      </c>
      <c r="I821" s="15">
        <v>0.51</v>
      </c>
    </row>
    <row r="822" spans="1:9" x14ac:dyDescent="0.25">
      <c r="A822" s="12">
        <v>18</v>
      </c>
      <c r="B822" s="13">
        <v>45185</v>
      </c>
      <c r="C822" s="14">
        <v>31.5</v>
      </c>
      <c r="D822" s="14">
        <v>78</v>
      </c>
      <c r="E822" s="14">
        <v>705</v>
      </c>
      <c r="F822" s="14">
        <v>6.8</v>
      </c>
      <c r="G822" s="14">
        <v>45</v>
      </c>
      <c r="H822" s="14">
        <v>88.7</v>
      </c>
      <c r="I822" s="15">
        <v>0.78</v>
      </c>
    </row>
    <row r="823" spans="1:9" x14ac:dyDescent="0.25">
      <c r="A823" s="12">
        <v>19</v>
      </c>
      <c r="B823" s="13">
        <v>45141</v>
      </c>
      <c r="C823" s="14">
        <v>33.4</v>
      </c>
      <c r="D823" s="14">
        <v>51</v>
      </c>
      <c r="E823" s="14">
        <v>492</v>
      </c>
      <c r="F823" s="14">
        <v>6.3</v>
      </c>
      <c r="G823" s="14">
        <v>1</v>
      </c>
      <c r="H823" s="14">
        <v>92.12</v>
      </c>
      <c r="I823" s="15">
        <v>0.51</v>
      </c>
    </row>
    <row r="824" spans="1:9" x14ac:dyDescent="0.25">
      <c r="A824" s="12">
        <v>19</v>
      </c>
      <c r="B824" s="13">
        <v>45142</v>
      </c>
      <c r="C824" s="14">
        <v>33.5</v>
      </c>
      <c r="D824" s="14">
        <v>74</v>
      </c>
      <c r="E824" s="14">
        <v>552</v>
      </c>
      <c r="F824" s="14">
        <v>6.5</v>
      </c>
      <c r="G824" s="14">
        <v>2</v>
      </c>
      <c r="H824" s="14">
        <v>92.3</v>
      </c>
      <c r="I824" s="15">
        <v>0.74</v>
      </c>
    </row>
    <row r="825" spans="1:9" x14ac:dyDescent="0.25">
      <c r="A825" s="12">
        <v>19</v>
      </c>
      <c r="B825" s="13">
        <v>45143</v>
      </c>
      <c r="C825" s="14">
        <v>33.4</v>
      </c>
      <c r="D825" s="14">
        <v>72</v>
      </c>
      <c r="E825" s="14">
        <v>646</v>
      </c>
      <c r="F825" s="14">
        <v>6.1</v>
      </c>
      <c r="G825" s="14">
        <v>3</v>
      </c>
      <c r="H825" s="14">
        <v>92.12</v>
      </c>
      <c r="I825" s="15">
        <v>0.72</v>
      </c>
    </row>
    <row r="826" spans="1:9" x14ac:dyDescent="0.25">
      <c r="A826" s="12">
        <v>19</v>
      </c>
      <c r="B826" s="13">
        <v>45144</v>
      </c>
      <c r="C826" s="14">
        <v>33.4</v>
      </c>
      <c r="D826" s="14">
        <v>80</v>
      </c>
      <c r="E826" s="14">
        <v>405</v>
      </c>
      <c r="F826" s="14">
        <v>6.8</v>
      </c>
      <c r="G826" s="14">
        <v>4</v>
      </c>
      <c r="H826" s="14">
        <v>92.12</v>
      </c>
      <c r="I826" s="15">
        <v>0.8</v>
      </c>
    </row>
    <row r="827" spans="1:9" x14ac:dyDescent="0.25">
      <c r="A827" s="12">
        <v>19</v>
      </c>
      <c r="B827" s="13">
        <v>45145</v>
      </c>
      <c r="C827" s="14">
        <v>33.4</v>
      </c>
      <c r="D827" s="14">
        <v>65</v>
      </c>
      <c r="E827" s="14">
        <v>661</v>
      </c>
      <c r="F827" s="14">
        <v>6.3</v>
      </c>
      <c r="G827" s="14">
        <v>5</v>
      </c>
      <c r="H827" s="14">
        <v>92.12</v>
      </c>
      <c r="I827" s="15">
        <v>0.65</v>
      </c>
    </row>
    <row r="828" spans="1:9" x14ac:dyDescent="0.25">
      <c r="A828" s="12">
        <v>19</v>
      </c>
      <c r="B828" s="13">
        <v>45146</v>
      </c>
      <c r="C828" s="14">
        <v>32.299999999999997</v>
      </c>
      <c r="D828" s="14">
        <v>63</v>
      </c>
      <c r="E828" s="14">
        <v>651</v>
      </c>
      <c r="F828" s="14">
        <v>6.5</v>
      </c>
      <c r="G828" s="14">
        <v>6</v>
      </c>
      <c r="H828" s="14">
        <v>90.14</v>
      </c>
      <c r="I828" s="15">
        <v>0.63</v>
      </c>
    </row>
    <row r="829" spans="1:9" x14ac:dyDescent="0.25">
      <c r="A829" s="12">
        <v>19</v>
      </c>
      <c r="B829" s="13">
        <v>45147</v>
      </c>
      <c r="C829" s="14">
        <v>32.299999999999997</v>
      </c>
      <c r="D829" s="14">
        <v>72</v>
      </c>
      <c r="E829" s="14">
        <v>747</v>
      </c>
      <c r="F829" s="14">
        <v>6.1</v>
      </c>
      <c r="G829" s="14">
        <v>7</v>
      </c>
      <c r="H829" s="14">
        <v>90.14</v>
      </c>
      <c r="I829" s="15">
        <v>0.72</v>
      </c>
    </row>
    <row r="830" spans="1:9" x14ac:dyDescent="0.25">
      <c r="A830" s="12">
        <v>19</v>
      </c>
      <c r="B830" s="13">
        <v>45148</v>
      </c>
      <c r="C830" s="14">
        <v>22.7</v>
      </c>
      <c r="D830" s="14">
        <v>75</v>
      </c>
      <c r="E830" s="14">
        <v>693</v>
      </c>
      <c r="F830" s="14">
        <v>6.5</v>
      </c>
      <c r="G830" s="14">
        <v>8</v>
      </c>
      <c r="H830" s="14">
        <v>72.86</v>
      </c>
      <c r="I830" s="15">
        <v>0.75</v>
      </c>
    </row>
    <row r="831" spans="1:9" x14ac:dyDescent="0.25">
      <c r="A831" s="12">
        <v>19</v>
      </c>
      <c r="B831" s="13">
        <v>45149</v>
      </c>
      <c r="C831" s="14">
        <v>31.9</v>
      </c>
      <c r="D831" s="14">
        <v>59</v>
      </c>
      <c r="E831" s="14">
        <v>486</v>
      </c>
      <c r="F831" s="14">
        <v>6.7</v>
      </c>
      <c r="G831" s="14">
        <v>9</v>
      </c>
      <c r="H831" s="14">
        <v>89.42</v>
      </c>
      <c r="I831" s="15">
        <v>0.59</v>
      </c>
    </row>
    <row r="832" spans="1:9" x14ac:dyDescent="0.25">
      <c r="A832" s="12">
        <v>19</v>
      </c>
      <c r="B832" s="13">
        <v>45150</v>
      </c>
      <c r="C832" s="14">
        <v>30.2</v>
      </c>
      <c r="D832" s="14">
        <v>79</v>
      </c>
      <c r="E832" s="14">
        <v>486</v>
      </c>
      <c r="F832" s="14">
        <v>6.8</v>
      </c>
      <c r="G832" s="14">
        <v>10</v>
      </c>
      <c r="H832" s="14">
        <v>86.36</v>
      </c>
      <c r="I832" s="15">
        <v>0.79</v>
      </c>
    </row>
    <row r="833" spans="1:9" x14ac:dyDescent="0.25">
      <c r="A833" s="12">
        <v>19</v>
      </c>
      <c r="B833" s="13">
        <v>45151</v>
      </c>
      <c r="C833" s="14">
        <v>30.1</v>
      </c>
      <c r="D833" s="14">
        <v>59</v>
      </c>
      <c r="E833" s="14">
        <v>655</v>
      </c>
      <c r="F833" s="14">
        <v>6.6</v>
      </c>
      <c r="G833" s="14">
        <v>11</v>
      </c>
      <c r="H833" s="14">
        <v>86.18</v>
      </c>
      <c r="I833" s="15">
        <v>0.59</v>
      </c>
    </row>
    <row r="834" spans="1:9" x14ac:dyDescent="0.25">
      <c r="A834" s="12">
        <v>19</v>
      </c>
      <c r="B834" s="13">
        <v>45152</v>
      </c>
      <c r="C834" s="14">
        <v>30.1</v>
      </c>
      <c r="D834" s="14">
        <v>71</v>
      </c>
      <c r="E834" s="14">
        <v>503</v>
      </c>
      <c r="F834" s="14">
        <v>6.5</v>
      </c>
      <c r="G834" s="14">
        <v>12</v>
      </c>
      <c r="H834" s="14">
        <v>86.18</v>
      </c>
      <c r="I834" s="15">
        <v>0.71</v>
      </c>
    </row>
    <row r="835" spans="1:9" x14ac:dyDescent="0.25">
      <c r="A835" s="12">
        <v>19</v>
      </c>
      <c r="B835" s="13">
        <v>45153</v>
      </c>
      <c r="C835" s="14">
        <v>30.1</v>
      </c>
      <c r="D835" s="14">
        <v>71</v>
      </c>
      <c r="E835" s="14">
        <v>763</v>
      </c>
      <c r="F835" s="14">
        <v>6.3</v>
      </c>
      <c r="G835" s="14">
        <v>13</v>
      </c>
      <c r="H835" s="14">
        <v>86.18</v>
      </c>
      <c r="I835" s="15">
        <v>0.71</v>
      </c>
    </row>
    <row r="836" spans="1:9" x14ac:dyDescent="0.25">
      <c r="A836" s="12">
        <v>19</v>
      </c>
      <c r="B836" s="13">
        <v>45154</v>
      </c>
      <c r="C836" s="14">
        <v>29.8</v>
      </c>
      <c r="D836" s="14">
        <v>72</v>
      </c>
      <c r="E836" s="14">
        <v>599</v>
      </c>
      <c r="F836" s="14">
        <v>6.7</v>
      </c>
      <c r="G836" s="14">
        <v>14</v>
      </c>
      <c r="H836" s="14">
        <v>85.64</v>
      </c>
      <c r="I836" s="15">
        <v>0.72</v>
      </c>
    </row>
    <row r="837" spans="1:9" x14ac:dyDescent="0.25">
      <c r="A837" s="12">
        <v>19</v>
      </c>
      <c r="B837" s="13">
        <v>45155</v>
      </c>
      <c r="C837" s="14">
        <v>29.6</v>
      </c>
      <c r="D837" s="14">
        <v>75</v>
      </c>
      <c r="E837" s="14">
        <v>587</v>
      </c>
      <c r="F837" s="14">
        <v>6.1</v>
      </c>
      <c r="G837" s="14">
        <v>15</v>
      </c>
      <c r="H837" s="14">
        <v>85.28</v>
      </c>
      <c r="I837" s="15">
        <v>0.75</v>
      </c>
    </row>
    <row r="838" spans="1:9" x14ac:dyDescent="0.25">
      <c r="A838" s="12">
        <v>19</v>
      </c>
      <c r="B838" s="13">
        <v>45156</v>
      </c>
      <c r="C838" s="14">
        <v>30.9</v>
      </c>
      <c r="D838" s="14">
        <v>63</v>
      </c>
      <c r="E838" s="14">
        <v>790</v>
      </c>
      <c r="F838" s="14">
        <v>6.7</v>
      </c>
      <c r="G838" s="14">
        <v>16</v>
      </c>
      <c r="H838" s="14">
        <v>87.62</v>
      </c>
      <c r="I838" s="15">
        <v>0.63</v>
      </c>
    </row>
    <row r="839" spans="1:9" x14ac:dyDescent="0.25">
      <c r="A839" s="12">
        <v>19</v>
      </c>
      <c r="B839" s="13">
        <v>45157</v>
      </c>
      <c r="C839" s="14">
        <v>30.8</v>
      </c>
      <c r="D839" s="14">
        <v>73</v>
      </c>
      <c r="E839" s="14">
        <v>415</v>
      </c>
      <c r="F839" s="14">
        <v>6.5</v>
      </c>
      <c r="G839" s="14">
        <v>17</v>
      </c>
      <c r="H839" s="14">
        <v>87.44</v>
      </c>
      <c r="I839" s="15">
        <v>0.73</v>
      </c>
    </row>
    <row r="840" spans="1:9" x14ac:dyDescent="0.25">
      <c r="A840" s="12">
        <v>19</v>
      </c>
      <c r="B840" s="13">
        <v>45158</v>
      </c>
      <c r="C840" s="14">
        <v>30.9</v>
      </c>
      <c r="D840" s="14">
        <v>57</v>
      </c>
      <c r="E840" s="14">
        <v>708</v>
      </c>
      <c r="F840" s="14">
        <v>6.2</v>
      </c>
      <c r="G840" s="14">
        <v>18</v>
      </c>
      <c r="H840" s="14">
        <v>87.62</v>
      </c>
      <c r="I840" s="15">
        <v>0.56999999999999995</v>
      </c>
    </row>
    <row r="841" spans="1:9" x14ac:dyDescent="0.25">
      <c r="A841" s="12">
        <v>19</v>
      </c>
      <c r="B841" s="13">
        <v>45159</v>
      </c>
      <c r="C841" s="14">
        <v>30.2</v>
      </c>
      <c r="D841" s="14">
        <v>64</v>
      </c>
      <c r="E841" s="14">
        <v>539</v>
      </c>
      <c r="F841" s="14">
        <v>6.3</v>
      </c>
      <c r="G841" s="14">
        <v>19</v>
      </c>
      <c r="H841" s="14">
        <v>86.36</v>
      </c>
      <c r="I841" s="15">
        <v>0.64</v>
      </c>
    </row>
    <row r="842" spans="1:9" x14ac:dyDescent="0.25">
      <c r="A842" s="12">
        <v>19</v>
      </c>
      <c r="B842" s="13">
        <v>45160</v>
      </c>
      <c r="C842" s="14">
        <v>30.5</v>
      </c>
      <c r="D842" s="14">
        <v>77</v>
      </c>
      <c r="E842" s="14">
        <v>745</v>
      </c>
      <c r="F842" s="14">
        <v>6.2</v>
      </c>
      <c r="G842" s="14">
        <v>20</v>
      </c>
      <c r="H842" s="14">
        <v>86.9</v>
      </c>
      <c r="I842" s="15">
        <v>0.77</v>
      </c>
    </row>
    <row r="843" spans="1:9" x14ac:dyDescent="0.25">
      <c r="A843" s="12">
        <v>19</v>
      </c>
      <c r="B843" s="13">
        <v>45161</v>
      </c>
      <c r="C843" s="14">
        <v>30.8</v>
      </c>
      <c r="D843" s="14">
        <v>69</v>
      </c>
      <c r="E843" s="14">
        <v>515</v>
      </c>
      <c r="F843" s="14">
        <v>6.2</v>
      </c>
      <c r="G843" s="14">
        <v>21</v>
      </c>
      <c r="H843" s="14">
        <v>87.44</v>
      </c>
      <c r="I843" s="15">
        <v>0.69</v>
      </c>
    </row>
    <row r="844" spans="1:9" x14ac:dyDescent="0.25">
      <c r="A844" s="12">
        <v>19</v>
      </c>
      <c r="B844" s="13">
        <v>45162</v>
      </c>
      <c r="C844" s="14">
        <v>31.3</v>
      </c>
      <c r="D844" s="14">
        <v>69</v>
      </c>
      <c r="E844" s="14">
        <v>637</v>
      </c>
      <c r="F844" s="14">
        <v>6.7</v>
      </c>
      <c r="G844" s="14">
        <v>22</v>
      </c>
      <c r="H844" s="14">
        <v>88.34</v>
      </c>
      <c r="I844" s="15">
        <v>0.69</v>
      </c>
    </row>
    <row r="845" spans="1:9" x14ac:dyDescent="0.25">
      <c r="A845" s="12">
        <v>19</v>
      </c>
      <c r="B845" s="13">
        <v>45163</v>
      </c>
      <c r="C845" s="14">
        <v>31.4</v>
      </c>
      <c r="D845" s="14">
        <v>67</v>
      </c>
      <c r="E845" s="14">
        <v>455</v>
      </c>
      <c r="F845" s="14">
        <v>6.7</v>
      </c>
      <c r="G845" s="14">
        <v>23</v>
      </c>
      <c r="H845" s="14">
        <v>88.52</v>
      </c>
      <c r="I845" s="15">
        <v>0.67</v>
      </c>
    </row>
    <row r="846" spans="1:9" x14ac:dyDescent="0.25">
      <c r="A846" s="12">
        <v>19</v>
      </c>
      <c r="B846" s="13">
        <v>45164</v>
      </c>
      <c r="C846" s="14">
        <v>31.4</v>
      </c>
      <c r="D846" s="14">
        <v>78</v>
      </c>
      <c r="E846" s="14">
        <v>576</v>
      </c>
      <c r="F846" s="14">
        <v>6.5</v>
      </c>
      <c r="G846" s="14">
        <v>24</v>
      </c>
      <c r="H846" s="14">
        <v>88.52</v>
      </c>
      <c r="I846" s="15">
        <v>0.78</v>
      </c>
    </row>
    <row r="847" spans="1:9" x14ac:dyDescent="0.25">
      <c r="A847" s="12">
        <v>19</v>
      </c>
      <c r="B847" s="13">
        <v>45165</v>
      </c>
      <c r="C847" s="14">
        <v>30.1</v>
      </c>
      <c r="D847" s="14">
        <v>68</v>
      </c>
      <c r="E847" s="14">
        <v>606</v>
      </c>
      <c r="F847" s="14">
        <v>6</v>
      </c>
      <c r="G847" s="14">
        <v>25</v>
      </c>
      <c r="H847" s="14">
        <v>86.18</v>
      </c>
      <c r="I847" s="15">
        <v>0.68</v>
      </c>
    </row>
    <row r="848" spans="1:9" x14ac:dyDescent="0.25">
      <c r="A848" s="12">
        <v>19</v>
      </c>
      <c r="B848" s="13">
        <v>45166</v>
      </c>
      <c r="C848" s="14">
        <v>29.4</v>
      </c>
      <c r="D848" s="14">
        <v>80</v>
      </c>
      <c r="E848" s="14">
        <v>623</v>
      </c>
      <c r="F848" s="14">
        <v>6.4</v>
      </c>
      <c r="G848" s="14">
        <v>26</v>
      </c>
      <c r="H848" s="14">
        <v>84.92</v>
      </c>
      <c r="I848" s="15">
        <v>0.8</v>
      </c>
    </row>
    <row r="849" spans="1:9" x14ac:dyDescent="0.25">
      <c r="A849" s="12">
        <v>19</v>
      </c>
      <c r="B849" s="13">
        <v>45167</v>
      </c>
      <c r="C849" s="14">
        <v>28.7</v>
      </c>
      <c r="D849" s="14">
        <v>76</v>
      </c>
      <c r="E849" s="14">
        <v>498</v>
      </c>
      <c r="F849" s="14">
        <v>6.2</v>
      </c>
      <c r="G849" s="14">
        <v>27</v>
      </c>
      <c r="H849" s="14">
        <v>83.66</v>
      </c>
      <c r="I849" s="15">
        <v>0.76</v>
      </c>
    </row>
    <row r="850" spans="1:9" x14ac:dyDescent="0.25">
      <c r="A850" s="12">
        <v>19</v>
      </c>
      <c r="B850" s="13">
        <v>45168</v>
      </c>
      <c r="C850" s="14">
        <v>29.1</v>
      </c>
      <c r="D850" s="14">
        <v>75</v>
      </c>
      <c r="E850" s="14">
        <v>411</v>
      </c>
      <c r="F850" s="14">
        <v>6.6</v>
      </c>
      <c r="G850" s="14">
        <v>28</v>
      </c>
      <c r="H850" s="14">
        <v>84.38</v>
      </c>
      <c r="I850" s="15">
        <v>0.75</v>
      </c>
    </row>
    <row r="851" spans="1:9" x14ac:dyDescent="0.25">
      <c r="A851" s="12">
        <v>19</v>
      </c>
      <c r="B851" s="13">
        <v>45169</v>
      </c>
      <c r="C851" s="14">
        <v>29.2</v>
      </c>
      <c r="D851" s="14">
        <v>72</v>
      </c>
      <c r="E851" s="14">
        <v>789</v>
      </c>
      <c r="F851" s="14">
        <v>6.1</v>
      </c>
      <c r="G851" s="14">
        <v>29</v>
      </c>
      <c r="H851" s="14">
        <v>84.56</v>
      </c>
      <c r="I851" s="15">
        <v>0.72</v>
      </c>
    </row>
    <row r="852" spans="1:9" x14ac:dyDescent="0.25">
      <c r="A852" s="12">
        <v>19</v>
      </c>
      <c r="B852" s="13">
        <v>45170</v>
      </c>
      <c r="C852" s="14">
        <v>31.7</v>
      </c>
      <c r="D852" s="14">
        <v>50</v>
      </c>
      <c r="E852" s="14">
        <v>459</v>
      </c>
      <c r="F852" s="14">
        <v>6.4</v>
      </c>
      <c r="G852" s="14">
        <v>30</v>
      </c>
      <c r="H852" s="14">
        <v>89.06</v>
      </c>
      <c r="I852" s="15">
        <v>0.5</v>
      </c>
    </row>
    <row r="853" spans="1:9" x14ac:dyDescent="0.25">
      <c r="A853" s="12">
        <v>19</v>
      </c>
      <c r="B853" s="13">
        <v>45171</v>
      </c>
      <c r="C853" s="14">
        <v>31.7</v>
      </c>
      <c r="D853" s="14">
        <v>60</v>
      </c>
      <c r="E853" s="14">
        <v>401</v>
      </c>
      <c r="F853" s="14">
        <v>6.5</v>
      </c>
      <c r="G853" s="14">
        <v>31</v>
      </c>
      <c r="H853" s="14">
        <v>89.06</v>
      </c>
      <c r="I853" s="15">
        <v>0.6</v>
      </c>
    </row>
    <row r="854" spans="1:9" x14ac:dyDescent="0.25">
      <c r="A854" s="12">
        <v>19</v>
      </c>
      <c r="B854" s="13">
        <v>45172</v>
      </c>
      <c r="C854" s="14">
        <v>31.7</v>
      </c>
      <c r="D854" s="14">
        <v>53</v>
      </c>
      <c r="E854" s="14">
        <v>583</v>
      </c>
      <c r="F854" s="14">
        <v>6.1</v>
      </c>
      <c r="G854" s="14">
        <v>32</v>
      </c>
      <c r="H854" s="14">
        <v>89.06</v>
      </c>
      <c r="I854" s="15">
        <v>0.53</v>
      </c>
    </row>
    <row r="855" spans="1:9" x14ac:dyDescent="0.25">
      <c r="A855" s="12">
        <v>19</v>
      </c>
      <c r="B855" s="13">
        <v>45173</v>
      </c>
      <c r="C855" s="14">
        <v>31.7</v>
      </c>
      <c r="D855" s="14">
        <v>76</v>
      </c>
      <c r="E855" s="14">
        <v>434</v>
      </c>
      <c r="F855" s="14">
        <v>6.8</v>
      </c>
      <c r="G855" s="14">
        <v>33</v>
      </c>
      <c r="H855" s="14">
        <v>89.06</v>
      </c>
      <c r="I855" s="15">
        <v>0.76</v>
      </c>
    </row>
    <row r="856" spans="1:9" x14ac:dyDescent="0.25">
      <c r="A856" s="12">
        <v>19</v>
      </c>
      <c r="B856" s="13">
        <v>45174</v>
      </c>
      <c r="C856" s="14">
        <v>32</v>
      </c>
      <c r="D856" s="14">
        <v>76</v>
      </c>
      <c r="E856" s="14">
        <v>563</v>
      </c>
      <c r="F856" s="14">
        <v>6.6</v>
      </c>
      <c r="G856" s="14">
        <v>34</v>
      </c>
      <c r="H856" s="14">
        <v>89.6</v>
      </c>
      <c r="I856" s="15">
        <v>0.76</v>
      </c>
    </row>
    <row r="857" spans="1:9" x14ac:dyDescent="0.25">
      <c r="A857" s="12">
        <v>19</v>
      </c>
      <c r="B857" s="13">
        <v>45175</v>
      </c>
      <c r="C857" s="14">
        <v>32.1</v>
      </c>
      <c r="D857" s="14">
        <v>52</v>
      </c>
      <c r="E857" s="14">
        <v>497</v>
      </c>
      <c r="F857" s="14">
        <v>6.1</v>
      </c>
      <c r="G857" s="14">
        <v>35</v>
      </c>
      <c r="H857" s="14">
        <v>89.78</v>
      </c>
      <c r="I857" s="15">
        <v>0.52</v>
      </c>
    </row>
    <row r="858" spans="1:9" x14ac:dyDescent="0.25">
      <c r="A858" s="12">
        <v>19</v>
      </c>
      <c r="B858" s="13">
        <v>45176</v>
      </c>
      <c r="C858" s="14">
        <v>31.5</v>
      </c>
      <c r="D858" s="14">
        <v>61</v>
      </c>
      <c r="E858" s="14">
        <v>680</v>
      </c>
      <c r="F858" s="14">
        <v>6.2</v>
      </c>
      <c r="G858" s="14">
        <v>36</v>
      </c>
      <c r="H858" s="14">
        <v>88.7</v>
      </c>
      <c r="I858" s="15">
        <v>0.61</v>
      </c>
    </row>
    <row r="859" spans="1:9" x14ac:dyDescent="0.25">
      <c r="A859" s="12">
        <v>19</v>
      </c>
      <c r="B859" s="13">
        <v>45177</v>
      </c>
      <c r="C859" s="14">
        <v>29.8</v>
      </c>
      <c r="D859" s="14">
        <v>53</v>
      </c>
      <c r="E859" s="14">
        <v>553</v>
      </c>
      <c r="F859" s="14">
        <v>6.6</v>
      </c>
      <c r="G859" s="14">
        <v>37</v>
      </c>
      <c r="H859" s="14">
        <v>85.64</v>
      </c>
      <c r="I859" s="15">
        <v>0.53</v>
      </c>
    </row>
    <row r="860" spans="1:9" x14ac:dyDescent="0.25">
      <c r="A860" s="12">
        <v>19</v>
      </c>
      <c r="B860" s="13">
        <v>45178</v>
      </c>
      <c r="C860" s="14">
        <v>20.100000000000001</v>
      </c>
      <c r="D860" s="14">
        <v>68</v>
      </c>
      <c r="E860" s="14">
        <v>611</v>
      </c>
      <c r="F860" s="14">
        <v>6.2</v>
      </c>
      <c r="G860" s="14">
        <v>38</v>
      </c>
      <c r="H860" s="14">
        <v>68.180000000000007</v>
      </c>
      <c r="I860" s="15">
        <v>0.68</v>
      </c>
    </row>
    <row r="861" spans="1:9" x14ac:dyDescent="0.25">
      <c r="A861" s="12">
        <v>19</v>
      </c>
      <c r="B861" s="13">
        <v>45179</v>
      </c>
      <c r="C861" s="14">
        <v>31.1</v>
      </c>
      <c r="D861" s="14">
        <v>64</v>
      </c>
      <c r="E861" s="14">
        <v>588</v>
      </c>
      <c r="F861" s="14">
        <v>6.2</v>
      </c>
      <c r="G861" s="14">
        <v>39</v>
      </c>
      <c r="H861" s="14">
        <v>87.98</v>
      </c>
      <c r="I861" s="15">
        <v>0.64</v>
      </c>
    </row>
    <row r="862" spans="1:9" x14ac:dyDescent="0.25">
      <c r="A862" s="12">
        <v>19</v>
      </c>
      <c r="B862" s="13">
        <v>45180</v>
      </c>
      <c r="C862" s="14">
        <v>31.2</v>
      </c>
      <c r="D862" s="14">
        <v>53</v>
      </c>
      <c r="E862" s="14">
        <v>503</v>
      </c>
      <c r="F862" s="14">
        <v>6.4</v>
      </c>
      <c r="G862" s="14">
        <v>40</v>
      </c>
      <c r="H862" s="14">
        <v>88.16</v>
      </c>
      <c r="I862" s="15">
        <v>0.53</v>
      </c>
    </row>
    <row r="863" spans="1:9" x14ac:dyDescent="0.25">
      <c r="A863" s="12">
        <v>19</v>
      </c>
      <c r="B863" s="13">
        <v>45181</v>
      </c>
      <c r="C863" s="14">
        <v>31.2</v>
      </c>
      <c r="D863" s="14">
        <v>67</v>
      </c>
      <c r="E863" s="14">
        <v>449</v>
      </c>
      <c r="F863" s="14">
        <v>6</v>
      </c>
      <c r="G863" s="14">
        <v>41</v>
      </c>
      <c r="H863" s="14">
        <v>88.16</v>
      </c>
      <c r="I863" s="15">
        <v>0.67</v>
      </c>
    </row>
    <row r="864" spans="1:9" x14ac:dyDescent="0.25">
      <c r="A864" s="12">
        <v>19</v>
      </c>
      <c r="B864" s="13">
        <v>45182</v>
      </c>
      <c r="C864" s="14">
        <v>30.4</v>
      </c>
      <c r="D864" s="14">
        <v>52</v>
      </c>
      <c r="E864" s="14">
        <v>417</v>
      </c>
      <c r="F864" s="14">
        <v>6.6</v>
      </c>
      <c r="G864" s="14">
        <v>42</v>
      </c>
      <c r="H864" s="14">
        <v>86.72</v>
      </c>
      <c r="I864" s="15">
        <v>0.52</v>
      </c>
    </row>
    <row r="865" spans="1:9" x14ac:dyDescent="0.25">
      <c r="A865" s="12">
        <v>19</v>
      </c>
      <c r="B865" s="13">
        <v>45183</v>
      </c>
      <c r="C865" s="14">
        <v>29.1</v>
      </c>
      <c r="D865" s="14">
        <v>51</v>
      </c>
      <c r="E865" s="14">
        <v>437</v>
      </c>
      <c r="F865" s="14">
        <v>6.1</v>
      </c>
      <c r="G865" s="14">
        <v>43</v>
      </c>
      <c r="H865" s="14">
        <v>84.38</v>
      </c>
      <c r="I865" s="15">
        <v>0.51</v>
      </c>
    </row>
    <row r="866" spans="1:9" x14ac:dyDescent="0.25">
      <c r="A866" s="12">
        <v>19</v>
      </c>
      <c r="B866" s="13">
        <v>45184</v>
      </c>
      <c r="C866" s="14">
        <v>30.6</v>
      </c>
      <c r="D866" s="14">
        <v>73</v>
      </c>
      <c r="E866" s="14">
        <v>536</v>
      </c>
      <c r="F866" s="14">
        <v>6.5</v>
      </c>
      <c r="G866" s="14">
        <v>44</v>
      </c>
      <c r="H866" s="14">
        <v>87.08</v>
      </c>
      <c r="I866" s="15">
        <v>0.73</v>
      </c>
    </row>
    <row r="867" spans="1:9" x14ac:dyDescent="0.25">
      <c r="A867" s="12">
        <v>19</v>
      </c>
      <c r="B867" s="13">
        <v>45185</v>
      </c>
      <c r="C867" s="14">
        <v>31.5</v>
      </c>
      <c r="D867" s="14">
        <v>70</v>
      </c>
      <c r="E867" s="14">
        <v>571</v>
      </c>
      <c r="F867" s="14">
        <v>6.3</v>
      </c>
      <c r="G867" s="14">
        <v>45</v>
      </c>
      <c r="H867" s="14">
        <v>88.7</v>
      </c>
      <c r="I867" s="15">
        <v>0.7</v>
      </c>
    </row>
    <row r="868" spans="1:9" x14ac:dyDescent="0.25">
      <c r="A868" s="12">
        <v>20</v>
      </c>
      <c r="B868" s="13">
        <v>45141</v>
      </c>
      <c r="C868" s="14">
        <v>33.4</v>
      </c>
      <c r="D868" s="14">
        <v>56</v>
      </c>
      <c r="E868" s="14">
        <v>708</v>
      </c>
      <c r="F868" s="14">
        <v>6.1</v>
      </c>
      <c r="G868" s="14">
        <v>1</v>
      </c>
      <c r="H868" s="14">
        <v>92.12</v>
      </c>
      <c r="I868" s="15">
        <v>0.56000000000000005</v>
      </c>
    </row>
    <row r="869" spans="1:9" x14ac:dyDescent="0.25">
      <c r="A869" s="12">
        <v>20</v>
      </c>
      <c r="B869" s="13">
        <v>45142</v>
      </c>
      <c r="C869" s="14">
        <v>33.5</v>
      </c>
      <c r="D869" s="14">
        <v>73</v>
      </c>
      <c r="E869" s="14">
        <v>597</v>
      </c>
      <c r="F869" s="14">
        <v>6.7</v>
      </c>
      <c r="G869" s="14">
        <v>2</v>
      </c>
      <c r="H869" s="14">
        <v>92.3</v>
      </c>
      <c r="I869" s="15">
        <v>0.73</v>
      </c>
    </row>
    <row r="870" spans="1:9" x14ac:dyDescent="0.25">
      <c r="A870" s="12">
        <v>20</v>
      </c>
      <c r="B870" s="13">
        <v>45143</v>
      </c>
      <c r="C870" s="14">
        <v>33.4</v>
      </c>
      <c r="D870" s="14">
        <v>60</v>
      </c>
      <c r="E870" s="14">
        <v>483</v>
      </c>
      <c r="F870" s="14">
        <v>6.7</v>
      </c>
      <c r="G870" s="14">
        <v>3</v>
      </c>
      <c r="H870" s="14">
        <v>92.12</v>
      </c>
      <c r="I870" s="15">
        <v>0.6</v>
      </c>
    </row>
    <row r="871" spans="1:9" x14ac:dyDescent="0.25">
      <c r="A871" s="12">
        <v>20</v>
      </c>
      <c r="B871" s="13">
        <v>45144</v>
      </c>
      <c r="C871" s="14">
        <v>33.4</v>
      </c>
      <c r="D871" s="14">
        <v>66</v>
      </c>
      <c r="E871" s="14">
        <v>729</v>
      </c>
      <c r="F871" s="14">
        <v>6.7</v>
      </c>
      <c r="G871" s="14">
        <v>4</v>
      </c>
      <c r="H871" s="14">
        <v>92.12</v>
      </c>
      <c r="I871" s="15">
        <v>0.66</v>
      </c>
    </row>
    <row r="872" spans="1:9" x14ac:dyDescent="0.25">
      <c r="A872" s="12">
        <v>20</v>
      </c>
      <c r="B872" s="13">
        <v>45145</v>
      </c>
      <c r="C872" s="14">
        <v>33.4</v>
      </c>
      <c r="D872" s="14">
        <v>72</v>
      </c>
      <c r="E872" s="14">
        <v>430</v>
      </c>
      <c r="F872" s="14">
        <v>6</v>
      </c>
      <c r="G872" s="14">
        <v>5</v>
      </c>
      <c r="H872" s="14">
        <v>92.12</v>
      </c>
      <c r="I872" s="15">
        <v>0.72</v>
      </c>
    </row>
    <row r="873" spans="1:9" x14ac:dyDescent="0.25">
      <c r="A873" s="12">
        <v>20</v>
      </c>
      <c r="B873" s="13">
        <v>45146</v>
      </c>
      <c r="C873" s="14">
        <v>32.299999999999997</v>
      </c>
      <c r="D873" s="14">
        <v>76</v>
      </c>
      <c r="E873" s="14">
        <v>529</v>
      </c>
      <c r="F873" s="14">
        <v>6.2</v>
      </c>
      <c r="G873" s="14">
        <v>6</v>
      </c>
      <c r="H873" s="14">
        <v>90.14</v>
      </c>
      <c r="I873" s="15">
        <v>0.76</v>
      </c>
    </row>
    <row r="874" spans="1:9" x14ac:dyDescent="0.25">
      <c r="A874" s="12">
        <v>20</v>
      </c>
      <c r="B874" s="13">
        <v>45147</v>
      </c>
      <c r="C874" s="14">
        <v>32.299999999999997</v>
      </c>
      <c r="D874" s="14">
        <v>69</v>
      </c>
      <c r="E874" s="14">
        <v>767</v>
      </c>
      <c r="F874" s="14">
        <v>6.3</v>
      </c>
      <c r="G874" s="14">
        <v>7</v>
      </c>
      <c r="H874" s="14">
        <v>90.14</v>
      </c>
      <c r="I874" s="15">
        <v>0.69</v>
      </c>
    </row>
    <row r="875" spans="1:9" x14ac:dyDescent="0.25">
      <c r="A875" s="12">
        <v>20</v>
      </c>
      <c r="B875" s="13">
        <v>45148</v>
      </c>
      <c r="C875" s="14">
        <v>22.7</v>
      </c>
      <c r="D875" s="14">
        <v>57</v>
      </c>
      <c r="E875" s="14">
        <v>648</v>
      </c>
      <c r="F875" s="14">
        <v>6.4</v>
      </c>
      <c r="G875" s="14">
        <v>8</v>
      </c>
      <c r="H875" s="14">
        <v>72.86</v>
      </c>
      <c r="I875" s="15">
        <v>0.56999999999999995</v>
      </c>
    </row>
    <row r="876" spans="1:9" x14ac:dyDescent="0.25">
      <c r="A876" s="12">
        <v>20</v>
      </c>
      <c r="B876" s="13">
        <v>45149</v>
      </c>
      <c r="C876" s="14">
        <v>31.9</v>
      </c>
      <c r="D876" s="14">
        <v>50</v>
      </c>
      <c r="E876" s="14">
        <v>592</v>
      </c>
      <c r="F876" s="14">
        <v>6.6</v>
      </c>
      <c r="G876" s="14">
        <v>9</v>
      </c>
      <c r="H876" s="14">
        <v>89.42</v>
      </c>
      <c r="I876" s="15">
        <v>0.5</v>
      </c>
    </row>
    <row r="877" spans="1:9" x14ac:dyDescent="0.25">
      <c r="A877" s="12">
        <v>20</v>
      </c>
      <c r="B877" s="13">
        <v>45150</v>
      </c>
      <c r="C877" s="14">
        <v>30.2</v>
      </c>
      <c r="D877" s="14">
        <v>60</v>
      </c>
      <c r="E877" s="14">
        <v>702</v>
      </c>
      <c r="F877" s="14">
        <v>6.7</v>
      </c>
      <c r="G877" s="14">
        <v>10</v>
      </c>
      <c r="H877" s="14">
        <v>86.36</v>
      </c>
      <c r="I877" s="15">
        <v>0.6</v>
      </c>
    </row>
    <row r="878" spans="1:9" x14ac:dyDescent="0.25">
      <c r="A878" s="12">
        <v>20</v>
      </c>
      <c r="B878" s="13">
        <v>45151</v>
      </c>
      <c r="C878" s="14">
        <v>30.1</v>
      </c>
      <c r="D878" s="14">
        <v>72</v>
      </c>
      <c r="E878" s="14">
        <v>747</v>
      </c>
      <c r="F878" s="14">
        <v>6.5</v>
      </c>
      <c r="G878" s="14">
        <v>11</v>
      </c>
      <c r="H878" s="14">
        <v>86.18</v>
      </c>
      <c r="I878" s="15">
        <v>0.72</v>
      </c>
    </row>
    <row r="879" spans="1:9" x14ac:dyDescent="0.25">
      <c r="A879" s="12">
        <v>20</v>
      </c>
      <c r="B879" s="13">
        <v>45152</v>
      </c>
      <c r="C879" s="14">
        <v>30.1</v>
      </c>
      <c r="D879" s="14">
        <v>75</v>
      </c>
      <c r="E879" s="14">
        <v>611</v>
      </c>
      <c r="F879" s="14">
        <v>6.4</v>
      </c>
      <c r="G879" s="14">
        <v>12</v>
      </c>
      <c r="H879" s="14">
        <v>86.18</v>
      </c>
      <c r="I879" s="15">
        <v>0.75</v>
      </c>
    </row>
    <row r="880" spans="1:9" x14ac:dyDescent="0.25">
      <c r="A880" s="12">
        <v>20</v>
      </c>
      <c r="B880" s="13">
        <v>45153</v>
      </c>
      <c r="C880" s="14">
        <v>30.1</v>
      </c>
      <c r="D880" s="14">
        <v>72</v>
      </c>
      <c r="E880" s="14">
        <v>562</v>
      </c>
      <c r="F880" s="14">
        <v>6</v>
      </c>
      <c r="G880" s="14">
        <v>13</v>
      </c>
      <c r="H880" s="14">
        <v>86.18</v>
      </c>
      <c r="I880" s="15">
        <v>0.72</v>
      </c>
    </row>
    <row r="881" spans="1:9" x14ac:dyDescent="0.25">
      <c r="A881" s="12">
        <v>20</v>
      </c>
      <c r="B881" s="13">
        <v>45154</v>
      </c>
      <c r="C881" s="14">
        <v>29.8</v>
      </c>
      <c r="D881" s="14">
        <v>54</v>
      </c>
      <c r="E881" s="14">
        <v>693</v>
      </c>
      <c r="F881" s="14">
        <v>6</v>
      </c>
      <c r="G881" s="14">
        <v>14</v>
      </c>
      <c r="H881" s="14">
        <v>85.64</v>
      </c>
      <c r="I881" s="15">
        <v>0.54</v>
      </c>
    </row>
    <row r="882" spans="1:9" x14ac:dyDescent="0.25">
      <c r="A882" s="12">
        <v>20</v>
      </c>
      <c r="B882" s="13">
        <v>45155</v>
      </c>
      <c r="C882" s="14">
        <v>29.6</v>
      </c>
      <c r="D882" s="14">
        <v>79</v>
      </c>
      <c r="E882" s="14">
        <v>626</v>
      </c>
      <c r="F882" s="14">
        <v>6.2</v>
      </c>
      <c r="G882" s="14">
        <v>15</v>
      </c>
      <c r="H882" s="14">
        <v>85.28</v>
      </c>
      <c r="I882" s="15">
        <v>0.79</v>
      </c>
    </row>
    <row r="883" spans="1:9" x14ac:dyDescent="0.25">
      <c r="A883" s="12">
        <v>20</v>
      </c>
      <c r="B883" s="13">
        <v>45156</v>
      </c>
      <c r="C883" s="14">
        <v>30.9</v>
      </c>
      <c r="D883" s="14">
        <v>61</v>
      </c>
      <c r="E883" s="14">
        <v>717</v>
      </c>
      <c r="F883" s="14">
        <v>6.4</v>
      </c>
      <c r="G883" s="14">
        <v>16</v>
      </c>
      <c r="H883" s="14">
        <v>87.62</v>
      </c>
      <c r="I883" s="15">
        <v>0.61</v>
      </c>
    </row>
    <row r="884" spans="1:9" x14ac:dyDescent="0.25">
      <c r="A884" s="12">
        <v>20</v>
      </c>
      <c r="B884" s="13">
        <v>45157</v>
      </c>
      <c r="C884" s="14">
        <v>30.8</v>
      </c>
      <c r="D884" s="14">
        <v>66</v>
      </c>
      <c r="E884" s="14">
        <v>722</v>
      </c>
      <c r="F884" s="14">
        <v>6.1</v>
      </c>
      <c r="G884" s="14">
        <v>17</v>
      </c>
      <c r="H884" s="14">
        <v>87.44</v>
      </c>
      <c r="I884" s="15">
        <v>0.66</v>
      </c>
    </row>
    <row r="885" spans="1:9" x14ac:dyDescent="0.25">
      <c r="A885" s="12">
        <v>20</v>
      </c>
      <c r="B885" s="13">
        <v>45158</v>
      </c>
      <c r="C885" s="14">
        <v>30.9</v>
      </c>
      <c r="D885" s="14">
        <v>57</v>
      </c>
      <c r="E885" s="14">
        <v>621</v>
      </c>
      <c r="F885" s="14">
        <v>6.7</v>
      </c>
      <c r="G885" s="14">
        <v>18</v>
      </c>
      <c r="H885" s="14">
        <v>87.62</v>
      </c>
      <c r="I885" s="15">
        <v>0.56999999999999995</v>
      </c>
    </row>
    <row r="886" spans="1:9" x14ac:dyDescent="0.25">
      <c r="A886" s="12">
        <v>20</v>
      </c>
      <c r="B886" s="13">
        <v>45159</v>
      </c>
      <c r="C886" s="14">
        <v>30.2</v>
      </c>
      <c r="D886" s="14">
        <v>61</v>
      </c>
      <c r="E886" s="14">
        <v>458</v>
      </c>
      <c r="F886" s="14">
        <v>6.7</v>
      </c>
      <c r="G886" s="14">
        <v>19</v>
      </c>
      <c r="H886" s="14">
        <v>86.36</v>
      </c>
      <c r="I886" s="15">
        <v>0.61</v>
      </c>
    </row>
    <row r="887" spans="1:9" x14ac:dyDescent="0.25">
      <c r="A887" s="12">
        <v>20</v>
      </c>
      <c r="B887" s="13">
        <v>45160</v>
      </c>
      <c r="C887" s="14">
        <v>30.5</v>
      </c>
      <c r="D887" s="14">
        <v>69</v>
      </c>
      <c r="E887" s="14">
        <v>596</v>
      </c>
      <c r="F887" s="14">
        <v>6</v>
      </c>
      <c r="G887" s="14">
        <v>20</v>
      </c>
      <c r="H887" s="14">
        <v>86.9</v>
      </c>
      <c r="I887" s="15">
        <v>0.69</v>
      </c>
    </row>
    <row r="888" spans="1:9" x14ac:dyDescent="0.25">
      <c r="A888" s="12">
        <v>20</v>
      </c>
      <c r="B888" s="13">
        <v>45161</v>
      </c>
      <c r="C888" s="14">
        <v>30.8</v>
      </c>
      <c r="D888" s="14">
        <v>66</v>
      </c>
      <c r="E888" s="14">
        <v>770</v>
      </c>
      <c r="F888" s="14">
        <v>6.1</v>
      </c>
      <c r="G888" s="14">
        <v>21</v>
      </c>
      <c r="H888" s="14">
        <v>87.44</v>
      </c>
      <c r="I888" s="15">
        <v>0.66</v>
      </c>
    </row>
    <row r="889" spans="1:9" x14ac:dyDescent="0.25">
      <c r="A889" s="12">
        <v>20</v>
      </c>
      <c r="B889" s="13">
        <v>45162</v>
      </c>
      <c r="C889" s="14">
        <v>31.3</v>
      </c>
      <c r="D889" s="14">
        <v>77</v>
      </c>
      <c r="E889" s="14">
        <v>405</v>
      </c>
      <c r="F889" s="14">
        <v>6.4</v>
      </c>
      <c r="G889" s="14">
        <v>22</v>
      </c>
      <c r="H889" s="14">
        <v>88.34</v>
      </c>
      <c r="I889" s="15">
        <v>0.77</v>
      </c>
    </row>
    <row r="890" spans="1:9" x14ac:dyDescent="0.25">
      <c r="A890" s="12">
        <v>20</v>
      </c>
      <c r="B890" s="13">
        <v>45163</v>
      </c>
      <c r="C890" s="14">
        <v>31.4</v>
      </c>
      <c r="D890" s="14">
        <v>76</v>
      </c>
      <c r="E890" s="14">
        <v>796</v>
      </c>
      <c r="F890" s="14">
        <v>6.8</v>
      </c>
      <c r="G890" s="14">
        <v>23</v>
      </c>
      <c r="H890" s="14">
        <v>88.52</v>
      </c>
      <c r="I890" s="15">
        <v>0.76</v>
      </c>
    </row>
    <row r="891" spans="1:9" x14ac:dyDescent="0.25">
      <c r="A891" s="12">
        <v>20</v>
      </c>
      <c r="B891" s="13">
        <v>45164</v>
      </c>
      <c r="C891" s="14">
        <v>31.4</v>
      </c>
      <c r="D891" s="14">
        <v>77</v>
      </c>
      <c r="E891" s="14">
        <v>575</v>
      </c>
      <c r="F891" s="14">
        <v>6.1</v>
      </c>
      <c r="G891" s="14">
        <v>24</v>
      </c>
      <c r="H891" s="14">
        <v>88.52</v>
      </c>
      <c r="I891" s="15">
        <v>0.77</v>
      </c>
    </row>
    <row r="892" spans="1:9" x14ac:dyDescent="0.25">
      <c r="A892" s="12">
        <v>20</v>
      </c>
      <c r="B892" s="13">
        <v>45165</v>
      </c>
      <c r="C892" s="14">
        <v>30.1</v>
      </c>
      <c r="D892" s="14">
        <v>74</v>
      </c>
      <c r="E892" s="14">
        <v>415</v>
      </c>
      <c r="F892" s="14">
        <v>6.6</v>
      </c>
      <c r="G892" s="14">
        <v>25</v>
      </c>
      <c r="H892" s="14">
        <v>86.18</v>
      </c>
      <c r="I892" s="15">
        <v>0.74</v>
      </c>
    </row>
    <row r="893" spans="1:9" x14ac:dyDescent="0.25">
      <c r="A893" s="12">
        <v>20</v>
      </c>
      <c r="B893" s="13">
        <v>45166</v>
      </c>
      <c r="C893" s="14">
        <v>29.4</v>
      </c>
      <c r="D893" s="14">
        <v>60</v>
      </c>
      <c r="E893" s="14">
        <v>453</v>
      </c>
      <c r="F893" s="14">
        <v>6.3</v>
      </c>
      <c r="G893" s="14">
        <v>26</v>
      </c>
      <c r="H893" s="14">
        <v>84.92</v>
      </c>
      <c r="I893" s="15">
        <v>0.6</v>
      </c>
    </row>
    <row r="894" spans="1:9" x14ac:dyDescent="0.25">
      <c r="A894" s="12">
        <v>20</v>
      </c>
      <c r="B894" s="13">
        <v>45167</v>
      </c>
      <c r="C894" s="14">
        <v>28.7</v>
      </c>
      <c r="D894" s="14">
        <v>53</v>
      </c>
      <c r="E894" s="14">
        <v>727</v>
      </c>
      <c r="F894" s="14">
        <v>6.4</v>
      </c>
      <c r="G894" s="14">
        <v>27</v>
      </c>
      <c r="H894" s="14">
        <v>83.66</v>
      </c>
      <c r="I894" s="15">
        <v>0.53</v>
      </c>
    </row>
    <row r="895" spans="1:9" x14ac:dyDescent="0.25">
      <c r="A895" s="12">
        <v>20</v>
      </c>
      <c r="B895" s="13">
        <v>45168</v>
      </c>
      <c r="C895" s="14">
        <v>29.1</v>
      </c>
      <c r="D895" s="14">
        <v>50</v>
      </c>
      <c r="E895" s="14">
        <v>494</v>
      </c>
      <c r="F895" s="14">
        <v>6.2</v>
      </c>
      <c r="G895" s="14">
        <v>28</v>
      </c>
      <c r="H895" s="14">
        <v>84.38</v>
      </c>
      <c r="I895" s="15">
        <v>0.5</v>
      </c>
    </row>
    <row r="896" spans="1:9" x14ac:dyDescent="0.25">
      <c r="A896" s="12">
        <v>20</v>
      </c>
      <c r="B896" s="13">
        <v>45169</v>
      </c>
      <c r="C896" s="14">
        <v>29.2</v>
      </c>
      <c r="D896" s="14">
        <v>52</v>
      </c>
      <c r="E896" s="14">
        <v>612</v>
      </c>
      <c r="F896" s="14">
        <v>6.8</v>
      </c>
      <c r="G896" s="14">
        <v>29</v>
      </c>
      <c r="H896" s="14">
        <v>84.56</v>
      </c>
      <c r="I896" s="15">
        <v>0.52</v>
      </c>
    </row>
    <row r="897" spans="1:9" x14ac:dyDescent="0.25">
      <c r="A897" s="12">
        <v>20</v>
      </c>
      <c r="B897" s="13">
        <v>45170</v>
      </c>
      <c r="C897" s="14">
        <v>31.7</v>
      </c>
      <c r="D897" s="14">
        <v>75</v>
      </c>
      <c r="E897" s="14">
        <v>502</v>
      </c>
      <c r="F897" s="14">
        <v>6.5</v>
      </c>
      <c r="G897" s="14">
        <v>30</v>
      </c>
      <c r="H897" s="14">
        <v>89.06</v>
      </c>
      <c r="I897" s="15">
        <v>0.75</v>
      </c>
    </row>
    <row r="898" spans="1:9" x14ac:dyDescent="0.25">
      <c r="A898" s="12">
        <v>20</v>
      </c>
      <c r="B898" s="13">
        <v>45171</v>
      </c>
      <c r="C898" s="14">
        <v>31.7</v>
      </c>
      <c r="D898" s="14">
        <v>68</v>
      </c>
      <c r="E898" s="14">
        <v>742</v>
      </c>
      <c r="F898" s="14">
        <v>6.5</v>
      </c>
      <c r="G898" s="14">
        <v>31</v>
      </c>
      <c r="H898" s="14">
        <v>89.06</v>
      </c>
      <c r="I898" s="15">
        <v>0.68</v>
      </c>
    </row>
    <row r="899" spans="1:9" x14ac:dyDescent="0.25">
      <c r="A899" s="12">
        <v>20</v>
      </c>
      <c r="B899" s="13">
        <v>45172</v>
      </c>
      <c r="C899" s="14">
        <v>31.7</v>
      </c>
      <c r="D899" s="14">
        <v>54</v>
      </c>
      <c r="E899" s="14">
        <v>748</v>
      </c>
      <c r="F899" s="14">
        <v>6.4</v>
      </c>
      <c r="G899" s="14">
        <v>32</v>
      </c>
      <c r="H899" s="14">
        <v>89.06</v>
      </c>
      <c r="I899" s="15">
        <v>0.54</v>
      </c>
    </row>
    <row r="900" spans="1:9" x14ac:dyDescent="0.25">
      <c r="A900" s="12">
        <v>20</v>
      </c>
      <c r="B900" s="13">
        <v>45173</v>
      </c>
      <c r="C900" s="14">
        <v>31.7</v>
      </c>
      <c r="D900" s="14">
        <v>68</v>
      </c>
      <c r="E900" s="14">
        <v>611</v>
      </c>
      <c r="F900" s="14">
        <v>6.2</v>
      </c>
      <c r="G900" s="14">
        <v>33</v>
      </c>
      <c r="H900" s="14">
        <v>89.06</v>
      </c>
      <c r="I900" s="15">
        <v>0.68</v>
      </c>
    </row>
    <row r="901" spans="1:9" x14ac:dyDescent="0.25">
      <c r="A901" s="12">
        <v>20</v>
      </c>
      <c r="B901" s="13">
        <v>45174</v>
      </c>
      <c r="C901" s="14">
        <v>32</v>
      </c>
      <c r="D901" s="14">
        <v>71</v>
      </c>
      <c r="E901" s="14">
        <v>486</v>
      </c>
      <c r="F901" s="14">
        <v>6.7</v>
      </c>
      <c r="G901" s="14">
        <v>34</v>
      </c>
      <c r="H901" s="14">
        <v>89.6</v>
      </c>
      <c r="I901" s="15">
        <v>0.71</v>
      </c>
    </row>
    <row r="902" spans="1:9" x14ac:dyDescent="0.25">
      <c r="A902" s="12">
        <v>20</v>
      </c>
      <c r="B902" s="13">
        <v>45175</v>
      </c>
      <c r="C902" s="14">
        <v>32.1</v>
      </c>
      <c r="D902" s="14">
        <v>68</v>
      </c>
      <c r="E902" s="14">
        <v>607</v>
      </c>
      <c r="F902" s="14">
        <v>6.2</v>
      </c>
      <c r="G902" s="14">
        <v>35</v>
      </c>
      <c r="H902" s="14">
        <v>89.78</v>
      </c>
      <c r="I902" s="15">
        <v>0.68</v>
      </c>
    </row>
    <row r="903" spans="1:9" x14ac:dyDescent="0.25">
      <c r="A903" s="12">
        <v>20</v>
      </c>
      <c r="B903" s="13">
        <v>45176</v>
      </c>
      <c r="C903" s="14">
        <v>31.5</v>
      </c>
      <c r="D903" s="14">
        <v>71</v>
      </c>
      <c r="E903" s="14">
        <v>513</v>
      </c>
      <c r="F903" s="14">
        <v>6.4</v>
      </c>
      <c r="G903" s="14">
        <v>36</v>
      </c>
      <c r="H903" s="14">
        <v>88.7</v>
      </c>
      <c r="I903" s="15">
        <v>0.71</v>
      </c>
    </row>
    <row r="904" spans="1:9" x14ac:dyDescent="0.25">
      <c r="A904" s="12">
        <v>20</v>
      </c>
      <c r="B904" s="13">
        <v>45177</v>
      </c>
      <c r="C904" s="14">
        <v>29.8</v>
      </c>
      <c r="D904" s="14">
        <v>51</v>
      </c>
      <c r="E904" s="14">
        <v>591</v>
      </c>
      <c r="F904" s="14">
        <v>6.6</v>
      </c>
      <c r="G904" s="14">
        <v>37</v>
      </c>
      <c r="H904" s="14">
        <v>85.64</v>
      </c>
      <c r="I904" s="15">
        <v>0.51</v>
      </c>
    </row>
    <row r="905" spans="1:9" x14ac:dyDescent="0.25">
      <c r="A905" s="12">
        <v>20</v>
      </c>
      <c r="B905" s="13">
        <v>45178</v>
      </c>
      <c r="C905" s="14">
        <v>20.100000000000001</v>
      </c>
      <c r="D905" s="14">
        <v>55</v>
      </c>
      <c r="E905" s="14">
        <v>441</v>
      </c>
      <c r="F905" s="14">
        <v>6.5</v>
      </c>
      <c r="G905" s="14">
        <v>38</v>
      </c>
      <c r="H905" s="14">
        <v>68.180000000000007</v>
      </c>
      <c r="I905" s="15">
        <v>0.55000000000000004</v>
      </c>
    </row>
    <row r="906" spans="1:9" x14ac:dyDescent="0.25">
      <c r="A906" s="12">
        <v>20</v>
      </c>
      <c r="B906" s="13">
        <v>45179</v>
      </c>
      <c r="C906" s="14">
        <v>31.1</v>
      </c>
      <c r="D906" s="14">
        <v>74</v>
      </c>
      <c r="E906" s="14">
        <v>637</v>
      </c>
      <c r="F906" s="14">
        <v>6.2</v>
      </c>
      <c r="G906" s="14">
        <v>39</v>
      </c>
      <c r="H906" s="14">
        <v>87.98</v>
      </c>
      <c r="I906" s="15">
        <v>0.74</v>
      </c>
    </row>
    <row r="907" spans="1:9" x14ac:dyDescent="0.25">
      <c r="A907" s="12">
        <v>20</v>
      </c>
      <c r="B907" s="13">
        <v>45180</v>
      </c>
      <c r="C907" s="14">
        <v>31.2</v>
      </c>
      <c r="D907" s="14">
        <v>74</v>
      </c>
      <c r="E907" s="14">
        <v>560</v>
      </c>
      <c r="F907" s="14">
        <v>6.2</v>
      </c>
      <c r="G907" s="14">
        <v>40</v>
      </c>
      <c r="H907" s="14">
        <v>88.16</v>
      </c>
      <c r="I907" s="15">
        <v>0.74</v>
      </c>
    </row>
    <row r="908" spans="1:9" x14ac:dyDescent="0.25">
      <c r="A908" s="12">
        <v>20</v>
      </c>
      <c r="B908" s="13">
        <v>45181</v>
      </c>
      <c r="C908" s="14">
        <v>31.2</v>
      </c>
      <c r="D908" s="14">
        <v>51</v>
      </c>
      <c r="E908" s="14">
        <v>588</v>
      </c>
      <c r="F908" s="14">
        <v>6.6</v>
      </c>
      <c r="G908" s="14">
        <v>41</v>
      </c>
      <c r="H908" s="14">
        <v>88.16</v>
      </c>
      <c r="I908" s="15">
        <v>0.51</v>
      </c>
    </row>
    <row r="909" spans="1:9" x14ac:dyDescent="0.25">
      <c r="A909" s="12">
        <v>20</v>
      </c>
      <c r="B909" s="13">
        <v>45182</v>
      </c>
      <c r="C909" s="14">
        <v>30.4</v>
      </c>
      <c r="D909" s="14">
        <v>72</v>
      </c>
      <c r="E909" s="14">
        <v>518</v>
      </c>
      <c r="F909" s="14">
        <v>6.1</v>
      </c>
      <c r="G909" s="14">
        <v>42</v>
      </c>
      <c r="H909" s="14">
        <v>86.72</v>
      </c>
      <c r="I909" s="15">
        <v>0.72</v>
      </c>
    </row>
    <row r="910" spans="1:9" x14ac:dyDescent="0.25">
      <c r="A910" s="12">
        <v>20</v>
      </c>
      <c r="B910" s="13">
        <v>45183</v>
      </c>
      <c r="C910" s="14">
        <v>29.1</v>
      </c>
      <c r="D910" s="14">
        <v>51</v>
      </c>
      <c r="E910" s="14">
        <v>570</v>
      </c>
      <c r="F910" s="14">
        <v>6.3</v>
      </c>
      <c r="G910" s="14">
        <v>43</v>
      </c>
      <c r="H910" s="14">
        <v>84.38</v>
      </c>
      <c r="I910" s="15">
        <v>0.51</v>
      </c>
    </row>
    <row r="911" spans="1:9" x14ac:dyDescent="0.25">
      <c r="A911" s="12">
        <v>20</v>
      </c>
      <c r="B911" s="13">
        <v>45184</v>
      </c>
      <c r="C911" s="14">
        <v>30.6</v>
      </c>
      <c r="D911" s="14">
        <v>70</v>
      </c>
      <c r="E911" s="14">
        <v>505</v>
      </c>
      <c r="F911" s="14">
        <v>6.8</v>
      </c>
      <c r="G911" s="14">
        <v>44</v>
      </c>
      <c r="H911" s="14">
        <v>87.08</v>
      </c>
      <c r="I911" s="15">
        <v>0.7</v>
      </c>
    </row>
    <row r="912" spans="1:9" x14ac:dyDescent="0.25">
      <c r="A912" s="12">
        <v>20</v>
      </c>
      <c r="B912" s="13">
        <v>45185</v>
      </c>
      <c r="C912" s="14">
        <v>31.5</v>
      </c>
      <c r="D912" s="14">
        <v>57</v>
      </c>
      <c r="E912" s="14">
        <v>759</v>
      </c>
      <c r="F912" s="14">
        <v>6.6</v>
      </c>
      <c r="G912" s="14">
        <v>45</v>
      </c>
      <c r="H912" s="14">
        <v>88.7</v>
      </c>
      <c r="I912" s="15">
        <v>0.56999999999999995</v>
      </c>
    </row>
    <row r="913" spans="1:9" x14ac:dyDescent="0.25">
      <c r="A913" s="12">
        <v>21</v>
      </c>
      <c r="B913" s="13">
        <v>45141</v>
      </c>
      <c r="C913" s="14">
        <v>33.4</v>
      </c>
      <c r="D913" s="14">
        <v>54</v>
      </c>
      <c r="E913" s="14">
        <v>530</v>
      </c>
      <c r="F913" s="14">
        <v>6.1</v>
      </c>
      <c r="G913" s="14">
        <v>1</v>
      </c>
      <c r="H913" s="14">
        <v>92.12</v>
      </c>
      <c r="I913" s="15">
        <v>0.54</v>
      </c>
    </row>
    <row r="914" spans="1:9" x14ac:dyDescent="0.25">
      <c r="A914" s="12">
        <v>21</v>
      </c>
      <c r="B914" s="13">
        <v>45142</v>
      </c>
      <c r="C914" s="14">
        <v>33.5</v>
      </c>
      <c r="D914" s="14">
        <v>65</v>
      </c>
      <c r="E914" s="14">
        <v>626</v>
      </c>
      <c r="F914" s="14">
        <v>6.7</v>
      </c>
      <c r="G914" s="14">
        <v>2</v>
      </c>
      <c r="H914" s="14">
        <v>92.3</v>
      </c>
      <c r="I914" s="15">
        <v>0.65</v>
      </c>
    </row>
    <row r="915" spans="1:9" x14ac:dyDescent="0.25">
      <c r="A915" s="12">
        <v>21</v>
      </c>
      <c r="B915" s="13">
        <v>45143</v>
      </c>
      <c r="C915" s="14">
        <v>33.4</v>
      </c>
      <c r="D915" s="14">
        <v>80</v>
      </c>
      <c r="E915" s="14">
        <v>516</v>
      </c>
      <c r="F915" s="14">
        <v>6.5</v>
      </c>
      <c r="G915" s="14">
        <v>3</v>
      </c>
      <c r="H915" s="14">
        <v>92.12</v>
      </c>
      <c r="I915" s="15">
        <v>0.8</v>
      </c>
    </row>
    <row r="916" spans="1:9" x14ac:dyDescent="0.25">
      <c r="A916" s="12">
        <v>21</v>
      </c>
      <c r="B916" s="13">
        <v>45144</v>
      </c>
      <c r="C916" s="14">
        <v>33.4</v>
      </c>
      <c r="D916" s="14">
        <v>63</v>
      </c>
      <c r="E916" s="14">
        <v>592</v>
      </c>
      <c r="F916" s="14">
        <v>6</v>
      </c>
      <c r="G916" s="14">
        <v>4</v>
      </c>
      <c r="H916" s="14">
        <v>92.12</v>
      </c>
      <c r="I916" s="15">
        <v>0.63</v>
      </c>
    </row>
    <row r="917" spans="1:9" x14ac:dyDescent="0.25">
      <c r="A917" s="12">
        <v>21</v>
      </c>
      <c r="B917" s="13">
        <v>45145</v>
      </c>
      <c r="C917" s="14">
        <v>33.4</v>
      </c>
      <c r="D917" s="14">
        <v>52</v>
      </c>
      <c r="E917" s="14">
        <v>726</v>
      </c>
      <c r="F917" s="14">
        <v>6.4</v>
      </c>
      <c r="G917" s="14">
        <v>5</v>
      </c>
      <c r="H917" s="14">
        <v>92.12</v>
      </c>
      <c r="I917" s="15">
        <v>0.52</v>
      </c>
    </row>
    <row r="918" spans="1:9" x14ac:dyDescent="0.25">
      <c r="A918" s="12">
        <v>21</v>
      </c>
      <c r="B918" s="13">
        <v>45146</v>
      </c>
      <c r="C918" s="14">
        <v>32.299999999999997</v>
      </c>
      <c r="D918" s="14">
        <v>63</v>
      </c>
      <c r="E918" s="14">
        <v>443</v>
      </c>
      <c r="F918" s="14">
        <v>6.2</v>
      </c>
      <c r="G918" s="14">
        <v>6</v>
      </c>
      <c r="H918" s="14">
        <v>90.14</v>
      </c>
      <c r="I918" s="15">
        <v>0.63</v>
      </c>
    </row>
    <row r="919" spans="1:9" x14ac:dyDescent="0.25">
      <c r="A919" s="12">
        <v>21</v>
      </c>
      <c r="B919" s="13">
        <v>45147</v>
      </c>
      <c r="C919" s="14">
        <v>32.299999999999997</v>
      </c>
      <c r="D919" s="14">
        <v>72</v>
      </c>
      <c r="E919" s="14">
        <v>727</v>
      </c>
      <c r="F919" s="14">
        <v>6.4</v>
      </c>
      <c r="G919" s="14">
        <v>7</v>
      </c>
      <c r="H919" s="14">
        <v>90.14</v>
      </c>
      <c r="I919" s="15">
        <v>0.72</v>
      </c>
    </row>
    <row r="920" spans="1:9" x14ac:dyDescent="0.25">
      <c r="A920" s="12">
        <v>21</v>
      </c>
      <c r="B920" s="13">
        <v>45148</v>
      </c>
      <c r="C920" s="14">
        <v>22.7</v>
      </c>
      <c r="D920" s="14">
        <v>60</v>
      </c>
      <c r="E920" s="14">
        <v>625</v>
      </c>
      <c r="F920" s="14">
        <v>6.1</v>
      </c>
      <c r="G920" s="14">
        <v>8</v>
      </c>
      <c r="H920" s="14">
        <v>72.86</v>
      </c>
      <c r="I920" s="15">
        <v>0.6</v>
      </c>
    </row>
    <row r="921" spans="1:9" x14ac:dyDescent="0.25">
      <c r="A921" s="12">
        <v>21</v>
      </c>
      <c r="B921" s="13">
        <v>45149</v>
      </c>
      <c r="C921" s="14">
        <v>31.9</v>
      </c>
      <c r="D921" s="14">
        <v>78</v>
      </c>
      <c r="E921" s="14">
        <v>510</v>
      </c>
      <c r="F921" s="14">
        <v>6.5</v>
      </c>
      <c r="G921" s="14">
        <v>9</v>
      </c>
      <c r="H921" s="14">
        <v>89.42</v>
      </c>
      <c r="I921" s="15">
        <v>0.78</v>
      </c>
    </row>
    <row r="922" spans="1:9" x14ac:dyDescent="0.25">
      <c r="A922" s="12">
        <v>21</v>
      </c>
      <c r="B922" s="13">
        <v>45150</v>
      </c>
      <c r="C922" s="14">
        <v>30.2</v>
      </c>
      <c r="D922" s="14">
        <v>67</v>
      </c>
      <c r="E922" s="14">
        <v>460</v>
      </c>
      <c r="F922" s="14">
        <v>6.6</v>
      </c>
      <c r="G922" s="14">
        <v>10</v>
      </c>
      <c r="H922" s="14">
        <v>86.36</v>
      </c>
      <c r="I922" s="15">
        <v>0.67</v>
      </c>
    </row>
    <row r="923" spans="1:9" x14ac:dyDescent="0.25">
      <c r="A923" s="12">
        <v>21</v>
      </c>
      <c r="B923" s="13">
        <v>45151</v>
      </c>
      <c r="C923" s="14">
        <v>30.1</v>
      </c>
      <c r="D923" s="14">
        <v>77</v>
      </c>
      <c r="E923" s="14">
        <v>673</v>
      </c>
      <c r="F923" s="14">
        <v>6.1</v>
      </c>
      <c r="G923" s="14">
        <v>11</v>
      </c>
      <c r="H923" s="14">
        <v>86.18</v>
      </c>
      <c r="I923" s="15">
        <v>0.77</v>
      </c>
    </row>
    <row r="924" spans="1:9" x14ac:dyDescent="0.25">
      <c r="A924" s="12">
        <v>21</v>
      </c>
      <c r="B924" s="13">
        <v>45152</v>
      </c>
      <c r="C924" s="14">
        <v>30.1</v>
      </c>
      <c r="D924" s="14">
        <v>75</v>
      </c>
      <c r="E924" s="14">
        <v>504</v>
      </c>
      <c r="F924" s="14">
        <v>6.5</v>
      </c>
      <c r="G924" s="14">
        <v>12</v>
      </c>
      <c r="H924" s="14">
        <v>86.18</v>
      </c>
      <c r="I924" s="15">
        <v>0.75</v>
      </c>
    </row>
    <row r="925" spans="1:9" x14ac:dyDescent="0.25">
      <c r="A925" s="12">
        <v>21</v>
      </c>
      <c r="B925" s="13">
        <v>45153</v>
      </c>
      <c r="C925" s="14">
        <v>30.1</v>
      </c>
      <c r="D925" s="14">
        <v>76</v>
      </c>
      <c r="E925" s="14">
        <v>660</v>
      </c>
      <c r="F925" s="14">
        <v>6.2</v>
      </c>
      <c r="G925" s="14">
        <v>13</v>
      </c>
      <c r="H925" s="14">
        <v>86.18</v>
      </c>
      <c r="I925" s="15">
        <v>0.76</v>
      </c>
    </row>
    <row r="926" spans="1:9" x14ac:dyDescent="0.25">
      <c r="A926" s="12">
        <v>21</v>
      </c>
      <c r="B926" s="13">
        <v>45154</v>
      </c>
      <c r="C926" s="14">
        <v>29.8</v>
      </c>
      <c r="D926" s="14">
        <v>54</v>
      </c>
      <c r="E926" s="14">
        <v>418</v>
      </c>
      <c r="F926" s="14">
        <v>6.8</v>
      </c>
      <c r="G926" s="14">
        <v>14</v>
      </c>
      <c r="H926" s="14">
        <v>85.64</v>
      </c>
      <c r="I926" s="15">
        <v>0.54</v>
      </c>
    </row>
    <row r="927" spans="1:9" x14ac:dyDescent="0.25">
      <c r="A927" s="12">
        <v>21</v>
      </c>
      <c r="B927" s="13">
        <v>45155</v>
      </c>
      <c r="C927" s="14">
        <v>29.6</v>
      </c>
      <c r="D927" s="14">
        <v>71</v>
      </c>
      <c r="E927" s="14">
        <v>514</v>
      </c>
      <c r="F927" s="14">
        <v>6.7</v>
      </c>
      <c r="G927" s="14">
        <v>15</v>
      </c>
      <c r="H927" s="14">
        <v>85.28</v>
      </c>
      <c r="I927" s="15">
        <v>0.71</v>
      </c>
    </row>
    <row r="928" spans="1:9" x14ac:dyDescent="0.25">
      <c r="A928" s="12">
        <v>21</v>
      </c>
      <c r="B928" s="13">
        <v>45156</v>
      </c>
      <c r="C928" s="14">
        <v>30.9</v>
      </c>
      <c r="D928" s="14">
        <v>53</v>
      </c>
      <c r="E928" s="14">
        <v>778</v>
      </c>
      <c r="F928" s="14">
        <v>6.4</v>
      </c>
      <c r="G928" s="14">
        <v>16</v>
      </c>
      <c r="H928" s="14">
        <v>87.62</v>
      </c>
      <c r="I928" s="15">
        <v>0.53</v>
      </c>
    </row>
    <row r="929" spans="1:9" x14ac:dyDescent="0.25">
      <c r="A929" s="12">
        <v>21</v>
      </c>
      <c r="B929" s="13">
        <v>45157</v>
      </c>
      <c r="C929" s="14">
        <v>30.8</v>
      </c>
      <c r="D929" s="14">
        <v>75</v>
      </c>
      <c r="E929" s="14">
        <v>615</v>
      </c>
      <c r="F929" s="14">
        <v>6.3</v>
      </c>
      <c r="G929" s="14">
        <v>17</v>
      </c>
      <c r="H929" s="14">
        <v>87.44</v>
      </c>
      <c r="I929" s="15">
        <v>0.75</v>
      </c>
    </row>
    <row r="930" spans="1:9" x14ac:dyDescent="0.25">
      <c r="A930" s="12">
        <v>21</v>
      </c>
      <c r="B930" s="13">
        <v>45158</v>
      </c>
      <c r="C930" s="14">
        <v>30.9</v>
      </c>
      <c r="D930" s="14">
        <v>63</v>
      </c>
      <c r="E930" s="14">
        <v>785</v>
      </c>
      <c r="F930" s="14">
        <v>6.4</v>
      </c>
      <c r="G930" s="14">
        <v>18</v>
      </c>
      <c r="H930" s="14">
        <v>87.62</v>
      </c>
      <c r="I930" s="15">
        <v>0.63</v>
      </c>
    </row>
    <row r="931" spans="1:9" x14ac:dyDescent="0.25">
      <c r="A931" s="12">
        <v>21</v>
      </c>
      <c r="B931" s="13">
        <v>45159</v>
      </c>
      <c r="C931" s="14">
        <v>30.2</v>
      </c>
      <c r="D931" s="14">
        <v>74</v>
      </c>
      <c r="E931" s="14">
        <v>636</v>
      </c>
      <c r="F931" s="14">
        <v>6.7</v>
      </c>
      <c r="G931" s="14">
        <v>19</v>
      </c>
      <c r="H931" s="14">
        <v>86.36</v>
      </c>
      <c r="I931" s="15">
        <v>0.74</v>
      </c>
    </row>
    <row r="932" spans="1:9" x14ac:dyDescent="0.25">
      <c r="A932" s="12">
        <v>21</v>
      </c>
      <c r="B932" s="13">
        <v>45160</v>
      </c>
      <c r="C932" s="14">
        <v>30.5</v>
      </c>
      <c r="D932" s="14">
        <v>53</v>
      </c>
      <c r="E932" s="14">
        <v>576</v>
      </c>
      <c r="F932" s="14">
        <v>6.4</v>
      </c>
      <c r="G932" s="14">
        <v>20</v>
      </c>
      <c r="H932" s="14">
        <v>86.9</v>
      </c>
      <c r="I932" s="15">
        <v>0.53</v>
      </c>
    </row>
    <row r="933" spans="1:9" x14ac:dyDescent="0.25">
      <c r="A933" s="12">
        <v>21</v>
      </c>
      <c r="B933" s="13">
        <v>45161</v>
      </c>
      <c r="C933" s="14">
        <v>30.8</v>
      </c>
      <c r="D933" s="14">
        <v>76</v>
      </c>
      <c r="E933" s="14">
        <v>501</v>
      </c>
      <c r="F933" s="14">
        <v>6.7</v>
      </c>
      <c r="G933" s="14">
        <v>21</v>
      </c>
      <c r="H933" s="14">
        <v>87.44</v>
      </c>
      <c r="I933" s="15">
        <v>0.76</v>
      </c>
    </row>
    <row r="934" spans="1:9" x14ac:dyDescent="0.25">
      <c r="A934" s="12">
        <v>21</v>
      </c>
      <c r="B934" s="13">
        <v>45162</v>
      </c>
      <c r="C934" s="14">
        <v>31.3</v>
      </c>
      <c r="D934" s="14">
        <v>59</v>
      </c>
      <c r="E934" s="14">
        <v>594</v>
      </c>
      <c r="F934" s="14">
        <v>6.1</v>
      </c>
      <c r="G934" s="14">
        <v>22</v>
      </c>
      <c r="H934" s="14">
        <v>88.34</v>
      </c>
      <c r="I934" s="15">
        <v>0.59</v>
      </c>
    </row>
    <row r="935" spans="1:9" x14ac:dyDescent="0.25">
      <c r="A935" s="12">
        <v>21</v>
      </c>
      <c r="B935" s="13">
        <v>45163</v>
      </c>
      <c r="C935" s="14">
        <v>31.4</v>
      </c>
      <c r="D935" s="14">
        <v>60</v>
      </c>
      <c r="E935" s="14">
        <v>640</v>
      </c>
      <c r="F935" s="14">
        <v>6.8</v>
      </c>
      <c r="G935" s="14">
        <v>23</v>
      </c>
      <c r="H935" s="14">
        <v>88.52</v>
      </c>
      <c r="I935" s="15">
        <v>0.6</v>
      </c>
    </row>
    <row r="936" spans="1:9" x14ac:dyDescent="0.25">
      <c r="A936" s="12">
        <v>21</v>
      </c>
      <c r="B936" s="13">
        <v>45164</v>
      </c>
      <c r="C936" s="14">
        <v>31.4</v>
      </c>
      <c r="D936" s="14">
        <v>73</v>
      </c>
      <c r="E936" s="14">
        <v>553</v>
      </c>
      <c r="F936" s="14">
        <v>6.6</v>
      </c>
      <c r="G936" s="14">
        <v>24</v>
      </c>
      <c r="H936" s="14">
        <v>88.52</v>
      </c>
      <c r="I936" s="15">
        <v>0.73</v>
      </c>
    </row>
    <row r="937" spans="1:9" x14ac:dyDescent="0.25">
      <c r="A937" s="12">
        <v>21</v>
      </c>
      <c r="B937" s="13">
        <v>45165</v>
      </c>
      <c r="C937" s="14">
        <v>30.1</v>
      </c>
      <c r="D937" s="14">
        <v>59</v>
      </c>
      <c r="E937" s="14">
        <v>659</v>
      </c>
      <c r="F937" s="14">
        <v>6.7</v>
      </c>
      <c r="G937" s="14">
        <v>25</v>
      </c>
      <c r="H937" s="14">
        <v>86.18</v>
      </c>
      <c r="I937" s="15">
        <v>0.59</v>
      </c>
    </row>
    <row r="938" spans="1:9" x14ac:dyDescent="0.25">
      <c r="A938" s="12">
        <v>21</v>
      </c>
      <c r="B938" s="13">
        <v>45166</v>
      </c>
      <c r="C938" s="14">
        <v>29.4</v>
      </c>
      <c r="D938" s="14">
        <v>68</v>
      </c>
      <c r="E938" s="14">
        <v>600</v>
      </c>
      <c r="F938" s="14">
        <v>6.1</v>
      </c>
      <c r="G938" s="14">
        <v>26</v>
      </c>
      <c r="H938" s="14">
        <v>84.92</v>
      </c>
      <c r="I938" s="15">
        <v>0.68</v>
      </c>
    </row>
    <row r="939" spans="1:9" x14ac:dyDescent="0.25">
      <c r="A939" s="12">
        <v>21</v>
      </c>
      <c r="B939" s="13">
        <v>45167</v>
      </c>
      <c r="C939" s="14">
        <v>28.7</v>
      </c>
      <c r="D939" s="14">
        <v>80</v>
      </c>
      <c r="E939" s="14">
        <v>500</v>
      </c>
      <c r="F939" s="14">
        <v>6.5</v>
      </c>
      <c r="G939" s="14">
        <v>27</v>
      </c>
      <c r="H939" s="14">
        <v>83.66</v>
      </c>
      <c r="I939" s="15">
        <v>0.8</v>
      </c>
    </row>
    <row r="940" spans="1:9" x14ac:dyDescent="0.25">
      <c r="A940" s="12">
        <v>21</v>
      </c>
      <c r="B940" s="13">
        <v>45168</v>
      </c>
      <c r="C940" s="14">
        <v>29.1</v>
      </c>
      <c r="D940" s="14">
        <v>55</v>
      </c>
      <c r="E940" s="14">
        <v>653</v>
      </c>
      <c r="F940" s="14">
        <v>6.2</v>
      </c>
      <c r="G940" s="14">
        <v>28</v>
      </c>
      <c r="H940" s="14">
        <v>84.38</v>
      </c>
      <c r="I940" s="15">
        <v>0.55000000000000004</v>
      </c>
    </row>
    <row r="941" spans="1:9" x14ac:dyDescent="0.25">
      <c r="A941" s="12">
        <v>21</v>
      </c>
      <c r="B941" s="13">
        <v>45169</v>
      </c>
      <c r="C941" s="14">
        <v>29.2</v>
      </c>
      <c r="D941" s="14">
        <v>76</v>
      </c>
      <c r="E941" s="14">
        <v>559</v>
      </c>
      <c r="F941" s="14">
        <v>6.7</v>
      </c>
      <c r="G941" s="14">
        <v>29</v>
      </c>
      <c r="H941" s="14">
        <v>84.56</v>
      </c>
      <c r="I941" s="15">
        <v>0.76</v>
      </c>
    </row>
    <row r="942" spans="1:9" x14ac:dyDescent="0.25">
      <c r="A942" s="12">
        <v>21</v>
      </c>
      <c r="B942" s="13">
        <v>45170</v>
      </c>
      <c r="C942" s="14">
        <v>31.7</v>
      </c>
      <c r="D942" s="14">
        <v>60</v>
      </c>
      <c r="E942" s="14">
        <v>511</v>
      </c>
      <c r="F942" s="14">
        <v>6.6</v>
      </c>
      <c r="G942" s="14">
        <v>30</v>
      </c>
      <c r="H942" s="14">
        <v>89.06</v>
      </c>
      <c r="I942" s="15">
        <v>0.6</v>
      </c>
    </row>
    <row r="943" spans="1:9" x14ac:dyDescent="0.25">
      <c r="A943" s="12">
        <v>21</v>
      </c>
      <c r="B943" s="13">
        <v>45171</v>
      </c>
      <c r="C943" s="14">
        <v>31.7</v>
      </c>
      <c r="D943" s="14">
        <v>66</v>
      </c>
      <c r="E943" s="14">
        <v>758</v>
      </c>
      <c r="F943" s="14">
        <v>6.2</v>
      </c>
      <c r="G943" s="14">
        <v>31</v>
      </c>
      <c r="H943" s="14">
        <v>89.06</v>
      </c>
      <c r="I943" s="15">
        <v>0.66</v>
      </c>
    </row>
    <row r="944" spans="1:9" x14ac:dyDescent="0.25">
      <c r="A944" s="12">
        <v>21</v>
      </c>
      <c r="B944" s="13">
        <v>45172</v>
      </c>
      <c r="C944" s="14">
        <v>31.7</v>
      </c>
      <c r="D944" s="14">
        <v>50</v>
      </c>
      <c r="E944" s="14">
        <v>448</v>
      </c>
      <c r="F944" s="14">
        <v>6.3</v>
      </c>
      <c r="G944" s="14">
        <v>32</v>
      </c>
      <c r="H944" s="14">
        <v>89.06</v>
      </c>
      <c r="I944" s="15">
        <v>0.5</v>
      </c>
    </row>
    <row r="945" spans="1:9" x14ac:dyDescent="0.25">
      <c r="A945" s="12">
        <v>21</v>
      </c>
      <c r="B945" s="13">
        <v>45173</v>
      </c>
      <c r="C945" s="14">
        <v>31.7</v>
      </c>
      <c r="D945" s="14">
        <v>69</v>
      </c>
      <c r="E945" s="14">
        <v>620</v>
      </c>
      <c r="F945" s="14">
        <v>6.1</v>
      </c>
      <c r="G945" s="14">
        <v>33</v>
      </c>
      <c r="H945" s="14">
        <v>89.06</v>
      </c>
      <c r="I945" s="15">
        <v>0.69</v>
      </c>
    </row>
    <row r="946" spans="1:9" x14ac:dyDescent="0.25">
      <c r="A946" s="12">
        <v>21</v>
      </c>
      <c r="B946" s="13">
        <v>45174</v>
      </c>
      <c r="C946" s="14">
        <v>32</v>
      </c>
      <c r="D946" s="14">
        <v>59</v>
      </c>
      <c r="E946" s="14">
        <v>686</v>
      </c>
      <c r="F946" s="14">
        <v>6.1</v>
      </c>
      <c r="G946" s="14">
        <v>34</v>
      </c>
      <c r="H946" s="14">
        <v>89.6</v>
      </c>
      <c r="I946" s="15">
        <v>0.59</v>
      </c>
    </row>
    <row r="947" spans="1:9" x14ac:dyDescent="0.25">
      <c r="A947" s="12">
        <v>21</v>
      </c>
      <c r="B947" s="13">
        <v>45175</v>
      </c>
      <c r="C947" s="14">
        <v>32.1</v>
      </c>
      <c r="D947" s="14">
        <v>62</v>
      </c>
      <c r="E947" s="14">
        <v>538</v>
      </c>
      <c r="F947" s="14">
        <v>6.2</v>
      </c>
      <c r="G947" s="14">
        <v>35</v>
      </c>
      <c r="H947" s="14">
        <v>89.78</v>
      </c>
      <c r="I947" s="15">
        <v>0.62</v>
      </c>
    </row>
    <row r="948" spans="1:9" x14ac:dyDescent="0.25">
      <c r="A948" s="12">
        <v>21</v>
      </c>
      <c r="B948" s="13">
        <v>45176</v>
      </c>
      <c r="C948" s="14">
        <v>31.5</v>
      </c>
      <c r="D948" s="14">
        <v>72</v>
      </c>
      <c r="E948" s="14">
        <v>784</v>
      </c>
      <c r="F948" s="14">
        <v>6.1</v>
      </c>
      <c r="G948" s="14">
        <v>36</v>
      </c>
      <c r="H948" s="14">
        <v>88.7</v>
      </c>
      <c r="I948" s="15">
        <v>0.72</v>
      </c>
    </row>
    <row r="949" spans="1:9" x14ac:dyDescent="0.25">
      <c r="A949" s="12">
        <v>21</v>
      </c>
      <c r="B949" s="13">
        <v>45177</v>
      </c>
      <c r="C949" s="14">
        <v>29.8</v>
      </c>
      <c r="D949" s="14">
        <v>64</v>
      </c>
      <c r="E949" s="14">
        <v>550</v>
      </c>
      <c r="F949" s="14">
        <v>6.2</v>
      </c>
      <c r="G949" s="14">
        <v>37</v>
      </c>
      <c r="H949" s="14">
        <v>85.64</v>
      </c>
      <c r="I949" s="15">
        <v>0.64</v>
      </c>
    </row>
    <row r="950" spans="1:9" x14ac:dyDescent="0.25">
      <c r="A950" s="12">
        <v>21</v>
      </c>
      <c r="B950" s="13">
        <v>45178</v>
      </c>
      <c r="C950" s="14">
        <v>20.100000000000001</v>
      </c>
      <c r="D950" s="14">
        <v>70</v>
      </c>
      <c r="E950" s="14">
        <v>470</v>
      </c>
      <c r="F950" s="14">
        <v>6.4</v>
      </c>
      <c r="G950" s="14">
        <v>38</v>
      </c>
      <c r="H950" s="14">
        <v>68.180000000000007</v>
      </c>
      <c r="I950" s="15">
        <v>0.7</v>
      </c>
    </row>
    <row r="951" spans="1:9" x14ac:dyDescent="0.25">
      <c r="A951" s="12">
        <v>21</v>
      </c>
      <c r="B951" s="13">
        <v>45179</v>
      </c>
      <c r="C951" s="14">
        <v>31.1</v>
      </c>
      <c r="D951" s="14">
        <v>70</v>
      </c>
      <c r="E951" s="14">
        <v>698</v>
      </c>
      <c r="F951" s="14">
        <v>6.2</v>
      </c>
      <c r="G951" s="14">
        <v>39</v>
      </c>
      <c r="H951" s="14">
        <v>87.98</v>
      </c>
      <c r="I951" s="15">
        <v>0.7</v>
      </c>
    </row>
    <row r="952" spans="1:9" x14ac:dyDescent="0.25">
      <c r="A952" s="12">
        <v>21</v>
      </c>
      <c r="B952" s="13">
        <v>45180</v>
      </c>
      <c r="C952" s="14">
        <v>31.2</v>
      </c>
      <c r="D952" s="14">
        <v>77</v>
      </c>
      <c r="E952" s="14">
        <v>610</v>
      </c>
      <c r="F952" s="14">
        <v>6.4</v>
      </c>
      <c r="G952" s="14">
        <v>40</v>
      </c>
      <c r="H952" s="14">
        <v>88.16</v>
      </c>
      <c r="I952" s="15">
        <v>0.77</v>
      </c>
    </row>
    <row r="953" spans="1:9" x14ac:dyDescent="0.25">
      <c r="A953" s="12">
        <v>21</v>
      </c>
      <c r="B953" s="13">
        <v>45181</v>
      </c>
      <c r="C953" s="14">
        <v>31.2</v>
      </c>
      <c r="D953" s="14">
        <v>50</v>
      </c>
      <c r="E953" s="14">
        <v>479</v>
      </c>
      <c r="F953" s="14">
        <v>6.4</v>
      </c>
      <c r="G953" s="14">
        <v>41</v>
      </c>
      <c r="H953" s="14">
        <v>88.16</v>
      </c>
      <c r="I953" s="15">
        <v>0.5</v>
      </c>
    </row>
    <row r="954" spans="1:9" x14ac:dyDescent="0.25">
      <c r="A954" s="12">
        <v>21</v>
      </c>
      <c r="B954" s="13">
        <v>45182</v>
      </c>
      <c r="C954" s="14">
        <v>30.4</v>
      </c>
      <c r="D954" s="14">
        <v>63</v>
      </c>
      <c r="E954" s="14">
        <v>630</v>
      </c>
      <c r="F954" s="14">
        <v>6.3</v>
      </c>
      <c r="G954" s="14">
        <v>42</v>
      </c>
      <c r="H954" s="14">
        <v>86.72</v>
      </c>
      <c r="I954" s="15">
        <v>0.63</v>
      </c>
    </row>
    <row r="955" spans="1:9" x14ac:dyDescent="0.25">
      <c r="A955" s="12">
        <v>21</v>
      </c>
      <c r="B955" s="13">
        <v>45183</v>
      </c>
      <c r="C955" s="14">
        <v>29.1</v>
      </c>
      <c r="D955" s="14">
        <v>50</v>
      </c>
      <c r="E955" s="14">
        <v>661</v>
      </c>
      <c r="F955" s="14">
        <v>6.2</v>
      </c>
      <c r="G955" s="14">
        <v>43</v>
      </c>
      <c r="H955" s="14">
        <v>84.38</v>
      </c>
      <c r="I955" s="15">
        <v>0.5</v>
      </c>
    </row>
    <row r="956" spans="1:9" x14ac:dyDescent="0.25">
      <c r="A956" s="12">
        <v>21</v>
      </c>
      <c r="B956" s="13">
        <v>45184</v>
      </c>
      <c r="C956" s="14">
        <v>30.6</v>
      </c>
      <c r="D956" s="14">
        <v>76</v>
      </c>
      <c r="E956" s="14">
        <v>528</v>
      </c>
      <c r="F956" s="14">
        <v>6.4</v>
      </c>
      <c r="G956" s="14">
        <v>44</v>
      </c>
      <c r="H956" s="14">
        <v>87.08</v>
      </c>
      <c r="I956" s="15">
        <v>0.76</v>
      </c>
    </row>
    <row r="957" spans="1:9" x14ac:dyDescent="0.25">
      <c r="A957" s="12">
        <v>21</v>
      </c>
      <c r="B957" s="13">
        <v>45185</v>
      </c>
      <c r="C957" s="14">
        <v>31.5</v>
      </c>
      <c r="D957" s="14">
        <v>67</v>
      </c>
      <c r="E957" s="14">
        <v>454</v>
      </c>
      <c r="F957" s="14">
        <v>6.4</v>
      </c>
      <c r="G957" s="14">
        <v>45</v>
      </c>
      <c r="H957" s="14">
        <v>88.7</v>
      </c>
      <c r="I957" s="15">
        <v>0.67</v>
      </c>
    </row>
    <row r="958" spans="1:9" x14ac:dyDescent="0.25">
      <c r="A958" s="12">
        <v>22</v>
      </c>
      <c r="B958" s="13">
        <v>45141</v>
      </c>
      <c r="C958" s="14">
        <v>33.4</v>
      </c>
      <c r="D958" s="14">
        <v>70</v>
      </c>
      <c r="E958" s="14">
        <v>620</v>
      </c>
      <c r="F958" s="14">
        <v>6.2</v>
      </c>
      <c r="G958" s="14">
        <v>1</v>
      </c>
      <c r="H958" s="14">
        <v>92.12</v>
      </c>
      <c r="I958" s="15">
        <v>0.7</v>
      </c>
    </row>
    <row r="959" spans="1:9" x14ac:dyDescent="0.25">
      <c r="A959" s="12">
        <v>22</v>
      </c>
      <c r="B959" s="13">
        <v>45142</v>
      </c>
      <c r="C959" s="14">
        <v>33.5</v>
      </c>
      <c r="D959" s="14">
        <v>63</v>
      </c>
      <c r="E959" s="14">
        <v>800</v>
      </c>
      <c r="F959" s="14">
        <v>6.5</v>
      </c>
      <c r="G959" s="14">
        <v>2</v>
      </c>
      <c r="H959" s="14">
        <v>92.3</v>
      </c>
      <c r="I959" s="15">
        <v>0.63</v>
      </c>
    </row>
    <row r="960" spans="1:9" x14ac:dyDescent="0.25">
      <c r="A960" s="12">
        <v>22</v>
      </c>
      <c r="B960" s="13">
        <v>45143</v>
      </c>
      <c r="C960" s="14">
        <v>33.4</v>
      </c>
      <c r="D960" s="14">
        <v>50</v>
      </c>
      <c r="E960" s="14">
        <v>602</v>
      </c>
      <c r="F960" s="14">
        <v>6</v>
      </c>
      <c r="G960" s="14">
        <v>3</v>
      </c>
      <c r="H960" s="14">
        <v>92.12</v>
      </c>
      <c r="I960" s="15">
        <v>0.5</v>
      </c>
    </row>
    <row r="961" spans="1:9" x14ac:dyDescent="0.25">
      <c r="A961" s="12">
        <v>22</v>
      </c>
      <c r="B961" s="13">
        <v>45144</v>
      </c>
      <c r="C961" s="14">
        <v>33.4</v>
      </c>
      <c r="D961" s="14">
        <v>50</v>
      </c>
      <c r="E961" s="14">
        <v>721</v>
      </c>
      <c r="F961" s="14">
        <v>6</v>
      </c>
      <c r="G961" s="14">
        <v>4</v>
      </c>
      <c r="H961" s="14">
        <v>92.12</v>
      </c>
      <c r="I961" s="15">
        <v>0.5</v>
      </c>
    </row>
    <row r="962" spans="1:9" x14ac:dyDescent="0.25">
      <c r="A962" s="12">
        <v>22</v>
      </c>
      <c r="B962" s="13">
        <v>45145</v>
      </c>
      <c r="C962" s="14">
        <v>33.4</v>
      </c>
      <c r="D962" s="14">
        <v>65</v>
      </c>
      <c r="E962" s="14">
        <v>571</v>
      </c>
      <c r="F962" s="14">
        <v>6.3</v>
      </c>
      <c r="G962" s="14">
        <v>5</v>
      </c>
      <c r="H962" s="14">
        <v>92.12</v>
      </c>
      <c r="I962" s="15">
        <v>0.65</v>
      </c>
    </row>
    <row r="963" spans="1:9" x14ac:dyDescent="0.25">
      <c r="A963" s="12">
        <v>22</v>
      </c>
      <c r="B963" s="13">
        <v>45146</v>
      </c>
      <c r="C963" s="14">
        <v>32.299999999999997</v>
      </c>
      <c r="D963" s="14">
        <v>77</v>
      </c>
      <c r="E963" s="14">
        <v>631</v>
      </c>
      <c r="F963" s="14">
        <v>6.8</v>
      </c>
      <c r="G963" s="14">
        <v>6</v>
      </c>
      <c r="H963" s="14">
        <v>90.14</v>
      </c>
      <c r="I963" s="15">
        <v>0.77</v>
      </c>
    </row>
    <row r="964" spans="1:9" x14ac:dyDescent="0.25">
      <c r="A964" s="12">
        <v>22</v>
      </c>
      <c r="B964" s="13">
        <v>45147</v>
      </c>
      <c r="C964" s="14">
        <v>32.299999999999997</v>
      </c>
      <c r="D964" s="14">
        <v>70</v>
      </c>
      <c r="E964" s="14">
        <v>418</v>
      </c>
      <c r="F964" s="14">
        <v>6</v>
      </c>
      <c r="G964" s="14">
        <v>7</v>
      </c>
      <c r="H964" s="14">
        <v>90.14</v>
      </c>
      <c r="I964" s="15">
        <v>0.7</v>
      </c>
    </row>
    <row r="965" spans="1:9" x14ac:dyDescent="0.25">
      <c r="A965" s="12">
        <v>22</v>
      </c>
      <c r="B965" s="13">
        <v>45148</v>
      </c>
      <c r="C965" s="14">
        <v>22.7</v>
      </c>
      <c r="D965" s="14">
        <v>50</v>
      </c>
      <c r="E965" s="14">
        <v>783</v>
      </c>
      <c r="F965" s="14">
        <v>6.1</v>
      </c>
      <c r="G965" s="14">
        <v>8</v>
      </c>
      <c r="H965" s="14">
        <v>72.86</v>
      </c>
      <c r="I965" s="15">
        <v>0.5</v>
      </c>
    </row>
    <row r="966" spans="1:9" x14ac:dyDescent="0.25">
      <c r="A966" s="12">
        <v>22</v>
      </c>
      <c r="B966" s="13">
        <v>45149</v>
      </c>
      <c r="C966" s="14">
        <v>31.9</v>
      </c>
      <c r="D966" s="14">
        <v>74</v>
      </c>
      <c r="E966" s="14">
        <v>480</v>
      </c>
      <c r="F966" s="14">
        <v>6.7</v>
      </c>
      <c r="G966" s="14">
        <v>9</v>
      </c>
      <c r="H966" s="14">
        <v>89.42</v>
      </c>
      <c r="I966" s="15">
        <v>0.74</v>
      </c>
    </row>
    <row r="967" spans="1:9" x14ac:dyDescent="0.25">
      <c r="A967" s="12">
        <v>22</v>
      </c>
      <c r="B967" s="13">
        <v>45150</v>
      </c>
      <c r="C967" s="14">
        <v>30.2</v>
      </c>
      <c r="D967" s="14">
        <v>75</v>
      </c>
      <c r="E967" s="14">
        <v>771</v>
      </c>
      <c r="F967" s="14">
        <v>6.4</v>
      </c>
      <c r="G967" s="14">
        <v>10</v>
      </c>
      <c r="H967" s="14">
        <v>86.36</v>
      </c>
      <c r="I967" s="15">
        <v>0.75</v>
      </c>
    </row>
    <row r="968" spans="1:9" x14ac:dyDescent="0.25">
      <c r="A968" s="12">
        <v>22</v>
      </c>
      <c r="B968" s="13">
        <v>45151</v>
      </c>
      <c r="C968" s="14">
        <v>30.1</v>
      </c>
      <c r="D968" s="14">
        <v>64</v>
      </c>
      <c r="E968" s="14">
        <v>519</v>
      </c>
      <c r="F968" s="14">
        <v>6.7</v>
      </c>
      <c r="G968" s="14">
        <v>11</v>
      </c>
      <c r="H968" s="14">
        <v>86.18</v>
      </c>
      <c r="I968" s="15">
        <v>0.64</v>
      </c>
    </row>
    <row r="969" spans="1:9" x14ac:dyDescent="0.25">
      <c r="A969" s="12">
        <v>22</v>
      </c>
      <c r="B969" s="13">
        <v>45152</v>
      </c>
      <c r="C969" s="14">
        <v>30.1</v>
      </c>
      <c r="D969" s="14">
        <v>75</v>
      </c>
      <c r="E969" s="14">
        <v>713</v>
      </c>
      <c r="F969" s="14">
        <v>6.8</v>
      </c>
      <c r="G969" s="14">
        <v>12</v>
      </c>
      <c r="H969" s="14">
        <v>86.18</v>
      </c>
      <c r="I969" s="15">
        <v>0.75</v>
      </c>
    </row>
    <row r="970" spans="1:9" x14ac:dyDescent="0.25">
      <c r="A970" s="12">
        <v>22</v>
      </c>
      <c r="B970" s="13">
        <v>45153</v>
      </c>
      <c r="C970" s="14">
        <v>30.1</v>
      </c>
      <c r="D970" s="14">
        <v>52</v>
      </c>
      <c r="E970" s="14">
        <v>405</v>
      </c>
      <c r="F970" s="14">
        <v>6.3</v>
      </c>
      <c r="G970" s="14">
        <v>13</v>
      </c>
      <c r="H970" s="14">
        <v>86.18</v>
      </c>
      <c r="I970" s="15">
        <v>0.52</v>
      </c>
    </row>
    <row r="971" spans="1:9" x14ac:dyDescent="0.25">
      <c r="A971" s="12">
        <v>22</v>
      </c>
      <c r="B971" s="13">
        <v>45154</v>
      </c>
      <c r="C971" s="14">
        <v>29.8</v>
      </c>
      <c r="D971" s="14">
        <v>72</v>
      </c>
      <c r="E971" s="14">
        <v>551</v>
      </c>
      <c r="F971" s="14">
        <v>6.1</v>
      </c>
      <c r="G971" s="14">
        <v>14</v>
      </c>
      <c r="H971" s="14">
        <v>85.64</v>
      </c>
      <c r="I971" s="15">
        <v>0.72</v>
      </c>
    </row>
    <row r="972" spans="1:9" x14ac:dyDescent="0.25">
      <c r="A972" s="12">
        <v>22</v>
      </c>
      <c r="B972" s="13">
        <v>45155</v>
      </c>
      <c r="C972" s="14">
        <v>29.6</v>
      </c>
      <c r="D972" s="14">
        <v>65</v>
      </c>
      <c r="E972" s="14">
        <v>651</v>
      </c>
      <c r="F972" s="14">
        <v>6.7</v>
      </c>
      <c r="G972" s="14">
        <v>15</v>
      </c>
      <c r="H972" s="14">
        <v>85.28</v>
      </c>
      <c r="I972" s="15">
        <v>0.65</v>
      </c>
    </row>
    <row r="973" spans="1:9" x14ac:dyDescent="0.25">
      <c r="A973" s="12">
        <v>22</v>
      </c>
      <c r="B973" s="13">
        <v>45156</v>
      </c>
      <c r="C973" s="14">
        <v>30.9</v>
      </c>
      <c r="D973" s="14">
        <v>56</v>
      </c>
      <c r="E973" s="14">
        <v>734</v>
      </c>
      <c r="F973" s="14">
        <v>6.6</v>
      </c>
      <c r="G973" s="14">
        <v>16</v>
      </c>
      <c r="H973" s="14">
        <v>87.62</v>
      </c>
      <c r="I973" s="15">
        <v>0.56000000000000005</v>
      </c>
    </row>
    <row r="974" spans="1:9" x14ac:dyDescent="0.25">
      <c r="A974" s="12">
        <v>22</v>
      </c>
      <c r="B974" s="13">
        <v>45157</v>
      </c>
      <c r="C974" s="14">
        <v>30.8</v>
      </c>
      <c r="D974" s="14">
        <v>67</v>
      </c>
      <c r="E974" s="14">
        <v>479</v>
      </c>
      <c r="F974" s="14">
        <v>6.7</v>
      </c>
      <c r="G974" s="14">
        <v>17</v>
      </c>
      <c r="H974" s="14">
        <v>87.44</v>
      </c>
      <c r="I974" s="15">
        <v>0.67</v>
      </c>
    </row>
    <row r="975" spans="1:9" x14ac:dyDescent="0.25">
      <c r="A975" s="12">
        <v>22</v>
      </c>
      <c r="B975" s="13">
        <v>45158</v>
      </c>
      <c r="C975" s="14">
        <v>30.9</v>
      </c>
      <c r="D975" s="14">
        <v>76</v>
      </c>
      <c r="E975" s="14">
        <v>749</v>
      </c>
      <c r="F975" s="14">
        <v>6.7</v>
      </c>
      <c r="G975" s="14">
        <v>18</v>
      </c>
      <c r="H975" s="14">
        <v>87.62</v>
      </c>
      <c r="I975" s="15">
        <v>0.76</v>
      </c>
    </row>
    <row r="976" spans="1:9" x14ac:dyDescent="0.25">
      <c r="A976" s="12">
        <v>22</v>
      </c>
      <c r="B976" s="13">
        <v>45159</v>
      </c>
      <c r="C976" s="14">
        <v>30.2</v>
      </c>
      <c r="D976" s="14">
        <v>55</v>
      </c>
      <c r="E976" s="14">
        <v>678</v>
      </c>
      <c r="F976" s="14">
        <v>6</v>
      </c>
      <c r="G976" s="14">
        <v>19</v>
      </c>
      <c r="H976" s="14">
        <v>86.36</v>
      </c>
      <c r="I976" s="15">
        <v>0.55000000000000004</v>
      </c>
    </row>
    <row r="977" spans="1:9" x14ac:dyDescent="0.25">
      <c r="A977" s="12">
        <v>22</v>
      </c>
      <c r="B977" s="13">
        <v>45160</v>
      </c>
      <c r="C977" s="14">
        <v>30.5</v>
      </c>
      <c r="D977" s="14">
        <v>52</v>
      </c>
      <c r="E977" s="14">
        <v>534</v>
      </c>
      <c r="F977" s="14">
        <v>6.2</v>
      </c>
      <c r="G977" s="14">
        <v>20</v>
      </c>
      <c r="H977" s="14">
        <v>86.9</v>
      </c>
      <c r="I977" s="15">
        <v>0.52</v>
      </c>
    </row>
    <row r="978" spans="1:9" x14ac:dyDescent="0.25">
      <c r="A978" s="12">
        <v>22</v>
      </c>
      <c r="B978" s="13">
        <v>45161</v>
      </c>
      <c r="C978" s="14">
        <v>30.8</v>
      </c>
      <c r="D978" s="14">
        <v>64</v>
      </c>
      <c r="E978" s="14">
        <v>596</v>
      </c>
      <c r="F978" s="14">
        <v>6.6</v>
      </c>
      <c r="G978" s="14">
        <v>21</v>
      </c>
      <c r="H978" s="14">
        <v>87.44</v>
      </c>
      <c r="I978" s="15">
        <v>0.64</v>
      </c>
    </row>
    <row r="979" spans="1:9" x14ac:dyDescent="0.25">
      <c r="A979" s="12">
        <v>22</v>
      </c>
      <c r="B979" s="13">
        <v>45162</v>
      </c>
      <c r="C979" s="14">
        <v>31.3</v>
      </c>
      <c r="D979" s="14">
        <v>51</v>
      </c>
      <c r="E979" s="14">
        <v>542</v>
      </c>
      <c r="F979" s="14">
        <v>6.3</v>
      </c>
      <c r="G979" s="14">
        <v>22</v>
      </c>
      <c r="H979" s="14">
        <v>88.34</v>
      </c>
      <c r="I979" s="15">
        <v>0.51</v>
      </c>
    </row>
    <row r="980" spans="1:9" x14ac:dyDescent="0.25">
      <c r="A980" s="12">
        <v>22</v>
      </c>
      <c r="B980" s="13">
        <v>45163</v>
      </c>
      <c r="C980" s="14">
        <v>31.4</v>
      </c>
      <c r="D980" s="14">
        <v>68</v>
      </c>
      <c r="E980" s="14">
        <v>609</v>
      </c>
      <c r="F980" s="14">
        <v>6.1</v>
      </c>
      <c r="G980" s="14">
        <v>23</v>
      </c>
      <c r="H980" s="14">
        <v>88.52</v>
      </c>
      <c r="I980" s="15">
        <v>0.68</v>
      </c>
    </row>
    <row r="981" spans="1:9" x14ac:dyDescent="0.25">
      <c r="A981" s="12">
        <v>22</v>
      </c>
      <c r="B981" s="13">
        <v>45164</v>
      </c>
      <c r="C981" s="14">
        <v>31.4</v>
      </c>
      <c r="D981" s="14">
        <v>58</v>
      </c>
      <c r="E981" s="14">
        <v>681</v>
      </c>
      <c r="F981" s="14">
        <v>6.3</v>
      </c>
      <c r="G981" s="14">
        <v>24</v>
      </c>
      <c r="H981" s="14">
        <v>88.52</v>
      </c>
      <c r="I981" s="15">
        <v>0.57999999999999996</v>
      </c>
    </row>
    <row r="982" spans="1:9" x14ac:dyDescent="0.25">
      <c r="A982" s="12">
        <v>22</v>
      </c>
      <c r="B982" s="13">
        <v>45165</v>
      </c>
      <c r="C982" s="14">
        <v>30.1</v>
      </c>
      <c r="D982" s="14">
        <v>72</v>
      </c>
      <c r="E982" s="14">
        <v>402</v>
      </c>
      <c r="F982" s="14">
        <v>6.1</v>
      </c>
      <c r="G982" s="14">
        <v>25</v>
      </c>
      <c r="H982" s="14">
        <v>86.18</v>
      </c>
      <c r="I982" s="15">
        <v>0.72</v>
      </c>
    </row>
    <row r="983" spans="1:9" x14ac:dyDescent="0.25">
      <c r="A983" s="12">
        <v>22</v>
      </c>
      <c r="B983" s="13">
        <v>45166</v>
      </c>
      <c r="C983" s="14">
        <v>29.4</v>
      </c>
      <c r="D983" s="14">
        <v>73</v>
      </c>
      <c r="E983" s="14">
        <v>745</v>
      </c>
      <c r="F983" s="14">
        <v>6.4</v>
      </c>
      <c r="G983" s="14">
        <v>26</v>
      </c>
      <c r="H983" s="14">
        <v>84.92</v>
      </c>
      <c r="I983" s="15">
        <v>0.73</v>
      </c>
    </row>
    <row r="984" spans="1:9" x14ac:dyDescent="0.25">
      <c r="A984" s="12">
        <v>22</v>
      </c>
      <c r="B984" s="13">
        <v>45167</v>
      </c>
      <c r="C984" s="14">
        <v>28.7</v>
      </c>
      <c r="D984" s="14">
        <v>57</v>
      </c>
      <c r="E984" s="14">
        <v>751</v>
      </c>
      <c r="F984" s="14">
        <v>6.4</v>
      </c>
      <c r="G984" s="14">
        <v>27</v>
      </c>
      <c r="H984" s="14">
        <v>83.66</v>
      </c>
      <c r="I984" s="15">
        <v>0.56999999999999995</v>
      </c>
    </row>
    <row r="985" spans="1:9" x14ac:dyDescent="0.25">
      <c r="A985" s="12">
        <v>22</v>
      </c>
      <c r="B985" s="13">
        <v>45168</v>
      </c>
      <c r="C985" s="14">
        <v>29.1</v>
      </c>
      <c r="D985" s="14">
        <v>66</v>
      </c>
      <c r="E985" s="14">
        <v>665</v>
      </c>
      <c r="F985" s="14">
        <v>6.5</v>
      </c>
      <c r="G985" s="14">
        <v>28</v>
      </c>
      <c r="H985" s="14">
        <v>84.38</v>
      </c>
      <c r="I985" s="15">
        <v>0.66</v>
      </c>
    </row>
    <row r="986" spans="1:9" x14ac:dyDescent="0.25">
      <c r="A986" s="12">
        <v>22</v>
      </c>
      <c r="B986" s="13">
        <v>45169</v>
      </c>
      <c r="C986" s="14">
        <v>29.2</v>
      </c>
      <c r="D986" s="14">
        <v>58</v>
      </c>
      <c r="E986" s="14">
        <v>596</v>
      </c>
      <c r="F986" s="14">
        <v>6.5</v>
      </c>
      <c r="G986" s="14">
        <v>29</v>
      </c>
      <c r="H986" s="14">
        <v>84.56</v>
      </c>
      <c r="I986" s="15">
        <v>0.57999999999999996</v>
      </c>
    </row>
    <row r="987" spans="1:9" x14ac:dyDescent="0.25">
      <c r="A987" s="12">
        <v>22</v>
      </c>
      <c r="B987" s="13">
        <v>45170</v>
      </c>
      <c r="C987" s="14">
        <v>31.7</v>
      </c>
      <c r="D987" s="14">
        <v>77</v>
      </c>
      <c r="E987" s="14">
        <v>783</v>
      </c>
      <c r="F987" s="14">
        <v>6.2</v>
      </c>
      <c r="G987" s="14">
        <v>30</v>
      </c>
      <c r="H987" s="14">
        <v>89.06</v>
      </c>
      <c r="I987" s="15">
        <v>0.77</v>
      </c>
    </row>
    <row r="988" spans="1:9" x14ac:dyDescent="0.25">
      <c r="A988" s="12">
        <v>22</v>
      </c>
      <c r="B988" s="13">
        <v>45171</v>
      </c>
      <c r="C988" s="14">
        <v>31.7</v>
      </c>
      <c r="D988" s="14">
        <v>59</v>
      </c>
      <c r="E988" s="14">
        <v>519</v>
      </c>
      <c r="F988" s="14">
        <v>6.2</v>
      </c>
      <c r="G988" s="14">
        <v>31</v>
      </c>
      <c r="H988" s="14">
        <v>89.06</v>
      </c>
      <c r="I988" s="15">
        <v>0.59</v>
      </c>
    </row>
    <row r="989" spans="1:9" x14ac:dyDescent="0.25">
      <c r="A989" s="12">
        <v>22</v>
      </c>
      <c r="B989" s="13">
        <v>45172</v>
      </c>
      <c r="C989" s="14">
        <v>31.7</v>
      </c>
      <c r="D989" s="14">
        <v>75</v>
      </c>
      <c r="E989" s="14">
        <v>736</v>
      </c>
      <c r="F989" s="14">
        <v>6.3</v>
      </c>
      <c r="G989" s="14">
        <v>32</v>
      </c>
      <c r="H989" s="14">
        <v>89.06</v>
      </c>
      <c r="I989" s="15">
        <v>0.75</v>
      </c>
    </row>
    <row r="990" spans="1:9" x14ac:dyDescent="0.25">
      <c r="A990" s="12">
        <v>22</v>
      </c>
      <c r="B990" s="13">
        <v>45173</v>
      </c>
      <c r="C990" s="14">
        <v>31.7</v>
      </c>
      <c r="D990" s="14">
        <v>59</v>
      </c>
      <c r="E990" s="14">
        <v>533</v>
      </c>
      <c r="F990" s="14">
        <v>6.7</v>
      </c>
      <c r="G990" s="14">
        <v>33</v>
      </c>
      <c r="H990" s="14">
        <v>89.06</v>
      </c>
      <c r="I990" s="15">
        <v>0.59</v>
      </c>
    </row>
    <row r="991" spans="1:9" x14ac:dyDescent="0.25">
      <c r="A991" s="12">
        <v>22</v>
      </c>
      <c r="B991" s="13">
        <v>45174</v>
      </c>
      <c r="C991" s="14">
        <v>32</v>
      </c>
      <c r="D991" s="14">
        <v>73</v>
      </c>
      <c r="E991" s="14">
        <v>414</v>
      </c>
      <c r="F991" s="14">
        <v>6.6</v>
      </c>
      <c r="G991" s="14">
        <v>34</v>
      </c>
      <c r="H991" s="14">
        <v>89.6</v>
      </c>
      <c r="I991" s="15">
        <v>0.73</v>
      </c>
    </row>
    <row r="992" spans="1:9" x14ac:dyDescent="0.25">
      <c r="A992" s="12">
        <v>22</v>
      </c>
      <c r="B992" s="13">
        <v>45175</v>
      </c>
      <c r="C992" s="14">
        <v>32.1</v>
      </c>
      <c r="D992" s="14">
        <v>67</v>
      </c>
      <c r="E992" s="14">
        <v>473</v>
      </c>
      <c r="F992" s="14">
        <v>6.7</v>
      </c>
      <c r="G992" s="14">
        <v>35</v>
      </c>
      <c r="H992" s="14">
        <v>89.78</v>
      </c>
      <c r="I992" s="15">
        <v>0.67</v>
      </c>
    </row>
    <row r="993" spans="1:9" x14ac:dyDescent="0.25">
      <c r="A993" s="12">
        <v>22</v>
      </c>
      <c r="B993" s="13">
        <v>45176</v>
      </c>
      <c r="C993" s="14">
        <v>31.5</v>
      </c>
      <c r="D993" s="14">
        <v>67</v>
      </c>
      <c r="E993" s="14">
        <v>428</v>
      </c>
      <c r="F993" s="14">
        <v>6</v>
      </c>
      <c r="G993" s="14">
        <v>36</v>
      </c>
      <c r="H993" s="14">
        <v>88.7</v>
      </c>
      <c r="I993" s="15">
        <v>0.67</v>
      </c>
    </row>
    <row r="994" spans="1:9" x14ac:dyDescent="0.25">
      <c r="A994" s="12">
        <v>22</v>
      </c>
      <c r="B994" s="13">
        <v>45177</v>
      </c>
      <c r="C994" s="14">
        <v>29.8</v>
      </c>
      <c r="D994" s="14">
        <v>71</v>
      </c>
      <c r="E994" s="14">
        <v>665</v>
      </c>
      <c r="F994" s="14">
        <v>6.4</v>
      </c>
      <c r="G994" s="14">
        <v>37</v>
      </c>
      <c r="H994" s="14">
        <v>85.64</v>
      </c>
      <c r="I994" s="15">
        <v>0.71</v>
      </c>
    </row>
    <row r="995" spans="1:9" x14ac:dyDescent="0.25">
      <c r="A995" s="12">
        <v>22</v>
      </c>
      <c r="B995" s="13">
        <v>45178</v>
      </c>
      <c r="C995" s="14">
        <v>20.100000000000001</v>
      </c>
      <c r="D995" s="14">
        <v>62</v>
      </c>
      <c r="E995" s="14">
        <v>560</v>
      </c>
      <c r="F995" s="14">
        <v>6.8</v>
      </c>
      <c r="G995" s="14">
        <v>38</v>
      </c>
      <c r="H995" s="14">
        <v>68.180000000000007</v>
      </c>
      <c r="I995" s="15">
        <v>0.62</v>
      </c>
    </row>
    <row r="996" spans="1:9" x14ac:dyDescent="0.25">
      <c r="A996" s="12">
        <v>22</v>
      </c>
      <c r="B996" s="13">
        <v>45179</v>
      </c>
      <c r="C996" s="14">
        <v>31.1</v>
      </c>
      <c r="D996" s="14">
        <v>50</v>
      </c>
      <c r="E996" s="14">
        <v>782</v>
      </c>
      <c r="F996" s="14">
        <v>6.8</v>
      </c>
      <c r="G996" s="14">
        <v>39</v>
      </c>
      <c r="H996" s="14">
        <v>87.98</v>
      </c>
      <c r="I996" s="15">
        <v>0.5</v>
      </c>
    </row>
    <row r="997" spans="1:9" x14ac:dyDescent="0.25">
      <c r="A997" s="12">
        <v>22</v>
      </c>
      <c r="B997" s="13">
        <v>45180</v>
      </c>
      <c r="C997" s="14">
        <v>31.2</v>
      </c>
      <c r="D997" s="14">
        <v>72</v>
      </c>
      <c r="E997" s="14">
        <v>765</v>
      </c>
      <c r="F997" s="14">
        <v>6.2</v>
      </c>
      <c r="G997" s="14">
        <v>40</v>
      </c>
      <c r="H997" s="14">
        <v>88.16</v>
      </c>
      <c r="I997" s="15">
        <v>0.72</v>
      </c>
    </row>
    <row r="998" spans="1:9" x14ac:dyDescent="0.25">
      <c r="A998" s="12">
        <v>22</v>
      </c>
      <c r="B998" s="13">
        <v>45181</v>
      </c>
      <c r="C998" s="14">
        <v>31.2</v>
      </c>
      <c r="D998" s="14">
        <v>65</v>
      </c>
      <c r="E998" s="14">
        <v>724</v>
      </c>
      <c r="F998" s="14">
        <v>6.3</v>
      </c>
      <c r="G998" s="14">
        <v>41</v>
      </c>
      <c r="H998" s="14">
        <v>88.16</v>
      </c>
      <c r="I998" s="15">
        <v>0.65</v>
      </c>
    </row>
    <row r="999" spans="1:9" x14ac:dyDescent="0.25">
      <c r="A999" s="12">
        <v>22</v>
      </c>
      <c r="B999" s="13">
        <v>45182</v>
      </c>
      <c r="C999" s="14">
        <v>30.4</v>
      </c>
      <c r="D999" s="14">
        <v>52</v>
      </c>
      <c r="E999" s="14">
        <v>440</v>
      </c>
      <c r="F999" s="14">
        <v>6.3</v>
      </c>
      <c r="G999" s="14">
        <v>42</v>
      </c>
      <c r="H999" s="14">
        <v>86.72</v>
      </c>
      <c r="I999" s="15">
        <v>0.52</v>
      </c>
    </row>
    <row r="1000" spans="1:9" x14ac:dyDescent="0.25">
      <c r="A1000" s="12">
        <v>22</v>
      </c>
      <c r="B1000" s="13">
        <v>45183</v>
      </c>
      <c r="C1000" s="14">
        <v>29.1</v>
      </c>
      <c r="D1000" s="14">
        <v>60</v>
      </c>
      <c r="E1000" s="14">
        <v>492</v>
      </c>
      <c r="F1000" s="14">
        <v>6.7</v>
      </c>
      <c r="G1000" s="14">
        <v>43</v>
      </c>
      <c r="H1000" s="14">
        <v>84.38</v>
      </c>
      <c r="I1000" s="15">
        <v>0.6</v>
      </c>
    </row>
    <row r="1001" spans="1:9" x14ac:dyDescent="0.25">
      <c r="A1001" s="12">
        <v>22</v>
      </c>
      <c r="B1001" s="13">
        <v>45184</v>
      </c>
      <c r="C1001" s="14">
        <v>30.6</v>
      </c>
      <c r="D1001" s="14">
        <v>60</v>
      </c>
      <c r="E1001" s="14">
        <v>664</v>
      </c>
      <c r="F1001" s="14">
        <v>6.6</v>
      </c>
      <c r="G1001" s="14">
        <v>44</v>
      </c>
      <c r="H1001" s="14">
        <v>87.08</v>
      </c>
      <c r="I1001" s="15">
        <v>0.6</v>
      </c>
    </row>
    <row r="1002" spans="1:9" x14ac:dyDescent="0.25">
      <c r="A1002" s="12">
        <v>22</v>
      </c>
      <c r="B1002" s="13">
        <v>45185</v>
      </c>
      <c r="C1002" s="14">
        <v>31.5</v>
      </c>
      <c r="D1002" s="14">
        <v>71</v>
      </c>
      <c r="E1002" s="14">
        <v>578</v>
      </c>
      <c r="F1002" s="14">
        <v>6.8</v>
      </c>
      <c r="G1002" s="14">
        <v>45</v>
      </c>
      <c r="H1002" s="14">
        <v>88.7</v>
      </c>
      <c r="I1002" s="15">
        <v>0.71</v>
      </c>
    </row>
    <row r="1003" spans="1:9" x14ac:dyDescent="0.25">
      <c r="A1003" s="12">
        <v>23</v>
      </c>
      <c r="B1003" s="13">
        <v>45141</v>
      </c>
      <c r="C1003" s="14">
        <v>33.4</v>
      </c>
      <c r="D1003" s="14">
        <v>59</v>
      </c>
      <c r="E1003" s="14">
        <v>745</v>
      </c>
      <c r="F1003" s="14">
        <v>6</v>
      </c>
      <c r="G1003" s="14">
        <v>1</v>
      </c>
      <c r="H1003" s="14">
        <v>92.12</v>
      </c>
      <c r="I1003" s="15">
        <v>0.59</v>
      </c>
    </row>
    <row r="1004" spans="1:9" x14ac:dyDescent="0.25">
      <c r="A1004" s="12">
        <v>23</v>
      </c>
      <c r="B1004" s="13">
        <v>45142</v>
      </c>
      <c r="C1004" s="14">
        <v>33.5</v>
      </c>
      <c r="D1004" s="14">
        <v>56</v>
      </c>
      <c r="E1004" s="14">
        <v>476</v>
      </c>
      <c r="F1004" s="14">
        <v>6.5</v>
      </c>
      <c r="G1004" s="14">
        <v>2</v>
      </c>
      <c r="H1004" s="14">
        <v>92.3</v>
      </c>
      <c r="I1004" s="15">
        <v>0.56000000000000005</v>
      </c>
    </row>
    <row r="1005" spans="1:9" x14ac:dyDescent="0.25">
      <c r="A1005" s="12">
        <v>23</v>
      </c>
      <c r="B1005" s="13">
        <v>45143</v>
      </c>
      <c r="C1005" s="14">
        <v>33.4</v>
      </c>
      <c r="D1005" s="14">
        <v>76</v>
      </c>
      <c r="E1005" s="14">
        <v>473</v>
      </c>
      <c r="F1005" s="14">
        <v>6.2</v>
      </c>
      <c r="G1005" s="14">
        <v>3</v>
      </c>
      <c r="H1005" s="14">
        <v>92.12</v>
      </c>
      <c r="I1005" s="15">
        <v>0.76</v>
      </c>
    </row>
    <row r="1006" spans="1:9" x14ac:dyDescent="0.25">
      <c r="A1006" s="12">
        <v>23</v>
      </c>
      <c r="B1006" s="13">
        <v>45144</v>
      </c>
      <c r="C1006" s="14">
        <v>33.4</v>
      </c>
      <c r="D1006" s="14">
        <v>54</v>
      </c>
      <c r="E1006" s="14">
        <v>633</v>
      </c>
      <c r="F1006" s="14">
        <v>6</v>
      </c>
      <c r="G1006" s="14">
        <v>4</v>
      </c>
      <c r="H1006" s="14">
        <v>92.12</v>
      </c>
      <c r="I1006" s="15">
        <v>0.54</v>
      </c>
    </row>
    <row r="1007" spans="1:9" x14ac:dyDescent="0.25">
      <c r="A1007" s="12">
        <v>23</v>
      </c>
      <c r="B1007" s="13">
        <v>45145</v>
      </c>
      <c r="C1007" s="14">
        <v>33.4</v>
      </c>
      <c r="D1007" s="14">
        <v>61</v>
      </c>
      <c r="E1007" s="14">
        <v>627</v>
      </c>
      <c r="F1007" s="14">
        <v>6.4</v>
      </c>
      <c r="G1007" s="14">
        <v>5</v>
      </c>
      <c r="H1007" s="14">
        <v>92.12</v>
      </c>
      <c r="I1007" s="15">
        <v>0.61</v>
      </c>
    </row>
    <row r="1008" spans="1:9" x14ac:dyDescent="0.25">
      <c r="A1008" s="12">
        <v>23</v>
      </c>
      <c r="B1008" s="13">
        <v>45146</v>
      </c>
      <c r="C1008" s="14">
        <v>32.299999999999997</v>
      </c>
      <c r="D1008" s="14">
        <v>78</v>
      </c>
      <c r="E1008" s="14">
        <v>529</v>
      </c>
      <c r="F1008" s="14">
        <v>6.4</v>
      </c>
      <c r="G1008" s="14">
        <v>6</v>
      </c>
      <c r="H1008" s="14">
        <v>90.14</v>
      </c>
      <c r="I1008" s="15">
        <v>0.78</v>
      </c>
    </row>
    <row r="1009" spans="1:9" x14ac:dyDescent="0.25">
      <c r="A1009" s="12">
        <v>23</v>
      </c>
      <c r="B1009" s="13">
        <v>45147</v>
      </c>
      <c r="C1009" s="14">
        <v>32.299999999999997</v>
      </c>
      <c r="D1009" s="14">
        <v>68</v>
      </c>
      <c r="E1009" s="14">
        <v>514</v>
      </c>
      <c r="F1009" s="14">
        <v>6.5</v>
      </c>
      <c r="G1009" s="14">
        <v>7</v>
      </c>
      <c r="H1009" s="14">
        <v>90.14</v>
      </c>
      <c r="I1009" s="15">
        <v>0.68</v>
      </c>
    </row>
    <row r="1010" spans="1:9" x14ac:dyDescent="0.25">
      <c r="A1010" s="12">
        <v>23</v>
      </c>
      <c r="B1010" s="13">
        <v>45148</v>
      </c>
      <c r="C1010" s="14">
        <v>22.7</v>
      </c>
      <c r="D1010" s="14">
        <v>80</v>
      </c>
      <c r="E1010" s="14">
        <v>475</v>
      </c>
      <c r="F1010" s="14">
        <v>6.2</v>
      </c>
      <c r="G1010" s="14">
        <v>8</v>
      </c>
      <c r="H1010" s="14">
        <v>72.86</v>
      </c>
      <c r="I1010" s="15">
        <v>0.8</v>
      </c>
    </row>
    <row r="1011" spans="1:9" x14ac:dyDescent="0.25">
      <c r="A1011" s="12">
        <v>23</v>
      </c>
      <c r="B1011" s="13">
        <v>45149</v>
      </c>
      <c r="C1011" s="14">
        <v>31.9</v>
      </c>
      <c r="D1011" s="14">
        <v>78</v>
      </c>
      <c r="E1011" s="14">
        <v>497</v>
      </c>
      <c r="F1011" s="14">
        <v>6.5</v>
      </c>
      <c r="G1011" s="14">
        <v>9</v>
      </c>
      <c r="H1011" s="14">
        <v>89.42</v>
      </c>
      <c r="I1011" s="15">
        <v>0.78</v>
      </c>
    </row>
    <row r="1012" spans="1:9" x14ac:dyDescent="0.25">
      <c r="A1012" s="12">
        <v>23</v>
      </c>
      <c r="B1012" s="13">
        <v>45150</v>
      </c>
      <c r="C1012" s="14">
        <v>30.2</v>
      </c>
      <c r="D1012" s="14">
        <v>78</v>
      </c>
      <c r="E1012" s="14">
        <v>761</v>
      </c>
      <c r="F1012" s="14">
        <v>6.7</v>
      </c>
      <c r="G1012" s="14">
        <v>10</v>
      </c>
      <c r="H1012" s="14">
        <v>86.36</v>
      </c>
      <c r="I1012" s="15">
        <v>0.78</v>
      </c>
    </row>
    <row r="1013" spans="1:9" x14ac:dyDescent="0.25">
      <c r="A1013" s="12">
        <v>23</v>
      </c>
      <c r="B1013" s="13">
        <v>45151</v>
      </c>
      <c r="C1013" s="14">
        <v>30.1</v>
      </c>
      <c r="D1013" s="14">
        <v>55</v>
      </c>
      <c r="E1013" s="14">
        <v>631</v>
      </c>
      <c r="F1013" s="14">
        <v>6.4</v>
      </c>
      <c r="G1013" s="14">
        <v>11</v>
      </c>
      <c r="H1013" s="14">
        <v>86.18</v>
      </c>
      <c r="I1013" s="15">
        <v>0.55000000000000004</v>
      </c>
    </row>
    <row r="1014" spans="1:9" x14ac:dyDescent="0.25">
      <c r="A1014" s="12">
        <v>23</v>
      </c>
      <c r="B1014" s="13">
        <v>45152</v>
      </c>
      <c r="C1014" s="14">
        <v>30.1</v>
      </c>
      <c r="D1014" s="14">
        <v>67</v>
      </c>
      <c r="E1014" s="14">
        <v>547</v>
      </c>
      <c r="F1014" s="14">
        <v>6.8</v>
      </c>
      <c r="G1014" s="14">
        <v>12</v>
      </c>
      <c r="H1014" s="14">
        <v>86.18</v>
      </c>
      <c r="I1014" s="15">
        <v>0.67</v>
      </c>
    </row>
    <row r="1015" spans="1:9" x14ac:dyDescent="0.25">
      <c r="A1015" s="12">
        <v>23</v>
      </c>
      <c r="B1015" s="13">
        <v>45153</v>
      </c>
      <c r="C1015" s="14">
        <v>30.1</v>
      </c>
      <c r="D1015" s="14">
        <v>52</v>
      </c>
      <c r="E1015" s="14">
        <v>607</v>
      </c>
      <c r="F1015" s="14">
        <v>6.3</v>
      </c>
      <c r="G1015" s="14">
        <v>13</v>
      </c>
      <c r="H1015" s="14">
        <v>86.18</v>
      </c>
      <c r="I1015" s="15">
        <v>0.52</v>
      </c>
    </row>
    <row r="1016" spans="1:9" x14ac:dyDescent="0.25">
      <c r="A1016" s="12">
        <v>23</v>
      </c>
      <c r="B1016" s="13">
        <v>45154</v>
      </c>
      <c r="C1016" s="14">
        <v>29.8</v>
      </c>
      <c r="D1016" s="14">
        <v>50</v>
      </c>
      <c r="E1016" s="14">
        <v>722</v>
      </c>
      <c r="F1016" s="14">
        <v>6.5</v>
      </c>
      <c r="G1016" s="14">
        <v>14</v>
      </c>
      <c r="H1016" s="14">
        <v>85.64</v>
      </c>
      <c r="I1016" s="15">
        <v>0.5</v>
      </c>
    </row>
    <row r="1017" spans="1:9" x14ac:dyDescent="0.25">
      <c r="A1017" s="12">
        <v>23</v>
      </c>
      <c r="B1017" s="13">
        <v>45155</v>
      </c>
      <c r="C1017" s="14">
        <v>29.6</v>
      </c>
      <c r="D1017" s="14">
        <v>63</v>
      </c>
      <c r="E1017" s="14">
        <v>546</v>
      </c>
      <c r="F1017" s="14">
        <v>6.7</v>
      </c>
      <c r="G1017" s="14">
        <v>15</v>
      </c>
      <c r="H1017" s="14">
        <v>85.28</v>
      </c>
      <c r="I1017" s="15">
        <v>0.63</v>
      </c>
    </row>
    <row r="1018" spans="1:9" x14ac:dyDescent="0.25">
      <c r="A1018" s="12">
        <v>23</v>
      </c>
      <c r="B1018" s="13">
        <v>45156</v>
      </c>
      <c r="C1018" s="14">
        <v>30.9</v>
      </c>
      <c r="D1018" s="14">
        <v>74</v>
      </c>
      <c r="E1018" s="14">
        <v>612</v>
      </c>
      <c r="F1018" s="14">
        <v>6.5</v>
      </c>
      <c r="G1018" s="14">
        <v>16</v>
      </c>
      <c r="H1018" s="14">
        <v>87.62</v>
      </c>
      <c r="I1018" s="15">
        <v>0.74</v>
      </c>
    </row>
    <row r="1019" spans="1:9" x14ac:dyDescent="0.25">
      <c r="A1019" s="12">
        <v>23</v>
      </c>
      <c r="B1019" s="13">
        <v>45157</v>
      </c>
      <c r="C1019" s="14">
        <v>30.8</v>
      </c>
      <c r="D1019" s="14">
        <v>71</v>
      </c>
      <c r="E1019" s="14">
        <v>697</v>
      </c>
      <c r="F1019" s="14">
        <v>6.7</v>
      </c>
      <c r="G1019" s="14">
        <v>17</v>
      </c>
      <c r="H1019" s="14">
        <v>87.44</v>
      </c>
      <c r="I1019" s="15">
        <v>0.71</v>
      </c>
    </row>
    <row r="1020" spans="1:9" x14ac:dyDescent="0.25">
      <c r="A1020" s="12">
        <v>23</v>
      </c>
      <c r="B1020" s="13">
        <v>45158</v>
      </c>
      <c r="C1020" s="14">
        <v>30.9</v>
      </c>
      <c r="D1020" s="14">
        <v>67</v>
      </c>
      <c r="E1020" s="14">
        <v>566</v>
      </c>
      <c r="F1020" s="14">
        <v>6.1</v>
      </c>
      <c r="G1020" s="14">
        <v>18</v>
      </c>
      <c r="H1020" s="14">
        <v>87.62</v>
      </c>
      <c r="I1020" s="15">
        <v>0.67</v>
      </c>
    </row>
    <row r="1021" spans="1:9" x14ac:dyDescent="0.25">
      <c r="A1021" s="12">
        <v>23</v>
      </c>
      <c r="B1021" s="13">
        <v>45159</v>
      </c>
      <c r="C1021" s="14">
        <v>30.2</v>
      </c>
      <c r="D1021" s="14">
        <v>69</v>
      </c>
      <c r="E1021" s="14">
        <v>791</v>
      </c>
      <c r="F1021" s="14">
        <v>6.4</v>
      </c>
      <c r="G1021" s="14">
        <v>19</v>
      </c>
      <c r="H1021" s="14">
        <v>86.36</v>
      </c>
      <c r="I1021" s="15">
        <v>0.69</v>
      </c>
    </row>
    <row r="1022" spans="1:9" x14ac:dyDescent="0.25">
      <c r="A1022" s="12">
        <v>23</v>
      </c>
      <c r="B1022" s="13">
        <v>45160</v>
      </c>
      <c r="C1022" s="14">
        <v>30.5</v>
      </c>
      <c r="D1022" s="14">
        <v>67</v>
      </c>
      <c r="E1022" s="14">
        <v>577</v>
      </c>
      <c r="F1022" s="14">
        <v>6.3</v>
      </c>
      <c r="G1022" s="14">
        <v>20</v>
      </c>
      <c r="H1022" s="14">
        <v>86.9</v>
      </c>
      <c r="I1022" s="15">
        <v>0.67</v>
      </c>
    </row>
    <row r="1023" spans="1:9" x14ac:dyDescent="0.25">
      <c r="A1023" s="12">
        <v>23</v>
      </c>
      <c r="B1023" s="13">
        <v>45161</v>
      </c>
      <c r="C1023" s="14">
        <v>30.8</v>
      </c>
      <c r="D1023" s="14">
        <v>59</v>
      </c>
      <c r="E1023" s="14">
        <v>798</v>
      </c>
      <c r="F1023" s="14">
        <v>6.2</v>
      </c>
      <c r="G1023" s="14">
        <v>21</v>
      </c>
      <c r="H1023" s="14">
        <v>87.44</v>
      </c>
      <c r="I1023" s="15">
        <v>0.59</v>
      </c>
    </row>
    <row r="1024" spans="1:9" x14ac:dyDescent="0.25">
      <c r="A1024" s="12">
        <v>23</v>
      </c>
      <c r="B1024" s="13">
        <v>45162</v>
      </c>
      <c r="C1024" s="14">
        <v>31.3</v>
      </c>
      <c r="D1024" s="14">
        <v>72</v>
      </c>
      <c r="E1024" s="14">
        <v>737</v>
      </c>
      <c r="F1024" s="14">
        <v>6.8</v>
      </c>
      <c r="G1024" s="14">
        <v>22</v>
      </c>
      <c r="H1024" s="14">
        <v>88.34</v>
      </c>
      <c r="I1024" s="15">
        <v>0.72</v>
      </c>
    </row>
    <row r="1025" spans="1:9" x14ac:dyDescent="0.25">
      <c r="A1025" s="12">
        <v>23</v>
      </c>
      <c r="B1025" s="13">
        <v>45163</v>
      </c>
      <c r="C1025" s="14">
        <v>31.4</v>
      </c>
      <c r="D1025" s="14">
        <v>51</v>
      </c>
      <c r="E1025" s="14">
        <v>778</v>
      </c>
      <c r="F1025" s="14">
        <v>6</v>
      </c>
      <c r="G1025" s="14">
        <v>23</v>
      </c>
      <c r="H1025" s="14">
        <v>88.52</v>
      </c>
      <c r="I1025" s="15">
        <v>0.51</v>
      </c>
    </row>
    <row r="1026" spans="1:9" x14ac:dyDescent="0.25">
      <c r="A1026" s="12">
        <v>23</v>
      </c>
      <c r="B1026" s="13">
        <v>45164</v>
      </c>
      <c r="C1026" s="14">
        <v>31.4</v>
      </c>
      <c r="D1026" s="14">
        <v>57</v>
      </c>
      <c r="E1026" s="14">
        <v>602</v>
      </c>
      <c r="F1026" s="14">
        <v>6.3</v>
      </c>
      <c r="G1026" s="14">
        <v>24</v>
      </c>
      <c r="H1026" s="14">
        <v>88.52</v>
      </c>
      <c r="I1026" s="15">
        <v>0.56999999999999995</v>
      </c>
    </row>
    <row r="1027" spans="1:9" x14ac:dyDescent="0.25">
      <c r="A1027" s="12">
        <v>23</v>
      </c>
      <c r="B1027" s="13">
        <v>45165</v>
      </c>
      <c r="C1027" s="14">
        <v>30.1</v>
      </c>
      <c r="D1027" s="14">
        <v>52</v>
      </c>
      <c r="E1027" s="14">
        <v>720</v>
      </c>
      <c r="F1027" s="14">
        <v>6.5</v>
      </c>
      <c r="G1027" s="14">
        <v>25</v>
      </c>
      <c r="H1027" s="14">
        <v>86.18</v>
      </c>
      <c r="I1027" s="15">
        <v>0.52</v>
      </c>
    </row>
    <row r="1028" spans="1:9" x14ac:dyDescent="0.25">
      <c r="A1028" s="12">
        <v>23</v>
      </c>
      <c r="B1028" s="13">
        <v>45166</v>
      </c>
      <c r="C1028" s="14">
        <v>29.4</v>
      </c>
      <c r="D1028" s="14">
        <v>75</v>
      </c>
      <c r="E1028" s="14">
        <v>685</v>
      </c>
      <c r="F1028" s="14">
        <v>6.1</v>
      </c>
      <c r="G1028" s="14">
        <v>26</v>
      </c>
      <c r="H1028" s="14">
        <v>84.92</v>
      </c>
      <c r="I1028" s="15">
        <v>0.75</v>
      </c>
    </row>
    <row r="1029" spans="1:9" x14ac:dyDescent="0.25">
      <c r="A1029" s="12">
        <v>23</v>
      </c>
      <c r="B1029" s="13">
        <v>45167</v>
      </c>
      <c r="C1029" s="14">
        <v>28.7</v>
      </c>
      <c r="D1029" s="14">
        <v>78</v>
      </c>
      <c r="E1029" s="14">
        <v>550</v>
      </c>
      <c r="F1029" s="14">
        <v>6.1</v>
      </c>
      <c r="G1029" s="14">
        <v>27</v>
      </c>
      <c r="H1029" s="14">
        <v>83.66</v>
      </c>
      <c r="I1029" s="15">
        <v>0.78</v>
      </c>
    </row>
    <row r="1030" spans="1:9" x14ac:dyDescent="0.25">
      <c r="A1030" s="12">
        <v>23</v>
      </c>
      <c r="B1030" s="13">
        <v>45168</v>
      </c>
      <c r="C1030" s="14">
        <v>29.1</v>
      </c>
      <c r="D1030" s="14">
        <v>67</v>
      </c>
      <c r="E1030" s="14">
        <v>755</v>
      </c>
      <c r="F1030" s="14">
        <v>6.8</v>
      </c>
      <c r="G1030" s="14">
        <v>28</v>
      </c>
      <c r="H1030" s="14">
        <v>84.38</v>
      </c>
      <c r="I1030" s="15">
        <v>0.67</v>
      </c>
    </row>
    <row r="1031" spans="1:9" x14ac:dyDescent="0.25">
      <c r="A1031" s="12">
        <v>23</v>
      </c>
      <c r="B1031" s="13">
        <v>45169</v>
      </c>
      <c r="C1031" s="14">
        <v>29.2</v>
      </c>
      <c r="D1031" s="14">
        <v>56</v>
      </c>
      <c r="E1031" s="14">
        <v>630</v>
      </c>
      <c r="F1031" s="14">
        <v>6.3</v>
      </c>
      <c r="G1031" s="14">
        <v>29</v>
      </c>
      <c r="H1031" s="14">
        <v>84.56</v>
      </c>
      <c r="I1031" s="15">
        <v>0.56000000000000005</v>
      </c>
    </row>
    <row r="1032" spans="1:9" x14ac:dyDescent="0.25">
      <c r="A1032" s="12">
        <v>23</v>
      </c>
      <c r="B1032" s="13">
        <v>45170</v>
      </c>
      <c r="C1032" s="14">
        <v>31.7</v>
      </c>
      <c r="D1032" s="14">
        <v>77</v>
      </c>
      <c r="E1032" s="14">
        <v>575</v>
      </c>
      <c r="F1032" s="14">
        <v>6.3</v>
      </c>
      <c r="G1032" s="14">
        <v>30</v>
      </c>
      <c r="H1032" s="14">
        <v>89.06</v>
      </c>
      <c r="I1032" s="15">
        <v>0.77</v>
      </c>
    </row>
    <row r="1033" spans="1:9" x14ac:dyDescent="0.25">
      <c r="A1033" s="12">
        <v>23</v>
      </c>
      <c r="B1033" s="13">
        <v>45171</v>
      </c>
      <c r="C1033" s="14">
        <v>31.7</v>
      </c>
      <c r="D1033" s="14">
        <v>71</v>
      </c>
      <c r="E1033" s="14">
        <v>449</v>
      </c>
      <c r="F1033" s="14">
        <v>6.2</v>
      </c>
      <c r="G1033" s="14">
        <v>31</v>
      </c>
      <c r="H1033" s="14">
        <v>89.06</v>
      </c>
      <c r="I1033" s="15">
        <v>0.71</v>
      </c>
    </row>
    <row r="1034" spans="1:9" x14ac:dyDescent="0.25">
      <c r="A1034" s="12">
        <v>23</v>
      </c>
      <c r="B1034" s="13">
        <v>45172</v>
      </c>
      <c r="C1034" s="14">
        <v>31.7</v>
      </c>
      <c r="D1034" s="14">
        <v>66</v>
      </c>
      <c r="E1034" s="14">
        <v>538</v>
      </c>
      <c r="F1034" s="14">
        <v>6.3</v>
      </c>
      <c r="G1034" s="14">
        <v>32</v>
      </c>
      <c r="H1034" s="14">
        <v>89.06</v>
      </c>
      <c r="I1034" s="15">
        <v>0.66</v>
      </c>
    </row>
    <row r="1035" spans="1:9" x14ac:dyDescent="0.25">
      <c r="A1035" s="12">
        <v>23</v>
      </c>
      <c r="B1035" s="13">
        <v>45173</v>
      </c>
      <c r="C1035" s="14">
        <v>31.7</v>
      </c>
      <c r="D1035" s="14">
        <v>53</v>
      </c>
      <c r="E1035" s="14">
        <v>465</v>
      </c>
      <c r="F1035" s="14">
        <v>6.5</v>
      </c>
      <c r="G1035" s="14">
        <v>33</v>
      </c>
      <c r="H1035" s="14">
        <v>89.06</v>
      </c>
      <c r="I1035" s="15">
        <v>0.53</v>
      </c>
    </row>
    <row r="1036" spans="1:9" x14ac:dyDescent="0.25">
      <c r="A1036" s="12">
        <v>23</v>
      </c>
      <c r="B1036" s="13">
        <v>45174</v>
      </c>
      <c r="C1036" s="14">
        <v>32</v>
      </c>
      <c r="D1036" s="14">
        <v>71</v>
      </c>
      <c r="E1036" s="14">
        <v>560</v>
      </c>
      <c r="F1036" s="14">
        <v>6.7</v>
      </c>
      <c r="G1036" s="14">
        <v>34</v>
      </c>
      <c r="H1036" s="14">
        <v>89.6</v>
      </c>
      <c r="I1036" s="15">
        <v>0.71</v>
      </c>
    </row>
    <row r="1037" spans="1:9" x14ac:dyDescent="0.25">
      <c r="A1037" s="12">
        <v>23</v>
      </c>
      <c r="B1037" s="13">
        <v>45175</v>
      </c>
      <c r="C1037" s="14">
        <v>32.1</v>
      </c>
      <c r="D1037" s="14">
        <v>76</v>
      </c>
      <c r="E1037" s="14">
        <v>749</v>
      </c>
      <c r="F1037" s="14">
        <v>6.3</v>
      </c>
      <c r="G1037" s="14">
        <v>35</v>
      </c>
      <c r="H1037" s="14">
        <v>89.78</v>
      </c>
      <c r="I1037" s="15">
        <v>0.76</v>
      </c>
    </row>
    <row r="1038" spans="1:9" x14ac:dyDescent="0.25">
      <c r="A1038" s="12">
        <v>23</v>
      </c>
      <c r="B1038" s="13">
        <v>45176</v>
      </c>
      <c r="C1038" s="14">
        <v>31.5</v>
      </c>
      <c r="D1038" s="14">
        <v>69</v>
      </c>
      <c r="E1038" s="14">
        <v>518</v>
      </c>
      <c r="F1038" s="14">
        <v>6.6</v>
      </c>
      <c r="G1038" s="14">
        <v>36</v>
      </c>
      <c r="H1038" s="14">
        <v>88.7</v>
      </c>
      <c r="I1038" s="15">
        <v>0.69</v>
      </c>
    </row>
    <row r="1039" spans="1:9" x14ac:dyDescent="0.25">
      <c r="A1039" s="12">
        <v>23</v>
      </c>
      <c r="B1039" s="13">
        <v>45177</v>
      </c>
      <c r="C1039" s="14">
        <v>29.8</v>
      </c>
      <c r="D1039" s="14">
        <v>64</v>
      </c>
      <c r="E1039" s="14">
        <v>640</v>
      </c>
      <c r="F1039" s="14">
        <v>6.6</v>
      </c>
      <c r="G1039" s="14">
        <v>37</v>
      </c>
      <c r="H1039" s="14">
        <v>85.64</v>
      </c>
      <c r="I1039" s="15">
        <v>0.64</v>
      </c>
    </row>
    <row r="1040" spans="1:9" x14ac:dyDescent="0.25">
      <c r="A1040" s="12">
        <v>23</v>
      </c>
      <c r="B1040" s="13">
        <v>45178</v>
      </c>
      <c r="C1040" s="14">
        <v>20.100000000000001</v>
      </c>
      <c r="D1040" s="14">
        <v>73</v>
      </c>
      <c r="E1040" s="14">
        <v>572</v>
      </c>
      <c r="F1040" s="14">
        <v>6.7</v>
      </c>
      <c r="G1040" s="14">
        <v>38</v>
      </c>
      <c r="H1040" s="14">
        <v>68.180000000000007</v>
      </c>
      <c r="I1040" s="15">
        <v>0.73</v>
      </c>
    </row>
    <row r="1041" spans="1:9" x14ac:dyDescent="0.25">
      <c r="A1041" s="12">
        <v>23</v>
      </c>
      <c r="B1041" s="13">
        <v>45179</v>
      </c>
      <c r="C1041" s="14">
        <v>31.1</v>
      </c>
      <c r="D1041" s="14">
        <v>52</v>
      </c>
      <c r="E1041" s="14">
        <v>528</v>
      </c>
      <c r="F1041" s="14">
        <v>6.5</v>
      </c>
      <c r="G1041" s="14">
        <v>39</v>
      </c>
      <c r="H1041" s="14">
        <v>87.98</v>
      </c>
      <c r="I1041" s="15">
        <v>0.52</v>
      </c>
    </row>
    <row r="1042" spans="1:9" x14ac:dyDescent="0.25">
      <c r="A1042" s="12">
        <v>23</v>
      </c>
      <c r="B1042" s="13">
        <v>45180</v>
      </c>
      <c r="C1042" s="14">
        <v>31.2</v>
      </c>
      <c r="D1042" s="14">
        <v>66</v>
      </c>
      <c r="E1042" s="14">
        <v>530</v>
      </c>
      <c r="F1042" s="14">
        <v>6.3</v>
      </c>
      <c r="G1042" s="14">
        <v>40</v>
      </c>
      <c r="H1042" s="14">
        <v>88.16</v>
      </c>
      <c r="I1042" s="15">
        <v>0.66</v>
      </c>
    </row>
    <row r="1043" spans="1:9" x14ac:dyDescent="0.25">
      <c r="A1043" s="12">
        <v>23</v>
      </c>
      <c r="B1043" s="13">
        <v>45181</v>
      </c>
      <c r="C1043" s="14">
        <v>31.2</v>
      </c>
      <c r="D1043" s="14">
        <v>53</v>
      </c>
      <c r="E1043" s="14">
        <v>515</v>
      </c>
      <c r="F1043" s="14">
        <v>6</v>
      </c>
      <c r="G1043" s="14">
        <v>41</v>
      </c>
      <c r="H1043" s="14">
        <v>88.16</v>
      </c>
      <c r="I1043" s="15">
        <v>0.53</v>
      </c>
    </row>
    <row r="1044" spans="1:9" x14ac:dyDescent="0.25">
      <c r="A1044" s="12">
        <v>23</v>
      </c>
      <c r="B1044" s="13">
        <v>45182</v>
      </c>
      <c r="C1044" s="14">
        <v>30.4</v>
      </c>
      <c r="D1044" s="14">
        <v>69</v>
      </c>
      <c r="E1044" s="14">
        <v>665</v>
      </c>
      <c r="F1044" s="14">
        <v>6.4</v>
      </c>
      <c r="G1044" s="14">
        <v>42</v>
      </c>
      <c r="H1044" s="14">
        <v>86.72</v>
      </c>
      <c r="I1044" s="15">
        <v>0.69</v>
      </c>
    </row>
    <row r="1045" spans="1:9" x14ac:dyDescent="0.25">
      <c r="A1045" s="12">
        <v>23</v>
      </c>
      <c r="B1045" s="13">
        <v>45183</v>
      </c>
      <c r="C1045" s="14">
        <v>29.1</v>
      </c>
      <c r="D1045" s="14">
        <v>65</v>
      </c>
      <c r="E1045" s="14">
        <v>602</v>
      </c>
      <c r="F1045" s="14">
        <v>6.7</v>
      </c>
      <c r="G1045" s="14">
        <v>43</v>
      </c>
      <c r="H1045" s="14">
        <v>84.38</v>
      </c>
      <c r="I1045" s="15">
        <v>0.65</v>
      </c>
    </row>
    <row r="1046" spans="1:9" x14ac:dyDescent="0.25">
      <c r="A1046" s="12">
        <v>23</v>
      </c>
      <c r="B1046" s="13">
        <v>45184</v>
      </c>
      <c r="C1046" s="14">
        <v>30.6</v>
      </c>
      <c r="D1046" s="14">
        <v>55</v>
      </c>
      <c r="E1046" s="14">
        <v>776</v>
      </c>
      <c r="F1046" s="14">
        <v>6.6</v>
      </c>
      <c r="G1046" s="14">
        <v>44</v>
      </c>
      <c r="H1046" s="14">
        <v>87.08</v>
      </c>
      <c r="I1046" s="15">
        <v>0.55000000000000004</v>
      </c>
    </row>
    <row r="1047" spans="1:9" x14ac:dyDescent="0.25">
      <c r="A1047" s="12">
        <v>23</v>
      </c>
      <c r="B1047" s="13">
        <v>45185</v>
      </c>
      <c r="C1047" s="14">
        <v>30.6</v>
      </c>
      <c r="D1047" s="14">
        <v>55</v>
      </c>
      <c r="E1047" s="14">
        <v>776</v>
      </c>
      <c r="F1047" s="14">
        <v>6.6</v>
      </c>
      <c r="G1047" s="14">
        <v>45</v>
      </c>
      <c r="H1047" s="14">
        <v>87.08</v>
      </c>
      <c r="I1047" s="15">
        <v>0.55000000000000004</v>
      </c>
    </row>
    <row r="1048" spans="1:9" x14ac:dyDescent="0.25">
      <c r="A1048" s="12">
        <v>23</v>
      </c>
      <c r="B1048" s="13">
        <v>45186</v>
      </c>
      <c r="C1048" s="14">
        <v>33.4</v>
      </c>
      <c r="D1048" s="14">
        <v>56</v>
      </c>
      <c r="E1048" s="14">
        <v>632</v>
      </c>
      <c r="F1048" s="14">
        <v>6.4</v>
      </c>
      <c r="G1048" s="14">
        <v>46</v>
      </c>
      <c r="H1048" s="14">
        <v>92.12</v>
      </c>
      <c r="I1048" s="15">
        <v>0.56000000000000005</v>
      </c>
    </row>
    <row r="1049" spans="1:9" x14ac:dyDescent="0.25">
      <c r="A1049" s="12">
        <v>24</v>
      </c>
      <c r="B1049" s="13">
        <v>45141</v>
      </c>
      <c r="C1049" s="14">
        <v>33.5</v>
      </c>
      <c r="D1049" s="14">
        <v>76</v>
      </c>
      <c r="E1049" s="14">
        <v>534</v>
      </c>
      <c r="F1049" s="14">
        <v>6.3</v>
      </c>
      <c r="G1049" s="14">
        <v>1</v>
      </c>
      <c r="H1049" s="14">
        <v>92.3</v>
      </c>
      <c r="I1049" s="15">
        <v>0.76</v>
      </c>
    </row>
    <row r="1050" spans="1:9" x14ac:dyDescent="0.25">
      <c r="A1050" s="12">
        <v>24</v>
      </c>
      <c r="B1050" s="13">
        <v>45142</v>
      </c>
      <c r="C1050" s="14">
        <v>33.4</v>
      </c>
      <c r="D1050" s="14">
        <v>64</v>
      </c>
      <c r="E1050" s="14">
        <v>647</v>
      </c>
      <c r="F1050" s="14">
        <v>6.1</v>
      </c>
      <c r="G1050" s="14">
        <v>2</v>
      </c>
      <c r="H1050" s="14">
        <v>92.12</v>
      </c>
      <c r="I1050" s="15">
        <v>0.64</v>
      </c>
    </row>
    <row r="1051" spans="1:9" x14ac:dyDescent="0.25">
      <c r="A1051" s="12">
        <v>24</v>
      </c>
      <c r="B1051" s="13">
        <v>45143</v>
      </c>
      <c r="C1051" s="14">
        <v>33.4</v>
      </c>
      <c r="D1051" s="14">
        <v>72</v>
      </c>
      <c r="E1051" s="14">
        <v>704</v>
      </c>
      <c r="F1051" s="14">
        <v>6.5</v>
      </c>
      <c r="G1051" s="14">
        <v>3</v>
      </c>
      <c r="H1051" s="14">
        <v>92.12</v>
      </c>
      <c r="I1051" s="15">
        <v>0.72</v>
      </c>
    </row>
    <row r="1052" spans="1:9" x14ac:dyDescent="0.25">
      <c r="A1052" s="12">
        <v>24</v>
      </c>
      <c r="B1052" s="13">
        <v>45144</v>
      </c>
      <c r="C1052" s="14">
        <v>33.4</v>
      </c>
      <c r="D1052" s="14">
        <v>72</v>
      </c>
      <c r="E1052" s="14">
        <v>606</v>
      </c>
      <c r="F1052" s="14">
        <v>6.8</v>
      </c>
      <c r="G1052" s="14">
        <v>4</v>
      </c>
      <c r="H1052" s="14">
        <v>92.12</v>
      </c>
      <c r="I1052" s="15">
        <v>0.72</v>
      </c>
    </row>
    <row r="1053" spans="1:9" x14ac:dyDescent="0.25">
      <c r="A1053" s="12">
        <v>24</v>
      </c>
      <c r="B1053" s="13">
        <v>45145</v>
      </c>
      <c r="C1053" s="14">
        <v>32.299999999999997</v>
      </c>
      <c r="D1053" s="14">
        <v>76</v>
      </c>
      <c r="E1053" s="14">
        <v>608</v>
      </c>
      <c r="F1053" s="14">
        <v>6.3</v>
      </c>
      <c r="G1053" s="14">
        <v>5</v>
      </c>
      <c r="H1053" s="14">
        <v>90.14</v>
      </c>
      <c r="I1053" s="15">
        <v>0.76</v>
      </c>
    </row>
    <row r="1054" spans="1:9" x14ac:dyDescent="0.25">
      <c r="A1054" s="12">
        <v>24</v>
      </c>
      <c r="B1054" s="13">
        <v>45146</v>
      </c>
      <c r="C1054" s="14">
        <v>32.299999999999997</v>
      </c>
      <c r="D1054" s="14">
        <v>50</v>
      </c>
      <c r="E1054" s="14">
        <v>782</v>
      </c>
      <c r="F1054" s="14">
        <v>6.5</v>
      </c>
      <c r="G1054" s="14">
        <v>6</v>
      </c>
      <c r="H1054" s="14">
        <v>90.14</v>
      </c>
      <c r="I1054" s="15">
        <v>0.5</v>
      </c>
    </row>
    <row r="1055" spans="1:9" x14ac:dyDescent="0.25">
      <c r="A1055" s="12">
        <v>24</v>
      </c>
      <c r="B1055" s="13">
        <v>45147</v>
      </c>
      <c r="C1055" s="14">
        <v>22.7</v>
      </c>
      <c r="D1055" s="14">
        <v>64</v>
      </c>
      <c r="E1055" s="14">
        <v>683</v>
      </c>
      <c r="F1055" s="14">
        <v>6.2</v>
      </c>
      <c r="G1055" s="14">
        <v>7</v>
      </c>
      <c r="H1055" s="14">
        <v>72.86</v>
      </c>
      <c r="I1055" s="15">
        <v>0.64</v>
      </c>
    </row>
    <row r="1056" spans="1:9" x14ac:dyDescent="0.25">
      <c r="A1056" s="12">
        <v>24</v>
      </c>
      <c r="B1056" s="13">
        <v>45148</v>
      </c>
      <c r="C1056" s="14">
        <v>31.9</v>
      </c>
      <c r="D1056" s="14">
        <v>72</v>
      </c>
      <c r="E1056" s="14">
        <v>441</v>
      </c>
      <c r="F1056" s="14">
        <v>6.6</v>
      </c>
      <c r="G1056" s="14">
        <v>8</v>
      </c>
      <c r="H1056" s="14">
        <v>89.42</v>
      </c>
      <c r="I1056" s="15">
        <v>0.72</v>
      </c>
    </row>
    <row r="1057" spans="1:9" x14ac:dyDescent="0.25">
      <c r="A1057" s="12">
        <v>24</v>
      </c>
      <c r="B1057" s="13">
        <v>45149</v>
      </c>
      <c r="C1057" s="14">
        <v>30.2</v>
      </c>
      <c r="D1057" s="14">
        <v>70</v>
      </c>
      <c r="E1057" s="14">
        <v>766</v>
      </c>
      <c r="F1057" s="14">
        <v>6</v>
      </c>
      <c r="G1057" s="14">
        <v>9</v>
      </c>
      <c r="H1057" s="14">
        <v>86.36</v>
      </c>
      <c r="I1057" s="15">
        <v>0.7</v>
      </c>
    </row>
    <row r="1058" spans="1:9" x14ac:dyDescent="0.25">
      <c r="A1058" s="12">
        <v>24</v>
      </c>
      <c r="B1058" s="13">
        <v>45150</v>
      </c>
      <c r="C1058" s="14">
        <v>30.1</v>
      </c>
      <c r="D1058" s="14">
        <v>58</v>
      </c>
      <c r="E1058" s="14">
        <v>661</v>
      </c>
      <c r="F1058" s="14">
        <v>6</v>
      </c>
      <c r="G1058" s="14">
        <v>10</v>
      </c>
      <c r="H1058" s="14">
        <v>86.18</v>
      </c>
      <c r="I1058" s="15">
        <v>0.57999999999999996</v>
      </c>
    </row>
    <row r="1059" spans="1:9" x14ac:dyDescent="0.25">
      <c r="A1059" s="12">
        <v>24</v>
      </c>
      <c r="B1059" s="13">
        <v>45151</v>
      </c>
      <c r="C1059" s="14">
        <v>30.1</v>
      </c>
      <c r="D1059" s="14">
        <v>54</v>
      </c>
      <c r="E1059" s="14">
        <v>582</v>
      </c>
      <c r="F1059" s="14">
        <v>6.1</v>
      </c>
      <c r="G1059" s="14">
        <v>11</v>
      </c>
      <c r="H1059" s="14">
        <v>86.18</v>
      </c>
      <c r="I1059" s="15">
        <v>0.54</v>
      </c>
    </row>
    <row r="1060" spans="1:9" x14ac:dyDescent="0.25">
      <c r="A1060" s="12">
        <v>24</v>
      </c>
      <c r="B1060" s="13">
        <v>45152</v>
      </c>
      <c r="C1060" s="14">
        <v>30.1</v>
      </c>
      <c r="D1060" s="14">
        <v>55</v>
      </c>
      <c r="E1060" s="14">
        <v>676</v>
      </c>
      <c r="F1060" s="14">
        <v>6.1</v>
      </c>
      <c r="G1060" s="14">
        <v>12</v>
      </c>
      <c r="H1060" s="14">
        <v>86.18</v>
      </c>
      <c r="I1060" s="15">
        <v>0.55000000000000004</v>
      </c>
    </row>
    <row r="1061" spans="1:9" x14ac:dyDescent="0.25">
      <c r="A1061" s="12">
        <v>24</v>
      </c>
      <c r="B1061" s="13">
        <v>45153</v>
      </c>
      <c r="C1061" s="14">
        <v>29.8</v>
      </c>
      <c r="D1061" s="14">
        <v>74</v>
      </c>
      <c r="E1061" s="14">
        <v>576</v>
      </c>
      <c r="F1061" s="14">
        <v>6.3</v>
      </c>
      <c r="G1061" s="14">
        <v>13</v>
      </c>
      <c r="H1061" s="14">
        <v>85.64</v>
      </c>
      <c r="I1061" s="15">
        <v>0.74</v>
      </c>
    </row>
    <row r="1062" spans="1:9" x14ac:dyDescent="0.25">
      <c r="A1062" s="12">
        <v>24</v>
      </c>
      <c r="B1062" s="13">
        <v>45154</v>
      </c>
      <c r="C1062" s="14">
        <v>29.6</v>
      </c>
      <c r="D1062" s="14">
        <v>69</v>
      </c>
      <c r="E1062" s="14">
        <v>566</v>
      </c>
      <c r="F1062" s="14">
        <v>6</v>
      </c>
      <c r="G1062" s="14">
        <v>14</v>
      </c>
      <c r="H1062" s="14">
        <v>85.28</v>
      </c>
      <c r="I1062" s="15">
        <v>0.69</v>
      </c>
    </row>
    <row r="1063" spans="1:9" x14ac:dyDescent="0.25">
      <c r="A1063" s="12">
        <v>24</v>
      </c>
      <c r="B1063" s="13">
        <v>45155</v>
      </c>
      <c r="C1063" s="14">
        <v>30.9</v>
      </c>
      <c r="D1063" s="14">
        <v>78</v>
      </c>
      <c r="E1063" s="14">
        <v>719</v>
      </c>
      <c r="F1063" s="14">
        <v>6.6</v>
      </c>
      <c r="G1063" s="14">
        <v>15</v>
      </c>
      <c r="H1063" s="14">
        <v>87.62</v>
      </c>
      <c r="I1063" s="15">
        <v>0.78</v>
      </c>
    </row>
    <row r="1064" spans="1:9" x14ac:dyDescent="0.25">
      <c r="A1064" s="12">
        <v>24</v>
      </c>
      <c r="B1064" s="13">
        <v>45156</v>
      </c>
      <c r="C1064" s="14">
        <v>30.8</v>
      </c>
      <c r="D1064" s="14">
        <v>67</v>
      </c>
      <c r="E1064" s="14">
        <v>412</v>
      </c>
      <c r="F1064" s="14">
        <v>6.5</v>
      </c>
      <c r="G1064" s="14">
        <v>16</v>
      </c>
      <c r="H1064" s="14">
        <v>87.44</v>
      </c>
      <c r="I1064" s="15">
        <v>0.67</v>
      </c>
    </row>
    <row r="1065" spans="1:9" x14ac:dyDescent="0.25">
      <c r="A1065" s="12">
        <v>24</v>
      </c>
      <c r="B1065" s="13">
        <v>45157</v>
      </c>
      <c r="C1065" s="14">
        <v>30.9</v>
      </c>
      <c r="D1065" s="14">
        <v>70</v>
      </c>
      <c r="E1065" s="14">
        <v>683</v>
      </c>
      <c r="F1065" s="14">
        <v>6.2</v>
      </c>
      <c r="G1065" s="14">
        <v>17</v>
      </c>
      <c r="H1065" s="14">
        <v>87.62</v>
      </c>
      <c r="I1065" s="15">
        <v>0.7</v>
      </c>
    </row>
    <row r="1066" spans="1:9" x14ac:dyDescent="0.25">
      <c r="A1066" s="12">
        <v>24</v>
      </c>
      <c r="B1066" s="13">
        <v>45158</v>
      </c>
      <c r="C1066" s="14">
        <v>30.2</v>
      </c>
      <c r="D1066" s="14">
        <v>65</v>
      </c>
      <c r="E1066" s="14">
        <v>749</v>
      </c>
      <c r="F1066" s="14">
        <v>6.6</v>
      </c>
      <c r="G1066" s="14">
        <v>18</v>
      </c>
      <c r="H1066" s="14">
        <v>86.36</v>
      </c>
      <c r="I1066" s="15">
        <v>0.65</v>
      </c>
    </row>
    <row r="1067" spans="1:9" x14ac:dyDescent="0.25">
      <c r="A1067" s="12">
        <v>24</v>
      </c>
      <c r="B1067" s="13">
        <v>45159</v>
      </c>
      <c r="C1067" s="14">
        <v>30.5</v>
      </c>
      <c r="D1067" s="14">
        <v>69</v>
      </c>
      <c r="E1067" s="14">
        <v>747</v>
      </c>
      <c r="F1067" s="14">
        <v>6.7</v>
      </c>
      <c r="G1067" s="14">
        <v>19</v>
      </c>
      <c r="H1067" s="14">
        <v>86.9</v>
      </c>
      <c r="I1067" s="15">
        <v>0.69</v>
      </c>
    </row>
    <row r="1068" spans="1:9" x14ac:dyDescent="0.25">
      <c r="A1068" s="12">
        <v>24</v>
      </c>
      <c r="B1068" s="13">
        <v>45160</v>
      </c>
      <c r="C1068" s="14">
        <v>30.8</v>
      </c>
      <c r="D1068" s="14">
        <v>57</v>
      </c>
      <c r="E1068" s="14">
        <v>716</v>
      </c>
      <c r="F1068" s="14">
        <v>6.1</v>
      </c>
      <c r="G1068" s="14">
        <v>20</v>
      </c>
      <c r="H1068" s="14">
        <v>87.44</v>
      </c>
      <c r="I1068" s="15">
        <v>0.56999999999999995</v>
      </c>
    </row>
    <row r="1069" spans="1:9" x14ac:dyDescent="0.25">
      <c r="A1069" s="12">
        <v>24</v>
      </c>
      <c r="B1069" s="13">
        <v>45161</v>
      </c>
      <c r="C1069" s="14">
        <v>31.3</v>
      </c>
      <c r="D1069" s="14">
        <v>77</v>
      </c>
      <c r="E1069" s="14">
        <v>658</v>
      </c>
      <c r="F1069" s="14">
        <v>6.1</v>
      </c>
      <c r="G1069" s="14">
        <v>21</v>
      </c>
      <c r="H1069" s="14">
        <v>88.34</v>
      </c>
      <c r="I1069" s="15">
        <v>0.77</v>
      </c>
    </row>
    <row r="1070" spans="1:9" x14ac:dyDescent="0.25">
      <c r="A1070" s="12">
        <v>24</v>
      </c>
      <c r="B1070" s="13">
        <v>45162</v>
      </c>
      <c r="C1070" s="14">
        <v>31.4</v>
      </c>
      <c r="D1070" s="14">
        <v>72</v>
      </c>
      <c r="E1070" s="14">
        <v>401</v>
      </c>
      <c r="F1070" s="14">
        <v>6.4</v>
      </c>
      <c r="G1070" s="14">
        <v>22</v>
      </c>
      <c r="H1070" s="14">
        <v>88.52</v>
      </c>
      <c r="I1070" s="15">
        <v>0.72</v>
      </c>
    </row>
    <row r="1071" spans="1:9" x14ac:dyDescent="0.25">
      <c r="A1071" s="12">
        <v>24</v>
      </c>
      <c r="B1071" s="13">
        <v>45163</v>
      </c>
      <c r="C1071" s="14">
        <v>31.4</v>
      </c>
      <c r="D1071" s="14">
        <v>51</v>
      </c>
      <c r="E1071" s="14">
        <v>547</v>
      </c>
      <c r="F1071" s="14">
        <v>6.3</v>
      </c>
      <c r="G1071" s="14">
        <v>23</v>
      </c>
      <c r="H1071" s="14">
        <v>88.52</v>
      </c>
      <c r="I1071" s="15">
        <v>0.51</v>
      </c>
    </row>
    <row r="1072" spans="1:9" x14ac:dyDescent="0.25">
      <c r="A1072" s="12">
        <v>24</v>
      </c>
      <c r="B1072" s="13">
        <v>45164</v>
      </c>
      <c r="C1072" s="14">
        <v>30.1</v>
      </c>
      <c r="D1072" s="14">
        <v>74</v>
      </c>
      <c r="E1072" s="14">
        <v>691</v>
      </c>
      <c r="F1072" s="14">
        <v>6.5</v>
      </c>
      <c r="G1072" s="14">
        <v>24</v>
      </c>
      <c r="H1072" s="14">
        <v>86.18</v>
      </c>
      <c r="I1072" s="15">
        <v>0.74</v>
      </c>
    </row>
    <row r="1073" spans="1:9" x14ac:dyDescent="0.25">
      <c r="A1073" s="12">
        <v>24</v>
      </c>
      <c r="B1073" s="13">
        <v>45165</v>
      </c>
      <c r="C1073" s="14">
        <v>29.4</v>
      </c>
      <c r="D1073" s="14">
        <v>74</v>
      </c>
      <c r="E1073" s="14">
        <v>513</v>
      </c>
      <c r="F1073" s="14">
        <v>6.3</v>
      </c>
      <c r="G1073" s="14">
        <v>25</v>
      </c>
      <c r="H1073" s="14">
        <v>84.92</v>
      </c>
      <c r="I1073" s="15">
        <v>0.74</v>
      </c>
    </row>
    <row r="1074" spans="1:9" x14ac:dyDescent="0.25">
      <c r="A1074" s="12">
        <v>24</v>
      </c>
      <c r="B1074" s="13">
        <v>45166</v>
      </c>
      <c r="C1074" s="14">
        <v>28.7</v>
      </c>
      <c r="D1074" s="14">
        <v>77</v>
      </c>
      <c r="E1074" s="14">
        <v>718</v>
      </c>
      <c r="F1074" s="14">
        <v>6.2</v>
      </c>
      <c r="G1074" s="14">
        <v>26</v>
      </c>
      <c r="H1074" s="14">
        <v>83.66</v>
      </c>
      <c r="I1074" s="15">
        <v>0.77</v>
      </c>
    </row>
    <row r="1075" spans="1:9" x14ac:dyDescent="0.25">
      <c r="A1075" s="12">
        <v>24</v>
      </c>
      <c r="B1075" s="13">
        <v>45167</v>
      </c>
      <c r="C1075" s="14">
        <v>29.1</v>
      </c>
      <c r="D1075" s="14">
        <v>68</v>
      </c>
      <c r="E1075" s="14">
        <v>748</v>
      </c>
      <c r="F1075" s="14">
        <v>6.6</v>
      </c>
      <c r="G1075" s="14">
        <v>27</v>
      </c>
      <c r="H1075" s="14">
        <v>84.38</v>
      </c>
      <c r="I1075" s="15">
        <v>0.68</v>
      </c>
    </row>
    <row r="1076" spans="1:9" x14ac:dyDescent="0.25">
      <c r="A1076" s="12">
        <v>24</v>
      </c>
      <c r="B1076" s="13">
        <v>45168</v>
      </c>
      <c r="C1076" s="14">
        <v>29.2</v>
      </c>
      <c r="D1076" s="14">
        <v>56</v>
      </c>
      <c r="E1076" s="14">
        <v>430</v>
      </c>
      <c r="F1076" s="14">
        <v>6</v>
      </c>
      <c r="G1076" s="14">
        <v>28</v>
      </c>
      <c r="H1076" s="14">
        <v>84.56</v>
      </c>
      <c r="I1076" s="15">
        <v>0.56000000000000005</v>
      </c>
    </row>
    <row r="1077" spans="1:9" x14ac:dyDescent="0.25">
      <c r="A1077" s="12">
        <v>24</v>
      </c>
      <c r="B1077" s="13">
        <v>45169</v>
      </c>
      <c r="C1077" s="14">
        <v>31.7</v>
      </c>
      <c r="D1077" s="14">
        <v>75</v>
      </c>
      <c r="E1077" s="14">
        <v>634</v>
      </c>
      <c r="F1077" s="14">
        <v>6.6</v>
      </c>
      <c r="G1077" s="14">
        <v>29</v>
      </c>
      <c r="H1077" s="14">
        <v>89.06</v>
      </c>
      <c r="I1077" s="15">
        <v>0.75</v>
      </c>
    </row>
    <row r="1078" spans="1:9" x14ac:dyDescent="0.25">
      <c r="A1078" s="12">
        <v>24</v>
      </c>
      <c r="B1078" s="13">
        <v>45170</v>
      </c>
      <c r="C1078" s="14">
        <v>31.7</v>
      </c>
      <c r="D1078" s="14">
        <v>59</v>
      </c>
      <c r="E1078" s="14">
        <v>532</v>
      </c>
      <c r="F1078" s="14">
        <v>6.5</v>
      </c>
      <c r="G1078" s="14">
        <v>30</v>
      </c>
      <c r="H1078" s="14">
        <v>89.06</v>
      </c>
      <c r="I1078" s="15">
        <v>0.59</v>
      </c>
    </row>
    <row r="1079" spans="1:9" x14ac:dyDescent="0.25">
      <c r="A1079" s="12">
        <v>24</v>
      </c>
      <c r="B1079" s="13">
        <v>45171</v>
      </c>
      <c r="C1079" s="14">
        <v>31.7</v>
      </c>
      <c r="D1079" s="14">
        <v>76</v>
      </c>
      <c r="E1079" s="14">
        <v>664</v>
      </c>
      <c r="F1079" s="14">
        <v>6.6</v>
      </c>
      <c r="G1079" s="14">
        <v>31</v>
      </c>
      <c r="H1079" s="14">
        <v>89.06</v>
      </c>
      <c r="I1079" s="15">
        <v>0.76</v>
      </c>
    </row>
    <row r="1080" spans="1:9" x14ac:dyDescent="0.25">
      <c r="A1080" s="12">
        <v>24</v>
      </c>
      <c r="B1080" s="13">
        <v>45172</v>
      </c>
      <c r="C1080" s="14">
        <v>31.7</v>
      </c>
      <c r="D1080" s="14">
        <v>76</v>
      </c>
      <c r="E1080" s="14">
        <v>465</v>
      </c>
      <c r="F1080" s="14">
        <v>6.6</v>
      </c>
      <c r="G1080" s="14">
        <v>32</v>
      </c>
      <c r="H1080" s="14">
        <v>89.06</v>
      </c>
      <c r="I1080" s="15">
        <v>0.76</v>
      </c>
    </row>
    <row r="1081" spans="1:9" x14ac:dyDescent="0.25">
      <c r="A1081" s="12">
        <v>24</v>
      </c>
      <c r="B1081" s="13">
        <v>45173</v>
      </c>
      <c r="C1081" s="14">
        <v>32</v>
      </c>
      <c r="D1081" s="14">
        <v>69</v>
      </c>
      <c r="E1081" s="14">
        <v>491</v>
      </c>
      <c r="F1081" s="14">
        <v>6.1</v>
      </c>
      <c r="G1081" s="14">
        <v>33</v>
      </c>
      <c r="H1081" s="14">
        <v>89.6</v>
      </c>
      <c r="I1081" s="15">
        <v>0.69</v>
      </c>
    </row>
    <row r="1082" spans="1:9" x14ac:dyDescent="0.25">
      <c r="A1082" s="12">
        <v>24</v>
      </c>
      <c r="B1082" s="13">
        <v>45174</v>
      </c>
      <c r="C1082" s="14">
        <v>32.1</v>
      </c>
      <c r="D1082" s="14">
        <v>61</v>
      </c>
      <c r="E1082" s="14">
        <v>428</v>
      </c>
      <c r="F1082" s="14">
        <v>6.5</v>
      </c>
      <c r="G1082" s="14">
        <v>34</v>
      </c>
      <c r="H1082" s="14">
        <v>89.78</v>
      </c>
      <c r="I1082" s="15">
        <v>0.61</v>
      </c>
    </row>
    <row r="1083" spans="1:9" x14ac:dyDescent="0.25">
      <c r="A1083" s="12">
        <v>24</v>
      </c>
      <c r="B1083" s="13">
        <v>45175</v>
      </c>
      <c r="C1083" s="14">
        <v>31.5</v>
      </c>
      <c r="D1083" s="14">
        <v>50</v>
      </c>
      <c r="E1083" s="14">
        <v>591</v>
      </c>
      <c r="F1083" s="14">
        <v>6</v>
      </c>
      <c r="G1083" s="14">
        <v>35</v>
      </c>
      <c r="H1083" s="14">
        <v>88.7</v>
      </c>
      <c r="I1083" s="15">
        <v>0.5</v>
      </c>
    </row>
    <row r="1084" spans="1:9" x14ac:dyDescent="0.25">
      <c r="A1084" s="12">
        <v>24</v>
      </c>
      <c r="B1084" s="13">
        <v>45176</v>
      </c>
      <c r="C1084" s="14">
        <v>29.8</v>
      </c>
      <c r="D1084" s="14">
        <v>61</v>
      </c>
      <c r="E1084" s="14">
        <v>604</v>
      </c>
      <c r="F1084" s="14">
        <v>6</v>
      </c>
      <c r="G1084" s="14">
        <v>36</v>
      </c>
      <c r="H1084" s="14">
        <v>85.64</v>
      </c>
      <c r="I1084" s="15">
        <v>0.61</v>
      </c>
    </row>
    <row r="1085" spans="1:9" x14ac:dyDescent="0.25">
      <c r="A1085" s="12">
        <v>24</v>
      </c>
      <c r="B1085" s="13">
        <v>45177</v>
      </c>
      <c r="C1085" s="14">
        <v>20.100000000000001</v>
      </c>
      <c r="D1085" s="14">
        <v>75</v>
      </c>
      <c r="E1085" s="14">
        <v>485</v>
      </c>
      <c r="F1085" s="14">
        <v>6.4</v>
      </c>
      <c r="G1085" s="14">
        <v>37</v>
      </c>
      <c r="H1085" s="14">
        <v>68.180000000000007</v>
      </c>
      <c r="I1085" s="15">
        <v>0.75</v>
      </c>
    </row>
    <row r="1086" spans="1:9" x14ac:dyDescent="0.25">
      <c r="A1086" s="12">
        <v>24</v>
      </c>
      <c r="B1086" s="13">
        <v>45178</v>
      </c>
      <c r="C1086" s="14">
        <v>31.1</v>
      </c>
      <c r="D1086" s="14">
        <v>71</v>
      </c>
      <c r="E1086" s="14">
        <v>756</v>
      </c>
      <c r="F1086" s="14">
        <v>6.1</v>
      </c>
      <c r="G1086" s="14">
        <v>38</v>
      </c>
      <c r="H1086" s="14">
        <v>87.98</v>
      </c>
      <c r="I1086" s="15">
        <v>0.71</v>
      </c>
    </row>
    <row r="1087" spans="1:9" x14ac:dyDescent="0.25">
      <c r="A1087" s="12">
        <v>24</v>
      </c>
      <c r="B1087" s="13">
        <v>45179</v>
      </c>
      <c r="C1087" s="14">
        <v>31.2</v>
      </c>
      <c r="D1087" s="14">
        <v>51</v>
      </c>
      <c r="E1087" s="14">
        <v>624</v>
      </c>
      <c r="F1087" s="14">
        <v>6.4</v>
      </c>
      <c r="G1087" s="14">
        <v>39</v>
      </c>
      <c r="H1087" s="14">
        <v>88.16</v>
      </c>
      <c r="I1087" s="15">
        <v>0.51</v>
      </c>
    </row>
    <row r="1088" spans="1:9" x14ac:dyDescent="0.25">
      <c r="A1088" s="12">
        <v>24</v>
      </c>
      <c r="B1088" s="13">
        <v>45180</v>
      </c>
      <c r="C1088" s="14">
        <v>31.2</v>
      </c>
      <c r="D1088" s="14">
        <v>70</v>
      </c>
      <c r="E1088" s="14">
        <v>402</v>
      </c>
      <c r="F1088" s="14">
        <v>6.7</v>
      </c>
      <c r="G1088" s="14">
        <v>40</v>
      </c>
      <c r="H1088" s="14">
        <v>88.16</v>
      </c>
      <c r="I1088" s="15">
        <v>0.7</v>
      </c>
    </row>
    <row r="1089" spans="1:9" x14ac:dyDescent="0.25">
      <c r="A1089" s="12">
        <v>24</v>
      </c>
      <c r="B1089" s="13">
        <v>45181</v>
      </c>
      <c r="C1089" s="14">
        <v>30.4</v>
      </c>
      <c r="D1089" s="14">
        <v>69</v>
      </c>
      <c r="E1089" s="14">
        <v>490</v>
      </c>
      <c r="F1089" s="14">
        <v>6</v>
      </c>
      <c r="G1089" s="14">
        <v>41</v>
      </c>
      <c r="H1089" s="14">
        <v>86.72</v>
      </c>
      <c r="I1089" s="15">
        <v>0.69</v>
      </c>
    </row>
    <row r="1090" spans="1:9" x14ac:dyDescent="0.25">
      <c r="A1090" s="12">
        <v>24</v>
      </c>
      <c r="B1090" s="13">
        <v>45182</v>
      </c>
      <c r="C1090" s="14">
        <v>29.1</v>
      </c>
      <c r="D1090" s="14">
        <v>51</v>
      </c>
      <c r="E1090" s="14">
        <v>697</v>
      </c>
      <c r="F1090" s="14">
        <v>6.1</v>
      </c>
      <c r="G1090" s="14">
        <v>42</v>
      </c>
      <c r="H1090" s="14">
        <v>84.38</v>
      </c>
      <c r="I1090" s="15">
        <v>0.51</v>
      </c>
    </row>
    <row r="1091" spans="1:9" x14ac:dyDescent="0.25">
      <c r="A1091" s="12">
        <v>24</v>
      </c>
      <c r="B1091" s="13">
        <v>45183</v>
      </c>
      <c r="C1091" s="14">
        <v>30.6</v>
      </c>
      <c r="D1091" s="14">
        <v>56</v>
      </c>
      <c r="E1091" s="14">
        <v>546</v>
      </c>
      <c r="F1091" s="14">
        <v>6</v>
      </c>
      <c r="G1091" s="14">
        <v>43</v>
      </c>
      <c r="H1091" s="14">
        <v>87.08</v>
      </c>
      <c r="I1091" s="15">
        <v>0.56000000000000005</v>
      </c>
    </row>
    <row r="1092" spans="1:9" x14ac:dyDescent="0.25">
      <c r="A1092" s="12">
        <v>24</v>
      </c>
      <c r="B1092" s="13">
        <v>45184</v>
      </c>
      <c r="C1092" s="14">
        <v>31.5</v>
      </c>
      <c r="D1092" s="14">
        <v>70</v>
      </c>
      <c r="E1092" s="14">
        <v>503</v>
      </c>
      <c r="F1092" s="14">
        <v>6.5</v>
      </c>
      <c r="G1092" s="14">
        <v>44</v>
      </c>
      <c r="H1092" s="14">
        <v>88.7</v>
      </c>
      <c r="I1092" s="15">
        <v>0.7</v>
      </c>
    </row>
    <row r="1093" spans="1:9" x14ac:dyDescent="0.25">
      <c r="A1093" s="12">
        <v>24</v>
      </c>
      <c r="B1093" s="13">
        <v>45185</v>
      </c>
      <c r="C1093" s="14">
        <v>25</v>
      </c>
      <c r="D1093" s="14">
        <v>62</v>
      </c>
      <c r="E1093" s="14">
        <v>490</v>
      </c>
      <c r="F1093" s="14">
        <v>6.1</v>
      </c>
      <c r="G1093" s="14">
        <v>45</v>
      </c>
      <c r="H1093" s="14">
        <v>77</v>
      </c>
      <c r="I1093" s="15">
        <v>0.62</v>
      </c>
    </row>
    <row r="1094" spans="1:9" x14ac:dyDescent="0.25">
      <c r="A1094" s="12">
        <v>25</v>
      </c>
      <c r="B1094" s="13">
        <v>45141</v>
      </c>
      <c r="C1094" s="14">
        <v>33.4</v>
      </c>
      <c r="D1094" s="14">
        <v>53</v>
      </c>
      <c r="E1094" s="14">
        <v>598</v>
      </c>
      <c r="F1094" s="14">
        <v>6.7</v>
      </c>
      <c r="G1094" s="14">
        <v>1</v>
      </c>
      <c r="H1094" s="14">
        <v>92.12</v>
      </c>
      <c r="I1094" s="15">
        <v>0.53</v>
      </c>
    </row>
    <row r="1095" spans="1:9" x14ac:dyDescent="0.25">
      <c r="A1095" s="12">
        <v>25</v>
      </c>
      <c r="B1095" s="13">
        <v>45142</v>
      </c>
      <c r="C1095" s="14">
        <v>33.5</v>
      </c>
      <c r="D1095" s="14">
        <v>60</v>
      </c>
      <c r="E1095" s="14">
        <v>428</v>
      </c>
      <c r="F1095" s="14">
        <v>6</v>
      </c>
      <c r="G1095" s="14">
        <v>2</v>
      </c>
      <c r="H1095" s="14">
        <v>92.3</v>
      </c>
      <c r="I1095" s="15">
        <v>0.6</v>
      </c>
    </row>
    <row r="1096" spans="1:9" x14ac:dyDescent="0.25">
      <c r="A1096" s="12">
        <v>25</v>
      </c>
      <c r="B1096" s="13">
        <v>45143</v>
      </c>
      <c r="C1096" s="14">
        <v>33.4</v>
      </c>
      <c r="D1096" s="14">
        <v>77</v>
      </c>
      <c r="E1096" s="14">
        <v>558</v>
      </c>
      <c r="F1096" s="14">
        <v>6.5</v>
      </c>
      <c r="G1096" s="14">
        <v>3</v>
      </c>
      <c r="H1096" s="14">
        <v>92.12</v>
      </c>
      <c r="I1096" s="15">
        <v>0.77</v>
      </c>
    </row>
    <row r="1097" spans="1:9" x14ac:dyDescent="0.25">
      <c r="A1097" s="12">
        <v>25</v>
      </c>
      <c r="B1097" s="13">
        <v>45144</v>
      </c>
      <c r="C1097" s="14">
        <v>33.4</v>
      </c>
      <c r="D1097" s="14">
        <v>57</v>
      </c>
      <c r="E1097" s="14">
        <v>640</v>
      </c>
      <c r="F1097" s="14">
        <v>6.3</v>
      </c>
      <c r="G1097" s="14">
        <v>4</v>
      </c>
      <c r="H1097" s="14">
        <v>92.12</v>
      </c>
      <c r="I1097" s="15">
        <v>0.56999999999999995</v>
      </c>
    </row>
    <row r="1098" spans="1:9" x14ac:dyDescent="0.25">
      <c r="A1098" s="12">
        <v>25</v>
      </c>
      <c r="B1098" s="13">
        <v>45145</v>
      </c>
      <c r="C1098" s="14">
        <v>33.4</v>
      </c>
      <c r="D1098" s="14">
        <v>53</v>
      </c>
      <c r="E1098" s="14">
        <v>781</v>
      </c>
      <c r="F1098" s="14">
        <v>6.2</v>
      </c>
      <c r="G1098" s="14">
        <v>5</v>
      </c>
      <c r="H1098" s="14">
        <v>92.12</v>
      </c>
      <c r="I1098" s="15">
        <v>0.53</v>
      </c>
    </row>
    <row r="1099" spans="1:9" x14ac:dyDescent="0.25">
      <c r="A1099" s="12">
        <v>25</v>
      </c>
      <c r="B1099" s="13">
        <v>45146</v>
      </c>
      <c r="C1099" s="14">
        <v>32.299999999999997</v>
      </c>
      <c r="D1099" s="14">
        <v>75</v>
      </c>
      <c r="E1099" s="14">
        <v>603</v>
      </c>
      <c r="F1099" s="14">
        <v>6.4</v>
      </c>
      <c r="G1099" s="14">
        <v>6</v>
      </c>
      <c r="H1099" s="14">
        <v>90.14</v>
      </c>
      <c r="I1099" s="15">
        <v>0.75</v>
      </c>
    </row>
    <row r="1100" spans="1:9" x14ac:dyDescent="0.25">
      <c r="A1100" s="12">
        <v>25</v>
      </c>
      <c r="B1100" s="13">
        <v>45147</v>
      </c>
      <c r="C1100" s="14">
        <v>32.299999999999997</v>
      </c>
      <c r="D1100" s="14">
        <v>66</v>
      </c>
      <c r="E1100" s="14">
        <v>567</v>
      </c>
      <c r="F1100" s="14">
        <v>6.2</v>
      </c>
      <c r="G1100" s="14">
        <v>7</v>
      </c>
      <c r="H1100" s="14">
        <v>90.14</v>
      </c>
      <c r="I1100" s="15">
        <v>0.66</v>
      </c>
    </row>
    <row r="1101" spans="1:9" x14ac:dyDescent="0.25">
      <c r="A1101" s="12">
        <v>25</v>
      </c>
      <c r="B1101" s="13">
        <v>45148</v>
      </c>
      <c r="C1101" s="14">
        <v>22.7</v>
      </c>
      <c r="D1101" s="14">
        <v>72</v>
      </c>
      <c r="E1101" s="14">
        <v>525</v>
      </c>
      <c r="F1101" s="14">
        <v>6.8</v>
      </c>
      <c r="G1101" s="14">
        <v>8</v>
      </c>
      <c r="H1101" s="14">
        <v>72.86</v>
      </c>
      <c r="I1101" s="15">
        <v>0.72</v>
      </c>
    </row>
    <row r="1102" spans="1:9" x14ac:dyDescent="0.25">
      <c r="A1102" s="12">
        <v>25</v>
      </c>
      <c r="B1102" s="13">
        <v>45149</v>
      </c>
      <c r="C1102" s="14">
        <v>31.9</v>
      </c>
      <c r="D1102" s="14">
        <v>76</v>
      </c>
      <c r="E1102" s="14">
        <v>533</v>
      </c>
      <c r="F1102" s="14">
        <v>6</v>
      </c>
      <c r="G1102" s="14">
        <v>9</v>
      </c>
      <c r="H1102" s="14">
        <v>89.42</v>
      </c>
      <c r="I1102" s="15">
        <v>0.76</v>
      </c>
    </row>
    <row r="1103" spans="1:9" x14ac:dyDescent="0.25">
      <c r="A1103" s="12">
        <v>25</v>
      </c>
      <c r="B1103" s="13">
        <v>45150</v>
      </c>
      <c r="C1103" s="14">
        <v>30.2</v>
      </c>
      <c r="D1103" s="14">
        <v>77</v>
      </c>
      <c r="E1103" s="14">
        <v>453</v>
      </c>
      <c r="F1103" s="14">
        <v>6.4</v>
      </c>
      <c r="G1103" s="14">
        <v>10</v>
      </c>
      <c r="H1103" s="14">
        <v>86.36</v>
      </c>
      <c r="I1103" s="15">
        <v>0.77</v>
      </c>
    </row>
    <row r="1104" spans="1:9" x14ac:dyDescent="0.25">
      <c r="A1104" s="12">
        <v>25</v>
      </c>
      <c r="B1104" s="13">
        <v>45151</v>
      </c>
      <c r="C1104" s="14">
        <v>30.1</v>
      </c>
      <c r="D1104" s="14">
        <v>64</v>
      </c>
      <c r="E1104" s="14">
        <v>503</v>
      </c>
      <c r="F1104" s="14">
        <v>6.7</v>
      </c>
      <c r="G1104" s="14">
        <v>11</v>
      </c>
      <c r="H1104" s="14">
        <v>86.18</v>
      </c>
      <c r="I1104" s="15">
        <v>0.64</v>
      </c>
    </row>
    <row r="1105" spans="1:9" x14ac:dyDescent="0.25">
      <c r="A1105" s="12">
        <v>25</v>
      </c>
      <c r="B1105" s="13">
        <v>45152</v>
      </c>
      <c r="C1105" s="14">
        <v>30.1</v>
      </c>
      <c r="D1105" s="14">
        <v>63</v>
      </c>
      <c r="E1105" s="14">
        <v>744</v>
      </c>
      <c r="F1105" s="14">
        <v>6.2</v>
      </c>
      <c r="G1105" s="14">
        <v>12</v>
      </c>
      <c r="H1105" s="14">
        <v>86.18</v>
      </c>
      <c r="I1105" s="15">
        <v>0.63</v>
      </c>
    </row>
    <row r="1106" spans="1:9" x14ac:dyDescent="0.25">
      <c r="A1106" s="12">
        <v>25</v>
      </c>
      <c r="B1106" s="13">
        <v>45153</v>
      </c>
      <c r="C1106" s="14">
        <v>30.1</v>
      </c>
      <c r="D1106" s="14">
        <v>76</v>
      </c>
      <c r="E1106" s="14">
        <v>424</v>
      </c>
      <c r="F1106" s="14">
        <v>6.4</v>
      </c>
      <c r="G1106" s="14">
        <v>13</v>
      </c>
      <c r="H1106" s="14">
        <v>86.18</v>
      </c>
      <c r="I1106" s="15">
        <v>0.76</v>
      </c>
    </row>
    <row r="1107" spans="1:9" x14ac:dyDescent="0.25">
      <c r="A1107" s="12">
        <v>25</v>
      </c>
      <c r="B1107" s="13">
        <v>45154</v>
      </c>
      <c r="C1107" s="14">
        <v>29.8</v>
      </c>
      <c r="D1107" s="14">
        <v>55</v>
      </c>
      <c r="E1107" s="14">
        <v>797</v>
      </c>
      <c r="F1107" s="14">
        <v>6.2</v>
      </c>
      <c r="G1107" s="14">
        <v>14</v>
      </c>
      <c r="H1107" s="14">
        <v>85.64</v>
      </c>
      <c r="I1107" s="15">
        <v>0.55000000000000004</v>
      </c>
    </row>
    <row r="1108" spans="1:9" x14ac:dyDescent="0.25">
      <c r="A1108" s="12">
        <v>25</v>
      </c>
      <c r="B1108" s="13">
        <v>45155</v>
      </c>
      <c r="C1108" s="14">
        <v>29.6</v>
      </c>
      <c r="D1108" s="14">
        <v>55</v>
      </c>
      <c r="E1108" s="14">
        <v>668</v>
      </c>
      <c r="F1108" s="14">
        <v>6.7</v>
      </c>
      <c r="G1108" s="14">
        <v>15</v>
      </c>
      <c r="H1108" s="14">
        <v>85.28</v>
      </c>
      <c r="I1108" s="15">
        <v>0.55000000000000004</v>
      </c>
    </row>
    <row r="1109" spans="1:9" x14ac:dyDescent="0.25">
      <c r="A1109" s="12">
        <v>25</v>
      </c>
      <c r="B1109" s="13">
        <v>45156</v>
      </c>
      <c r="C1109" s="14">
        <v>30.9</v>
      </c>
      <c r="D1109" s="14">
        <v>67</v>
      </c>
      <c r="E1109" s="14">
        <v>411</v>
      </c>
      <c r="F1109" s="14">
        <v>6.3</v>
      </c>
      <c r="G1109" s="14">
        <v>16</v>
      </c>
      <c r="H1109" s="14">
        <v>87.62</v>
      </c>
      <c r="I1109" s="15">
        <v>0.67</v>
      </c>
    </row>
    <row r="1110" spans="1:9" x14ac:dyDescent="0.25">
      <c r="A1110" s="12">
        <v>25</v>
      </c>
      <c r="B1110" s="13">
        <v>45157</v>
      </c>
      <c r="C1110" s="14">
        <v>30.8</v>
      </c>
      <c r="D1110" s="14">
        <v>74</v>
      </c>
      <c r="E1110" s="14">
        <v>467</v>
      </c>
      <c r="F1110" s="14">
        <v>6</v>
      </c>
      <c r="G1110" s="14">
        <v>17</v>
      </c>
      <c r="H1110" s="14">
        <v>87.44</v>
      </c>
      <c r="I1110" s="15">
        <v>0.74</v>
      </c>
    </row>
    <row r="1111" spans="1:9" x14ac:dyDescent="0.25">
      <c r="A1111" s="12">
        <v>25</v>
      </c>
      <c r="B1111" s="13">
        <v>45158</v>
      </c>
      <c r="C1111" s="14">
        <v>30.9</v>
      </c>
      <c r="D1111" s="14">
        <v>70</v>
      </c>
      <c r="E1111" s="14">
        <v>637</v>
      </c>
      <c r="F1111" s="14">
        <v>6.3</v>
      </c>
      <c r="G1111" s="14">
        <v>18</v>
      </c>
      <c r="H1111" s="14">
        <v>87.62</v>
      </c>
      <c r="I1111" s="15">
        <v>0.7</v>
      </c>
    </row>
    <row r="1112" spans="1:9" x14ac:dyDescent="0.25">
      <c r="A1112" s="12">
        <v>25</v>
      </c>
      <c r="B1112" s="13">
        <v>45159</v>
      </c>
      <c r="C1112" s="14">
        <v>30.2</v>
      </c>
      <c r="D1112" s="14">
        <v>69</v>
      </c>
      <c r="E1112" s="14">
        <v>719</v>
      </c>
      <c r="F1112" s="14">
        <v>6.4</v>
      </c>
      <c r="G1112" s="14">
        <v>19</v>
      </c>
      <c r="H1112" s="14">
        <v>86.36</v>
      </c>
      <c r="I1112" s="15">
        <v>0.69</v>
      </c>
    </row>
    <row r="1113" spans="1:9" x14ac:dyDescent="0.25">
      <c r="A1113" s="12">
        <v>25</v>
      </c>
      <c r="B1113" s="13">
        <v>45160</v>
      </c>
      <c r="C1113" s="14">
        <v>30.5</v>
      </c>
      <c r="D1113" s="14">
        <v>77</v>
      </c>
      <c r="E1113" s="14">
        <v>703</v>
      </c>
      <c r="F1113" s="14">
        <v>6.4</v>
      </c>
      <c r="G1113" s="14">
        <v>20</v>
      </c>
      <c r="H1113" s="14">
        <v>86.9</v>
      </c>
      <c r="I1113" s="15">
        <v>0.77</v>
      </c>
    </row>
    <row r="1114" spans="1:9" x14ac:dyDescent="0.25">
      <c r="A1114" s="12">
        <v>25</v>
      </c>
      <c r="B1114" s="13">
        <v>45161</v>
      </c>
      <c r="C1114" s="14">
        <v>30.8</v>
      </c>
      <c r="D1114" s="14">
        <v>79</v>
      </c>
      <c r="E1114" s="14">
        <v>738</v>
      </c>
      <c r="F1114" s="14">
        <v>6.6</v>
      </c>
      <c r="G1114" s="14">
        <v>21</v>
      </c>
      <c r="H1114" s="14">
        <v>87.44</v>
      </c>
      <c r="I1114" s="15">
        <v>0.79</v>
      </c>
    </row>
    <row r="1115" spans="1:9" x14ac:dyDescent="0.25">
      <c r="A1115" s="12">
        <v>25</v>
      </c>
      <c r="B1115" s="13">
        <v>45162</v>
      </c>
      <c r="C1115" s="14">
        <v>31.3</v>
      </c>
      <c r="D1115" s="14">
        <v>73</v>
      </c>
      <c r="E1115" s="14">
        <v>761</v>
      </c>
      <c r="F1115" s="14">
        <v>6.8</v>
      </c>
      <c r="G1115" s="14">
        <v>22</v>
      </c>
      <c r="H1115" s="14">
        <v>88.34</v>
      </c>
      <c r="I1115" s="15">
        <v>0.73</v>
      </c>
    </row>
    <row r="1116" spans="1:9" x14ac:dyDescent="0.25">
      <c r="A1116" s="12">
        <v>25</v>
      </c>
      <c r="B1116" s="13">
        <v>45163</v>
      </c>
      <c r="C1116" s="14">
        <v>31.4</v>
      </c>
      <c r="D1116" s="14">
        <v>54</v>
      </c>
      <c r="E1116" s="14">
        <v>760</v>
      </c>
      <c r="F1116" s="14">
        <v>6.6</v>
      </c>
      <c r="G1116" s="14">
        <v>23</v>
      </c>
      <c r="H1116" s="14">
        <v>88.52</v>
      </c>
      <c r="I1116" s="15">
        <v>0.54</v>
      </c>
    </row>
    <row r="1117" spans="1:9" x14ac:dyDescent="0.25">
      <c r="A1117" s="12">
        <v>25</v>
      </c>
      <c r="B1117" s="13">
        <v>45164</v>
      </c>
      <c r="C1117" s="14">
        <v>31.4</v>
      </c>
      <c r="D1117" s="14">
        <v>72</v>
      </c>
      <c r="E1117" s="14">
        <v>467</v>
      </c>
      <c r="F1117" s="14">
        <v>6.5</v>
      </c>
      <c r="G1117" s="14">
        <v>24</v>
      </c>
      <c r="H1117" s="14">
        <v>88.52</v>
      </c>
      <c r="I1117" s="15">
        <v>0.72</v>
      </c>
    </row>
    <row r="1118" spans="1:9" x14ac:dyDescent="0.25">
      <c r="A1118" s="12">
        <v>25</v>
      </c>
      <c r="B1118" s="13">
        <v>45165</v>
      </c>
      <c r="C1118" s="14">
        <v>30.1</v>
      </c>
      <c r="D1118" s="14">
        <v>57</v>
      </c>
      <c r="E1118" s="14">
        <v>448</v>
      </c>
      <c r="F1118" s="14">
        <v>6.1</v>
      </c>
      <c r="G1118" s="14">
        <v>25</v>
      </c>
      <c r="H1118" s="14">
        <v>86.18</v>
      </c>
      <c r="I1118" s="15">
        <v>0.56999999999999995</v>
      </c>
    </row>
    <row r="1119" spans="1:9" x14ac:dyDescent="0.25">
      <c r="A1119" s="12">
        <v>25</v>
      </c>
      <c r="B1119" s="13">
        <v>45166</v>
      </c>
      <c r="C1119" s="14">
        <v>29.4</v>
      </c>
      <c r="D1119" s="14">
        <v>51</v>
      </c>
      <c r="E1119" s="14">
        <v>470</v>
      </c>
      <c r="F1119" s="14">
        <v>6.2</v>
      </c>
      <c r="G1119" s="14">
        <v>26</v>
      </c>
      <c r="H1119" s="14">
        <v>84.92</v>
      </c>
      <c r="I1119" s="15">
        <v>0.51</v>
      </c>
    </row>
    <row r="1120" spans="1:9" x14ac:dyDescent="0.25">
      <c r="A1120" s="12">
        <v>25</v>
      </c>
      <c r="B1120" s="13">
        <v>45167</v>
      </c>
      <c r="C1120" s="14">
        <v>28.7</v>
      </c>
      <c r="D1120" s="14">
        <v>73</v>
      </c>
      <c r="E1120" s="14">
        <v>474</v>
      </c>
      <c r="F1120" s="14">
        <v>6</v>
      </c>
      <c r="G1120" s="14">
        <v>27</v>
      </c>
      <c r="H1120" s="14">
        <v>83.66</v>
      </c>
      <c r="I1120" s="15">
        <v>0.73</v>
      </c>
    </row>
    <row r="1121" spans="1:9" x14ac:dyDescent="0.25">
      <c r="A1121" s="12">
        <v>25</v>
      </c>
      <c r="B1121" s="13">
        <v>45168</v>
      </c>
      <c r="C1121" s="14">
        <v>29.1</v>
      </c>
      <c r="D1121" s="14">
        <v>68</v>
      </c>
      <c r="E1121" s="14">
        <v>679</v>
      </c>
      <c r="F1121" s="14">
        <v>6.5</v>
      </c>
      <c r="G1121" s="14">
        <v>28</v>
      </c>
      <c r="H1121" s="14">
        <v>84.38</v>
      </c>
      <c r="I1121" s="15">
        <v>0.68</v>
      </c>
    </row>
    <row r="1122" spans="1:9" x14ac:dyDescent="0.25">
      <c r="A1122" s="12">
        <v>25</v>
      </c>
      <c r="B1122" s="13">
        <v>45169</v>
      </c>
      <c r="C1122" s="14">
        <v>29.2</v>
      </c>
      <c r="D1122" s="14">
        <v>66</v>
      </c>
      <c r="E1122" s="14">
        <v>703</v>
      </c>
      <c r="F1122" s="14">
        <v>6.7</v>
      </c>
      <c r="G1122" s="14">
        <v>29</v>
      </c>
      <c r="H1122" s="14">
        <v>84.56</v>
      </c>
      <c r="I1122" s="15">
        <v>0.66</v>
      </c>
    </row>
    <row r="1123" spans="1:9" x14ac:dyDescent="0.25">
      <c r="A1123" s="12">
        <v>25</v>
      </c>
      <c r="B1123" s="13">
        <v>45170</v>
      </c>
      <c r="C1123" s="14">
        <v>31.7</v>
      </c>
      <c r="D1123" s="14">
        <v>75</v>
      </c>
      <c r="E1123" s="14">
        <v>565</v>
      </c>
      <c r="F1123" s="14">
        <v>6.6</v>
      </c>
      <c r="G1123" s="14">
        <v>30</v>
      </c>
      <c r="H1123" s="14">
        <v>89.06</v>
      </c>
      <c r="I1123" s="15">
        <v>0.75</v>
      </c>
    </row>
    <row r="1124" spans="1:9" x14ac:dyDescent="0.25">
      <c r="A1124" s="12">
        <v>25</v>
      </c>
      <c r="B1124" s="13">
        <v>45171</v>
      </c>
      <c r="C1124" s="14">
        <v>31.7</v>
      </c>
      <c r="D1124" s="14">
        <v>73</v>
      </c>
      <c r="E1124" s="14">
        <v>416</v>
      </c>
      <c r="F1124" s="14">
        <v>6.5</v>
      </c>
      <c r="G1124" s="14">
        <v>31</v>
      </c>
      <c r="H1124" s="14">
        <v>89.06</v>
      </c>
      <c r="I1124" s="15">
        <v>0.73</v>
      </c>
    </row>
    <row r="1125" spans="1:9" x14ac:dyDescent="0.25">
      <c r="A1125" s="12">
        <v>25</v>
      </c>
      <c r="B1125" s="13">
        <v>45172</v>
      </c>
      <c r="C1125" s="14">
        <v>31.7</v>
      </c>
      <c r="D1125" s="14">
        <v>75</v>
      </c>
      <c r="E1125" s="14">
        <v>414</v>
      </c>
      <c r="F1125" s="14">
        <v>6.5</v>
      </c>
      <c r="G1125" s="14">
        <v>32</v>
      </c>
      <c r="H1125" s="14">
        <v>89.06</v>
      </c>
      <c r="I1125" s="15">
        <v>0.75</v>
      </c>
    </row>
    <row r="1126" spans="1:9" x14ac:dyDescent="0.25">
      <c r="A1126" s="12">
        <v>25</v>
      </c>
      <c r="B1126" s="13">
        <v>45173</v>
      </c>
      <c r="C1126" s="14">
        <v>31.7</v>
      </c>
      <c r="D1126" s="14">
        <v>60</v>
      </c>
      <c r="E1126" s="14">
        <v>551</v>
      </c>
      <c r="F1126" s="14">
        <v>6.3</v>
      </c>
      <c r="G1126" s="14">
        <v>33</v>
      </c>
      <c r="H1126" s="14">
        <v>89.06</v>
      </c>
      <c r="I1126" s="15">
        <v>0.6</v>
      </c>
    </row>
    <row r="1127" spans="1:9" x14ac:dyDescent="0.25">
      <c r="A1127" s="12">
        <v>25</v>
      </c>
      <c r="B1127" s="13">
        <v>45174</v>
      </c>
      <c r="C1127" s="14">
        <v>32</v>
      </c>
      <c r="D1127" s="14">
        <v>76</v>
      </c>
      <c r="E1127" s="14">
        <v>648</v>
      </c>
      <c r="F1127" s="14">
        <v>6.2</v>
      </c>
      <c r="G1127" s="14">
        <v>34</v>
      </c>
      <c r="H1127" s="14">
        <v>89.6</v>
      </c>
      <c r="I1127" s="15">
        <v>0.76</v>
      </c>
    </row>
    <row r="1128" spans="1:9" x14ac:dyDescent="0.25">
      <c r="A1128" s="12">
        <v>25</v>
      </c>
      <c r="B1128" s="13">
        <v>45175</v>
      </c>
      <c r="C1128" s="14">
        <v>32.1</v>
      </c>
      <c r="D1128" s="14">
        <v>73</v>
      </c>
      <c r="E1128" s="14">
        <v>416</v>
      </c>
      <c r="F1128" s="14">
        <v>6.2</v>
      </c>
      <c r="G1128" s="14">
        <v>35</v>
      </c>
      <c r="H1128" s="14">
        <v>89.78</v>
      </c>
      <c r="I1128" s="15">
        <v>0.73</v>
      </c>
    </row>
    <row r="1129" spans="1:9" x14ac:dyDescent="0.25">
      <c r="A1129" s="12">
        <v>25</v>
      </c>
      <c r="B1129" s="13">
        <v>45176</v>
      </c>
      <c r="C1129" s="14">
        <v>31.5</v>
      </c>
      <c r="D1129" s="14">
        <v>59</v>
      </c>
      <c r="E1129" s="14">
        <v>657</v>
      </c>
      <c r="F1129" s="14">
        <v>6.6</v>
      </c>
      <c r="G1129" s="14">
        <v>36</v>
      </c>
      <c r="H1129" s="14">
        <v>88.7</v>
      </c>
      <c r="I1129" s="15">
        <v>0.59</v>
      </c>
    </row>
    <row r="1130" spans="1:9" x14ac:dyDescent="0.25">
      <c r="A1130" s="12">
        <v>25</v>
      </c>
      <c r="B1130" s="13">
        <v>45177</v>
      </c>
      <c r="C1130" s="14">
        <v>29.8</v>
      </c>
      <c r="D1130" s="14">
        <v>75</v>
      </c>
      <c r="E1130" s="14">
        <v>649</v>
      </c>
      <c r="F1130" s="14">
        <v>6.2</v>
      </c>
      <c r="G1130" s="14">
        <v>37</v>
      </c>
      <c r="H1130" s="14">
        <v>85.64</v>
      </c>
      <c r="I1130" s="15">
        <v>0.75</v>
      </c>
    </row>
    <row r="1131" spans="1:9" x14ac:dyDescent="0.25">
      <c r="A1131" s="12">
        <v>25</v>
      </c>
      <c r="B1131" s="13">
        <v>45178</v>
      </c>
      <c r="C1131" s="14">
        <v>20.100000000000001</v>
      </c>
      <c r="D1131" s="14">
        <v>79</v>
      </c>
      <c r="E1131" s="14">
        <v>420</v>
      </c>
      <c r="F1131" s="14">
        <v>6.1</v>
      </c>
      <c r="G1131" s="14">
        <v>38</v>
      </c>
      <c r="H1131" s="14">
        <v>68.180000000000007</v>
      </c>
      <c r="I1131" s="15">
        <v>0.79</v>
      </c>
    </row>
    <row r="1132" spans="1:9" x14ac:dyDescent="0.25">
      <c r="A1132" s="12">
        <v>25</v>
      </c>
      <c r="B1132" s="13">
        <v>45179</v>
      </c>
      <c r="C1132" s="14">
        <v>31.1</v>
      </c>
      <c r="D1132" s="14">
        <v>78</v>
      </c>
      <c r="E1132" s="14">
        <v>608</v>
      </c>
      <c r="F1132" s="14">
        <v>6.3</v>
      </c>
      <c r="G1132" s="14">
        <v>39</v>
      </c>
      <c r="H1132" s="14">
        <v>87.98</v>
      </c>
      <c r="I1132" s="15">
        <v>0.78</v>
      </c>
    </row>
    <row r="1133" spans="1:9" x14ac:dyDescent="0.25">
      <c r="A1133" s="12">
        <v>25</v>
      </c>
      <c r="B1133" s="13">
        <v>45180</v>
      </c>
      <c r="C1133" s="14">
        <v>31.2</v>
      </c>
      <c r="D1133" s="14">
        <v>77</v>
      </c>
      <c r="E1133" s="14">
        <v>680</v>
      </c>
      <c r="F1133" s="14">
        <v>6.6</v>
      </c>
      <c r="G1133" s="14">
        <v>40</v>
      </c>
      <c r="H1133" s="14">
        <v>88.16</v>
      </c>
      <c r="I1133" s="15">
        <v>0.77</v>
      </c>
    </row>
    <row r="1134" spans="1:9" x14ac:dyDescent="0.25">
      <c r="A1134" s="12">
        <v>25</v>
      </c>
      <c r="B1134" s="13">
        <v>45181</v>
      </c>
      <c r="C1134" s="14">
        <v>31.2</v>
      </c>
      <c r="D1134" s="14">
        <v>72</v>
      </c>
      <c r="E1134" s="14">
        <v>682</v>
      </c>
      <c r="F1134" s="14">
        <v>6.7</v>
      </c>
      <c r="G1134" s="14">
        <v>41</v>
      </c>
      <c r="H1134" s="14">
        <v>88.16</v>
      </c>
      <c r="I1134" s="15">
        <v>0.72</v>
      </c>
    </row>
    <row r="1135" spans="1:9" x14ac:dyDescent="0.25">
      <c r="A1135" s="12">
        <v>25</v>
      </c>
      <c r="B1135" s="13">
        <v>45182</v>
      </c>
      <c r="C1135" s="14">
        <v>30.4</v>
      </c>
      <c r="D1135" s="14">
        <v>73</v>
      </c>
      <c r="E1135" s="14">
        <v>514</v>
      </c>
      <c r="F1135" s="14">
        <v>6</v>
      </c>
      <c r="G1135" s="14">
        <v>42</v>
      </c>
      <c r="H1135" s="14">
        <v>86.72</v>
      </c>
      <c r="I1135" s="15">
        <v>0.73</v>
      </c>
    </row>
    <row r="1136" spans="1:9" x14ac:dyDescent="0.25">
      <c r="A1136" s="12">
        <v>25</v>
      </c>
      <c r="B1136" s="13">
        <v>45183</v>
      </c>
      <c r="C1136" s="14">
        <v>29.1</v>
      </c>
      <c r="D1136" s="14">
        <v>50</v>
      </c>
      <c r="E1136" s="14">
        <v>446</v>
      </c>
      <c r="F1136" s="14">
        <v>6.3</v>
      </c>
      <c r="G1136" s="14">
        <v>43</v>
      </c>
      <c r="H1136" s="14">
        <v>84.38</v>
      </c>
      <c r="I1136" s="15">
        <v>0.5</v>
      </c>
    </row>
    <row r="1137" spans="1:9" x14ac:dyDescent="0.25">
      <c r="A1137" s="12">
        <v>25</v>
      </c>
      <c r="B1137" s="13">
        <v>45184</v>
      </c>
      <c r="C1137" s="14">
        <v>30.6</v>
      </c>
      <c r="D1137" s="14">
        <v>51</v>
      </c>
      <c r="E1137" s="14">
        <v>796</v>
      </c>
      <c r="F1137" s="14">
        <v>6.4</v>
      </c>
      <c r="G1137" s="14">
        <v>44</v>
      </c>
      <c r="H1137" s="14">
        <v>87.08</v>
      </c>
      <c r="I1137" s="15">
        <v>0.51</v>
      </c>
    </row>
    <row r="1138" spans="1:9" x14ac:dyDescent="0.25">
      <c r="A1138" s="12">
        <v>25</v>
      </c>
      <c r="B1138" s="13">
        <v>45185</v>
      </c>
      <c r="C1138" s="14">
        <v>31.5</v>
      </c>
      <c r="D1138" s="14">
        <v>58</v>
      </c>
      <c r="E1138" s="14">
        <v>429</v>
      </c>
      <c r="F1138" s="14">
        <v>6.5</v>
      </c>
      <c r="G1138" s="14">
        <v>45</v>
      </c>
      <c r="H1138" s="14">
        <v>88.7</v>
      </c>
      <c r="I1138" s="15">
        <v>0.57999999999999996</v>
      </c>
    </row>
    <row r="1139" spans="1:9" x14ac:dyDescent="0.25">
      <c r="A1139" s="12">
        <v>26</v>
      </c>
      <c r="B1139" s="13">
        <v>45141</v>
      </c>
      <c r="C1139" s="14">
        <v>33.4</v>
      </c>
      <c r="D1139" s="14">
        <v>54</v>
      </c>
      <c r="E1139" s="14">
        <v>458</v>
      </c>
      <c r="F1139" s="14">
        <v>6.3</v>
      </c>
      <c r="G1139" s="14">
        <v>1</v>
      </c>
      <c r="H1139" s="14">
        <v>92.12</v>
      </c>
      <c r="I1139" s="15">
        <v>0.54</v>
      </c>
    </row>
    <row r="1140" spans="1:9" x14ac:dyDescent="0.25">
      <c r="A1140" s="12">
        <v>26</v>
      </c>
      <c r="B1140" s="13">
        <v>45142</v>
      </c>
      <c r="C1140" s="14">
        <v>33.5</v>
      </c>
      <c r="D1140" s="14">
        <v>64</v>
      </c>
      <c r="E1140" s="14">
        <v>509</v>
      </c>
      <c r="F1140" s="14">
        <v>6.6</v>
      </c>
      <c r="G1140" s="14">
        <v>2</v>
      </c>
      <c r="H1140" s="14">
        <v>92.3</v>
      </c>
      <c r="I1140" s="15">
        <v>0.64</v>
      </c>
    </row>
    <row r="1141" spans="1:9" x14ac:dyDescent="0.25">
      <c r="A1141" s="12">
        <v>26</v>
      </c>
      <c r="B1141" s="13">
        <v>45143</v>
      </c>
      <c r="C1141" s="14">
        <v>33.4</v>
      </c>
      <c r="D1141" s="14">
        <v>51</v>
      </c>
      <c r="E1141" s="14">
        <v>774</v>
      </c>
      <c r="F1141" s="14">
        <v>6.7</v>
      </c>
      <c r="G1141" s="14">
        <v>3</v>
      </c>
      <c r="H1141" s="14">
        <v>92.12</v>
      </c>
      <c r="I1141" s="15">
        <v>0.51</v>
      </c>
    </row>
    <row r="1142" spans="1:9" x14ac:dyDescent="0.25">
      <c r="A1142" s="12">
        <v>26</v>
      </c>
      <c r="B1142" s="13">
        <v>45144</v>
      </c>
      <c r="C1142" s="14">
        <v>33.4</v>
      </c>
      <c r="D1142" s="14">
        <v>55</v>
      </c>
      <c r="E1142" s="14">
        <v>423</v>
      </c>
      <c r="F1142" s="14">
        <v>6.4</v>
      </c>
      <c r="G1142" s="14">
        <v>4</v>
      </c>
      <c r="H1142" s="14">
        <v>92.12</v>
      </c>
      <c r="I1142" s="15">
        <v>0.55000000000000004</v>
      </c>
    </row>
    <row r="1143" spans="1:9" x14ac:dyDescent="0.25">
      <c r="A1143" s="12">
        <v>26</v>
      </c>
      <c r="B1143" s="13">
        <v>45145</v>
      </c>
      <c r="C1143" s="14">
        <v>33.4</v>
      </c>
      <c r="D1143" s="14">
        <v>70</v>
      </c>
      <c r="E1143" s="14">
        <v>410</v>
      </c>
      <c r="F1143" s="14">
        <v>6</v>
      </c>
      <c r="G1143" s="14">
        <v>5</v>
      </c>
      <c r="H1143" s="14">
        <v>92.12</v>
      </c>
      <c r="I1143" s="15">
        <v>0.7</v>
      </c>
    </row>
    <row r="1144" spans="1:9" x14ac:dyDescent="0.25">
      <c r="A1144" s="12">
        <v>26</v>
      </c>
      <c r="B1144" s="13">
        <v>45146</v>
      </c>
      <c r="C1144" s="14">
        <v>32.299999999999997</v>
      </c>
      <c r="D1144" s="14">
        <v>63</v>
      </c>
      <c r="E1144" s="14">
        <v>669</v>
      </c>
      <c r="F1144" s="14">
        <v>6.1</v>
      </c>
      <c r="G1144" s="14">
        <v>6</v>
      </c>
      <c r="H1144" s="14">
        <v>90.14</v>
      </c>
      <c r="I1144" s="15">
        <v>0.63</v>
      </c>
    </row>
    <row r="1145" spans="1:9" x14ac:dyDescent="0.25">
      <c r="A1145" s="12">
        <v>26</v>
      </c>
      <c r="B1145" s="13">
        <v>45147</v>
      </c>
      <c r="C1145" s="14">
        <v>32.299999999999997</v>
      </c>
      <c r="D1145" s="14">
        <v>77</v>
      </c>
      <c r="E1145" s="14">
        <v>513</v>
      </c>
      <c r="F1145" s="14">
        <v>6.5</v>
      </c>
      <c r="G1145" s="14">
        <v>7</v>
      </c>
      <c r="H1145" s="14">
        <v>90.14</v>
      </c>
      <c r="I1145" s="15">
        <v>0.77</v>
      </c>
    </row>
    <row r="1146" spans="1:9" x14ac:dyDescent="0.25">
      <c r="A1146" s="12">
        <v>26</v>
      </c>
      <c r="B1146" s="13">
        <v>45148</v>
      </c>
      <c r="C1146" s="14">
        <v>22.7</v>
      </c>
      <c r="D1146" s="14">
        <v>74</v>
      </c>
      <c r="E1146" s="14">
        <v>495</v>
      </c>
      <c r="F1146" s="14">
        <v>6.8</v>
      </c>
      <c r="G1146" s="14">
        <v>8</v>
      </c>
      <c r="H1146" s="14">
        <v>72.86</v>
      </c>
      <c r="I1146" s="15">
        <v>0.74</v>
      </c>
    </row>
    <row r="1147" spans="1:9" x14ac:dyDescent="0.25">
      <c r="A1147" s="12">
        <v>26</v>
      </c>
      <c r="B1147" s="13">
        <v>45149</v>
      </c>
      <c r="C1147" s="14">
        <v>31.9</v>
      </c>
      <c r="D1147" s="14">
        <v>79</v>
      </c>
      <c r="E1147" s="14">
        <v>709</v>
      </c>
      <c r="F1147" s="14">
        <v>6.1</v>
      </c>
      <c r="G1147" s="14">
        <v>9</v>
      </c>
      <c r="H1147" s="14">
        <v>89.42</v>
      </c>
      <c r="I1147" s="15">
        <v>0.79</v>
      </c>
    </row>
    <row r="1148" spans="1:9" x14ac:dyDescent="0.25">
      <c r="A1148" s="12">
        <v>26</v>
      </c>
      <c r="B1148" s="13">
        <v>45150</v>
      </c>
      <c r="C1148" s="14">
        <v>30.2</v>
      </c>
      <c r="D1148" s="14">
        <v>50</v>
      </c>
      <c r="E1148" s="14">
        <v>628</v>
      </c>
      <c r="F1148" s="14">
        <v>6.5</v>
      </c>
      <c r="G1148" s="14">
        <v>10</v>
      </c>
      <c r="H1148" s="14">
        <v>86.36</v>
      </c>
      <c r="I1148" s="15">
        <v>0.5</v>
      </c>
    </row>
    <row r="1149" spans="1:9" x14ac:dyDescent="0.25">
      <c r="A1149" s="12">
        <v>26</v>
      </c>
      <c r="B1149" s="13">
        <v>45151</v>
      </c>
      <c r="C1149" s="14">
        <v>30.1</v>
      </c>
      <c r="D1149" s="14">
        <v>73</v>
      </c>
      <c r="E1149" s="14">
        <v>515</v>
      </c>
      <c r="F1149" s="14">
        <v>6.6</v>
      </c>
      <c r="G1149" s="14">
        <v>11</v>
      </c>
      <c r="H1149" s="14">
        <v>86.18</v>
      </c>
      <c r="I1149" s="15">
        <v>0.73</v>
      </c>
    </row>
    <row r="1150" spans="1:9" x14ac:dyDescent="0.25">
      <c r="A1150" s="12">
        <v>26</v>
      </c>
      <c r="B1150" s="13">
        <v>45152</v>
      </c>
      <c r="C1150" s="14">
        <v>30.1</v>
      </c>
      <c r="D1150" s="14">
        <v>78</v>
      </c>
      <c r="E1150" s="14">
        <v>482</v>
      </c>
      <c r="F1150" s="14">
        <v>6.1</v>
      </c>
      <c r="G1150" s="14">
        <v>12</v>
      </c>
      <c r="H1150" s="14">
        <v>86.18</v>
      </c>
      <c r="I1150" s="15">
        <v>0.78</v>
      </c>
    </row>
    <row r="1151" spans="1:9" x14ac:dyDescent="0.25">
      <c r="A1151" s="12">
        <v>26</v>
      </c>
      <c r="B1151" s="13">
        <v>45153</v>
      </c>
      <c r="C1151" s="14">
        <v>30.1</v>
      </c>
      <c r="D1151" s="14">
        <v>54</v>
      </c>
      <c r="E1151" s="14">
        <v>607</v>
      </c>
      <c r="F1151" s="14">
        <v>6.8</v>
      </c>
      <c r="G1151" s="14">
        <v>13</v>
      </c>
      <c r="H1151" s="14">
        <v>86.18</v>
      </c>
      <c r="I1151" s="15">
        <v>0.54</v>
      </c>
    </row>
    <row r="1152" spans="1:9" x14ac:dyDescent="0.25">
      <c r="A1152" s="12">
        <v>26</v>
      </c>
      <c r="B1152" s="13">
        <v>45154</v>
      </c>
      <c r="C1152" s="14">
        <v>29.8</v>
      </c>
      <c r="D1152" s="14">
        <v>53</v>
      </c>
      <c r="E1152" s="14">
        <v>523</v>
      </c>
      <c r="F1152" s="14">
        <v>6.8</v>
      </c>
      <c r="G1152" s="14">
        <v>14</v>
      </c>
      <c r="H1152" s="14">
        <v>85.64</v>
      </c>
      <c r="I1152" s="15">
        <v>0.53</v>
      </c>
    </row>
    <row r="1153" spans="1:9" x14ac:dyDescent="0.25">
      <c r="A1153" s="12">
        <v>26</v>
      </c>
      <c r="B1153" s="13">
        <v>45155</v>
      </c>
      <c r="C1153" s="14">
        <v>29.6</v>
      </c>
      <c r="D1153" s="14">
        <v>71</v>
      </c>
      <c r="E1153" s="14">
        <v>773</v>
      </c>
      <c r="F1153" s="14">
        <v>6.2</v>
      </c>
      <c r="G1153" s="14">
        <v>15</v>
      </c>
      <c r="H1153" s="14">
        <v>85.28</v>
      </c>
      <c r="I1153" s="15">
        <v>0.71</v>
      </c>
    </row>
    <row r="1154" spans="1:9" x14ac:dyDescent="0.25">
      <c r="A1154" s="12">
        <v>26</v>
      </c>
      <c r="B1154" s="13">
        <v>45156</v>
      </c>
      <c r="C1154" s="14">
        <v>30.9</v>
      </c>
      <c r="D1154" s="14">
        <v>67</v>
      </c>
      <c r="E1154" s="14">
        <v>735</v>
      </c>
      <c r="F1154" s="14">
        <v>6.2</v>
      </c>
      <c r="G1154" s="14">
        <v>16</v>
      </c>
      <c r="H1154" s="14">
        <v>87.62</v>
      </c>
      <c r="I1154" s="15">
        <v>0.67</v>
      </c>
    </row>
    <row r="1155" spans="1:9" x14ac:dyDescent="0.25">
      <c r="A1155" s="12">
        <v>26</v>
      </c>
      <c r="B1155" s="13">
        <v>45157</v>
      </c>
      <c r="C1155" s="14">
        <v>30.8</v>
      </c>
      <c r="D1155" s="14">
        <v>70</v>
      </c>
      <c r="E1155" s="14">
        <v>740</v>
      </c>
      <c r="F1155" s="14">
        <v>6.2</v>
      </c>
      <c r="G1155" s="14">
        <v>17</v>
      </c>
      <c r="H1155" s="14">
        <v>87.44</v>
      </c>
      <c r="I1155" s="15">
        <v>0.7</v>
      </c>
    </row>
    <row r="1156" spans="1:9" x14ac:dyDescent="0.25">
      <c r="A1156" s="12">
        <v>26</v>
      </c>
      <c r="B1156" s="13">
        <v>45158</v>
      </c>
      <c r="C1156" s="14">
        <v>30.9</v>
      </c>
      <c r="D1156" s="14">
        <v>53</v>
      </c>
      <c r="E1156" s="14">
        <v>592</v>
      </c>
      <c r="F1156" s="14">
        <v>6.4</v>
      </c>
      <c r="G1156" s="14">
        <v>18</v>
      </c>
      <c r="H1156" s="14">
        <v>87.62</v>
      </c>
      <c r="I1156" s="15">
        <v>0.53</v>
      </c>
    </row>
    <row r="1157" spans="1:9" x14ac:dyDescent="0.25">
      <c r="A1157" s="12">
        <v>26</v>
      </c>
      <c r="B1157" s="13">
        <v>45159</v>
      </c>
      <c r="C1157" s="14">
        <v>30.2</v>
      </c>
      <c r="D1157" s="14">
        <v>52</v>
      </c>
      <c r="E1157" s="14">
        <v>513</v>
      </c>
      <c r="F1157" s="14">
        <v>6.6</v>
      </c>
      <c r="G1157" s="14">
        <v>19</v>
      </c>
      <c r="H1157" s="14">
        <v>86.36</v>
      </c>
      <c r="I1157" s="15">
        <v>0.52</v>
      </c>
    </row>
    <row r="1158" spans="1:9" x14ac:dyDescent="0.25">
      <c r="A1158" s="12">
        <v>26</v>
      </c>
      <c r="B1158" s="13">
        <v>45160</v>
      </c>
      <c r="C1158" s="14">
        <v>30.5</v>
      </c>
      <c r="D1158" s="14">
        <v>55</v>
      </c>
      <c r="E1158" s="14">
        <v>473</v>
      </c>
      <c r="F1158" s="14">
        <v>6.3</v>
      </c>
      <c r="G1158" s="14">
        <v>20</v>
      </c>
      <c r="H1158" s="14">
        <v>86.9</v>
      </c>
      <c r="I1158" s="15">
        <v>0.55000000000000004</v>
      </c>
    </row>
    <row r="1159" spans="1:9" x14ac:dyDescent="0.25">
      <c r="A1159" s="12">
        <v>26</v>
      </c>
      <c r="B1159" s="13">
        <v>45161</v>
      </c>
      <c r="C1159" s="14">
        <v>30.8</v>
      </c>
      <c r="D1159" s="14">
        <v>57</v>
      </c>
      <c r="E1159" s="14">
        <v>409</v>
      </c>
      <c r="F1159" s="14">
        <v>6.6</v>
      </c>
      <c r="G1159" s="14">
        <v>21</v>
      </c>
      <c r="H1159" s="14">
        <v>87.44</v>
      </c>
      <c r="I1159" s="15">
        <v>0.56999999999999995</v>
      </c>
    </row>
    <row r="1160" spans="1:9" x14ac:dyDescent="0.25">
      <c r="A1160" s="12">
        <v>26</v>
      </c>
      <c r="B1160" s="13">
        <v>45162</v>
      </c>
      <c r="C1160" s="14">
        <v>31.3</v>
      </c>
      <c r="D1160" s="14">
        <v>67</v>
      </c>
      <c r="E1160" s="14">
        <v>548</v>
      </c>
      <c r="F1160" s="14">
        <v>6.2</v>
      </c>
      <c r="G1160" s="14">
        <v>22</v>
      </c>
      <c r="H1160" s="14">
        <v>88.34</v>
      </c>
      <c r="I1160" s="15">
        <v>0.67</v>
      </c>
    </row>
    <row r="1161" spans="1:9" x14ac:dyDescent="0.25">
      <c r="A1161" s="12">
        <v>26</v>
      </c>
      <c r="B1161" s="13">
        <v>45163</v>
      </c>
      <c r="C1161" s="14">
        <v>31.4</v>
      </c>
      <c r="D1161" s="14">
        <v>74</v>
      </c>
      <c r="E1161" s="14">
        <v>416</v>
      </c>
      <c r="F1161" s="14">
        <v>6.4</v>
      </c>
      <c r="G1161" s="14">
        <v>23</v>
      </c>
      <c r="H1161" s="14">
        <v>88.52</v>
      </c>
      <c r="I1161" s="15">
        <v>0.74</v>
      </c>
    </row>
    <row r="1162" spans="1:9" x14ac:dyDescent="0.25">
      <c r="A1162" s="12">
        <v>26</v>
      </c>
      <c r="B1162" s="13">
        <v>45164</v>
      </c>
      <c r="C1162" s="14">
        <v>31.4</v>
      </c>
      <c r="D1162" s="14">
        <v>55</v>
      </c>
      <c r="E1162" s="14">
        <v>688</v>
      </c>
      <c r="F1162" s="14">
        <v>6.5</v>
      </c>
      <c r="G1162" s="14">
        <v>24</v>
      </c>
      <c r="H1162" s="14">
        <v>88.52</v>
      </c>
      <c r="I1162" s="15">
        <v>0.55000000000000004</v>
      </c>
    </row>
    <row r="1163" spans="1:9" x14ac:dyDescent="0.25">
      <c r="A1163" s="12">
        <v>26</v>
      </c>
      <c r="B1163" s="13">
        <v>45165</v>
      </c>
      <c r="C1163" s="14">
        <v>30.1</v>
      </c>
      <c r="D1163" s="14">
        <v>72</v>
      </c>
      <c r="E1163" s="14">
        <v>610</v>
      </c>
      <c r="F1163" s="14">
        <v>6.4</v>
      </c>
      <c r="G1163" s="14">
        <v>25</v>
      </c>
      <c r="H1163" s="14">
        <v>86.18</v>
      </c>
      <c r="I1163" s="15">
        <v>0.72</v>
      </c>
    </row>
    <row r="1164" spans="1:9" x14ac:dyDescent="0.25">
      <c r="A1164" s="12">
        <v>26</v>
      </c>
      <c r="B1164" s="13">
        <v>45166</v>
      </c>
      <c r="C1164" s="14">
        <v>29.4</v>
      </c>
      <c r="D1164" s="14">
        <v>57</v>
      </c>
      <c r="E1164" s="14">
        <v>402</v>
      </c>
      <c r="F1164" s="14">
        <v>6.5</v>
      </c>
      <c r="G1164" s="14">
        <v>26</v>
      </c>
      <c r="H1164" s="14">
        <v>84.92</v>
      </c>
      <c r="I1164" s="15">
        <v>0.56999999999999995</v>
      </c>
    </row>
    <row r="1165" spans="1:9" x14ac:dyDescent="0.25">
      <c r="A1165" s="12">
        <v>26</v>
      </c>
      <c r="B1165" s="13">
        <v>45167</v>
      </c>
      <c r="C1165" s="14">
        <v>28.7</v>
      </c>
      <c r="D1165" s="14">
        <v>66</v>
      </c>
      <c r="E1165" s="14">
        <v>413</v>
      </c>
      <c r="F1165" s="14">
        <v>6.2</v>
      </c>
      <c r="G1165" s="14">
        <v>27</v>
      </c>
      <c r="H1165" s="14">
        <v>83.66</v>
      </c>
      <c r="I1165" s="15">
        <v>0.66</v>
      </c>
    </row>
    <row r="1166" spans="1:9" x14ac:dyDescent="0.25">
      <c r="A1166" s="12">
        <v>26</v>
      </c>
      <c r="B1166" s="13">
        <v>45168</v>
      </c>
      <c r="C1166" s="14">
        <v>29.1</v>
      </c>
      <c r="D1166" s="14">
        <v>50</v>
      </c>
      <c r="E1166" s="14">
        <v>578</v>
      </c>
      <c r="F1166" s="14">
        <v>6.5</v>
      </c>
      <c r="G1166" s="14">
        <v>28</v>
      </c>
      <c r="H1166" s="14">
        <v>84.38</v>
      </c>
      <c r="I1166" s="15">
        <v>0.5</v>
      </c>
    </row>
    <row r="1167" spans="1:9" x14ac:dyDescent="0.25">
      <c r="A1167" s="12">
        <v>26</v>
      </c>
      <c r="B1167" s="13">
        <v>45169</v>
      </c>
      <c r="C1167" s="14">
        <v>29.2</v>
      </c>
      <c r="D1167" s="14">
        <v>69</v>
      </c>
      <c r="E1167" s="14">
        <v>614</v>
      </c>
      <c r="F1167" s="14">
        <v>6.2</v>
      </c>
      <c r="G1167" s="14">
        <v>29</v>
      </c>
      <c r="H1167" s="14">
        <v>84.56</v>
      </c>
      <c r="I1167" s="15">
        <v>0.69</v>
      </c>
    </row>
    <row r="1168" spans="1:9" x14ac:dyDescent="0.25">
      <c r="A1168" s="12">
        <v>26</v>
      </c>
      <c r="B1168" s="13">
        <v>45170</v>
      </c>
      <c r="C1168" s="14">
        <v>31.7</v>
      </c>
      <c r="D1168" s="14">
        <v>61</v>
      </c>
      <c r="E1168" s="14">
        <v>731</v>
      </c>
      <c r="F1168" s="14">
        <v>6.4</v>
      </c>
      <c r="G1168" s="14">
        <v>30</v>
      </c>
      <c r="H1168" s="14">
        <v>89.06</v>
      </c>
      <c r="I1168" s="15">
        <v>0.61</v>
      </c>
    </row>
    <row r="1169" spans="1:9" x14ac:dyDescent="0.25">
      <c r="A1169" s="12">
        <v>26</v>
      </c>
      <c r="B1169" s="13">
        <v>45171</v>
      </c>
      <c r="C1169" s="14">
        <v>31.7</v>
      </c>
      <c r="D1169" s="14">
        <v>61</v>
      </c>
      <c r="E1169" s="14">
        <v>663</v>
      </c>
      <c r="F1169" s="14">
        <v>6.7</v>
      </c>
      <c r="G1169" s="14">
        <v>31</v>
      </c>
      <c r="H1169" s="14">
        <v>89.06</v>
      </c>
      <c r="I1169" s="15">
        <v>0.61</v>
      </c>
    </row>
    <row r="1170" spans="1:9" x14ac:dyDescent="0.25">
      <c r="A1170" s="12">
        <v>26</v>
      </c>
      <c r="B1170" s="13">
        <v>45172</v>
      </c>
      <c r="C1170" s="14">
        <v>31.7</v>
      </c>
      <c r="D1170" s="14">
        <v>78</v>
      </c>
      <c r="E1170" s="14">
        <v>441</v>
      </c>
      <c r="F1170" s="14">
        <v>6.4</v>
      </c>
      <c r="G1170" s="14">
        <v>32</v>
      </c>
      <c r="H1170" s="14">
        <v>89.06</v>
      </c>
      <c r="I1170" s="15">
        <v>0.78</v>
      </c>
    </row>
    <row r="1171" spans="1:9" x14ac:dyDescent="0.25">
      <c r="A1171" s="12">
        <v>26</v>
      </c>
      <c r="B1171" s="13">
        <v>45173</v>
      </c>
      <c r="C1171" s="14">
        <v>31.7</v>
      </c>
      <c r="D1171" s="14">
        <v>57</v>
      </c>
      <c r="E1171" s="14">
        <v>662</v>
      </c>
      <c r="F1171" s="14">
        <v>6.4</v>
      </c>
      <c r="G1171" s="14">
        <v>33</v>
      </c>
      <c r="H1171" s="14">
        <v>89.06</v>
      </c>
      <c r="I1171" s="15">
        <v>0.56999999999999995</v>
      </c>
    </row>
    <row r="1172" spans="1:9" x14ac:dyDescent="0.25">
      <c r="A1172" s="12">
        <v>26</v>
      </c>
      <c r="B1172" s="13">
        <v>45174</v>
      </c>
      <c r="C1172" s="14">
        <v>32</v>
      </c>
      <c r="D1172" s="14">
        <v>73</v>
      </c>
      <c r="E1172" s="14">
        <v>459</v>
      </c>
      <c r="F1172" s="14">
        <v>6.2</v>
      </c>
      <c r="G1172" s="14">
        <v>34</v>
      </c>
      <c r="H1172" s="14">
        <v>89.6</v>
      </c>
      <c r="I1172" s="15">
        <v>0.73</v>
      </c>
    </row>
    <row r="1173" spans="1:9" x14ac:dyDescent="0.25">
      <c r="A1173" s="12">
        <v>26</v>
      </c>
      <c r="B1173" s="13">
        <v>45175</v>
      </c>
      <c r="C1173" s="14">
        <v>32.1</v>
      </c>
      <c r="D1173" s="14">
        <v>62</v>
      </c>
      <c r="E1173" s="14">
        <v>577</v>
      </c>
      <c r="F1173" s="14">
        <v>6</v>
      </c>
      <c r="G1173" s="14">
        <v>35</v>
      </c>
      <c r="H1173" s="14">
        <v>89.78</v>
      </c>
      <c r="I1173" s="15">
        <v>0.62</v>
      </c>
    </row>
    <row r="1174" spans="1:9" x14ac:dyDescent="0.25">
      <c r="A1174" s="12">
        <v>26</v>
      </c>
      <c r="B1174" s="13">
        <v>45176</v>
      </c>
      <c r="C1174" s="14">
        <v>31.5</v>
      </c>
      <c r="D1174" s="14">
        <v>55</v>
      </c>
      <c r="E1174" s="14">
        <v>632</v>
      </c>
      <c r="F1174" s="14">
        <v>6.4</v>
      </c>
      <c r="G1174" s="14">
        <v>36</v>
      </c>
      <c r="H1174" s="14">
        <v>88.7</v>
      </c>
      <c r="I1174" s="15">
        <v>0.55000000000000004</v>
      </c>
    </row>
    <row r="1175" spans="1:9" x14ac:dyDescent="0.25">
      <c r="A1175" s="12">
        <v>26</v>
      </c>
      <c r="B1175" s="13">
        <v>45177</v>
      </c>
      <c r="C1175" s="14">
        <v>29.8</v>
      </c>
      <c r="D1175" s="14">
        <v>52</v>
      </c>
      <c r="E1175" s="14">
        <v>464</v>
      </c>
      <c r="F1175" s="14">
        <v>6.8</v>
      </c>
      <c r="G1175" s="14">
        <v>37</v>
      </c>
      <c r="H1175" s="14">
        <v>85.64</v>
      </c>
      <c r="I1175" s="15">
        <v>0.52</v>
      </c>
    </row>
    <row r="1176" spans="1:9" x14ac:dyDescent="0.25">
      <c r="A1176" s="12">
        <v>26</v>
      </c>
      <c r="B1176" s="13">
        <v>45178</v>
      </c>
      <c r="C1176" s="14">
        <v>20.100000000000001</v>
      </c>
      <c r="D1176" s="14">
        <v>69</v>
      </c>
      <c r="E1176" s="14">
        <v>621</v>
      </c>
      <c r="F1176" s="14">
        <v>6.3</v>
      </c>
      <c r="G1176" s="14">
        <v>38</v>
      </c>
      <c r="H1176" s="14">
        <v>68.180000000000007</v>
      </c>
      <c r="I1176" s="15">
        <v>0.69</v>
      </c>
    </row>
    <row r="1177" spans="1:9" x14ac:dyDescent="0.25">
      <c r="A1177" s="12">
        <v>26</v>
      </c>
      <c r="B1177" s="13">
        <v>45179</v>
      </c>
      <c r="C1177" s="14">
        <v>31.1</v>
      </c>
      <c r="D1177" s="14">
        <v>58</v>
      </c>
      <c r="E1177" s="14">
        <v>496</v>
      </c>
      <c r="F1177" s="14">
        <v>6.4</v>
      </c>
      <c r="G1177" s="14">
        <v>39</v>
      </c>
      <c r="H1177" s="14">
        <v>87.98</v>
      </c>
      <c r="I1177" s="15">
        <v>0.57999999999999996</v>
      </c>
    </row>
    <row r="1178" spans="1:9" x14ac:dyDescent="0.25">
      <c r="A1178" s="12">
        <v>26</v>
      </c>
      <c r="B1178" s="13">
        <v>45180</v>
      </c>
      <c r="C1178" s="14">
        <v>31.2</v>
      </c>
      <c r="D1178" s="14">
        <v>58</v>
      </c>
      <c r="E1178" s="14">
        <v>503</v>
      </c>
      <c r="F1178" s="14">
        <v>6.3</v>
      </c>
      <c r="G1178" s="14">
        <v>40</v>
      </c>
      <c r="H1178" s="14">
        <v>88.16</v>
      </c>
      <c r="I1178" s="15">
        <v>0.57999999999999996</v>
      </c>
    </row>
    <row r="1179" spans="1:9" x14ac:dyDescent="0.25">
      <c r="A1179" s="12">
        <v>26</v>
      </c>
      <c r="B1179" s="13">
        <v>45181</v>
      </c>
      <c r="C1179" s="14">
        <v>31.2</v>
      </c>
      <c r="D1179" s="14">
        <v>57</v>
      </c>
      <c r="E1179" s="14">
        <v>545</v>
      </c>
      <c r="F1179" s="14">
        <v>6.3</v>
      </c>
      <c r="G1179" s="14">
        <v>41</v>
      </c>
      <c r="H1179" s="14">
        <v>88.16</v>
      </c>
      <c r="I1179" s="15">
        <v>0.56999999999999995</v>
      </c>
    </row>
    <row r="1180" spans="1:9" x14ac:dyDescent="0.25">
      <c r="A1180" s="12">
        <v>26</v>
      </c>
      <c r="B1180" s="13">
        <v>45182</v>
      </c>
      <c r="C1180" s="14">
        <v>30.4</v>
      </c>
      <c r="D1180" s="14">
        <v>64</v>
      </c>
      <c r="E1180" s="14">
        <v>746</v>
      </c>
      <c r="F1180" s="14">
        <v>6.4</v>
      </c>
      <c r="G1180" s="14">
        <v>42</v>
      </c>
      <c r="H1180" s="14">
        <v>86.72</v>
      </c>
      <c r="I1180" s="15">
        <v>0.64</v>
      </c>
    </row>
    <row r="1181" spans="1:9" x14ac:dyDescent="0.25">
      <c r="A1181" s="12">
        <v>26</v>
      </c>
      <c r="B1181" s="13">
        <v>45183</v>
      </c>
      <c r="C1181" s="14">
        <v>29.1</v>
      </c>
      <c r="D1181" s="14">
        <v>71</v>
      </c>
      <c r="E1181" s="14">
        <v>734</v>
      </c>
      <c r="F1181" s="14">
        <v>6.4</v>
      </c>
      <c r="G1181" s="14">
        <v>43</v>
      </c>
      <c r="H1181" s="14">
        <v>84.38</v>
      </c>
      <c r="I1181" s="15">
        <v>0.71</v>
      </c>
    </row>
    <row r="1182" spans="1:9" x14ac:dyDescent="0.25">
      <c r="A1182" s="12">
        <v>26</v>
      </c>
      <c r="B1182" s="13">
        <v>45184</v>
      </c>
      <c r="C1182" s="14">
        <v>30.6</v>
      </c>
      <c r="D1182" s="14">
        <v>58</v>
      </c>
      <c r="E1182" s="14">
        <v>791</v>
      </c>
      <c r="F1182" s="14">
        <v>6.1</v>
      </c>
      <c r="G1182" s="14">
        <v>44</v>
      </c>
      <c r="H1182" s="14">
        <v>87.08</v>
      </c>
      <c r="I1182" s="15">
        <v>0.57999999999999996</v>
      </c>
    </row>
    <row r="1183" spans="1:9" x14ac:dyDescent="0.25">
      <c r="A1183" s="12">
        <v>26</v>
      </c>
      <c r="B1183" s="13">
        <v>45185</v>
      </c>
      <c r="C1183" s="14">
        <v>31.5</v>
      </c>
      <c r="D1183" s="14">
        <v>71</v>
      </c>
      <c r="E1183" s="14">
        <v>568</v>
      </c>
      <c r="F1183" s="14">
        <v>6.1</v>
      </c>
      <c r="G1183" s="14">
        <v>45</v>
      </c>
      <c r="H1183" s="14">
        <v>88.7</v>
      </c>
      <c r="I1183" s="15">
        <v>0.71</v>
      </c>
    </row>
    <row r="1184" spans="1:9" x14ac:dyDescent="0.25">
      <c r="A1184" s="12">
        <v>27</v>
      </c>
      <c r="B1184" s="13">
        <v>45141</v>
      </c>
      <c r="C1184" s="14">
        <v>33.4</v>
      </c>
      <c r="D1184" s="14">
        <v>76</v>
      </c>
      <c r="E1184" s="14">
        <v>411</v>
      </c>
      <c r="F1184" s="14">
        <v>6.7</v>
      </c>
      <c r="G1184" s="14">
        <v>1</v>
      </c>
      <c r="H1184" s="14">
        <v>92.12</v>
      </c>
      <c r="I1184" s="15">
        <v>0.76</v>
      </c>
    </row>
    <row r="1185" spans="1:9" x14ac:dyDescent="0.25">
      <c r="A1185" s="12">
        <v>27</v>
      </c>
      <c r="B1185" s="13">
        <v>45142</v>
      </c>
      <c r="C1185" s="14">
        <v>33.5</v>
      </c>
      <c r="D1185" s="14">
        <v>55</v>
      </c>
      <c r="E1185" s="14">
        <v>758</v>
      </c>
      <c r="F1185" s="14">
        <v>6.3</v>
      </c>
      <c r="G1185" s="14">
        <v>2</v>
      </c>
      <c r="H1185" s="14">
        <v>92.3</v>
      </c>
      <c r="I1185" s="15">
        <v>0.55000000000000004</v>
      </c>
    </row>
    <row r="1186" spans="1:9" x14ac:dyDescent="0.25">
      <c r="A1186" s="12">
        <v>27</v>
      </c>
      <c r="B1186" s="13">
        <v>45143</v>
      </c>
      <c r="C1186" s="14">
        <v>33.4</v>
      </c>
      <c r="D1186" s="14">
        <v>75</v>
      </c>
      <c r="E1186" s="14">
        <v>676</v>
      </c>
      <c r="F1186" s="14">
        <v>6.5</v>
      </c>
      <c r="G1186" s="14">
        <v>3</v>
      </c>
      <c r="H1186" s="14">
        <v>92.12</v>
      </c>
      <c r="I1186" s="15">
        <v>0.75</v>
      </c>
    </row>
    <row r="1187" spans="1:9" x14ac:dyDescent="0.25">
      <c r="A1187" s="12">
        <v>27</v>
      </c>
      <c r="B1187" s="13">
        <v>45144</v>
      </c>
      <c r="C1187" s="14">
        <v>33.4</v>
      </c>
      <c r="D1187" s="14">
        <v>67</v>
      </c>
      <c r="E1187" s="14">
        <v>699</v>
      </c>
      <c r="F1187" s="14">
        <v>6.6</v>
      </c>
      <c r="G1187" s="14">
        <v>4</v>
      </c>
      <c r="H1187" s="14">
        <v>92.12</v>
      </c>
      <c r="I1187" s="15">
        <v>0.67</v>
      </c>
    </row>
    <row r="1188" spans="1:9" x14ac:dyDescent="0.25">
      <c r="A1188" s="12">
        <v>27</v>
      </c>
      <c r="B1188" s="13">
        <v>45145</v>
      </c>
      <c r="C1188" s="14">
        <v>33.4</v>
      </c>
      <c r="D1188" s="14">
        <v>67</v>
      </c>
      <c r="E1188" s="14">
        <v>480</v>
      </c>
      <c r="F1188" s="14">
        <v>6.1</v>
      </c>
      <c r="G1188" s="14">
        <v>5</v>
      </c>
      <c r="H1188" s="14">
        <v>92.12</v>
      </c>
      <c r="I1188" s="15">
        <v>0.67</v>
      </c>
    </row>
    <row r="1189" spans="1:9" x14ac:dyDescent="0.25">
      <c r="A1189" s="12">
        <v>27</v>
      </c>
      <c r="B1189" s="13">
        <v>45146</v>
      </c>
      <c r="C1189" s="14">
        <v>32.299999999999997</v>
      </c>
      <c r="D1189" s="14">
        <v>53</v>
      </c>
      <c r="E1189" s="14">
        <v>461</v>
      </c>
      <c r="F1189" s="14">
        <v>6.7</v>
      </c>
      <c r="G1189" s="14">
        <v>6</v>
      </c>
      <c r="H1189" s="14">
        <v>90.14</v>
      </c>
      <c r="I1189" s="15">
        <v>0.53</v>
      </c>
    </row>
    <row r="1190" spans="1:9" x14ac:dyDescent="0.25">
      <c r="A1190" s="12">
        <v>27</v>
      </c>
      <c r="B1190" s="13">
        <v>45147</v>
      </c>
      <c r="C1190" s="14">
        <v>32.299999999999997</v>
      </c>
      <c r="D1190" s="14">
        <v>80</v>
      </c>
      <c r="E1190" s="14">
        <v>722</v>
      </c>
      <c r="F1190" s="14">
        <v>6.1</v>
      </c>
      <c r="G1190" s="14">
        <v>7</v>
      </c>
      <c r="H1190" s="14">
        <v>90.14</v>
      </c>
      <c r="I1190" s="15">
        <v>0.8</v>
      </c>
    </row>
    <row r="1191" spans="1:9" x14ac:dyDescent="0.25">
      <c r="A1191" s="12">
        <v>27</v>
      </c>
      <c r="B1191" s="13">
        <v>45148</v>
      </c>
      <c r="C1191" s="14">
        <v>22.7</v>
      </c>
      <c r="D1191" s="14">
        <v>77</v>
      </c>
      <c r="E1191" s="14">
        <v>723</v>
      </c>
      <c r="F1191" s="14">
        <v>6.6</v>
      </c>
      <c r="G1191" s="14">
        <v>8</v>
      </c>
      <c r="H1191" s="14">
        <v>72.86</v>
      </c>
      <c r="I1191" s="15">
        <v>0.77</v>
      </c>
    </row>
    <row r="1192" spans="1:9" x14ac:dyDescent="0.25">
      <c r="A1192" s="12">
        <v>27</v>
      </c>
      <c r="B1192" s="13">
        <v>45149</v>
      </c>
      <c r="C1192" s="14">
        <v>31.9</v>
      </c>
      <c r="D1192" s="14">
        <v>53</v>
      </c>
      <c r="E1192" s="14">
        <v>538</v>
      </c>
      <c r="F1192" s="14">
        <v>6.3</v>
      </c>
      <c r="G1192" s="14">
        <v>9</v>
      </c>
      <c r="H1192" s="14">
        <v>89.42</v>
      </c>
      <c r="I1192" s="15">
        <v>0.53</v>
      </c>
    </row>
    <row r="1193" spans="1:9" x14ac:dyDescent="0.25">
      <c r="A1193" s="12">
        <v>27</v>
      </c>
      <c r="B1193" s="13">
        <v>45150</v>
      </c>
      <c r="C1193" s="14">
        <v>30.2</v>
      </c>
      <c r="D1193" s="14">
        <v>80</v>
      </c>
      <c r="E1193" s="14">
        <v>577</v>
      </c>
      <c r="F1193" s="14">
        <v>6.5</v>
      </c>
      <c r="G1193" s="14">
        <v>10</v>
      </c>
      <c r="H1193" s="14">
        <v>86.36</v>
      </c>
      <c r="I1193" s="15">
        <v>0.8</v>
      </c>
    </row>
    <row r="1194" spans="1:9" x14ac:dyDescent="0.25">
      <c r="A1194" s="12">
        <v>27</v>
      </c>
      <c r="B1194" s="13">
        <v>45151</v>
      </c>
      <c r="C1194" s="14">
        <v>30.1</v>
      </c>
      <c r="D1194" s="14">
        <v>79</v>
      </c>
      <c r="E1194" s="14">
        <v>493</v>
      </c>
      <c r="F1194" s="14">
        <v>6.6</v>
      </c>
      <c r="G1194" s="14">
        <v>11</v>
      </c>
      <c r="H1194" s="14">
        <v>86.18</v>
      </c>
      <c r="I1194" s="15">
        <v>0.79</v>
      </c>
    </row>
    <row r="1195" spans="1:9" x14ac:dyDescent="0.25">
      <c r="A1195" s="12">
        <v>27</v>
      </c>
      <c r="B1195" s="13">
        <v>45152</v>
      </c>
      <c r="C1195" s="14">
        <v>30.1</v>
      </c>
      <c r="D1195" s="14">
        <v>60</v>
      </c>
      <c r="E1195" s="14">
        <v>653</v>
      </c>
      <c r="F1195" s="14">
        <v>6.6</v>
      </c>
      <c r="G1195" s="14">
        <v>12</v>
      </c>
      <c r="H1195" s="14">
        <v>86.18</v>
      </c>
      <c r="I1195" s="15">
        <v>0.6</v>
      </c>
    </row>
    <row r="1196" spans="1:9" x14ac:dyDescent="0.25">
      <c r="A1196" s="12">
        <v>27</v>
      </c>
      <c r="B1196" s="13">
        <v>45153</v>
      </c>
      <c r="C1196" s="14">
        <v>30.1</v>
      </c>
      <c r="D1196" s="14">
        <v>50</v>
      </c>
      <c r="E1196" s="14">
        <v>466</v>
      </c>
      <c r="F1196" s="14">
        <v>6.6</v>
      </c>
      <c r="G1196" s="14">
        <v>13</v>
      </c>
      <c r="H1196" s="14">
        <v>86.18</v>
      </c>
      <c r="I1196" s="15">
        <v>0.5</v>
      </c>
    </row>
    <row r="1197" spans="1:9" x14ac:dyDescent="0.25">
      <c r="A1197" s="12">
        <v>27</v>
      </c>
      <c r="B1197" s="13">
        <v>45154</v>
      </c>
      <c r="C1197" s="14">
        <v>29.8</v>
      </c>
      <c r="D1197" s="14">
        <v>64</v>
      </c>
      <c r="E1197" s="14">
        <v>785</v>
      </c>
      <c r="F1197" s="14">
        <v>6.5</v>
      </c>
      <c r="G1197" s="14">
        <v>14</v>
      </c>
      <c r="H1197" s="14">
        <v>85.64</v>
      </c>
      <c r="I1197" s="15">
        <v>0.64</v>
      </c>
    </row>
    <row r="1198" spans="1:9" x14ac:dyDescent="0.25">
      <c r="A1198" s="12">
        <v>27</v>
      </c>
      <c r="B1198" s="13">
        <v>45155</v>
      </c>
      <c r="C1198" s="14">
        <v>29.6</v>
      </c>
      <c r="D1198" s="14">
        <v>56</v>
      </c>
      <c r="E1198" s="14">
        <v>676</v>
      </c>
      <c r="F1198" s="14">
        <v>6.6</v>
      </c>
      <c r="G1198" s="14">
        <v>15</v>
      </c>
      <c r="H1198" s="14">
        <v>85.28</v>
      </c>
      <c r="I1198" s="15">
        <v>0.56000000000000005</v>
      </c>
    </row>
    <row r="1199" spans="1:9" x14ac:dyDescent="0.25">
      <c r="A1199" s="12">
        <v>27</v>
      </c>
      <c r="B1199" s="13">
        <v>45156</v>
      </c>
      <c r="C1199" s="14">
        <v>30.9</v>
      </c>
      <c r="D1199" s="14">
        <v>75</v>
      </c>
      <c r="E1199" s="14">
        <v>716</v>
      </c>
      <c r="F1199" s="14">
        <v>6.4</v>
      </c>
      <c r="G1199" s="14">
        <v>16</v>
      </c>
      <c r="H1199" s="14">
        <v>87.62</v>
      </c>
      <c r="I1199" s="15">
        <v>0.75</v>
      </c>
    </row>
    <row r="1200" spans="1:9" x14ac:dyDescent="0.25">
      <c r="A1200" s="12">
        <v>27</v>
      </c>
      <c r="B1200" s="13">
        <v>45157</v>
      </c>
      <c r="C1200" s="14">
        <v>30.8</v>
      </c>
      <c r="D1200" s="14">
        <v>59</v>
      </c>
      <c r="E1200" s="14">
        <v>576</v>
      </c>
      <c r="F1200" s="14">
        <v>6.2</v>
      </c>
      <c r="G1200" s="14">
        <v>17</v>
      </c>
      <c r="H1200" s="14">
        <v>87.44</v>
      </c>
      <c r="I1200" s="15">
        <v>0.59</v>
      </c>
    </row>
    <row r="1201" spans="1:9" x14ac:dyDescent="0.25">
      <c r="A1201" s="12">
        <v>27</v>
      </c>
      <c r="B1201" s="13">
        <v>45158</v>
      </c>
      <c r="C1201" s="14">
        <v>30.9</v>
      </c>
      <c r="D1201" s="14">
        <v>54</v>
      </c>
      <c r="E1201" s="14">
        <v>520</v>
      </c>
      <c r="F1201" s="14">
        <v>6.6</v>
      </c>
      <c r="G1201" s="14">
        <v>18</v>
      </c>
      <c r="H1201" s="14">
        <v>87.62</v>
      </c>
      <c r="I1201" s="15">
        <v>0.54</v>
      </c>
    </row>
    <row r="1202" spans="1:9" x14ac:dyDescent="0.25">
      <c r="A1202" s="12">
        <v>27</v>
      </c>
      <c r="B1202" s="13">
        <v>45159</v>
      </c>
      <c r="C1202" s="14">
        <v>30.2</v>
      </c>
      <c r="D1202" s="14">
        <v>78</v>
      </c>
      <c r="E1202" s="14">
        <v>582</v>
      </c>
      <c r="F1202" s="14">
        <v>6.7</v>
      </c>
      <c r="G1202" s="14">
        <v>19</v>
      </c>
      <c r="H1202" s="14">
        <v>86.36</v>
      </c>
      <c r="I1202" s="15">
        <v>0.78</v>
      </c>
    </row>
    <row r="1203" spans="1:9" x14ac:dyDescent="0.25">
      <c r="A1203" s="12">
        <v>27</v>
      </c>
      <c r="B1203" s="13">
        <v>45160</v>
      </c>
      <c r="C1203" s="14">
        <v>30.5</v>
      </c>
      <c r="D1203" s="14">
        <v>69</v>
      </c>
      <c r="E1203" s="14">
        <v>703</v>
      </c>
      <c r="F1203" s="14">
        <v>6.3</v>
      </c>
      <c r="G1203" s="14">
        <v>20</v>
      </c>
      <c r="H1203" s="14">
        <v>86.9</v>
      </c>
      <c r="I1203" s="15">
        <v>0.69</v>
      </c>
    </row>
    <row r="1204" spans="1:9" x14ac:dyDescent="0.25">
      <c r="A1204" s="12">
        <v>27</v>
      </c>
      <c r="B1204" s="13">
        <v>45161</v>
      </c>
      <c r="C1204" s="14">
        <v>30.8</v>
      </c>
      <c r="D1204" s="14">
        <v>64</v>
      </c>
      <c r="E1204" s="14">
        <v>736</v>
      </c>
      <c r="F1204" s="14">
        <v>6.5</v>
      </c>
      <c r="G1204" s="14">
        <v>21</v>
      </c>
      <c r="H1204" s="14">
        <v>87.44</v>
      </c>
      <c r="I1204" s="15">
        <v>0.64</v>
      </c>
    </row>
    <row r="1205" spans="1:9" x14ac:dyDescent="0.25">
      <c r="A1205" s="12">
        <v>27</v>
      </c>
      <c r="B1205" s="13">
        <v>45162</v>
      </c>
      <c r="C1205" s="14">
        <v>31.3</v>
      </c>
      <c r="D1205" s="14">
        <v>62</v>
      </c>
      <c r="E1205" s="14">
        <v>799</v>
      </c>
      <c r="F1205" s="14">
        <v>6.4</v>
      </c>
      <c r="G1205" s="14">
        <v>22</v>
      </c>
      <c r="H1205" s="14">
        <v>88.34</v>
      </c>
      <c r="I1205" s="15">
        <v>0.62</v>
      </c>
    </row>
    <row r="1206" spans="1:9" x14ac:dyDescent="0.25">
      <c r="A1206" s="12">
        <v>27</v>
      </c>
      <c r="B1206" s="13">
        <v>45163</v>
      </c>
      <c r="C1206" s="14">
        <v>31.4</v>
      </c>
      <c r="D1206" s="14">
        <v>71</v>
      </c>
      <c r="E1206" s="14">
        <v>646</v>
      </c>
      <c r="F1206" s="14">
        <v>6.7</v>
      </c>
      <c r="G1206" s="14">
        <v>23</v>
      </c>
      <c r="H1206" s="14">
        <v>88.52</v>
      </c>
      <c r="I1206" s="15">
        <v>0.71</v>
      </c>
    </row>
    <row r="1207" spans="1:9" x14ac:dyDescent="0.25">
      <c r="A1207" s="12">
        <v>27</v>
      </c>
      <c r="B1207" s="13">
        <v>45164</v>
      </c>
      <c r="C1207" s="14">
        <v>31.4</v>
      </c>
      <c r="D1207" s="14">
        <v>50</v>
      </c>
      <c r="E1207" s="14">
        <v>494</v>
      </c>
      <c r="F1207" s="14">
        <v>6</v>
      </c>
      <c r="G1207" s="14">
        <v>24</v>
      </c>
      <c r="H1207" s="14">
        <v>88.52</v>
      </c>
      <c r="I1207" s="15">
        <v>0.5</v>
      </c>
    </row>
    <row r="1208" spans="1:9" x14ac:dyDescent="0.25">
      <c r="A1208" s="12">
        <v>27</v>
      </c>
      <c r="B1208" s="13">
        <v>45165</v>
      </c>
      <c r="C1208" s="14">
        <v>30.1</v>
      </c>
      <c r="D1208" s="14">
        <v>55</v>
      </c>
      <c r="E1208" s="14">
        <v>651</v>
      </c>
      <c r="F1208" s="14">
        <v>6.6</v>
      </c>
      <c r="G1208" s="14">
        <v>25</v>
      </c>
      <c r="H1208" s="14">
        <v>86.18</v>
      </c>
      <c r="I1208" s="15">
        <v>0.55000000000000004</v>
      </c>
    </row>
    <row r="1209" spans="1:9" x14ac:dyDescent="0.25">
      <c r="A1209" s="12">
        <v>27</v>
      </c>
      <c r="B1209" s="13">
        <v>45166</v>
      </c>
      <c r="C1209" s="14">
        <v>29.4</v>
      </c>
      <c r="D1209" s="14">
        <v>66</v>
      </c>
      <c r="E1209" s="14">
        <v>460</v>
      </c>
      <c r="F1209" s="14">
        <v>6.7</v>
      </c>
      <c r="G1209" s="14">
        <v>26</v>
      </c>
      <c r="H1209" s="14">
        <v>84.92</v>
      </c>
      <c r="I1209" s="15">
        <v>0.66</v>
      </c>
    </row>
    <row r="1210" spans="1:9" x14ac:dyDescent="0.25">
      <c r="A1210" s="12">
        <v>27</v>
      </c>
      <c r="B1210" s="13">
        <v>45167</v>
      </c>
      <c r="C1210" s="14">
        <v>28.7</v>
      </c>
      <c r="D1210" s="14">
        <v>65</v>
      </c>
      <c r="E1210" s="14">
        <v>800</v>
      </c>
      <c r="F1210" s="14">
        <v>6.5</v>
      </c>
      <c r="G1210" s="14">
        <v>27</v>
      </c>
      <c r="H1210" s="14">
        <v>83.66</v>
      </c>
      <c r="I1210" s="15">
        <v>0.65</v>
      </c>
    </row>
    <row r="1211" spans="1:9" x14ac:dyDescent="0.25">
      <c r="A1211" s="12">
        <v>27</v>
      </c>
      <c r="B1211" s="13">
        <v>45168</v>
      </c>
      <c r="C1211" s="14">
        <v>29.1</v>
      </c>
      <c r="D1211" s="14">
        <v>73</v>
      </c>
      <c r="E1211" s="14">
        <v>726</v>
      </c>
      <c r="F1211" s="14">
        <v>6.2</v>
      </c>
      <c r="G1211" s="14">
        <v>28</v>
      </c>
      <c r="H1211" s="14">
        <v>84.38</v>
      </c>
      <c r="I1211" s="15">
        <v>0.73</v>
      </c>
    </row>
    <row r="1212" spans="1:9" x14ac:dyDescent="0.25">
      <c r="A1212" s="12">
        <v>27</v>
      </c>
      <c r="B1212" s="13">
        <v>45169</v>
      </c>
      <c r="C1212" s="14">
        <v>29.2</v>
      </c>
      <c r="D1212" s="14">
        <v>75</v>
      </c>
      <c r="E1212" s="14">
        <v>453</v>
      </c>
      <c r="F1212" s="14">
        <v>6.6</v>
      </c>
      <c r="G1212" s="14">
        <v>29</v>
      </c>
      <c r="H1212" s="14">
        <v>84.56</v>
      </c>
      <c r="I1212" s="15">
        <v>0.75</v>
      </c>
    </row>
    <row r="1213" spans="1:9" x14ac:dyDescent="0.25">
      <c r="A1213" s="12">
        <v>27</v>
      </c>
      <c r="B1213" s="13">
        <v>45170</v>
      </c>
      <c r="C1213" s="14">
        <v>31.7</v>
      </c>
      <c r="D1213" s="14">
        <v>55</v>
      </c>
      <c r="E1213" s="14">
        <v>660</v>
      </c>
      <c r="F1213" s="14">
        <v>6.4</v>
      </c>
      <c r="G1213" s="14">
        <v>30</v>
      </c>
      <c r="H1213" s="14">
        <v>89.06</v>
      </c>
      <c r="I1213" s="15">
        <v>0.55000000000000004</v>
      </c>
    </row>
    <row r="1214" spans="1:9" x14ac:dyDescent="0.25">
      <c r="A1214" s="12">
        <v>27</v>
      </c>
      <c r="B1214" s="13">
        <v>45171</v>
      </c>
      <c r="C1214" s="14">
        <v>31.7</v>
      </c>
      <c r="D1214" s="14">
        <v>66</v>
      </c>
      <c r="E1214" s="14">
        <v>793</v>
      </c>
      <c r="F1214" s="14">
        <v>6.5</v>
      </c>
      <c r="G1214" s="14">
        <v>31</v>
      </c>
      <c r="H1214" s="14">
        <v>89.06</v>
      </c>
      <c r="I1214" s="15">
        <v>0.66</v>
      </c>
    </row>
    <row r="1215" spans="1:9" x14ac:dyDescent="0.25">
      <c r="A1215" s="12">
        <v>27</v>
      </c>
      <c r="B1215" s="13">
        <v>45172</v>
      </c>
      <c r="C1215" s="14">
        <v>31.7</v>
      </c>
      <c r="D1215" s="14">
        <v>60</v>
      </c>
      <c r="E1215" s="14">
        <v>749</v>
      </c>
      <c r="F1215" s="14">
        <v>6.6</v>
      </c>
      <c r="G1215" s="14">
        <v>32</v>
      </c>
      <c r="H1215" s="14">
        <v>89.06</v>
      </c>
      <c r="I1215" s="15">
        <v>0.6</v>
      </c>
    </row>
    <row r="1216" spans="1:9" x14ac:dyDescent="0.25">
      <c r="A1216" s="12">
        <v>27</v>
      </c>
      <c r="B1216" s="13">
        <v>45173</v>
      </c>
      <c r="C1216" s="14">
        <v>31.7</v>
      </c>
      <c r="D1216" s="14">
        <v>52</v>
      </c>
      <c r="E1216" s="14">
        <v>400</v>
      </c>
      <c r="F1216" s="14">
        <v>6.5</v>
      </c>
      <c r="G1216" s="14">
        <v>33</v>
      </c>
      <c r="H1216" s="14">
        <v>89.06</v>
      </c>
      <c r="I1216" s="15">
        <v>0.52</v>
      </c>
    </row>
    <row r="1217" spans="1:9" x14ac:dyDescent="0.25">
      <c r="A1217" s="12">
        <v>27</v>
      </c>
      <c r="B1217" s="13">
        <v>45174</v>
      </c>
      <c r="C1217" s="14">
        <v>32</v>
      </c>
      <c r="D1217" s="14">
        <v>61</v>
      </c>
      <c r="E1217" s="14">
        <v>772</v>
      </c>
      <c r="F1217" s="14">
        <v>6.7</v>
      </c>
      <c r="G1217" s="14">
        <v>34</v>
      </c>
      <c r="H1217" s="14">
        <v>89.6</v>
      </c>
      <c r="I1217" s="15">
        <v>0.61</v>
      </c>
    </row>
    <row r="1218" spans="1:9" x14ac:dyDescent="0.25">
      <c r="A1218" s="12">
        <v>27</v>
      </c>
      <c r="B1218" s="13">
        <v>45175</v>
      </c>
      <c r="C1218" s="14">
        <v>32.1</v>
      </c>
      <c r="D1218" s="14">
        <v>70</v>
      </c>
      <c r="E1218" s="14">
        <v>799</v>
      </c>
      <c r="F1218" s="14">
        <v>6.1</v>
      </c>
      <c r="G1218" s="14">
        <v>35</v>
      </c>
      <c r="H1218" s="14">
        <v>89.78</v>
      </c>
      <c r="I1218" s="15">
        <v>0.7</v>
      </c>
    </row>
    <row r="1219" spans="1:9" x14ac:dyDescent="0.25">
      <c r="A1219" s="12">
        <v>27</v>
      </c>
      <c r="B1219" s="13">
        <v>45176</v>
      </c>
      <c r="C1219" s="14">
        <v>31.5</v>
      </c>
      <c r="D1219" s="14">
        <v>70</v>
      </c>
      <c r="E1219" s="14">
        <v>420</v>
      </c>
      <c r="F1219" s="14">
        <v>6.7</v>
      </c>
      <c r="G1219" s="14">
        <v>36</v>
      </c>
      <c r="H1219" s="14">
        <v>88.7</v>
      </c>
      <c r="I1219" s="15">
        <v>0.7</v>
      </c>
    </row>
    <row r="1220" spans="1:9" x14ac:dyDescent="0.25">
      <c r="A1220" s="12">
        <v>27</v>
      </c>
      <c r="B1220" s="13">
        <v>45177</v>
      </c>
      <c r="C1220" s="14">
        <v>29.8</v>
      </c>
      <c r="D1220" s="14">
        <v>56</v>
      </c>
      <c r="E1220" s="14">
        <v>421</v>
      </c>
      <c r="F1220" s="14">
        <v>6.6</v>
      </c>
      <c r="G1220" s="14">
        <v>37</v>
      </c>
      <c r="H1220" s="14">
        <v>85.64</v>
      </c>
      <c r="I1220" s="15">
        <v>0.56000000000000005</v>
      </c>
    </row>
    <row r="1221" spans="1:9" x14ac:dyDescent="0.25">
      <c r="A1221" s="12">
        <v>27</v>
      </c>
      <c r="B1221" s="13">
        <v>45178</v>
      </c>
      <c r="C1221" s="14">
        <v>20.100000000000001</v>
      </c>
      <c r="D1221" s="14">
        <v>60</v>
      </c>
      <c r="E1221" s="14">
        <v>500</v>
      </c>
      <c r="F1221" s="14">
        <v>6.5</v>
      </c>
      <c r="G1221" s="14">
        <v>38</v>
      </c>
      <c r="H1221" s="14">
        <v>68.180000000000007</v>
      </c>
      <c r="I1221" s="15">
        <v>0.6</v>
      </c>
    </row>
    <row r="1222" spans="1:9" x14ac:dyDescent="0.25">
      <c r="A1222" s="12">
        <v>27</v>
      </c>
      <c r="B1222" s="13">
        <v>45179</v>
      </c>
      <c r="C1222" s="14">
        <v>31.1</v>
      </c>
      <c r="D1222" s="14">
        <v>56</v>
      </c>
      <c r="E1222" s="14">
        <v>502</v>
      </c>
      <c r="F1222" s="14">
        <v>6.6</v>
      </c>
      <c r="G1222" s="14">
        <v>39</v>
      </c>
      <c r="H1222" s="14">
        <v>87.98</v>
      </c>
      <c r="I1222" s="15">
        <v>0.56000000000000005</v>
      </c>
    </row>
    <row r="1223" spans="1:9" x14ac:dyDescent="0.25">
      <c r="A1223" s="12">
        <v>27</v>
      </c>
      <c r="B1223" s="13">
        <v>45180</v>
      </c>
      <c r="C1223" s="14">
        <v>31.2</v>
      </c>
      <c r="D1223" s="14">
        <v>61</v>
      </c>
      <c r="E1223" s="14">
        <v>681</v>
      </c>
      <c r="F1223" s="14">
        <v>6.6</v>
      </c>
      <c r="G1223" s="14">
        <v>40</v>
      </c>
      <c r="H1223" s="14">
        <v>88.16</v>
      </c>
      <c r="I1223" s="15">
        <v>0.61</v>
      </c>
    </row>
    <row r="1224" spans="1:9" x14ac:dyDescent="0.25">
      <c r="A1224" s="12">
        <v>27</v>
      </c>
      <c r="B1224" s="13">
        <v>45181</v>
      </c>
      <c r="C1224" s="14">
        <v>31.2</v>
      </c>
      <c r="D1224" s="14">
        <v>71</v>
      </c>
      <c r="E1224" s="14">
        <v>539</v>
      </c>
      <c r="F1224" s="14">
        <v>6.5</v>
      </c>
      <c r="G1224" s="14">
        <v>41</v>
      </c>
      <c r="H1224" s="14">
        <v>88.16</v>
      </c>
      <c r="I1224" s="15">
        <v>0.71</v>
      </c>
    </row>
    <row r="1225" spans="1:9" x14ac:dyDescent="0.25">
      <c r="A1225" s="12">
        <v>27</v>
      </c>
      <c r="B1225" s="13">
        <v>45182</v>
      </c>
      <c r="C1225" s="14">
        <v>30.4</v>
      </c>
      <c r="D1225" s="14">
        <v>73</v>
      </c>
      <c r="E1225" s="14">
        <v>645</v>
      </c>
      <c r="F1225" s="14">
        <v>6.5</v>
      </c>
      <c r="G1225" s="14">
        <v>42</v>
      </c>
      <c r="H1225" s="14">
        <v>86.72</v>
      </c>
      <c r="I1225" s="15">
        <v>0.73</v>
      </c>
    </row>
    <row r="1226" spans="1:9" x14ac:dyDescent="0.25">
      <c r="A1226" s="12">
        <v>27</v>
      </c>
      <c r="B1226" s="13">
        <v>45183</v>
      </c>
      <c r="C1226" s="14">
        <v>29.1</v>
      </c>
      <c r="D1226" s="14">
        <v>54</v>
      </c>
      <c r="E1226" s="14">
        <v>658</v>
      </c>
      <c r="F1226" s="14">
        <v>6.5</v>
      </c>
      <c r="G1226" s="14">
        <v>43</v>
      </c>
      <c r="H1226" s="14">
        <v>84.38</v>
      </c>
      <c r="I1226" s="15">
        <v>0.54</v>
      </c>
    </row>
    <row r="1227" spans="1:9" x14ac:dyDescent="0.25">
      <c r="A1227" s="12">
        <v>27</v>
      </c>
      <c r="B1227" s="13">
        <v>45184</v>
      </c>
      <c r="C1227" s="14">
        <v>30.6</v>
      </c>
      <c r="D1227" s="14">
        <v>76</v>
      </c>
      <c r="E1227" s="14">
        <v>470</v>
      </c>
      <c r="F1227" s="14">
        <v>6.2</v>
      </c>
      <c r="G1227" s="14">
        <v>44</v>
      </c>
      <c r="H1227" s="14">
        <v>87.08</v>
      </c>
      <c r="I1227" s="15">
        <v>0.76</v>
      </c>
    </row>
    <row r="1228" spans="1:9" x14ac:dyDescent="0.25">
      <c r="A1228" s="12">
        <v>27</v>
      </c>
      <c r="B1228" s="13">
        <v>45185</v>
      </c>
      <c r="C1228" s="14">
        <v>31.5</v>
      </c>
      <c r="D1228" s="14">
        <v>53</v>
      </c>
      <c r="E1228" s="14">
        <v>454</v>
      </c>
      <c r="F1228" s="14">
        <v>6.8</v>
      </c>
      <c r="G1228" s="14">
        <v>45</v>
      </c>
      <c r="H1228" s="14">
        <v>88.7</v>
      </c>
      <c r="I1228" s="15">
        <v>0.53</v>
      </c>
    </row>
    <row r="1229" spans="1:9" x14ac:dyDescent="0.25">
      <c r="A1229" s="12">
        <v>28</v>
      </c>
      <c r="B1229" s="13">
        <v>45141</v>
      </c>
      <c r="C1229" s="14">
        <v>33.4</v>
      </c>
      <c r="D1229" s="14">
        <v>58</v>
      </c>
      <c r="E1229" s="14">
        <v>557</v>
      </c>
      <c r="F1229" s="14">
        <v>6.8</v>
      </c>
      <c r="G1229" s="14">
        <v>1</v>
      </c>
      <c r="H1229" s="14">
        <v>92.12</v>
      </c>
      <c r="I1229" s="15">
        <v>0.57999999999999996</v>
      </c>
    </row>
    <row r="1230" spans="1:9" x14ac:dyDescent="0.25">
      <c r="A1230" s="12">
        <v>28</v>
      </c>
      <c r="B1230" s="13">
        <v>45142</v>
      </c>
      <c r="C1230" s="14">
        <v>33.5</v>
      </c>
      <c r="D1230" s="14">
        <v>56</v>
      </c>
      <c r="E1230" s="14">
        <v>523</v>
      </c>
      <c r="F1230" s="14">
        <v>6.3</v>
      </c>
      <c r="G1230" s="14">
        <v>2</v>
      </c>
      <c r="H1230" s="14">
        <v>92.3</v>
      </c>
      <c r="I1230" s="15">
        <v>0.56000000000000005</v>
      </c>
    </row>
    <row r="1231" spans="1:9" x14ac:dyDescent="0.25">
      <c r="A1231" s="12">
        <v>28</v>
      </c>
      <c r="B1231" s="13">
        <v>45143</v>
      </c>
      <c r="C1231" s="14">
        <v>33.4</v>
      </c>
      <c r="D1231" s="14">
        <v>74</v>
      </c>
      <c r="E1231" s="14">
        <v>768</v>
      </c>
      <c r="F1231" s="14">
        <v>6.2</v>
      </c>
      <c r="G1231" s="14">
        <v>3</v>
      </c>
      <c r="H1231" s="14">
        <v>92.12</v>
      </c>
      <c r="I1231" s="15">
        <v>0.74</v>
      </c>
    </row>
    <row r="1232" spans="1:9" x14ac:dyDescent="0.25">
      <c r="A1232" s="12">
        <v>28</v>
      </c>
      <c r="B1232" s="13">
        <v>45144</v>
      </c>
      <c r="C1232" s="14">
        <v>33.4</v>
      </c>
      <c r="D1232" s="14">
        <v>75</v>
      </c>
      <c r="E1232" s="14">
        <v>607</v>
      </c>
      <c r="F1232" s="14">
        <v>6.5</v>
      </c>
      <c r="G1232" s="14">
        <v>4</v>
      </c>
      <c r="H1232" s="14">
        <v>92.12</v>
      </c>
      <c r="I1232" s="15">
        <v>0.75</v>
      </c>
    </row>
    <row r="1233" spans="1:9" x14ac:dyDescent="0.25">
      <c r="A1233" s="12">
        <v>28</v>
      </c>
      <c r="B1233" s="13">
        <v>45145</v>
      </c>
      <c r="C1233" s="14">
        <v>33.4</v>
      </c>
      <c r="D1233" s="14">
        <v>68</v>
      </c>
      <c r="E1233" s="14">
        <v>598</v>
      </c>
      <c r="F1233" s="14">
        <v>6.1</v>
      </c>
      <c r="G1233" s="14">
        <v>5</v>
      </c>
      <c r="H1233" s="14">
        <v>92.12</v>
      </c>
      <c r="I1233" s="15">
        <v>0.68</v>
      </c>
    </row>
    <row r="1234" spans="1:9" x14ac:dyDescent="0.25">
      <c r="A1234" s="12">
        <v>28</v>
      </c>
      <c r="B1234" s="13">
        <v>45146</v>
      </c>
      <c r="C1234" s="14">
        <v>32.299999999999997</v>
      </c>
      <c r="D1234" s="14">
        <v>55</v>
      </c>
      <c r="E1234" s="14">
        <v>786</v>
      </c>
      <c r="F1234" s="14">
        <v>6.3</v>
      </c>
      <c r="G1234" s="14">
        <v>6</v>
      </c>
      <c r="H1234" s="14">
        <v>90.14</v>
      </c>
      <c r="I1234" s="15">
        <v>0.55000000000000004</v>
      </c>
    </row>
    <row r="1235" spans="1:9" x14ac:dyDescent="0.25">
      <c r="A1235" s="12">
        <v>28</v>
      </c>
      <c r="B1235" s="13">
        <v>45147</v>
      </c>
      <c r="C1235" s="14">
        <v>32.299999999999997</v>
      </c>
      <c r="D1235" s="14">
        <v>72</v>
      </c>
      <c r="E1235" s="14">
        <v>554</v>
      </c>
      <c r="F1235" s="14">
        <v>6.3</v>
      </c>
      <c r="G1235" s="14">
        <v>7</v>
      </c>
      <c r="H1235" s="14">
        <v>90.14</v>
      </c>
      <c r="I1235" s="15">
        <v>0.72</v>
      </c>
    </row>
    <row r="1236" spans="1:9" x14ac:dyDescent="0.25">
      <c r="A1236" s="12">
        <v>28</v>
      </c>
      <c r="B1236" s="13">
        <v>45148</v>
      </c>
      <c r="C1236" s="14">
        <v>22.7</v>
      </c>
      <c r="D1236" s="14">
        <v>56</v>
      </c>
      <c r="E1236" s="14">
        <v>498</v>
      </c>
      <c r="F1236" s="14">
        <v>6.2</v>
      </c>
      <c r="G1236" s="14">
        <v>8</v>
      </c>
      <c r="H1236" s="14">
        <v>72.86</v>
      </c>
      <c r="I1236" s="15">
        <v>0.56000000000000005</v>
      </c>
    </row>
    <row r="1237" spans="1:9" x14ac:dyDescent="0.25">
      <c r="A1237" s="12">
        <v>28</v>
      </c>
      <c r="B1237" s="13">
        <v>45149</v>
      </c>
      <c r="C1237" s="14">
        <v>31.9</v>
      </c>
      <c r="D1237" s="14">
        <v>74</v>
      </c>
      <c r="E1237" s="14">
        <v>511</v>
      </c>
      <c r="F1237" s="14">
        <v>6.4</v>
      </c>
      <c r="G1237" s="14">
        <v>9</v>
      </c>
      <c r="H1237" s="14">
        <v>89.42</v>
      </c>
      <c r="I1237" s="15">
        <v>0.74</v>
      </c>
    </row>
    <row r="1238" spans="1:9" x14ac:dyDescent="0.25">
      <c r="A1238" s="12">
        <v>28</v>
      </c>
      <c r="B1238" s="13">
        <v>45150</v>
      </c>
      <c r="C1238" s="14">
        <v>30.2</v>
      </c>
      <c r="D1238" s="14">
        <v>53</v>
      </c>
      <c r="E1238" s="14">
        <v>455</v>
      </c>
      <c r="F1238" s="14">
        <v>6.2</v>
      </c>
      <c r="G1238" s="14">
        <v>10</v>
      </c>
      <c r="H1238" s="14">
        <v>86.36</v>
      </c>
      <c r="I1238" s="15">
        <v>0.53</v>
      </c>
    </row>
    <row r="1239" spans="1:9" x14ac:dyDescent="0.25">
      <c r="A1239" s="12">
        <v>28</v>
      </c>
      <c r="B1239" s="13">
        <v>45151</v>
      </c>
      <c r="C1239" s="14">
        <v>30.1</v>
      </c>
      <c r="D1239" s="14">
        <v>64</v>
      </c>
      <c r="E1239" s="14">
        <v>669</v>
      </c>
      <c r="F1239" s="14">
        <v>6.2</v>
      </c>
      <c r="G1239" s="14">
        <v>11</v>
      </c>
      <c r="H1239" s="14">
        <v>86.18</v>
      </c>
      <c r="I1239" s="15">
        <v>0.64</v>
      </c>
    </row>
    <row r="1240" spans="1:9" x14ac:dyDescent="0.25">
      <c r="A1240" s="12">
        <v>28</v>
      </c>
      <c r="B1240" s="13">
        <v>45152</v>
      </c>
      <c r="C1240" s="14">
        <v>30.1</v>
      </c>
      <c r="D1240" s="14">
        <v>79</v>
      </c>
      <c r="E1240" s="14">
        <v>601</v>
      </c>
      <c r="F1240" s="14">
        <v>6.5</v>
      </c>
      <c r="G1240" s="14">
        <v>12</v>
      </c>
      <c r="H1240" s="14">
        <v>86.18</v>
      </c>
      <c r="I1240" s="15">
        <v>0.79</v>
      </c>
    </row>
    <row r="1241" spans="1:9" x14ac:dyDescent="0.25">
      <c r="A1241" s="12">
        <v>28</v>
      </c>
      <c r="B1241" s="13">
        <v>45153</v>
      </c>
      <c r="C1241" s="14">
        <v>30.1</v>
      </c>
      <c r="D1241" s="14">
        <v>56</v>
      </c>
      <c r="E1241" s="14">
        <v>421</v>
      </c>
      <c r="F1241" s="14">
        <v>6.6</v>
      </c>
      <c r="G1241" s="14">
        <v>13</v>
      </c>
      <c r="H1241" s="14">
        <v>86.18</v>
      </c>
      <c r="I1241" s="15">
        <v>0.56000000000000005</v>
      </c>
    </row>
    <row r="1242" spans="1:9" x14ac:dyDescent="0.25">
      <c r="A1242" s="12">
        <v>28</v>
      </c>
      <c r="B1242" s="13">
        <v>45154</v>
      </c>
      <c r="C1242" s="14">
        <v>29.8</v>
      </c>
      <c r="D1242" s="14">
        <v>60</v>
      </c>
      <c r="E1242" s="14">
        <v>406</v>
      </c>
      <c r="F1242" s="14">
        <v>6.4</v>
      </c>
      <c r="G1242" s="14">
        <v>14</v>
      </c>
      <c r="H1242" s="14">
        <v>85.64</v>
      </c>
      <c r="I1242" s="15">
        <v>0.6</v>
      </c>
    </row>
    <row r="1243" spans="1:9" x14ac:dyDescent="0.25">
      <c r="A1243" s="12">
        <v>28</v>
      </c>
      <c r="B1243" s="13">
        <v>45155</v>
      </c>
      <c r="C1243" s="14">
        <v>29.6</v>
      </c>
      <c r="D1243" s="14">
        <v>65</v>
      </c>
      <c r="E1243" s="14">
        <v>571</v>
      </c>
      <c r="F1243" s="14">
        <v>6.7</v>
      </c>
      <c r="G1243" s="14">
        <v>15</v>
      </c>
      <c r="H1243" s="14">
        <v>85.28</v>
      </c>
      <c r="I1243" s="15">
        <v>0.65</v>
      </c>
    </row>
    <row r="1244" spans="1:9" x14ac:dyDescent="0.25">
      <c r="A1244" s="12">
        <v>28</v>
      </c>
      <c r="B1244" s="13">
        <v>45156</v>
      </c>
      <c r="C1244" s="14">
        <v>30.9</v>
      </c>
      <c r="D1244" s="14">
        <v>51</v>
      </c>
      <c r="E1244" s="14">
        <v>554</v>
      </c>
      <c r="F1244" s="14">
        <v>6.8</v>
      </c>
      <c r="G1244" s="14">
        <v>16</v>
      </c>
      <c r="H1244" s="14">
        <v>87.62</v>
      </c>
      <c r="I1244" s="15">
        <v>0.51</v>
      </c>
    </row>
    <row r="1245" spans="1:9" x14ac:dyDescent="0.25">
      <c r="A1245" s="12">
        <v>28</v>
      </c>
      <c r="B1245" s="13">
        <v>45157</v>
      </c>
      <c r="C1245" s="14">
        <v>30.8</v>
      </c>
      <c r="D1245" s="14">
        <v>51</v>
      </c>
      <c r="E1245" s="14">
        <v>529</v>
      </c>
      <c r="F1245" s="14">
        <v>6.7</v>
      </c>
      <c r="G1245" s="14">
        <v>17</v>
      </c>
      <c r="H1245" s="14">
        <v>87.44</v>
      </c>
      <c r="I1245" s="15">
        <v>0.51</v>
      </c>
    </row>
    <row r="1246" spans="1:9" x14ac:dyDescent="0.25">
      <c r="A1246" s="12">
        <v>28</v>
      </c>
      <c r="B1246" s="13">
        <v>45158</v>
      </c>
      <c r="C1246" s="14">
        <v>30.9</v>
      </c>
      <c r="D1246" s="14">
        <v>78</v>
      </c>
      <c r="E1246" s="14">
        <v>403</v>
      </c>
      <c r="F1246" s="14">
        <v>6.6</v>
      </c>
      <c r="G1246" s="14">
        <v>18</v>
      </c>
      <c r="H1246" s="14">
        <v>87.62</v>
      </c>
      <c r="I1246" s="15">
        <v>0.78</v>
      </c>
    </row>
    <row r="1247" spans="1:9" x14ac:dyDescent="0.25">
      <c r="A1247" s="12">
        <v>28</v>
      </c>
      <c r="B1247" s="13">
        <v>45159</v>
      </c>
      <c r="C1247" s="14">
        <v>30.2</v>
      </c>
      <c r="D1247" s="14">
        <v>75</v>
      </c>
      <c r="E1247" s="14">
        <v>643</v>
      </c>
      <c r="F1247" s="14">
        <v>6.6</v>
      </c>
      <c r="G1247" s="14">
        <v>19</v>
      </c>
      <c r="H1247" s="14">
        <v>86.36</v>
      </c>
      <c r="I1247" s="15">
        <v>0.75</v>
      </c>
    </row>
    <row r="1248" spans="1:9" x14ac:dyDescent="0.25">
      <c r="A1248" s="12">
        <v>28</v>
      </c>
      <c r="B1248" s="13">
        <v>45160</v>
      </c>
      <c r="C1248" s="14">
        <v>30.5</v>
      </c>
      <c r="D1248" s="14">
        <v>52</v>
      </c>
      <c r="E1248" s="14">
        <v>639</v>
      </c>
      <c r="F1248" s="14">
        <v>6.3</v>
      </c>
      <c r="G1248" s="14">
        <v>20</v>
      </c>
      <c r="H1248" s="14">
        <v>86.9</v>
      </c>
      <c r="I1248" s="15">
        <v>0.52</v>
      </c>
    </row>
    <row r="1249" spans="1:9" x14ac:dyDescent="0.25">
      <c r="A1249" s="12">
        <v>28</v>
      </c>
      <c r="B1249" s="13">
        <v>45161</v>
      </c>
      <c r="C1249" s="14">
        <v>30.8</v>
      </c>
      <c r="D1249" s="14">
        <v>59</v>
      </c>
      <c r="E1249" s="14">
        <v>788</v>
      </c>
      <c r="F1249" s="14">
        <v>6.6</v>
      </c>
      <c r="G1249" s="14">
        <v>21</v>
      </c>
      <c r="H1249" s="14">
        <v>87.44</v>
      </c>
      <c r="I1249" s="15">
        <v>0.59</v>
      </c>
    </row>
    <row r="1250" spans="1:9" x14ac:dyDescent="0.25">
      <c r="A1250" s="12">
        <v>28</v>
      </c>
      <c r="B1250" s="13">
        <v>45162</v>
      </c>
      <c r="C1250" s="14">
        <v>31.3</v>
      </c>
      <c r="D1250" s="14">
        <v>78</v>
      </c>
      <c r="E1250" s="14">
        <v>425</v>
      </c>
      <c r="F1250" s="14">
        <v>6.7</v>
      </c>
      <c r="G1250" s="14">
        <v>22</v>
      </c>
      <c r="H1250" s="14">
        <v>88.34</v>
      </c>
      <c r="I1250" s="15">
        <v>0.78</v>
      </c>
    </row>
    <row r="1251" spans="1:9" x14ac:dyDescent="0.25">
      <c r="A1251" s="12">
        <v>28</v>
      </c>
      <c r="B1251" s="13">
        <v>45163</v>
      </c>
      <c r="C1251" s="14">
        <v>31.4</v>
      </c>
      <c r="D1251" s="14">
        <v>77</v>
      </c>
      <c r="E1251" s="14">
        <v>459</v>
      </c>
      <c r="F1251" s="14">
        <v>6.5</v>
      </c>
      <c r="G1251" s="14">
        <v>23</v>
      </c>
      <c r="H1251" s="14">
        <v>88.52</v>
      </c>
      <c r="I1251" s="15">
        <v>0.77</v>
      </c>
    </row>
    <row r="1252" spans="1:9" x14ac:dyDescent="0.25">
      <c r="A1252" s="12">
        <v>28</v>
      </c>
      <c r="B1252" s="13">
        <v>45164</v>
      </c>
      <c r="C1252" s="14">
        <v>31.4</v>
      </c>
      <c r="D1252" s="14">
        <v>76</v>
      </c>
      <c r="E1252" s="14">
        <v>624</v>
      </c>
      <c r="F1252" s="14">
        <v>6.3</v>
      </c>
      <c r="G1252" s="14">
        <v>24</v>
      </c>
      <c r="H1252" s="14">
        <v>88.52</v>
      </c>
      <c r="I1252" s="15">
        <v>0.76</v>
      </c>
    </row>
    <row r="1253" spans="1:9" x14ac:dyDescent="0.25">
      <c r="A1253" s="12">
        <v>28</v>
      </c>
      <c r="B1253" s="13">
        <v>45165</v>
      </c>
      <c r="C1253" s="14">
        <v>30.1</v>
      </c>
      <c r="D1253" s="14">
        <v>73</v>
      </c>
      <c r="E1253" s="14">
        <v>411</v>
      </c>
      <c r="F1253" s="14">
        <v>6.3</v>
      </c>
      <c r="G1253" s="14">
        <v>25</v>
      </c>
      <c r="H1253" s="14">
        <v>86.18</v>
      </c>
      <c r="I1253" s="15">
        <v>0.73</v>
      </c>
    </row>
    <row r="1254" spans="1:9" x14ac:dyDescent="0.25">
      <c r="A1254" s="12">
        <v>28</v>
      </c>
      <c r="B1254" s="13">
        <v>45166</v>
      </c>
      <c r="C1254" s="14">
        <v>29.4</v>
      </c>
      <c r="D1254" s="14">
        <v>50</v>
      </c>
      <c r="E1254" s="14">
        <v>626</v>
      </c>
      <c r="F1254" s="14">
        <v>6</v>
      </c>
      <c r="G1254" s="14">
        <v>26</v>
      </c>
      <c r="H1254" s="14">
        <v>84.92</v>
      </c>
      <c r="I1254" s="15">
        <v>0.5</v>
      </c>
    </row>
    <row r="1255" spans="1:9" x14ac:dyDescent="0.25">
      <c r="A1255" s="12">
        <v>28</v>
      </c>
      <c r="B1255" s="13">
        <v>45167</v>
      </c>
      <c r="C1255" s="14">
        <v>28.7</v>
      </c>
      <c r="D1255" s="14">
        <v>60</v>
      </c>
      <c r="E1255" s="14">
        <v>728</v>
      </c>
      <c r="F1255" s="14">
        <v>6.6</v>
      </c>
      <c r="G1255" s="14">
        <v>27</v>
      </c>
      <c r="H1255" s="14">
        <v>83.66</v>
      </c>
      <c r="I1255" s="15">
        <v>0.6</v>
      </c>
    </row>
    <row r="1256" spans="1:9" x14ac:dyDescent="0.25">
      <c r="A1256" s="12">
        <v>28</v>
      </c>
      <c r="B1256" s="13">
        <v>45168</v>
      </c>
      <c r="C1256" s="14">
        <v>29.1</v>
      </c>
      <c r="D1256" s="14">
        <v>62</v>
      </c>
      <c r="E1256" s="14">
        <v>400</v>
      </c>
      <c r="F1256" s="14">
        <v>6.1</v>
      </c>
      <c r="G1256" s="14">
        <v>28</v>
      </c>
      <c r="H1256" s="14">
        <v>84.38</v>
      </c>
      <c r="I1256" s="15">
        <v>0.62</v>
      </c>
    </row>
    <row r="1257" spans="1:9" x14ac:dyDescent="0.25">
      <c r="A1257" s="12">
        <v>28</v>
      </c>
      <c r="B1257" s="13">
        <v>45169</v>
      </c>
      <c r="C1257" s="14">
        <v>29.2</v>
      </c>
      <c r="D1257" s="14">
        <v>64</v>
      </c>
      <c r="E1257" s="14">
        <v>555</v>
      </c>
      <c r="F1257" s="14">
        <v>6.6</v>
      </c>
      <c r="G1257" s="14">
        <v>29</v>
      </c>
      <c r="H1257" s="14">
        <v>84.56</v>
      </c>
      <c r="I1257" s="15">
        <v>0.64</v>
      </c>
    </row>
    <row r="1258" spans="1:9" x14ac:dyDescent="0.25">
      <c r="A1258" s="12">
        <v>28</v>
      </c>
      <c r="B1258" s="13">
        <v>45170</v>
      </c>
      <c r="C1258" s="14">
        <v>31.7</v>
      </c>
      <c r="D1258" s="14">
        <v>58</v>
      </c>
      <c r="E1258" s="14">
        <v>710</v>
      </c>
      <c r="F1258" s="14">
        <v>6.1</v>
      </c>
      <c r="G1258" s="14">
        <v>30</v>
      </c>
      <c r="H1258" s="14">
        <v>89.06</v>
      </c>
      <c r="I1258" s="15">
        <v>0.57999999999999996</v>
      </c>
    </row>
    <row r="1259" spans="1:9" x14ac:dyDescent="0.25">
      <c r="A1259" s="12">
        <v>28</v>
      </c>
      <c r="B1259" s="13">
        <v>45171</v>
      </c>
      <c r="C1259" s="14">
        <v>31.7</v>
      </c>
      <c r="D1259" s="14">
        <v>56</v>
      </c>
      <c r="E1259" s="14">
        <v>641</v>
      </c>
      <c r="F1259" s="14">
        <v>6.5</v>
      </c>
      <c r="G1259" s="14">
        <v>31</v>
      </c>
      <c r="H1259" s="14">
        <v>89.06</v>
      </c>
      <c r="I1259" s="15">
        <v>0.56000000000000005</v>
      </c>
    </row>
    <row r="1260" spans="1:9" x14ac:dyDescent="0.25">
      <c r="A1260" s="12">
        <v>28</v>
      </c>
      <c r="B1260" s="13">
        <v>45172</v>
      </c>
      <c r="C1260" s="14">
        <v>31.7</v>
      </c>
      <c r="D1260" s="14">
        <v>60</v>
      </c>
      <c r="E1260" s="14">
        <v>480</v>
      </c>
      <c r="F1260" s="14">
        <v>6.7</v>
      </c>
      <c r="G1260" s="14">
        <v>32</v>
      </c>
      <c r="H1260" s="14">
        <v>89.06</v>
      </c>
      <c r="I1260" s="15">
        <v>0.6</v>
      </c>
    </row>
    <row r="1261" spans="1:9" x14ac:dyDescent="0.25">
      <c r="A1261" s="12">
        <v>28</v>
      </c>
      <c r="B1261" s="13">
        <v>45173</v>
      </c>
      <c r="C1261" s="14">
        <v>31.7</v>
      </c>
      <c r="D1261" s="14">
        <v>70</v>
      </c>
      <c r="E1261" s="14">
        <v>689</v>
      </c>
      <c r="F1261" s="14">
        <v>6.5</v>
      </c>
      <c r="G1261" s="14">
        <v>33</v>
      </c>
      <c r="H1261" s="14">
        <v>89.06</v>
      </c>
      <c r="I1261" s="15">
        <v>0.7</v>
      </c>
    </row>
    <row r="1262" spans="1:9" x14ac:dyDescent="0.25">
      <c r="A1262" s="12">
        <v>28</v>
      </c>
      <c r="B1262" s="13">
        <v>45174</v>
      </c>
      <c r="C1262" s="14">
        <v>32</v>
      </c>
      <c r="D1262" s="14">
        <v>78</v>
      </c>
      <c r="E1262" s="14">
        <v>789</v>
      </c>
      <c r="F1262" s="14">
        <v>6.1</v>
      </c>
      <c r="G1262" s="14">
        <v>34</v>
      </c>
      <c r="H1262" s="14">
        <v>89.6</v>
      </c>
      <c r="I1262" s="15">
        <v>0.78</v>
      </c>
    </row>
    <row r="1263" spans="1:9" x14ac:dyDescent="0.25">
      <c r="A1263" s="12">
        <v>28</v>
      </c>
      <c r="B1263" s="13">
        <v>45175</v>
      </c>
      <c r="C1263" s="14">
        <v>32.1</v>
      </c>
      <c r="D1263" s="14">
        <v>61</v>
      </c>
      <c r="E1263" s="14">
        <v>601</v>
      </c>
      <c r="F1263" s="14">
        <v>6.1</v>
      </c>
      <c r="G1263" s="14">
        <v>35</v>
      </c>
      <c r="H1263" s="14">
        <v>89.78</v>
      </c>
      <c r="I1263" s="15">
        <v>0.61</v>
      </c>
    </row>
    <row r="1264" spans="1:9" x14ac:dyDescent="0.25">
      <c r="A1264" s="12">
        <v>28</v>
      </c>
      <c r="B1264" s="13">
        <v>45176</v>
      </c>
      <c r="C1264" s="14">
        <v>31.5</v>
      </c>
      <c r="D1264" s="14">
        <v>54</v>
      </c>
      <c r="E1264" s="14">
        <v>718</v>
      </c>
      <c r="F1264" s="14">
        <v>6.4</v>
      </c>
      <c r="G1264" s="14">
        <v>36</v>
      </c>
      <c r="H1264" s="14">
        <v>88.7</v>
      </c>
      <c r="I1264" s="15">
        <v>0.54</v>
      </c>
    </row>
    <row r="1265" spans="1:9" x14ac:dyDescent="0.25">
      <c r="A1265" s="12">
        <v>28</v>
      </c>
      <c r="B1265" s="13">
        <v>45177</v>
      </c>
      <c r="C1265" s="14">
        <v>29.8</v>
      </c>
      <c r="D1265" s="14">
        <v>74</v>
      </c>
      <c r="E1265" s="14">
        <v>434</v>
      </c>
      <c r="F1265" s="14">
        <v>6.2</v>
      </c>
      <c r="G1265" s="14">
        <v>37</v>
      </c>
      <c r="H1265" s="14">
        <v>85.64</v>
      </c>
      <c r="I1265" s="15">
        <v>0.74</v>
      </c>
    </row>
    <row r="1266" spans="1:9" x14ac:dyDescent="0.25">
      <c r="A1266" s="12">
        <v>28</v>
      </c>
      <c r="B1266" s="13">
        <v>45178</v>
      </c>
      <c r="C1266" s="14">
        <v>20.100000000000001</v>
      </c>
      <c r="D1266" s="14">
        <v>62</v>
      </c>
      <c r="E1266" s="14">
        <v>472</v>
      </c>
      <c r="F1266" s="14">
        <v>6.1</v>
      </c>
      <c r="G1266" s="14">
        <v>38</v>
      </c>
      <c r="H1266" s="14">
        <v>68.180000000000007</v>
      </c>
      <c r="I1266" s="15">
        <v>0.62</v>
      </c>
    </row>
    <row r="1267" spans="1:9" x14ac:dyDescent="0.25">
      <c r="A1267" s="12">
        <v>28</v>
      </c>
      <c r="B1267" s="13">
        <v>45179</v>
      </c>
      <c r="C1267" s="14">
        <v>31.1</v>
      </c>
      <c r="D1267" s="14">
        <v>50</v>
      </c>
      <c r="E1267" s="14">
        <v>534</v>
      </c>
      <c r="F1267" s="14">
        <v>6.3</v>
      </c>
      <c r="G1267" s="14">
        <v>39</v>
      </c>
      <c r="H1267" s="14">
        <v>87.98</v>
      </c>
      <c r="I1267" s="15">
        <v>0.5</v>
      </c>
    </row>
    <row r="1268" spans="1:9" x14ac:dyDescent="0.25">
      <c r="A1268" s="12">
        <v>28</v>
      </c>
      <c r="B1268" s="13">
        <v>45180</v>
      </c>
      <c r="C1268" s="14">
        <v>31.2</v>
      </c>
      <c r="D1268" s="14">
        <v>69</v>
      </c>
      <c r="E1268" s="14">
        <v>531</v>
      </c>
      <c r="F1268" s="14">
        <v>6.1</v>
      </c>
      <c r="G1268" s="14">
        <v>40</v>
      </c>
      <c r="H1268" s="14">
        <v>88.16</v>
      </c>
      <c r="I1268" s="15">
        <v>0.69</v>
      </c>
    </row>
    <row r="1269" spans="1:9" x14ac:dyDescent="0.25">
      <c r="A1269" s="12">
        <v>28</v>
      </c>
      <c r="B1269" s="13">
        <v>45181</v>
      </c>
      <c r="C1269" s="14">
        <v>31.2</v>
      </c>
      <c r="D1269" s="14">
        <v>60</v>
      </c>
      <c r="E1269" s="14">
        <v>774</v>
      </c>
      <c r="F1269" s="14">
        <v>6.8</v>
      </c>
      <c r="G1269" s="14">
        <v>41</v>
      </c>
      <c r="H1269" s="14">
        <v>88.16</v>
      </c>
      <c r="I1269" s="15">
        <v>0.6</v>
      </c>
    </row>
    <row r="1270" spans="1:9" x14ac:dyDescent="0.25">
      <c r="A1270" s="12">
        <v>28</v>
      </c>
      <c r="B1270" s="13">
        <v>45182</v>
      </c>
      <c r="C1270" s="14">
        <v>30.4</v>
      </c>
      <c r="D1270" s="14">
        <v>79</v>
      </c>
      <c r="E1270" s="14">
        <v>619</v>
      </c>
      <c r="F1270" s="14">
        <v>6.2</v>
      </c>
      <c r="G1270" s="14">
        <v>42</v>
      </c>
      <c r="H1270" s="14">
        <v>86.72</v>
      </c>
      <c r="I1270" s="15">
        <v>0.79</v>
      </c>
    </row>
    <row r="1271" spans="1:9" x14ac:dyDescent="0.25">
      <c r="A1271" s="12">
        <v>28</v>
      </c>
      <c r="B1271" s="13">
        <v>45183</v>
      </c>
      <c r="C1271" s="14">
        <v>29.1</v>
      </c>
      <c r="D1271" s="14">
        <v>72</v>
      </c>
      <c r="E1271" s="14">
        <v>772</v>
      </c>
      <c r="F1271" s="14">
        <v>6.6</v>
      </c>
      <c r="G1271" s="14">
        <v>43</v>
      </c>
      <c r="H1271" s="14">
        <v>84.38</v>
      </c>
      <c r="I1271" s="15">
        <v>0.72</v>
      </c>
    </row>
    <row r="1272" spans="1:9" x14ac:dyDescent="0.25">
      <c r="A1272" s="12">
        <v>28</v>
      </c>
      <c r="B1272" s="13">
        <v>45184</v>
      </c>
      <c r="C1272" s="14">
        <v>30.6</v>
      </c>
      <c r="D1272" s="14">
        <v>70</v>
      </c>
      <c r="E1272" s="14">
        <v>565</v>
      </c>
      <c r="F1272" s="14">
        <v>6.4</v>
      </c>
      <c r="G1272" s="14">
        <v>44</v>
      </c>
      <c r="H1272" s="14">
        <v>87.08</v>
      </c>
      <c r="I1272" s="15">
        <v>0.7</v>
      </c>
    </row>
    <row r="1273" spans="1:9" x14ac:dyDescent="0.25">
      <c r="A1273" s="12">
        <v>28</v>
      </c>
      <c r="B1273" s="13">
        <v>45185</v>
      </c>
      <c r="C1273" s="14">
        <v>31.5</v>
      </c>
      <c r="D1273" s="14">
        <v>74</v>
      </c>
      <c r="E1273" s="14">
        <v>418</v>
      </c>
      <c r="F1273" s="14">
        <v>6.5</v>
      </c>
      <c r="G1273" s="14">
        <v>45</v>
      </c>
      <c r="H1273" s="14">
        <v>88.7</v>
      </c>
      <c r="I1273" s="15">
        <v>0.74</v>
      </c>
    </row>
    <row r="1274" spans="1:9" x14ac:dyDescent="0.25">
      <c r="A1274" s="12">
        <v>29</v>
      </c>
      <c r="B1274" s="13">
        <v>45141</v>
      </c>
      <c r="C1274" s="14">
        <v>33.4</v>
      </c>
      <c r="D1274" s="14">
        <v>60</v>
      </c>
      <c r="E1274" s="14">
        <v>678</v>
      </c>
      <c r="F1274" s="14">
        <v>6.3</v>
      </c>
      <c r="G1274" s="14">
        <v>1</v>
      </c>
      <c r="H1274" s="14">
        <v>92.12</v>
      </c>
      <c r="I1274" s="15">
        <v>0.6</v>
      </c>
    </row>
    <row r="1275" spans="1:9" x14ac:dyDescent="0.25">
      <c r="A1275" s="12">
        <v>29</v>
      </c>
      <c r="B1275" s="13">
        <v>45142</v>
      </c>
      <c r="C1275" s="14">
        <v>33.5</v>
      </c>
      <c r="D1275" s="14">
        <v>58</v>
      </c>
      <c r="E1275" s="14">
        <v>566</v>
      </c>
      <c r="F1275" s="14">
        <v>6.3</v>
      </c>
      <c r="G1275" s="14">
        <v>2</v>
      </c>
      <c r="H1275" s="14">
        <v>92.3</v>
      </c>
      <c r="I1275" s="15">
        <v>0.57999999999999996</v>
      </c>
    </row>
    <row r="1276" spans="1:9" x14ac:dyDescent="0.25">
      <c r="A1276" s="12">
        <v>29</v>
      </c>
      <c r="B1276" s="13">
        <v>45143</v>
      </c>
      <c r="C1276" s="14">
        <v>33.4</v>
      </c>
      <c r="D1276" s="14">
        <v>66</v>
      </c>
      <c r="E1276" s="14">
        <v>526</v>
      </c>
      <c r="F1276" s="14">
        <v>6.2</v>
      </c>
      <c r="G1276" s="14">
        <v>3</v>
      </c>
      <c r="H1276" s="14">
        <v>92.12</v>
      </c>
      <c r="I1276" s="15">
        <v>0.66</v>
      </c>
    </row>
    <row r="1277" spans="1:9" x14ac:dyDescent="0.25">
      <c r="A1277" s="12">
        <v>29</v>
      </c>
      <c r="B1277" s="13">
        <v>45144</v>
      </c>
      <c r="C1277" s="14">
        <v>33.4</v>
      </c>
      <c r="D1277" s="14">
        <v>71</v>
      </c>
      <c r="E1277" s="14">
        <v>707</v>
      </c>
      <c r="F1277" s="14">
        <v>6.6</v>
      </c>
      <c r="G1277" s="14">
        <v>4</v>
      </c>
      <c r="H1277" s="14">
        <v>92.12</v>
      </c>
      <c r="I1277" s="15">
        <v>0.71</v>
      </c>
    </row>
    <row r="1278" spans="1:9" x14ac:dyDescent="0.25">
      <c r="A1278" s="12">
        <v>29</v>
      </c>
      <c r="B1278" s="13">
        <v>45145</v>
      </c>
      <c r="C1278" s="14">
        <v>33.4</v>
      </c>
      <c r="D1278" s="14">
        <v>74</v>
      </c>
      <c r="E1278" s="14">
        <v>547</v>
      </c>
      <c r="F1278" s="14">
        <v>6.6</v>
      </c>
      <c r="G1278" s="14">
        <v>5</v>
      </c>
      <c r="H1278" s="14">
        <v>92.12</v>
      </c>
      <c r="I1278" s="15">
        <v>0.74</v>
      </c>
    </row>
    <row r="1279" spans="1:9" x14ac:dyDescent="0.25">
      <c r="A1279" s="12">
        <v>29</v>
      </c>
      <c r="B1279" s="13">
        <v>45146</v>
      </c>
      <c r="C1279" s="14">
        <v>32.299999999999997</v>
      </c>
      <c r="D1279" s="14">
        <v>63</v>
      </c>
      <c r="E1279" s="14">
        <v>703</v>
      </c>
      <c r="F1279" s="14">
        <v>6.2</v>
      </c>
      <c r="G1279" s="14">
        <v>6</v>
      </c>
      <c r="H1279" s="14">
        <v>90.14</v>
      </c>
      <c r="I1279" s="15">
        <v>0.63</v>
      </c>
    </row>
    <row r="1280" spans="1:9" x14ac:dyDescent="0.25">
      <c r="A1280" s="12">
        <v>29</v>
      </c>
      <c r="B1280" s="13">
        <v>45147</v>
      </c>
      <c r="C1280" s="14">
        <v>32.299999999999997</v>
      </c>
      <c r="D1280" s="14">
        <v>69</v>
      </c>
      <c r="E1280" s="14">
        <v>704</v>
      </c>
      <c r="F1280" s="14">
        <v>6.5</v>
      </c>
      <c r="G1280" s="14">
        <v>7</v>
      </c>
      <c r="H1280" s="14">
        <v>90.14</v>
      </c>
      <c r="I1280" s="15">
        <v>0.69</v>
      </c>
    </row>
    <row r="1281" spans="1:9" x14ac:dyDescent="0.25">
      <c r="A1281" s="12">
        <v>29</v>
      </c>
      <c r="B1281" s="13">
        <v>45148</v>
      </c>
      <c r="C1281" s="14">
        <v>22.7</v>
      </c>
      <c r="D1281" s="14">
        <v>67</v>
      </c>
      <c r="E1281" s="14">
        <v>597</v>
      </c>
      <c r="F1281" s="14">
        <v>6.4</v>
      </c>
      <c r="G1281" s="14">
        <v>8</v>
      </c>
      <c r="H1281" s="14">
        <v>72.86</v>
      </c>
      <c r="I1281" s="15">
        <v>0.67</v>
      </c>
    </row>
    <row r="1282" spans="1:9" x14ac:dyDescent="0.25">
      <c r="A1282" s="12">
        <v>29</v>
      </c>
      <c r="B1282" s="13">
        <v>45149</v>
      </c>
      <c r="C1282" s="14">
        <v>31.9</v>
      </c>
      <c r="D1282" s="14">
        <v>64</v>
      </c>
      <c r="E1282" s="14">
        <v>787</v>
      </c>
      <c r="F1282" s="14">
        <v>6.8</v>
      </c>
      <c r="G1282" s="14">
        <v>9</v>
      </c>
      <c r="H1282" s="14">
        <v>89.42</v>
      </c>
      <c r="I1282" s="15">
        <v>0.64</v>
      </c>
    </row>
    <row r="1283" spans="1:9" x14ac:dyDescent="0.25">
      <c r="A1283" s="12">
        <v>29</v>
      </c>
      <c r="B1283" s="13">
        <v>45150</v>
      </c>
      <c r="C1283" s="14">
        <v>30.2</v>
      </c>
      <c r="D1283" s="14">
        <v>50</v>
      </c>
      <c r="E1283" s="14">
        <v>542</v>
      </c>
      <c r="F1283" s="14">
        <v>6.6</v>
      </c>
      <c r="G1283" s="14">
        <v>10</v>
      </c>
      <c r="H1283" s="14">
        <v>86.36</v>
      </c>
      <c r="I1283" s="15">
        <v>0.5</v>
      </c>
    </row>
    <row r="1284" spans="1:9" x14ac:dyDescent="0.25">
      <c r="A1284" s="12">
        <v>29</v>
      </c>
      <c r="B1284" s="13">
        <v>45151</v>
      </c>
      <c r="C1284" s="14">
        <v>30.1</v>
      </c>
      <c r="D1284" s="14">
        <v>71</v>
      </c>
      <c r="E1284" s="14">
        <v>464</v>
      </c>
      <c r="F1284" s="14">
        <v>6.7</v>
      </c>
      <c r="G1284" s="14">
        <v>11</v>
      </c>
      <c r="H1284" s="14">
        <v>86.18</v>
      </c>
      <c r="I1284" s="15">
        <v>0.71</v>
      </c>
    </row>
    <row r="1285" spans="1:9" x14ac:dyDescent="0.25">
      <c r="A1285" s="12">
        <v>29</v>
      </c>
      <c r="B1285" s="13">
        <v>45152</v>
      </c>
      <c r="C1285" s="14">
        <v>30.1</v>
      </c>
      <c r="D1285" s="14">
        <v>58</v>
      </c>
      <c r="E1285" s="14">
        <v>789</v>
      </c>
      <c r="F1285" s="14">
        <v>6.8</v>
      </c>
      <c r="G1285" s="14">
        <v>12</v>
      </c>
      <c r="H1285" s="14">
        <v>86.18</v>
      </c>
      <c r="I1285" s="15">
        <v>0.57999999999999996</v>
      </c>
    </row>
    <row r="1286" spans="1:9" x14ac:dyDescent="0.25">
      <c r="A1286" s="12">
        <v>29</v>
      </c>
      <c r="B1286" s="13">
        <v>45153</v>
      </c>
      <c r="C1286" s="14">
        <v>30.1</v>
      </c>
      <c r="D1286" s="14">
        <v>77</v>
      </c>
      <c r="E1286" s="14">
        <v>688</v>
      </c>
      <c r="F1286" s="14">
        <v>6.2</v>
      </c>
      <c r="G1286" s="14">
        <v>13</v>
      </c>
      <c r="H1286" s="14">
        <v>86.18</v>
      </c>
      <c r="I1286" s="15">
        <v>0.77</v>
      </c>
    </row>
    <row r="1287" spans="1:9" x14ac:dyDescent="0.25">
      <c r="A1287" s="12">
        <v>29</v>
      </c>
      <c r="B1287" s="13">
        <v>45154</v>
      </c>
      <c r="C1287" s="14">
        <v>29.8</v>
      </c>
      <c r="D1287" s="14">
        <v>64</v>
      </c>
      <c r="E1287" s="14">
        <v>706</v>
      </c>
      <c r="F1287" s="14">
        <v>6.2</v>
      </c>
      <c r="G1287" s="14">
        <v>14</v>
      </c>
      <c r="H1287" s="14">
        <v>85.64</v>
      </c>
      <c r="I1287" s="15">
        <v>0.64</v>
      </c>
    </row>
    <row r="1288" spans="1:9" x14ac:dyDescent="0.25">
      <c r="A1288" s="12">
        <v>29</v>
      </c>
      <c r="B1288" s="13">
        <v>45155</v>
      </c>
      <c r="C1288" s="14">
        <v>29.6</v>
      </c>
      <c r="D1288" s="14">
        <v>51</v>
      </c>
      <c r="E1288" s="14">
        <v>402</v>
      </c>
      <c r="F1288" s="14">
        <v>6.5</v>
      </c>
      <c r="G1288" s="14">
        <v>15</v>
      </c>
      <c r="H1288" s="14">
        <v>85.28</v>
      </c>
      <c r="I1288" s="15">
        <v>0.51</v>
      </c>
    </row>
    <row r="1289" spans="1:9" x14ac:dyDescent="0.25">
      <c r="A1289" s="12">
        <v>29</v>
      </c>
      <c r="B1289" s="13">
        <v>45156</v>
      </c>
      <c r="C1289" s="14">
        <v>30.9</v>
      </c>
      <c r="D1289" s="14">
        <v>66</v>
      </c>
      <c r="E1289" s="14">
        <v>547</v>
      </c>
      <c r="F1289" s="14">
        <v>6.2</v>
      </c>
      <c r="G1289" s="14">
        <v>16</v>
      </c>
      <c r="H1289" s="14">
        <v>87.62</v>
      </c>
      <c r="I1289" s="15">
        <v>0.66</v>
      </c>
    </row>
    <row r="1290" spans="1:9" x14ac:dyDescent="0.25">
      <c r="A1290" s="12">
        <v>29</v>
      </c>
      <c r="B1290" s="13">
        <v>45157</v>
      </c>
      <c r="C1290" s="14">
        <v>30.8</v>
      </c>
      <c r="D1290" s="14">
        <v>74</v>
      </c>
      <c r="E1290" s="14">
        <v>694</v>
      </c>
      <c r="F1290" s="14">
        <v>6.7</v>
      </c>
      <c r="G1290" s="14">
        <v>17</v>
      </c>
      <c r="H1290" s="14">
        <v>87.44</v>
      </c>
      <c r="I1290" s="15">
        <v>0.74</v>
      </c>
    </row>
    <row r="1291" spans="1:9" x14ac:dyDescent="0.25">
      <c r="A1291" s="12">
        <v>29</v>
      </c>
      <c r="B1291" s="13">
        <v>45158</v>
      </c>
      <c r="C1291" s="14">
        <v>30.9</v>
      </c>
      <c r="D1291" s="14">
        <v>75</v>
      </c>
      <c r="E1291" s="14">
        <v>478</v>
      </c>
      <c r="F1291" s="14">
        <v>6.5</v>
      </c>
      <c r="G1291" s="14">
        <v>18</v>
      </c>
      <c r="H1291" s="14">
        <v>87.62</v>
      </c>
      <c r="I1291" s="15">
        <v>0.75</v>
      </c>
    </row>
    <row r="1292" spans="1:9" x14ac:dyDescent="0.25">
      <c r="A1292" s="12">
        <v>29</v>
      </c>
      <c r="B1292" s="13">
        <v>45159</v>
      </c>
      <c r="C1292" s="14">
        <v>30.2</v>
      </c>
      <c r="D1292" s="14">
        <v>65</v>
      </c>
      <c r="E1292" s="14">
        <v>562</v>
      </c>
      <c r="F1292" s="14">
        <v>6.7</v>
      </c>
      <c r="G1292" s="14">
        <v>19</v>
      </c>
      <c r="H1292" s="14">
        <v>86.36</v>
      </c>
      <c r="I1292" s="15">
        <v>0.65</v>
      </c>
    </row>
    <row r="1293" spans="1:9" x14ac:dyDescent="0.25">
      <c r="A1293" s="12">
        <v>29</v>
      </c>
      <c r="B1293" s="13">
        <v>45160</v>
      </c>
      <c r="C1293" s="14">
        <v>30.5</v>
      </c>
      <c r="D1293" s="14">
        <v>51</v>
      </c>
      <c r="E1293" s="14">
        <v>548</v>
      </c>
      <c r="F1293" s="14">
        <v>6.3</v>
      </c>
      <c r="G1293" s="14">
        <v>20</v>
      </c>
      <c r="H1293" s="14">
        <v>86.9</v>
      </c>
      <c r="I1293" s="15">
        <v>0.51</v>
      </c>
    </row>
    <row r="1294" spans="1:9" x14ac:dyDescent="0.25">
      <c r="A1294" s="12">
        <v>29</v>
      </c>
      <c r="B1294" s="13">
        <v>45161</v>
      </c>
      <c r="C1294" s="14">
        <v>30.8</v>
      </c>
      <c r="D1294" s="14">
        <v>59</v>
      </c>
      <c r="E1294" s="14">
        <v>479</v>
      </c>
      <c r="F1294" s="14">
        <v>6.3</v>
      </c>
      <c r="G1294" s="14">
        <v>21</v>
      </c>
      <c r="H1294" s="14">
        <v>87.44</v>
      </c>
      <c r="I1294" s="15">
        <v>0.59</v>
      </c>
    </row>
    <row r="1295" spans="1:9" x14ac:dyDescent="0.25">
      <c r="A1295" s="12">
        <v>29</v>
      </c>
      <c r="B1295" s="13">
        <v>45162</v>
      </c>
      <c r="C1295" s="14">
        <v>31.3</v>
      </c>
      <c r="D1295" s="14">
        <v>66</v>
      </c>
      <c r="E1295" s="14">
        <v>405</v>
      </c>
      <c r="F1295" s="14">
        <v>6.2</v>
      </c>
      <c r="G1295" s="14">
        <v>22</v>
      </c>
      <c r="H1295" s="14">
        <v>88.34</v>
      </c>
      <c r="I1295" s="15">
        <v>0.66</v>
      </c>
    </row>
    <row r="1296" spans="1:9" x14ac:dyDescent="0.25">
      <c r="A1296" s="12">
        <v>29</v>
      </c>
      <c r="B1296" s="13">
        <v>45163</v>
      </c>
      <c r="C1296" s="14">
        <v>31.4</v>
      </c>
      <c r="D1296" s="14">
        <v>79</v>
      </c>
      <c r="E1296" s="14">
        <v>757</v>
      </c>
      <c r="F1296" s="14">
        <v>6.5</v>
      </c>
      <c r="G1296" s="14">
        <v>23</v>
      </c>
      <c r="H1296" s="14">
        <v>88.52</v>
      </c>
      <c r="I1296" s="15">
        <v>0.79</v>
      </c>
    </row>
    <row r="1297" spans="1:9" x14ac:dyDescent="0.25">
      <c r="A1297" s="12">
        <v>29</v>
      </c>
      <c r="B1297" s="13">
        <v>45164</v>
      </c>
      <c r="C1297" s="14">
        <v>31.4</v>
      </c>
      <c r="D1297" s="14">
        <v>76</v>
      </c>
      <c r="E1297" s="14">
        <v>472</v>
      </c>
      <c r="F1297" s="14">
        <v>6.2</v>
      </c>
      <c r="G1297" s="14">
        <v>24</v>
      </c>
      <c r="H1297" s="14">
        <v>88.52</v>
      </c>
      <c r="I1297" s="15">
        <v>0.76</v>
      </c>
    </row>
    <row r="1298" spans="1:9" x14ac:dyDescent="0.25">
      <c r="A1298" s="12">
        <v>29</v>
      </c>
      <c r="B1298" s="13">
        <v>45165</v>
      </c>
      <c r="C1298" s="14">
        <v>30.1</v>
      </c>
      <c r="D1298" s="14">
        <v>79</v>
      </c>
      <c r="E1298" s="14">
        <v>414</v>
      </c>
      <c r="F1298" s="14">
        <v>6.3</v>
      </c>
      <c r="G1298" s="14">
        <v>25</v>
      </c>
      <c r="H1298" s="14">
        <v>86.18</v>
      </c>
      <c r="I1298" s="15">
        <v>0.79</v>
      </c>
    </row>
    <row r="1299" spans="1:9" x14ac:dyDescent="0.25">
      <c r="A1299" s="12">
        <v>29</v>
      </c>
      <c r="B1299" s="13">
        <v>45166</v>
      </c>
      <c r="C1299" s="14">
        <v>29.4</v>
      </c>
      <c r="D1299" s="14">
        <v>59</v>
      </c>
      <c r="E1299" s="14">
        <v>795</v>
      </c>
      <c r="F1299" s="14">
        <v>6.3</v>
      </c>
      <c r="G1299" s="14">
        <v>26</v>
      </c>
      <c r="H1299" s="14">
        <v>84.92</v>
      </c>
      <c r="I1299" s="15">
        <v>0.59</v>
      </c>
    </row>
    <row r="1300" spans="1:9" x14ac:dyDescent="0.25">
      <c r="A1300" s="12">
        <v>29</v>
      </c>
      <c r="B1300" s="13">
        <v>45167</v>
      </c>
      <c r="C1300" s="14">
        <v>28.7</v>
      </c>
      <c r="D1300" s="14">
        <v>70</v>
      </c>
      <c r="E1300" s="14">
        <v>641</v>
      </c>
      <c r="F1300" s="14">
        <v>6.3</v>
      </c>
      <c r="G1300" s="14">
        <v>27</v>
      </c>
      <c r="H1300" s="14">
        <v>83.66</v>
      </c>
      <c r="I1300" s="15">
        <v>0.7</v>
      </c>
    </row>
    <row r="1301" spans="1:9" x14ac:dyDescent="0.25">
      <c r="A1301" s="12">
        <v>29</v>
      </c>
      <c r="B1301" s="13">
        <v>45168</v>
      </c>
      <c r="C1301" s="14">
        <v>29.1</v>
      </c>
      <c r="D1301" s="14">
        <v>53</v>
      </c>
      <c r="E1301" s="14">
        <v>414</v>
      </c>
      <c r="F1301" s="14">
        <v>6</v>
      </c>
      <c r="G1301" s="14">
        <v>28</v>
      </c>
      <c r="H1301" s="14">
        <v>84.38</v>
      </c>
      <c r="I1301" s="15">
        <v>0.53</v>
      </c>
    </row>
    <row r="1302" spans="1:9" x14ac:dyDescent="0.25">
      <c r="A1302" s="12">
        <v>29</v>
      </c>
      <c r="B1302" s="13">
        <v>45169</v>
      </c>
      <c r="C1302" s="14">
        <v>29.2</v>
      </c>
      <c r="D1302" s="14">
        <v>67</v>
      </c>
      <c r="E1302" s="14">
        <v>653</v>
      </c>
      <c r="F1302" s="14">
        <v>6.6</v>
      </c>
      <c r="G1302" s="14">
        <v>29</v>
      </c>
      <c r="H1302" s="14">
        <v>84.56</v>
      </c>
      <c r="I1302" s="15">
        <v>0.67</v>
      </c>
    </row>
    <row r="1303" spans="1:9" x14ac:dyDescent="0.25">
      <c r="A1303" s="12">
        <v>29</v>
      </c>
      <c r="B1303" s="13">
        <v>45170</v>
      </c>
      <c r="C1303" s="14">
        <v>31.7</v>
      </c>
      <c r="D1303" s="14">
        <v>56</v>
      </c>
      <c r="E1303" s="14">
        <v>626</v>
      </c>
      <c r="F1303" s="14">
        <v>6.6</v>
      </c>
      <c r="G1303" s="14">
        <v>30</v>
      </c>
      <c r="H1303" s="14">
        <v>89.06</v>
      </c>
      <c r="I1303" s="15">
        <v>0.56000000000000005</v>
      </c>
    </row>
    <row r="1304" spans="1:9" x14ac:dyDescent="0.25">
      <c r="A1304" s="12">
        <v>29</v>
      </c>
      <c r="B1304" s="13">
        <v>45171</v>
      </c>
      <c r="C1304" s="14">
        <v>31.7</v>
      </c>
      <c r="D1304" s="14">
        <v>70</v>
      </c>
      <c r="E1304" s="14">
        <v>424</v>
      </c>
      <c r="F1304" s="14">
        <v>6.3</v>
      </c>
      <c r="G1304" s="14">
        <v>31</v>
      </c>
      <c r="H1304" s="14">
        <v>89.06</v>
      </c>
      <c r="I1304" s="15">
        <v>0.7</v>
      </c>
    </row>
    <row r="1305" spans="1:9" x14ac:dyDescent="0.25">
      <c r="A1305" s="12">
        <v>29</v>
      </c>
      <c r="B1305" s="13">
        <v>45172</v>
      </c>
      <c r="C1305" s="14">
        <v>31.7</v>
      </c>
      <c r="D1305" s="14">
        <v>79</v>
      </c>
      <c r="E1305" s="14">
        <v>507</v>
      </c>
      <c r="F1305" s="14">
        <v>6.7</v>
      </c>
      <c r="G1305" s="14">
        <v>32</v>
      </c>
      <c r="H1305" s="14">
        <v>89.06</v>
      </c>
      <c r="I1305" s="15">
        <v>0.79</v>
      </c>
    </row>
    <row r="1306" spans="1:9" x14ac:dyDescent="0.25">
      <c r="A1306" s="12">
        <v>29</v>
      </c>
      <c r="B1306" s="13">
        <v>45173</v>
      </c>
      <c r="C1306" s="14">
        <v>31.7</v>
      </c>
      <c r="D1306" s="14">
        <v>73</v>
      </c>
      <c r="E1306" s="14">
        <v>763</v>
      </c>
      <c r="F1306" s="14">
        <v>6.6</v>
      </c>
      <c r="G1306" s="14">
        <v>33</v>
      </c>
      <c r="H1306" s="14">
        <v>89.06</v>
      </c>
      <c r="I1306" s="15">
        <v>0.73</v>
      </c>
    </row>
    <row r="1307" spans="1:9" x14ac:dyDescent="0.25">
      <c r="A1307" s="12">
        <v>29</v>
      </c>
      <c r="B1307" s="13">
        <v>45174</v>
      </c>
      <c r="C1307" s="14">
        <v>32</v>
      </c>
      <c r="D1307" s="14">
        <v>71</v>
      </c>
      <c r="E1307" s="14">
        <v>592</v>
      </c>
      <c r="F1307" s="14">
        <v>6.4</v>
      </c>
      <c r="G1307" s="14">
        <v>34</v>
      </c>
      <c r="H1307" s="14">
        <v>89.6</v>
      </c>
      <c r="I1307" s="15">
        <v>0.71</v>
      </c>
    </row>
    <row r="1308" spans="1:9" x14ac:dyDescent="0.25">
      <c r="A1308" s="12">
        <v>29</v>
      </c>
      <c r="B1308" s="13">
        <v>45175</v>
      </c>
      <c r="C1308" s="14">
        <v>32.1</v>
      </c>
      <c r="D1308" s="14">
        <v>71</v>
      </c>
      <c r="E1308" s="14">
        <v>428</v>
      </c>
      <c r="F1308" s="14">
        <v>6.5</v>
      </c>
      <c r="G1308" s="14">
        <v>35</v>
      </c>
      <c r="H1308" s="14">
        <v>89.78</v>
      </c>
      <c r="I1308" s="15">
        <v>0.71</v>
      </c>
    </row>
    <row r="1309" spans="1:9" x14ac:dyDescent="0.25">
      <c r="A1309" s="12">
        <v>29</v>
      </c>
      <c r="B1309" s="13">
        <v>45176</v>
      </c>
      <c r="C1309" s="14">
        <v>31.5</v>
      </c>
      <c r="D1309" s="14">
        <v>63</v>
      </c>
      <c r="E1309" s="14">
        <v>505</v>
      </c>
      <c r="F1309" s="14">
        <v>6.5</v>
      </c>
      <c r="G1309" s="14">
        <v>36</v>
      </c>
      <c r="H1309" s="14">
        <v>88.7</v>
      </c>
      <c r="I1309" s="15">
        <v>0.63</v>
      </c>
    </row>
    <row r="1310" spans="1:9" x14ac:dyDescent="0.25">
      <c r="A1310" s="12">
        <v>29</v>
      </c>
      <c r="B1310" s="13">
        <v>45177</v>
      </c>
      <c r="C1310" s="14">
        <v>29.8</v>
      </c>
      <c r="D1310" s="14">
        <v>72</v>
      </c>
      <c r="E1310" s="14">
        <v>581</v>
      </c>
      <c r="F1310" s="14">
        <v>6.3</v>
      </c>
      <c r="G1310" s="14">
        <v>37</v>
      </c>
      <c r="H1310" s="14">
        <v>85.64</v>
      </c>
      <c r="I1310" s="15">
        <v>0.72</v>
      </c>
    </row>
    <row r="1311" spans="1:9" x14ac:dyDescent="0.25">
      <c r="A1311" s="12">
        <v>29</v>
      </c>
      <c r="B1311" s="13">
        <v>45178</v>
      </c>
      <c r="C1311" s="14">
        <v>20.100000000000001</v>
      </c>
      <c r="D1311" s="14">
        <v>60</v>
      </c>
      <c r="E1311" s="14">
        <v>561</v>
      </c>
      <c r="F1311" s="14">
        <v>6</v>
      </c>
      <c r="G1311" s="14">
        <v>38</v>
      </c>
      <c r="H1311" s="14">
        <v>68.180000000000007</v>
      </c>
      <c r="I1311" s="15">
        <v>0.6</v>
      </c>
    </row>
    <row r="1312" spans="1:9" x14ac:dyDescent="0.25">
      <c r="A1312" s="12">
        <v>29</v>
      </c>
      <c r="B1312" s="13">
        <v>45179</v>
      </c>
      <c r="C1312" s="14">
        <v>31.1</v>
      </c>
      <c r="D1312" s="14">
        <v>55</v>
      </c>
      <c r="E1312" s="14">
        <v>556</v>
      </c>
      <c r="F1312" s="14">
        <v>6</v>
      </c>
      <c r="G1312" s="14">
        <v>39</v>
      </c>
      <c r="H1312" s="14">
        <v>87.98</v>
      </c>
      <c r="I1312" s="15">
        <v>0.55000000000000004</v>
      </c>
    </row>
    <row r="1313" spans="1:9" x14ac:dyDescent="0.25">
      <c r="A1313" s="12">
        <v>29</v>
      </c>
      <c r="B1313" s="13">
        <v>45180</v>
      </c>
      <c r="C1313" s="14">
        <v>31.2</v>
      </c>
      <c r="D1313" s="14">
        <v>59</v>
      </c>
      <c r="E1313" s="14">
        <v>493</v>
      </c>
      <c r="F1313" s="14">
        <v>6.8</v>
      </c>
      <c r="G1313" s="14">
        <v>40</v>
      </c>
      <c r="H1313" s="14">
        <v>88.16</v>
      </c>
      <c r="I1313" s="15">
        <v>0.59</v>
      </c>
    </row>
    <row r="1314" spans="1:9" x14ac:dyDescent="0.25">
      <c r="A1314" s="12">
        <v>29</v>
      </c>
      <c r="B1314" s="13">
        <v>45181</v>
      </c>
      <c r="C1314" s="14">
        <v>31.2</v>
      </c>
      <c r="D1314" s="14">
        <v>66</v>
      </c>
      <c r="E1314" s="14">
        <v>489</v>
      </c>
      <c r="F1314" s="14">
        <v>6.7</v>
      </c>
      <c r="G1314" s="14">
        <v>41</v>
      </c>
      <c r="H1314" s="14">
        <v>88.16</v>
      </c>
      <c r="I1314" s="15">
        <v>0.66</v>
      </c>
    </row>
    <row r="1315" spans="1:9" x14ac:dyDescent="0.25">
      <c r="A1315" s="12">
        <v>29</v>
      </c>
      <c r="B1315" s="13">
        <v>45182</v>
      </c>
      <c r="C1315" s="14">
        <v>30.4</v>
      </c>
      <c r="D1315" s="14">
        <v>78</v>
      </c>
      <c r="E1315" s="14">
        <v>635</v>
      </c>
      <c r="F1315" s="14">
        <v>6</v>
      </c>
      <c r="G1315" s="14">
        <v>42</v>
      </c>
      <c r="H1315" s="14">
        <v>86.72</v>
      </c>
      <c r="I1315" s="15">
        <v>0.78</v>
      </c>
    </row>
    <row r="1316" spans="1:9" x14ac:dyDescent="0.25">
      <c r="A1316" s="12">
        <v>29</v>
      </c>
      <c r="B1316" s="13">
        <v>45183</v>
      </c>
      <c r="C1316" s="14">
        <v>29.1</v>
      </c>
      <c r="D1316" s="14">
        <v>75</v>
      </c>
      <c r="E1316" s="14">
        <v>754</v>
      </c>
      <c r="F1316" s="14">
        <v>6.7</v>
      </c>
      <c r="G1316" s="14">
        <v>43</v>
      </c>
      <c r="H1316" s="14">
        <v>84.38</v>
      </c>
      <c r="I1316" s="15">
        <v>0.75</v>
      </c>
    </row>
    <row r="1317" spans="1:9" x14ac:dyDescent="0.25">
      <c r="A1317" s="12">
        <v>29</v>
      </c>
      <c r="B1317" s="13">
        <v>45184</v>
      </c>
      <c r="C1317" s="14">
        <v>30.6</v>
      </c>
      <c r="D1317" s="14">
        <v>50</v>
      </c>
      <c r="E1317" s="14">
        <v>500</v>
      </c>
      <c r="F1317" s="14">
        <v>6.8</v>
      </c>
      <c r="G1317" s="14">
        <v>44</v>
      </c>
      <c r="H1317" s="14">
        <v>87.08</v>
      </c>
      <c r="I1317" s="15">
        <v>0.5</v>
      </c>
    </row>
    <row r="1318" spans="1:9" x14ac:dyDescent="0.25">
      <c r="A1318" s="12">
        <v>29</v>
      </c>
      <c r="B1318" s="13">
        <v>45185</v>
      </c>
      <c r="C1318" s="14">
        <v>31.5</v>
      </c>
      <c r="D1318" s="14">
        <v>60</v>
      </c>
      <c r="E1318" s="14">
        <v>605</v>
      </c>
      <c r="F1318" s="14">
        <v>6.4</v>
      </c>
      <c r="G1318" s="14">
        <v>45</v>
      </c>
      <c r="H1318" s="14">
        <v>88.7</v>
      </c>
      <c r="I1318" s="15">
        <v>0.6</v>
      </c>
    </row>
    <row r="1319" spans="1:9" x14ac:dyDescent="0.25">
      <c r="A1319" s="12">
        <v>30</v>
      </c>
      <c r="B1319" s="13">
        <v>45141</v>
      </c>
      <c r="C1319" s="14">
        <v>33.4</v>
      </c>
      <c r="D1319" s="14">
        <v>67</v>
      </c>
      <c r="E1319" s="14">
        <v>643</v>
      </c>
      <c r="F1319" s="14">
        <v>6.6</v>
      </c>
      <c r="G1319" s="14">
        <v>1</v>
      </c>
      <c r="H1319" s="14">
        <v>92.12</v>
      </c>
      <c r="I1319" s="15">
        <v>0.67</v>
      </c>
    </row>
    <row r="1320" spans="1:9" x14ac:dyDescent="0.25">
      <c r="A1320" s="12">
        <v>30</v>
      </c>
      <c r="B1320" s="13">
        <v>45142</v>
      </c>
      <c r="C1320" s="14">
        <v>33.5</v>
      </c>
      <c r="D1320" s="14">
        <v>75</v>
      </c>
      <c r="E1320" s="14">
        <v>687</v>
      </c>
      <c r="F1320" s="14">
        <v>6</v>
      </c>
      <c r="G1320" s="14">
        <v>2</v>
      </c>
      <c r="H1320" s="14">
        <v>92.3</v>
      </c>
      <c r="I1320" s="15">
        <v>0.75</v>
      </c>
    </row>
    <row r="1321" spans="1:9" x14ac:dyDescent="0.25">
      <c r="A1321" s="12">
        <v>30</v>
      </c>
      <c r="B1321" s="13">
        <v>45143</v>
      </c>
      <c r="C1321" s="14">
        <v>33.4</v>
      </c>
      <c r="D1321" s="14">
        <v>60</v>
      </c>
      <c r="E1321" s="14">
        <v>660</v>
      </c>
      <c r="F1321" s="14">
        <v>6.3</v>
      </c>
      <c r="G1321" s="14">
        <v>3</v>
      </c>
      <c r="H1321" s="14">
        <v>92.12</v>
      </c>
      <c r="I1321" s="15">
        <v>0.6</v>
      </c>
    </row>
    <row r="1322" spans="1:9" x14ac:dyDescent="0.25">
      <c r="A1322" s="12">
        <v>30</v>
      </c>
      <c r="B1322" s="13">
        <v>45144</v>
      </c>
      <c r="C1322" s="14">
        <v>33.4</v>
      </c>
      <c r="D1322" s="14">
        <v>68</v>
      </c>
      <c r="E1322" s="14">
        <v>727</v>
      </c>
      <c r="F1322" s="14">
        <v>6.7</v>
      </c>
      <c r="G1322" s="14">
        <v>4</v>
      </c>
      <c r="H1322" s="14">
        <v>92.12</v>
      </c>
      <c r="I1322" s="15">
        <v>0.68</v>
      </c>
    </row>
    <row r="1323" spans="1:9" x14ac:dyDescent="0.25">
      <c r="A1323" s="12">
        <v>30</v>
      </c>
      <c r="B1323" s="13">
        <v>45145</v>
      </c>
      <c r="C1323" s="14">
        <v>33.4</v>
      </c>
      <c r="D1323" s="14">
        <v>50</v>
      </c>
      <c r="E1323" s="14">
        <v>547</v>
      </c>
      <c r="F1323" s="14">
        <v>6.4</v>
      </c>
      <c r="G1323" s="14">
        <v>5</v>
      </c>
      <c r="H1323" s="14">
        <v>92.12</v>
      </c>
      <c r="I1323" s="15">
        <v>0.5</v>
      </c>
    </row>
    <row r="1324" spans="1:9" x14ac:dyDescent="0.25">
      <c r="A1324" s="12">
        <v>30</v>
      </c>
      <c r="B1324" s="13">
        <v>45146</v>
      </c>
      <c r="C1324" s="14">
        <v>32.299999999999997</v>
      </c>
      <c r="D1324" s="14">
        <v>57</v>
      </c>
      <c r="E1324" s="14">
        <v>620</v>
      </c>
      <c r="F1324" s="14">
        <v>6.2</v>
      </c>
      <c r="G1324" s="14">
        <v>6</v>
      </c>
      <c r="H1324" s="14">
        <v>90.14</v>
      </c>
      <c r="I1324" s="15">
        <v>0.56999999999999995</v>
      </c>
    </row>
    <row r="1325" spans="1:9" x14ac:dyDescent="0.25">
      <c r="A1325" s="12">
        <v>30</v>
      </c>
      <c r="B1325" s="13">
        <v>45147</v>
      </c>
      <c r="C1325" s="14">
        <v>32.299999999999997</v>
      </c>
      <c r="D1325" s="14">
        <v>75</v>
      </c>
      <c r="E1325" s="14">
        <v>747</v>
      </c>
      <c r="F1325" s="14">
        <v>6.7</v>
      </c>
      <c r="G1325" s="14">
        <v>7</v>
      </c>
      <c r="H1325" s="14">
        <v>90.14</v>
      </c>
      <c r="I1325" s="15">
        <v>0.75</v>
      </c>
    </row>
    <row r="1326" spans="1:9" x14ac:dyDescent="0.25">
      <c r="A1326" s="12">
        <v>30</v>
      </c>
      <c r="B1326" s="13">
        <v>45148</v>
      </c>
      <c r="C1326" s="14">
        <v>22.7</v>
      </c>
      <c r="D1326" s="14">
        <v>76</v>
      </c>
      <c r="E1326" s="14">
        <v>587</v>
      </c>
      <c r="F1326" s="14">
        <v>6.4</v>
      </c>
      <c r="G1326" s="14">
        <v>8</v>
      </c>
      <c r="H1326" s="14">
        <v>72.86</v>
      </c>
      <c r="I1326" s="15">
        <v>0.76</v>
      </c>
    </row>
    <row r="1327" spans="1:9" x14ac:dyDescent="0.25">
      <c r="A1327" s="12">
        <v>30</v>
      </c>
      <c r="B1327" s="13">
        <v>45149</v>
      </c>
      <c r="C1327" s="14">
        <v>31.9</v>
      </c>
      <c r="D1327" s="14">
        <v>63</v>
      </c>
      <c r="E1327" s="14">
        <v>453</v>
      </c>
      <c r="F1327" s="14">
        <v>6.6</v>
      </c>
      <c r="G1327" s="14">
        <v>9</v>
      </c>
      <c r="H1327" s="14">
        <v>89.42</v>
      </c>
      <c r="I1327" s="15">
        <v>0.63</v>
      </c>
    </row>
    <row r="1328" spans="1:9" x14ac:dyDescent="0.25">
      <c r="A1328" s="12">
        <v>30</v>
      </c>
      <c r="B1328" s="13">
        <v>45150</v>
      </c>
      <c r="C1328" s="14">
        <v>30.2</v>
      </c>
      <c r="D1328" s="14">
        <v>60</v>
      </c>
      <c r="E1328" s="14">
        <v>449</v>
      </c>
      <c r="F1328" s="14">
        <v>6.4</v>
      </c>
      <c r="G1328" s="14">
        <v>10</v>
      </c>
      <c r="H1328" s="14">
        <v>86.36</v>
      </c>
      <c r="I1328" s="15">
        <v>0.6</v>
      </c>
    </row>
    <row r="1329" spans="1:9" x14ac:dyDescent="0.25">
      <c r="A1329" s="12">
        <v>30</v>
      </c>
      <c r="B1329" s="13">
        <v>45151</v>
      </c>
      <c r="C1329" s="14">
        <v>30.1</v>
      </c>
      <c r="D1329" s="14">
        <v>69</v>
      </c>
      <c r="E1329" s="14">
        <v>783</v>
      </c>
      <c r="F1329" s="14">
        <v>6.7</v>
      </c>
      <c r="G1329" s="14">
        <v>11</v>
      </c>
      <c r="H1329" s="14">
        <v>86.18</v>
      </c>
      <c r="I1329" s="15">
        <v>0.69</v>
      </c>
    </row>
    <row r="1330" spans="1:9" x14ac:dyDescent="0.25">
      <c r="A1330" s="12">
        <v>30</v>
      </c>
      <c r="B1330" s="13">
        <v>45152</v>
      </c>
      <c r="C1330" s="14">
        <v>30.1</v>
      </c>
      <c r="D1330" s="14">
        <v>72</v>
      </c>
      <c r="E1330" s="14">
        <v>567</v>
      </c>
      <c r="F1330" s="14">
        <v>6.6</v>
      </c>
      <c r="G1330" s="14">
        <v>12</v>
      </c>
      <c r="H1330" s="14">
        <v>86.18</v>
      </c>
      <c r="I1330" s="15">
        <v>0.72</v>
      </c>
    </row>
    <row r="1331" spans="1:9" x14ac:dyDescent="0.25">
      <c r="A1331" s="12">
        <v>30</v>
      </c>
      <c r="B1331" s="13">
        <v>45153</v>
      </c>
      <c r="C1331" s="14">
        <v>30.1</v>
      </c>
      <c r="D1331" s="14">
        <v>75</v>
      </c>
      <c r="E1331" s="14">
        <v>757</v>
      </c>
      <c r="F1331" s="14">
        <v>6.5</v>
      </c>
      <c r="G1331" s="14">
        <v>13</v>
      </c>
      <c r="H1331" s="14">
        <v>86.18</v>
      </c>
      <c r="I1331" s="15">
        <v>0.75</v>
      </c>
    </row>
    <row r="1332" spans="1:9" x14ac:dyDescent="0.25">
      <c r="A1332" s="12">
        <v>30</v>
      </c>
      <c r="B1332" s="13">
        <v>45154</v>
      </c>
      <c r="C1332" s="14">
        <v>29.8</v>
      </c>
      <c r="D1332" s="14">
        <v>57</v>
      </c>
      <c r="E1332" s="14">
        <v>495</v>
      </c>
      <c r="F1332" s="14">
        <v>6.3</v>
      </c>
      <c r="G1332" s="14">
        <v>14</v>
      </c>
      <c r="H1332" s="14">
        <v>85.64</v>
      </c>
      <c r="I1332" s="15">
        <v>0.56999999999999995</v>
      </c>
    </row>
    <row r="1333" spans="1:9" x14ac:dyDescent="0.25">
      <c r="A1333" s="12">
        <v>30</v>
      </c>
      <c r="B1333" s="13">
        <v>45155</v>
      </c>
      <c r="C1333" s="14">
        <v>29.6</v>
      </c>
      <c r="D1333" s="14">
        <v>64</v>
      </c>
      <c r="E1333" s="14">
        <v>467</v>
      </c>
      <c r="F1333" s="14">
        <v>6.1</v>
      </c>
      <c r="G1333" s="14">
        <v>15</v>
      </c>
      <c r="H1333" s="14">
        <v>85.28</v>
      </c>
      <c r="I1333" s="15">
        <v>0.64</v>
      </c>
    </row>
    <row r="1334" spans="1:9" x14ac:dyDescent="0.25">
      <c r="A1334" s="12">
        <v>30</v>
      </c>
      <c r="B1334" s="13">
        <v>45156</v>
      </c>
      <c r="C1334" s="14">
        <v>30.9</v>
      </c>
      <c r="D1334" s="14">
        <v>76</v>
      </c>
      <c r="E1334" s="14">
        <v>451</v>
      </c>
      <c r="F1334" s="14">
        <v>6.8</v>
      </c>
      <c r="G1334" s="14">
        <v>16</v>
      </c>
      <c r="H1334" s="14">
        <v>87.62</v>
      </c>
      <c r="I1334" s="15">
        <v>0.76</v>
      </c>
    </row>
    <row r="1335" spans="1:9" x14ac:dyDescent="0.25">
      <c r="A1335" s="12">
        <v>30</v>
      </c>
      <c r="B1335" s="13">
        <v>45157</v>
      </c>
      <c r="C1335" s="14">
        <v>30.8</v>
      </c>
      <c r="D1335" s="14">
        <v>65</v>
      </c>
      <c r="E1335" s="14">
        <v>545</v>
      </c>
      <c r="F1335" s="14">
        <v>6.5</v>
      </c>
      <c r="G1335" s="14">
        <v>17</v>
      </c>
      <c r="H1335" s="14">
        <v>87.44</v>
      </c>
      <c r="I1335" s="15">
        <v>0.65</v>
      </c>
    </row>
    <row r="1336" spans="1:9" x14ac:dyDescent="0.25">
      <c r="A1336" s="12">
        <v>30</v>
      </c>
      <c r="B1336" s="13">
        <v>45158</v>
      </c>
      <c r="C1336" s="14">
        <v>30.9</v>
      </c>
      <c r="D1336" s="14">
        <v>61</v>
      </c>
      <c r="E1336" s="14">
        <v>781</v>
      </c>
      <c r="F1336" s="14">
        <v>6.8</v>
      </c>
      <c r="G1336" s="14">
        <v>18</v>
      </c>
      <c r="H1336" s="14">
        <v>87.62</v>
      </c>
      <c r="I1336" s="15">
        <v>0.61</v>
      </c>
    </row>
    <row r="1337" spans="1:9" x14ac:dyDescent="0.25">
      <c r="A1337" s="12">
        <v>30</v>
      </c>
      <c r="B1337" s="13">
        <v>45159</v>
      </c>
      <c r="C1337" s="14">
        <v>30.2</v>
      </c>
      <c r="D1337" s="14">
        <v>61</v>
      </c>
      <c r="E1337" s="14">
        <v>562</v>
      </c>
      <c r="F1337" s="14">
        <v>6.6</v>
      </c>
      <c r="G1337" s="14">
        <v>19</v>
      </c>
      <c r="H1337" s="14">
        <v>86.36</v>
      </c>
      <c r="I1337" s="15">
        <v>0.61</v>
      </c>
    </row>
    <row r="1338" spans="1:9" x14ac:dyDescent="0.25">
      <c r="A1338" s="12">
        <v>30</v>
      </c>
      <c r="B1338" s="13">
        <v>45160</v>
      </c>
      <c r="C1338" s="14">
        <v>30.5</v>
      </c>
      <c r="D1338" s="14">
        <v>61</v>
      </c>
      <c r="E1338" s="14">
        <v>442</v>
      </c>
      <c r="F1338" s="14">
        <v>6.7</v>
      </c>
      <c r="G1338" s="14">
        <v>20</v>
      </c>
      <c r="H1338" s="14">
        <v>86.9</v>
      </c>
      <c r="I1338" s="15">
        <v>0.61</v>
      </c>
    </row>
    <row r="1339" spans="1:9" x14ac:dyDescent="0.25">
      <c r="A1339" s="12">
        <v>30</v>
      </c>
      <c r="B1339" s="13">
        <v>45161</v>
      </c>
      <c r="C1339" s="14">
        <v>30.8</v>
      </c>
      <c r="D1339" s="14">
        <v>61</v>
      </c>
      <c r="E1339" s="14">
        <v>479</v>
      </c>
      <c r="F1339" s="14">
        <v>6.8</v>
      </c>
      <c r="G1339" s="14">
        <v>21</v>
      </c>
      <c r="H1339" s="14">
        <v>87.44</v>
      </c>
      <c r="I1339" s="15">
        <v>0.61</v>
      </c>
    </row>
    <row r="1340" spans="1:9" x14ac:dyDescent="0.25">
      <c r="A1340" s="12">
        <v>30</v>
      </c>
      <c r="B1340" s="13">
        <v>45162</v>
      </c>
      <c r="C1340" s="14">
        <v>31.3</v>
      </c>
      <c r="D1340" s="14">
        <v>78</v>
      </c>
      <c r="E1340" s="14">
        <v>795</v>
      </c>
      <c r="F1340" s="14">
        <v>6.7</v>
      </c>
      <c r="G1340" s="14">
        <v>22</v>
      </c>
      <c r="H1340" s="14">
        <v>88.34</v>
      </c>
      <c r="I1340" s="15">
        <v>0.78</v>
      </c>
    </row>
    <row r="1341" spans="1:9" x14ac:dyDescent="0.25">
      <c r="A1341" s="12">
        <v>30</v>
      </c>
      <c r="B1341" s="13">
        <v>45163</v>
      </c>
      <c r="C1341" s="14">
        <v>31.4</v>
      </c>
      <c r="D1341" s="14">
        <v>50</v>
      </c>
      <c r="E1341" s="14">
        <v>544</v>
      </c>
      <c r="F1341" s="14">
        <v>6.7</v>
      </c>
      <c r="G1341" s="14">
        <v>23</v>
      </c>
      <c r="H1341" s="14">
        <v>88.52</v>
      </c>
      <c r="I1341" s="15">
        <v>0.5</v>
      </c>
    </row>
    <row r="1342" spans="1:9" x14ac:dyDescent="0.25">
      <c r="A1342" s="12">
        <v>30</v>
      </c>
      <c r="B1342" s="13">
        <v>45164</v>
      </c>
      <c r="C1342" s="14">
        <v>31.4</v>
      </c>
      <c r="D1342" s="14">
        <v>58</v>
      </c>
      <c r="E1342" s="14">
        <v>593</v>
      </c>
      <c r="F1342" s="14">
        <v>6.4</v>
      </c>
      <c r="G1342" s="14">
        <v>24</v>
      </c>
      <c r="H1342" s="14">
        <v>88.52</v>
      </c>
      <c r="I1342" s="15">
        <v>0.57999999999999996</v>
      </c>
    </row>
    <row r="1343" spans="1:9" x14ac:dyDescent="0.25">
      <c r="A1343" s="12">
        <v>30</v>
      </c>
      <c r="B1343" s="13">
        <v>45165</v>
      </c>
      <c r="C1343" s="14">
        <v>30.1</v>
      </c>
      <c r="D1343" s="14">
        <v>75</v>
      </c>
      <c r="E1343" s="14">
        <v>574</v>
      </c>
      <c r="F1343" s="14">
        <v>6.3</v>
      </c>
      <c r="G1343" s="14">
        <v>25</v>
      </c>
      <c r="H1343" s="14">
        <v>86.18</v>
      </c>
      <c r="I1343" s="15">
        <v>0.75</v>
      </c>
    </row>
    <row r="1344" spans="1:9" x14ac:dyDescent="0.25">
      <c r="A1344" s="12">
        <v>30</v>
      </c>
      <c r="B1344" s="13">
        <v>45166</v>
      </c>
      <c r="C1344" s="14">
        <v>29.4</v>
      </c>
      <c r="D1344" s="14">
        <v>63</v>
      </c>
      <c r="E1344" s="14">
        <v>462</v>
      </c>
      <c r="F1344" s="14">
        <v>6.2</v>
      </c>
      <c r="G1344" s="14">
        <v>26</v>
      </c>
      <c r="H1344" s="14">
        <v>84.92</v>
      </c>
      <c r="I1344" s="15">
        <v>0.63</v>
      </c>
    </row>
    <row r="1345" spans="1:9" x14ac:dyDescent="0.25">
      <c r="A1345" s="12">
        <v>30</v>
      </c>
      <c r="B1345" s="13">
        <v>45167</v>
      </c>
      <c r="C1345" s="14">
        <v>28.7</v>
      </c>
      <c r="D1345" s="14">
        <v>71</v>
      </c>
      <c r="E1345" s="14">
        <v>549</v>
      </c>
      <c r="F1345" s="14">
        <v>6.7</v>
      </c>
      <c r="G1345" s="14">
        <v>27</v>
      </c>
      <c r="H1345" s="14">
        <v>83.66</v>
      </c>
      <c r="I1345" s="15">
        <v>0.71</v>
      </c>
    </row>
    <row r="1346" spans="1:9" x14ac:dyDescent="0.25">
      <c r="A1346" s="12">
        <v>30</v>
      </c>
      <c r="B1346" s="13">
        <v>45168</v>
      </c>
      <c r="C1346" s="14">
        <v>29.1</v>
      </c>
      <c r="D1346" s="14">
        <v>53</v>
      </c>
      <c r="E1346" s="14">
        <v>692</v>
      </c>
      <c r="F1346" s="14">
        <v>6.3</v>
      </c>
      <c r="G1346" s="14">
        <v>28</v>
      </c>
      <c r="H1346" s="14">
        <v>84.38</v>
      </c>
      <c r="I1346" s="15">
        <v>0.53</v>
      </c>
    </row>
    <row r="1347" spans="1:9" x14ac:dyDescent="0.25">
      <c r="A1347" s="12">
        <v>30</v>
      </c>
      <c r="B1347" s="13">
        <v>45169</v>
      </c>
      <c r="C1347" s="14">
        <v>29.2</v>
      </c>
      <c r="D1347" s="14">
        <v>50</v>
      </c>
      <c r="E1347" s="14">
        <v>640</v>
      </c>
      <c r="F1347" s="14">
        <v>6.3</v>
      </c>
      <c r="G1347" s="14">
        <v>29</v>
      </c>
      <c r="H1347" s="14">
        <v>84.56</v>
      </c>
      <c r="I1347" s="15">
        <v>0.5</v>
      </c>
    </row>
    <row r="1348" spans="1:9" x14ac:dyDescent="0.25">
      <c r="A1348" s="12">
        <v>30</v>
      </c>
      <c r="B1348" s="13">
        <v>45170</v>
      </c>
      <c r="C1348" s="14">
        <v>31.7</v>
      </c>
      <c r="D1348" s="14">
        <v>74</v>
      </c>
      <c r="E1348" s="14">
        <v>749</v>
      </c>
      <c r="F1348" s="14">
        <v>6.2</v>
      </c>
      <c r="G1348" s="14">
        <v>30</v>
      </c>
      <c r="H1348" s="14">
        <v>89.06</v>
      </c>
      <c r="I1348" s="15">
        <v>0.74</v>
      </c>
    </row>
    <row r="1349" spans="1:9" x14ac:dyDescent="0.25">
      <c r="A1349" s="12">
        <v>30</v>
      </c>
      <c r="B1349" s="13">
        <v>45171</v>
      </c>
      <c r="C1349" s="14">
        <v>31.7</v>
      </c>
      <c r="D1349" s="14">
        <v>65</v>
      </c>
      <c r="E1349" s="14">
        <v>716</v>
      </c>
      <c r="F1349" s="14">
        <v>6</v>
      </c>
      <c r="G1349" s="14">
        <v>31</v>
      </c>
      <c r="H1349" s="14">
        <v>89.06</v>
      </c>
      <c r="I1349" s="15">
        <v>0.65</v>
      </c>
    </row>
    <row r="1350" spans="1:9" x14ac:dyDescent="0.25">
      <c r="A1350" s="12">
        <v>30</v>
      </c>
      <c r="B1350" s="13">
        <v>45172</v>
      </c>
      <c r="C1350" s="14">
        <v>31.7</v>
      </c>
      <c r="D1350" s="14">
        <v>77</v>
      </c>
      <c r="E1350" s="14">
        <v>777</v>
      </c>
      <c r="F1350" s="14">
        <v>6.5</v>
      </c>
      <c r="G1350" s="14">
        <v>32</v>
      </c>
      <c r="H1350" s="14">
        <v>89.06</v>
      </c>
      <c r="I1350" s="15">
        <v>0.77</v>
      </c>
    </row>
    <row r="1351" spans="1:9" x14ac:dyDescent="0.25">
      <c r="A1351" s="12">
        <v>30</v>
      </c>
      <c r="B1351" s="13">
        <v>45173</v>
      </c>
      <c r="C1351" s="14">
        <v>31.7</v>
      </c>
      <c r="D1351" s="14">
        <v>62</v>
      </c>
      <c r="E1351" s="14">
        <v>468</v>
      </c>
      <c r="F1351" s="14">
        <v>6.1</v>
      </c>
      <c r="G1351" s="14">
        <v>33</v>
      </c>
      <c r="H1351" s="14">
        <v>89.06</v>
      </c>
      <c r="I1351" s="15">
        <v>0.62</v>
      </c>
    </row>
    <row r="1352" spans="1:9" x14ac:dyDescent="0.25">
      <c r="A1352" s="12">
        <v>30</v>
      </c>
      <c r="B1352" s="13">
        <v>45174</v>
      </c>
      <c r="C1352" s="14">
        <v>32</v>
      </c>
      <c r="D1352" s="14">
        <v>60</v>
      </c>
      <c r="E1352" s="14">
        <v>470</v>
      </c>
      <c r="F1352" s="14">
        <v>6.1</v>
      </c>
      <c r="G1352" s="14">
        <v>34</v>
      </c>
      <c r="H1352" s="14">
        <v>89.6</v>
      </c>
      <c r="I1352" s="15">
        <v>0.6</v>
      </c>
    </row>
    <row r="1353" spans="1:9" x14ac:dyDescent="0.25">
      <c r="A1353" s="12">
        <v>30</v>
      </c>
      <c r="B1353" s="13">
        <v>45175</v>
      </c>
      <c r="C1353" s="14">
        <v>32.1</v>
      </c>
      <c r="D1353" s="14">
        <v>78</v>
      </c>
      <c r="E1353" s="14">
        <v>532</v>
      </c>
      <c r="F1353" s="14">
        <v>6.3</v>
      </c>
      <c r="G1353" s="14">
        <v>35</v>
      </c>
      <c r="H1353" s="14">
        <v>89.78</v>
      </c>
      <c r="I1353" s="15">
        <v>0.78</v>
      </c>
    </row>
    <row r="1354" spans="1:9" x14ac:dyDescent="0.25">
      <c r="A1354" s="12">
        <v>30</v>
      </c>
      <c r="B1354" s="13">
        <v>45176</v>
      </c>
      <c r="C1354" s="14">
        <v>31.5</v>
      </c>
      <c r="D1354" s="14">
        <v>74</v>
      </c>
      <c r="E1354" s="14">
        <v>457</v>
      </c>
      <c r="F1354" s="14">
        <v>6.3</v>
      </c>
      <c r="G1354" s="14">
        <v>36</v>
      </c>
      <c r="H1354" s="14">
        <v>88.7</v>
      </c>
      <c r="I1354" s="15">
        <v>0.74</v>
      </c>
    </row>
    <row r="1355" spans="1:9" x14ac:dyDescent="0.25">
      <c r="A1355" s="12">
        <v>30</v>
      </c>
      <c r="B1355" s="13">
        <v>45177</v>
      </c>
      <c r="C1355" s="14">
        <v>29.8</v>
      </c>
      <c r="D1355" s="14">
        <v>80</v>
      </c>
      <c r="E1355" s="14">
        <v>574</v>
      </c>
      <c r="F1355" s="14">
        <v>6.4</v>
      </c>
      <c r="G1355" s="14">
        <v>37</v>
      </c>
      <c r="H1355" s="14">
        <v>85.64</v>
      </c>
      <c r="I1355" s="15">
        <v>0.8</v>
      </c>
    </row>
    <row r="1356" spans="1:9" x14ac:dyDescent="0.25">
      <c r="A1356" s="12">
        <v>30</v>
      </c>
      <c r="B1356" s="13">
        <v>45178</v>
      </c>
      <c r="C1356" s="14">
        <v>20.100000000000001</v>
      </c>
      <c r="D1356" s="14">
        <v>65</v>
      </c>
      <c r="E1356" s="14">
        <v>545</v>
      </c>
      <c r="F1356" s="14">
        <v>6.3</v>
      </c>
      <c r="G1356" s="14">
        <v>38</v>
      </c>
      <c r="H1356" s="14">
        <v>68.180000000000007</v>
      </c>
      <c r="I1356" s="15">
        <v>0.65</v>
      </c>
    </row>
    <row r="1357" spans="1:9" x14ac:dyDescent="0.25">
      <c r="A1357" s="12">
        <v>30</v>
      </c>
      <c r="B1357" s="13">
        <v>45179</v>
      </c>
      <c r="C1357" s="14">
        <v>31.1</v>
      </c>
      <c r="D1357" s="14">
        <v>78</v>
      </c>
      <c r="E1357" s="14">
        <v>458</v>
      </c>
      <c r="F1357" s="14">
        <v>6.5</v>
      </c>
      <c r="G1357" s="14">
        <v>39</v>
      </c>
      <c r="H1357" s="14">
        <v>87.98</v>
      </c>
      <c r="I1357" s="15">
        <v>0.78</v>
      </c>
    </row>
    <row r="1358" spans="1:9" x14ac:dyDescent="0.25">
      <c r="A1358" s="12">
        <v>30</v>
      </c>
      <c r="B1358" s="13">
        <v>45180</v>
      </c>
      <c r="C1358" s="14">
        <v>31.2</v>
      </c>
      <c r="D1358" s="14">
        <v>64</v>
      </c>
      <c r="E1358" s="14">
        <v>692</v>
      </c>
      <c r="F1358" s="14">
        <v>6.1</v>
      </c>
      <c r="G1358" s="14">
        <v>40</v>
      </c>
      <c r="H1358" s="14">
        <v>88.16</v>
      </c>
      <c r="I1358" s="15">
        <v>0.64</v>
      </c>
    </row>
    <row r="1359" spans="1:9" x14ac:dyDescent="0.25">
      <c r="A1359" s="12">
        <v>30</v>
      </c>
      <c r="B1359" s="13">
        <v>45181</v>
      </c>
      <c r="C1359" s="14">
        <v>31.2</v>
      </c>
      <c r="D1359" s="14">
        <v>70</v>
      </c>
      <c r="E1359" s="14">
        <v>672</v>
      </c>
      <c r="F1359" s="14">
        <v>6.1</v>
      </c>
      <c r="G1359" s="14">
        <v>41</v>
      </c>
      <c r="H1359" s="14">
        <v>88.16</v>
      </c>
      <c r="I1359" s="15">
        <v>0.7</v>
      </c>
    </row>
    <row r="1360" spans="1:9" x14ac:dyDescent="0.25">
      <c r="A1360" s="12">
        <v>30</v>
      </c>
      <c r="B1360" s="13">
        <v>45182</v>
      </c>
      <c r="C1360" s="14">
        <v>30.4</v>
      </c>
      <c r="D1360" s="14">
        <v>52</v>
      </c>
      <c r="E1360" s="14">
        <v>545</v>
      </c>
      <c r="F1360" s="14">
        <v>6</v>
      </c>
      <c r="G1360" s="14">
        <v>42</v>
      </c>
      <c r="H1360" s="14">
        <v>86.72</v>
      </c>
      <c r="I1360" s="15">
        <v>0.52</v>
      </c>
    </row>
    <row r="1361" spans="1:9" x14ac:dyDescent="0.25">
      <c r="A1361" s="12">
        <v>30</v>
      </c>
      <c r="B1361" s="13">
        <v>45183</v>
      </c>
      <c r="C1361" s="14">
        <v>29.1</v>
      </c>
      <c r="D1361" s="14">
        <v>60</v>
      </c>
      <c r="E1361" s="14">
        <v>460</v>
      </c>
      <c r="F1361" s="14">
        <v>6.3</v>
      </c>
      <c r="G1361" s="14">
        <v>43</v>
      </c>
      <c r="H1361" s="14">
        <v>84.38</v>
      </c>
      <c r="I1361" s="15">
        <v>0.6</v>
      </c>
    </row>
    <row r="1362" spans="1:9" x14ac:dyDescent="0.25">
      <c r="A1362" s="12">
        <v>30</v>
      </c>
      <c r="B1362" s="13">
        <v>45184</v>
      </c>
      <c r="C1362" s="14">
        <v>30.6</v>
      </c>
      <c r="D1362" s="14">
        <v>78</v>
      </c>
      <c r="E1362" s="14">
        <v>738</v>
      </c>
      <c r="F1362" s="14">
        <v>6.2</v>
      </c>
      <c r="G1362" s="14">
        <v>44</v>
      </c>
      <c r="H1362" s="14">
        <v>87.08</v>
      </c>
      <c r="I1362" s="15">
        <v>0.78</v>
      </c>
    </row>
    <row r="1363" spans="1:9" x14ac:dyDescent="0.25">
      <c r="A1363" s="12">
        <v>30</v>
      </c>
      <c r="B1363" s="13">
        <v>45185</v>
      </c>
      <c r="C1363" s="14">
        <v>31.5</v>
      </c>
      <c r="D1363" s="14">
        <v>55</v>
      </c>
      <c r="E1363" s="14">
        <v>628</v>
      </c>
      <c r="F1363" s="14">
        <v>6.3</v>
      </c>
      <c r="G1363" s="14">
        <v>45</v>
      </c>
      <c r="H1363" s="14">
        <v>88.7</v>
      </c>
      <c r="I1363" s="15">
        <v>0.55000000000000004</v>
      </c>
    </row>
    <row r="1364" spans="1:9" x14ac:dyDescent="0.25">
      <c r="A1364" s="12">
        <v>31</v>
      </c>
      <c r="B1364" s="13">
        <v>45141</v>
      </c>
      <c r="C1364" s="14">
        <v>33.4</v>
      </c>
      <c r="D1364" s="14">
        <v>77</v>
      </c>
      <c r="E1364" s="14">
        <v>477</v>
      </c>
      <c r="F1364" s="14">
        <v>6.3</v>
      </c>
      <c r="G1364" s="14">
        <v>1</v>
      </c>
      <c r="H1364" s="14">
        <v>92.12</v>
      </c>
      <c r="I1364" s="15">
        <v>0.77</v>
      </c>
    </row>
    <row r="1365" spans="1:9" x14ac:dyDescent="0.25">
      <c r="A1365" s="12">
        <v>31</v>
      </c>
      <c r="B1365" s="13">
        <v>45142</v>
      </c>
      <c r="C1365" s="14">
        <v>33.5</v>
      </c>
      <c r="D1365" s="14">
        <v>53</v>
      </c>
      <c r="E1365" s="14">
        <v>614</v>
      </c>
      <c r="F1365" s="14">
        <v>6.5</v>
      </c>
      <c r="G1365" s="14">
        <v>2</v>
      </c>
      <c r="H1365" s="14">
        <v>92.3</v>
      </c>
      <c r="I1365" s="15">
        <v>0.53</v>
      </c>
    </row>
    <row r="1366" spans="1:9" x14ac:dyDescent="0.25">
      <c r="A1366" s="12">
        <v>31</v>
      </c>
      <c r="B1366" s="13">
        <v>45143</v>
      </c>
      <c r="C1366" s="14">
        <v>33.4</v>
      </c>
      <c r="D1366" s="14">
        <v>70</v>
      </c>
      <c r="E1366" s="14">
        <v>555</v>
      </c>
      <c r="F1366" s="14">
        <v>6.1</v>
      </c>
      <c r="G1366" s="14">
        <v>3</v>
      </c>
      <c r="H1366" s="14">
        <v>92.12</v>
      </c>
      <c r="I1366" s="15">
        <v>0.7</v>
      </c>
    </row>
    <row r="1367" spans="1:9" x14ac:dyDescent="0.25">
      <c r="A1367" s="12">
        <v>31</v>
      </c>
      <c r="B1367" s="13">
        <v>45144</v>
      </c>
      <c r="C1367" s="14">
        <v>33.4</v>
      </c>
      <c r="D1367" s="14">
        <v>65</v>
      </c>
      <c r="E1367" s="14">
        <v>506</v>
      </c>
      <c r="F1367" s="14">
        <v>6.8</v>
      </c>
      <c r="G1367" s="14">
        <v>4</v>
      </c>
      <c r="H1367" s="14">
        <v>92.12</v>
      </c>
      <c r="I1367" s="15">
        <v>0.65</v>
      </c>
    </row>
    <row r="1368" spans="1:9" x14ac:dyDescent="0.25">
      <c r="A1368" s="12">
        <v>31</v>
      </c>
      <c r="B1368" s="13">
        <v>45145</v>
      </c>
      <c r="C1368" s="14">
        <v>33.4</v>
      </c>
      <c r="D1368" s="14">
        <v>69</v>
      </c>
      <c r="E1368" s="14">
        <v>513</v>
      </c>
      <c r="F1368" s="14">
        <v>6.2</v>
      </c>
      <c r="G1368" s="14">
        <v>5</v>
      </c>
      <c r="H1368" s="14">
        <v>92.12</v>
      </c>
      <c r="I1368" s="15">
        <v>0.69</v>
      </c>
    </row>
    <row r="1369" spans="1:9" x14ac:dyDescent="0.25">
      <c r="A1369" s="12">
        <v>31</v>
      </c>
      <c r="B1369" s="13">
        <v>45146</v>
      </c>
      <c r="C1369" s="14">
        <v>32.299999999999997</v>
      </c>
      <c r="D1369" s="14">
        <v>51</v>
      </c>
      <c r="E1369" s="14">
        <v>757</v>
      </c>
      <c r="F1369" s="14">
        <v>6.6</v>
      </c>
      <c r="G1369" s="14">
        <v>6</v>
      </c>
      <c r="H1369" s="14">
        <v>90.14</v>
      </c>
      <c r="I1369" s="15">
        <v>0.51</v>
      </c>
    </row>
    <row r="1370" spans="1:9" x14ac:dyDescent="0.25">
      <c r="A1370" s="12">
        <v>31</v>
      </c>
      <c r="B1370" s="13">
        <v>45147</v>
      </c>
      <c r="C1370" s="14">
        <v>32.299999999999997</v>
      </c>
      <c r="D1370" s="14">
        <v>72</v>
      </c>
      <c r="E1370" s="14">
        <v>641</v>
      </c>
      <c r="F1370" s="14">
        <v>6.6</v>
      </c>
      <c r="G1370" s="14">
        <v>7</v>
      </c>
      <c r="H1370" s="14">
        <v>90.14</v>
      </c>
      <c r="I1370" s="15">
        <v>0.72</v>
      </c>
    </row>
    <row r="1371" spans="1:9" x14ac:dyDescent="0.25">
      <c r="A1371" s="12">
        <v>31</v>
      </c>
      <c r="B1371" s="13">
        <v>45148</v>
      </c>
      <c r="C1371" s="14">
        <v>22.7</v>
      </c>
      <c r="D1371" s="14">
        <v>79</v>
      </c>
      <c r="E1371" s="14">
        <v>768</v>
      </c>
      <c r="F1371" s="14">
        <v>6.6</v>
      </c>
      <c r="G1371" s="14">
        <v>8</v>
      </c>
      <c r="H1371" s="14">
        <v>72.86</v>
      </c>
      <c r="I1371" s="15">
        <v>0.79</v>
      </c>
    </row>
    <row r="1372" spans="1:9" x14ac:dyDescent="0.25">
      <c r="A1372" s="12">
        <v>31</v>
      </c>
      <c r="B1372" s="13">
        <v>45149</v>
      </c>
      <c r="C1372" s="14">
        <v>31.9</v>
      </c>
      <c r="D1372" s="14">
        <v>51</v>
      </c>
      <c r="E1372" s="14">
        <v>704</v>
      </c>
      <c r="F1372" s="14">
        <v>6.3</v>
      </c>
      <c r="G1372" s="14">
        <v>9</v>
      </c>
      <c r="H1372" s="14">
        <v>89.42</v>
      </c>
      <c r="I1372" s="15">
        <v>0.51</v>
      </c>
    </row>
    <row r="1373" spans="1:9" x14ac:dyDescent="0.25">
      <c r="A1373" s="12">
        <v>31</v>
      </c>
      <c r="B1373" s="13">
        <v>45150</v>
      </c>
      <c r="C1373" s="14">
        <v>30.2</v>
      </c>
      <c r="D1373" s="14">
        <v>58</v>
      </c>
      <c r="E1373" s="14">
        <v>599</v>
      </c>
      <c r="F1373" s="14">
        <v>6.7</v>
      </c>
      <c r="G1373" s="14">
        <v>10</v>
      </c>
      <c r="H1373" s="14">
        <v>86.36</v>
      </c>
      <c r="I1373" s="15">
        <v>0.57999999999999996</v>
      </c>
    </row>
    <row r="1374" spans="1:9" x14ac:dyDescent="0.25">
      <c r="A1374" s="12">
        <v>31</v>
      </c>
      <c r="B1374" s="13">
        <v>45151</v>
      </c>
      <c r="C1374" s="14">
        <v>30.1</v>
      </c>
      <c r="D1374" s="14">
        <v>73</v>
      </c>
      <c r="E1374" s="14">
        <v>485</v>
      </c>
      <c r="F1374" s="14">
        <v>6.1</v>
      </c>
      <c r="G1374" s="14">
        <v>11</v>
      </c>
      <c r="H1374" s="14">
        <v>86.18</v>
      </c>
      <c r="I1374" s="15">
        <v>0.73</v>
      </c>
    </row>
    <row r="1375" spans="1:9" x14ac:dyDescent="0.25">
      <c r="A1375" s="12">
        <v>31</v>
      </c>
      <c r="B1375" s="13">
        <v>45152</v>
      </c>
      <c r="C1375" s="14">
        <v>30.1</v>
      </c>
      <c r="D1375" s="14">
        <v>53</v>
      </c>
      <c r="E1375" s="14">
        <v>477</v>
      </c>
      <c r="F1375" s="14">
        <v>6.8</v>
      </c>
      <c r="G1375" s="14">
        <v>12</v>
      </c>
      <c r="H1375" s="14">
        <v>86.18</v>
      </c>
      <c r="I1375" s="15">
        <v>0.53</v>
      </c>
    </row>
    <row r="1376" spans="1:9" x14ac:dyDescent="0.25">
      <c r="A1376" s="12">
        <v>31</v>
      </c>
      <c r="B1376" s="13">
        <v>45153</v>
      </c>
      <c r="C1376" s="14">
        <v>30.1</v>
      </c>
      <c r="D1376" s="14">
        <v>57</v>
      </c>
      <c r="E1376" s="14">
        <v>554</v>
      </c>
      <c r="F1376" s="14">
        <v>6.1</v>
      </c>
      <c r="G1376" s="14">
        <v>13</v>
      </c>
      <c r="H1376" s="14">
        <v>86.18</v>
      </c>
      <c r="I1376" s="15">
        <v>0.56999999999999995</v>
      </c>
    </row>
    <row r="1377" spans="1:9" x14ac:dyDescent="0.25">
      <c r="A1377" s="12">
        <v>31</v>
      </c>
      <c r="B1377" s="13">
        <v>45154</v>
      </c>
      <c r="C1377" s="14">
        <v>29.8</v>
      </c>
      <c r="D1377" s="14">
        <v>58</v>
      </c>
      <c r="E1377" s="14">
        <v>521</v>
      </c>
      <c r="F1377" s="14">
        <v>6.2</v>
      </c>
      <c r="G1377" s="14">
        <v>14</v>
      </c>
      <c r="H1377" s="14">
        <v>85.64</v>
      </c>
      <c r="I1377" s="15">
        <v>0.57999999999999996</v>
      </c>
    </row>
    <row r="1378" spans="1:9" x14ac:dyDescent="0.25">
      <c r="A1378" s="12">
        <v>31</v>
      </c>
      <c r="B1378" s="13">
        <v>45155</v>
      </c>
      <c r="C1378" s="14">
        <v>29.6</v>
      </c>
      <c r="D1378" s="14">
        <v>79</v>
      </c>
      <c r="E1378" s="14">
        <v>552</v>
      </c>
      <c r="F1378" s="14">
        <v>6.7</v>
      </c>
      <c r="G1378" s="14">
        <v>15</v>
      </c>
      <c r="H1378" s="14">
        <v>85.28</v>
      </c>
      <c r="I1378" s="15">
        <v>0.79</v>
      </c>
    </row>
    <row r="1379" spans="1:9" x14ac:dyDescent="0.25">
      <c r="A1379" s="12">
        <v>31</v>
      </c>
      <c r="B1379" s="13">
        <v>45156</v>
      </c>
      <c r="C1379" s="14">
        <v>30.9</v>
      </c>
      <c r="D1379" s="14">
        <v>78</v>
      </c>
      <c r="E1379" s="14">
        <v>798</v>
      </c>
      <c r="F1379" s="14">
        <v>6.4</v>
      </c>
      <c r="G1379" s="14">
        <v>16</v>
      </c>
      <c r="H1379" s="14">
        <v>87.62</v>
      </c>
      <c r="I1379" s="15">
        <v>0.78</v>
      </c>
    </row>
    <row r="1380" spans="1:9" x14ac:dyDescent="0.25">
      <c r="A1380" s="12">
        <v>31</v>
      </c>
      <c r="B1380" s="13">
        <v>45157</v>
      </c>
      <c r="C1380" s="14">
        <v>30.8</v>
      </c>
      <c r="D1380" s="14">
        <v>57</v>
      </c>
      <c r="E1380" s="14">
        <v>566</v>
      </c>
      <c r="F1380" s="14">
        <v>6.2</v>
      </c>
      <c r="G1380" s="14">
        <v>17</v>
      </c>
      <c r="H1380" s="14">
        <v>87.44</v>
      </c>
      <c r="I1380" s="15">
        <v>0.56999999999999995</v>
      </c>
    </row>
    <row r="1381" spans="1:9" x14ac:dyDescent="0.25">
      <c r="A1381" s="12">
        <v>31</v>
      </c>
      <c r="B1381" s="13">
        <v>45158</v>
      </c>
      <c r="C1381" s="14">
        <v>30.9</v>
      </c>
      <c r="D1381" s="14">
        <v>59</v>
      </c>
      <c r="E1381" s="14">
        <v>488</v>
      </c>
      <c r="F1381" s="14">
        <v>6.8</v>
      </c>
      <c r="G1381" s="14">
        <v>18</v>
      </c>
      <c r="H1381" s="14">
        <v>87.62</v>
      </c>
      <c r="I1381" s="15">
        <v>0.59</v>
      </c>
    </row>
    <row r="1382" spans="1:9" x14ac:dyDescent="0.25">
      <c r="A1382" s="12">
        <v>31</v>
      </c>
      <c r="B1382" s="13">
        <v>45159</v>
      </c>
      <c r="C1382" s="14">
        <v>30.2</v>
      </c>
      <c r="D1382" s="14">
        <v>72</v>
      </c>
      <c r="E1382" s="14">
        <v>516</v>
      </c>
      <c r="F1382" s="14">
        <v>6.7</v>
      </c>
      <c r="G1382" s="14">
        <v>19</v>
      </c>
      <c r="H1382" s="14">
        <v>86.36</v>
      </c>
      <c r="I1382" s="15">
        <v>0.72</v>
      </c>
    </row>
    <row r="1383" spans="1:9" x14ac:dyDescent="0.25">
      <c r="A1383" s="12">
        <v>31</v>
      </c>
      <c r="B1383" s="13">
        <v>45160</v>
      </c>
      <c r="C1383" s="14">
        <v>30.5</v>
      </c>
      <c r="D1383" s="14">
        <v>77</v>
      </c>
      <c r="E1383" s="14">
        <v>455</v>
      </c>
      <c r="F1383" s="14">
        <v>6.3</v>
      </c>
      <c r="G1383" s="14">
        <v>20</v>
      </c>
      <c r="H1383" s="14">
        <v>86.9</v>
      </c>
      <c r="I1383" s="15">
        <v>0.77</v>
      </c>
    </row>
    <row r="1384" spans="1:9" x14ac:dyDescent="0.25">
      <c r="A1384" s="12">
        <v>31</v>
      </c>
      <c r="B1384" s="13">
        <v>45161</v>
      </c>
      <c r="C1384" s="14">
        <v>30.8</v>
      </c>
      <c r="D1384" s="14">
        <v>74</v>
      </c>
      <c r="E1384" s="14">
        <v>508</v>
      </c>
      <c r="F1384" s="14">
        <v>6.5</v>
      </c>
      <c r="G1384" s="14">
        <v>21</v>
      </c>
      <c r="H1384" s="14">
        <v>87.44</v>
      </c>
      <c r="I1384" s="15">
        <v>0.74</v>
      </c>
    </row>
    <row r="1385" spans="1:9" x14ac:dyDescent="0.25">
      <c r="A1385" s="12">
        <v>31</v>
      </c>
      <c r="B1385" s="13">
        <v>45162</v>
      </c>
      <c r="C1385" s="14">
        <v>31.3</v>
      </c>
      <c r="D1385" s="14">
        <v>64</v>
      </c>
      <c r="E1385" s="14">
        <v>495</v>
      </c>
      <c r="F1385" s="14">
        <v>6.6</v>
      </c>
      <c r="G1385" s="14">
        <v>22</v>
      </c>
      <c r="H1385" s="14">
        <v>88.34</v>
      </c>
      <c r="I1385" s="15">
        <v>0.64</v>
      </c>
    </row>
    <row r="1386" spans="1:9" x14ac:dyDescent="0.25">
      <c r="A1386" s="12">
        <v>31</v>
      </c>
      <c r="B1386" s="13">
        <v>45163</v>
      </c>
      <c r="C1386" s="14">
        <v>31.4</v>
      </c>
      <c r="D1386" s="14">
        <v>80</v>
      </c>
      <c r="E1386" s="14">
        <v>461</v>
      </c>
      <c r="F1386" s="14">
        <v>6.3</v>
      </c>
      <c r="G1386" s="14">
        <v>23</v>
      </c>
      <c r="H1386" s="14">
        <v>88.52</v>
      </c>
      <c r="I1386" s="15">
        <v>0.8</v>
      </c>
    </row>
    <row r="1387" spans="1:9" x14ac:dyDescent="0.25">
      <c r="A1387" s="12">
        <v>31</v>
      </c>
      <c r="B1387" s="13">
        <v>45164</v>
      </c>
      <c r="C1387" s="14">
        <v>31.4</v>
      </c>
      <c r="D1387" s="14">
        <v>60</v>
      </c>
      <c r="E1387" s="14">
        <v>477</v>
      </c>
      <c r="F1387" s="14">
        <v>6.8</v>
      </c>
      <c r="G1387" s="14">
        <v>24</v>
      </c>
      <c r="H1387" s="14">
        <v>88.52</v>
      </c>
      <c r="I1387" s="15">
        <v>0.6</v>
      </c>
    </row>
    <row r="1388" spans="1:9" x14ac:dyDescent="0.25">
      <c r="A1388" s="12">
        <v>31</v>
      </c>
      <c r="B1388" s="13">
        <v>45165</v>
      </c>
      <c r="C1388" s="14">
        <v>30.1</v>
      </c>
      <c r="D1388" s="14">
        <v>50</v>
      </c>
      <c r="E1388" s="14">
        <v>688</v>
      </c>
      <c r="F1388" s="14">
        <v>6.8</v>
      </c>
      <c r="G1388" s="14">
        <v>25</v>
      </c>
      <c r="H1388" s="14">
        <v>86.18</v>
      </c>
      <c r="I1388" s="15">
        <v>0.5</v>
      </c>
    </row>
    <row r="1389" spans="1:9" x14ac:dyDescent="0.25">
      <c r="A1389" s="12">
        <v>31</v>
      </c>
      <c r="B1389" s="13">
        <v>45166</v>
      </c>
      <c r="C1389" s="14">
        <v>29.4</v>
      </c>
      <c r="D1389" s="14">
        <v>72</v>
      </c>
      <c r="E1389" s="14">
        <v>710</v>
      </c>
      <c r="F1389" s="14">
        <v>6.3</v>
      </c>
      <c r="G1389" s="14">
        <v>26</v>
      </c>
      <c r="H1389" s="14">
        <v>84.92</v>
      </c>
      <c r="I1389" s="15">
        <v>0.72</v>
      </c>
    </row>
    <row r="1390" spans="1:9" x14ac:dyDescent="0.25">
      <c r="A1390" s="12">
        <v>31</v>
      </c>
      <c r="B1390" s="13">
        <v>45167</v>
      </c>
      <c r="C1390" s="14">
        <v>28.7</v>
      </c>
      <c r="D1390" s="14">
        <v>76</v>
      </c>
      <c r="E1390" s="14">
        <v>749</v>
      </c>
      <c r="F1390" s="14">
        <v>6.3</v>
      </c>
      <c r="G1390" s="14">
        <v>27</v>
      </c>
      <c r="H1390" s="14">
        <v>83.66</v>
      </c>
      <c r="I1390" s="15">
        <v>0.76</v>
      </c>
    </row>
    <row r="1391" spans="1:9" x14ac:dyDescent="0.25">
      <c r="A1391" s="12">
        <v>31</v>
      </c>
      <c r="B1391" s="13">
        <v>45168</v>
      </c>
      <c r="C1391" s="14">
        <v>29.1</v>
      </c>
      <c r="D1391" s="14">
        <v>78</v>
      </c>
      <c r="E1391" s="14">
        <v>688</v>
      </c>
      <c r="F1391" s="14">
        <v>6.7</v>
      </c>
      <c r="G1391" s="14">
        <v>28</v>
      </c>
      <c r="H1391" s="14">
        <v>84.38</v>
      </c>
      <c r="I1391" s="15">
        <v>0.78</v>
      </c>
    </row>
    <row r="1392" spans="1:9" x14ac:dyDescent="0.25">
      <c r="A1392" s="12">
        <v>31</v>
      </c>
      <c r="B1392" s="13">
        <v>45169</v>
      </c>
      <c r="C1392" s="14">
        <v>29.2</v>
      </c>
      <c r="D1392" s="14">
        <v>51</v>
      </c>
      <c r="E1392" s="14">
        <v>505</v>
      </c>
      <c r="F1392" s="14">
        <v>6.2</v>
      </c>
      <c r="G1392" s="14">
        <v>29</v>
      </c>
      <c r="H1392" s="14">
        <v>84.56</v>
      </c>
      <c r="I1392" s="15">
        <v>0.51</v>
      </c>
    </row>
    <row r="1393" spans="1:9" x14ac:dyDescent="0.25">
      <c r="A1393" s="12">
        <v>31</v>
      </c>
      <c r="B1393" s="13">
        <v>45170</v>
      </c>
      <c r="C1393" s="14">
        <v>31.7</v>
      </c>
      <c r="D1393" s="14">
        <v>54</v>
      </c>
      <c r="E1393" s="14">
        <v>556</v>
      </c>
      <c r="F1393" s="14">
        <v>6.1</v>
      </c>
      <c r="G1393" s="14">
        <v>30</v>
      </c>
      <c r="H1393" s="14">
        <v>89.06</v>
      </c>
      <c r="I1393" s="15">
        <v>0.54</v>
      </c>
    </row>
    <row r="1394" spans="1:9" x14ac:dyDescent="0.25">
      <c r="A1394" s="12">
        <v>31</v>
      </c>
      <c r="B1394" s="13">
        <v>45171</v>
      </c>
      <c r="C1394" s="14">
        <v>31.7</v>
      </c>
      <c r="D1394" s="14">
        <v>80</v>
      </c>
      <c r="E1394" s="14">
        <v>419</v>
      </c>
      <c r="F1394" s="14">
        <v>6.6</v>
      </c>
      <c r="G1394" s="14">
        <v>31</v>
      </c>
      <c r="H1394" s="14">
        <v>89.06</v>
      </c>
      <c r="I1394" s="15">
        <v>0.8</v>
      </c>
    </row>
    <row r="1395" spans="1:9" x14ac:dyDescent="0.25">
      <c r="A1395" s="12">
        <v>31</v>
      </c>
      <c r="B1395" s="13">
        <v>45172</v>
      </c>
      <c r="C1395" s="14">
        <v>31.7</v>
      </c>
      <c r="D1395" s="14">
        <v>60</v>
      </c>
      <c r="E1395" s="14">
        <v>628</v>
      </c>
      <c r="F1395" s="14">
        <v>6.1</v>
      </c>
      <c r="G1395" s="14">
        <v>32</v>
      </c>
      <c r="H1395" s="14">
        <v>89.06</v>
      </c>
      <c r="I1395" s="15">
        <v>0.6</v>
      </c>
    </row>
    <row r="1396" spans="1:9" x14ac:dyDescent="0.25">
      <c r="A1396" s="12">
        <v>31</v>
      </c>
      <c r="B1396" s="13">
        <v>45173</v>
      </c>
      <c r="C1396" s="14">
        <v>31.7</v>
      </c>
      <c r="D1396" s="14">
        <v>58</v>
      </c>
      <c r="E1396" s="14">
        <v>576</v>
      </c>
      <c r="F1396" s="14">
        <v>6.5</v>
      </c>
      <c r="G1396" s="14">
        <v>33</v>
      </c>
      <c r="H1396" s="14">
        <v>89.06</v>
      </c>
      <c r="I1396" s="15">
        <v>0.57999999999999996</v>
      </c>
    </row>
    <row r="1397" spans="1:9" x14ac:dyDescent="0.25">
      <c r="A1397" s="12">
        <v>31</v>
      </c>
      <c r="B1397" s="13">
        <v>45174</v>
      </c>
      <c r="C1397" s="14">
        <v>32</v>
      </c>
      <c r="D1397" s="14">
        <v>66</v>
      </c>
      <c r="E1397" s="14">
        <v>411</v>
      </c>
      <c r="F1397" s="14">
        <v>6.7</v>
      </c>
      <c r="G1397" s="14">
        <v>34</v>
      </c>
      <c r="H1397" s="14">
        <v>89.6</v>
      </c>
      <c r="I1397" s="15">
        <v>0.66</v>
      </c>
    </row>
    <row r="1398" spans="1:9" x14ac:dyDescent="0.25">
      <c r="A1398" s="12">
        <v>31</v>
      </c>
      <c r="B1398" s="13">
        <v>45175</v>
      </c>
      <c r="C1398" s="14">
        <v>32.1</v>
      </c>
      <c r="D1398" s="14">
        <v>64</v>
      </c>
      <c r="E1398" s="14">
        <v>422</v>
      </c>
      <c r="F1398" s="14">
        <v>6.4</v>
      </c>
      <c r="G1398" s="14">
        <v>35</v>
      </c>
      <c r="H1398" s="14">
        <v>89.78</v>
      </c>
      <c r="I1398" s="15">
        <v>0.64</v>
      </c>
    </row>
    <row r="1399" spans="1:9" x14ac:dyDescent="0.25">
      <c r="A1399" s="12">
        <v>31</v>
      </c>
      <c r="B1399" s="13">
        <v>45176</v>
      </c>
      <c r="C1399" s="14">
        <v>31.5</v>
      </c>
      <c r="D1399" s="14">
        <v>50</v>
      </c>
      <c r="E1399" s="14">
        <v>671</v>
      </c>
      <c r="F1399" s="14">
        <v>6.5</v>
      </c>
      <c r="G1399" s="14">
        <v>36</v>
      </c>
      <c r="H1399" s="14">
        <v>88.7</v>
      </c>
      <c r="I1399" s="15">
        <v>0.5</v>
      </c>
    </row>
    <row r="1400" spans="1:9" x14ac:dyDescent="0.25">
      <c r="A1400" s="12">
        <v>31</v>
      </c>
      <c r="B1400" s="13">
        <v>45177</v>
      </c>
      <c r="C1400" s="14">
        <v>29.8</v>
      </c>
      <c r="D1400" s="14">
        <v>68</v>
      </c>
      <c r="E1400" s="14">
        <v>577</v>
      </c>
      <c r="F1400" s="14">
        <v>6.1</v>
      </c>
      <c r="G1400" s="14">
        <v>37</v>
      </c>
      <c r="H1400" s="14">
        <v>85.64</v>
      </c>
      <c r="I1400" s="15">
        <v>0.68</v>
      </c>
    </row>
    <row r="1401" spans="1:9" x14ac:dyDescent="0.25">
      <c r="A1401" s="12">
        <v>31</v>
      </c>
      <c r="B1401" s="13">
        <v>45178</v>
      </c>
      <c r="C1401" s="14">
        <v>20.100000000000001</v>
      </c>
      <c r="D1401" s="14">
        <v>61</v>
      </c>
      <c r="E1401" s="14">
        <v>427</v>
      </c>
      <c r="F1401" s="14">
        <v>6.4</v>
      </c>
      <c r="G1401" s="14">
        <v>38</v>
      </c>
      <c r="H1401" s="14">
        <v>68.180000000000007</v>
      </c>
      <c r="I1401" s="15">
        <v>0.61</v>
      </c>
    </row>
    <row r="1402" spans="1:9" x14ac:dyDescent="0.25">
      <c r="A1402" s="12">
        <v>31</v>
      </c>
      <c r="B1402" s="13">
        <v>45179</v>
      </c>
      <c r="C1402" s="14">
        <v>31.1</v>
      </c>
      <c r="D1402" s="14">
        <v>59</v>
      </c>
      <c r="E1402" s="14">
        <v>526</v>
      </c>
      <c r="F1402" s="14">
        <v>6.4</v>
      </c>
      <c r="G1402" s="14">
        <v>39</v>
      </c>
      <c r="H1402" s="14">
        <v>87.98</v>
      </c>
      <c r="I1402" s="15">
        <v>0.59</v>
      </c>
    </row>
    <row r="1403" spans="1:9" x14ac:dyDescent="0.25">
      <c r="A1403" s="12">
        <v>31</v>
      </c>
      <c r="B1403" s="13">
        <v>45180</v>
      </c>
      <c r="C1403" s="14">
        <v>31.2</v>
      </c>
      <c r="D1403" s="14">
        <v>78</v>
      </c>
      <c r="E1403" s="14">
        <v>578</v>
      </c>
      <c r="F1403" s="14">
        <v>6.6</v>
      </c>
      <c r="G1403" s="14">
        <v>40</v>
      </c>
      <c r="H1403" s="14">
        <v>88.16</v>
      </c>
      <c r="I1403" s="15">
        <v>0.78</v>
      </c>
    </row>
    <row r="1404" spans="1:9" x14ac:dyDescent="0.25">
      <c r="A1404" s="12">
        <v>31</v>
      </c>
      <c r="B1404" s="13">
        <v>45181</v>
      </c>
      <c r="C1404" s="14">
        <v>31.2</v>
      </c>
      <c r="D1404" s="14">
        <v>67</v>
      </c>
      <c r="E1404" s="14">
        <v>621</v>
      </c>
      <c r="F1404" s="14">
        <v>6.7</v>
      </c>
      <c r="G1404" s="14">
        <v>41</v>
      </c>
      <c r="H1404" s="14">
        <v>88.16</v>
      </c>
      <c r="I1404" s="15">
        <v>0.67</v>
      </c>
    </row>
    <row r="1405" spans="1:9" x14ac:dyDescent="0.25">
      <c r="A1405" s="12">
        <v>31</v>
      </c>
      <c r="B1405" s="13">
        <v>45182</v>
      </c>
      <c r="C1405" s="14">
        <v>30.4</v>
      </c>
      <c r="D1405" s="14">
        <v>79</v>
      </c>
      <c r="E1405" s="14">
        <v>790</v>
      </c>
      <c r="F1405" s="14">
        <v>6.7</v>
      </c>
      <c r="G1405" s="14">
        <v>42</v>
      </c>
      <c r="H1405" s="14">
        <v>86.72</v>
      </c>
      <c r="I1405" s="15">
        <v>0.79</v>
      </c>
    </row>
    <row r="1406" spans="1:9" x14ac:dyDescent="0.25">
      <c r="A1406" s="12">
        <v>31</v>
      </c>
      <c r="B1406" s="13">
        <v>45183</v>
      </c>
      <c r="C1406" s="14">
        <v>29.1</v>
      </c>
      <c r="D1406" s="14">
        <v>56</v>
      </c>
      <c r="E1406" s="14">
        <v>460</v>
      </c>
      <c r="F1406" s="14">
        <v>6.3</v>
      </c>
      <c r="G1406" s="14">
        <v>43</v>
      </c>
      <c r="H1406" s="14">
        <v>84.38</v>
      </c>
      <c r="I1406" s="15">
        <v>0.56000000000000005</v>
      </c>
    </row>
    <row r="1407" spans="1:9" x14ac:dyDescent="0.25">
      <c r="A1407" s="12">
        <v>31</v>
      </c>
      <c r="B1407" s="13">
        <v>45184</v>
      </c>
      <c r="C1407" s="14">
        <v>30.6</v>
      </c>
      <c r="D1407" s="14">
        <v>66</v>
      </c>
      <c r="E1407" s="14">
        <v>420</v>
      </c>
      <c r="F1407" s="14">
        <v>6.4</v>
      </c>
      <c r="G1407" s="14">
        <v>44</v>
      </c>
      <c r="H1407" s="14">
        <v>87.08</v>
      </c>
      <c r="I1407" s="15">
        <v>0.66</v>
      </c>
    </row>
    <row r="1408" spans="1:9" x14ac:dyDescent="0.25">
      <c r="A1408" s="12">
        <v>31</v>
      </c>
      <c r="B1408" s="13">
        <v>45185</v>
      </c>
      <c r="C1408" s="14">
        <v>31.5</v>
      </c>
      <c r="D1408" s="14">
        <v>69</v>
      </c>
      <c r="E1408" s="14">
        <v>670</v>
      </c>
      <c r="F1408" s="14">
        <v>6.1</v>
      </c>
      <c r="G1408" s="14">
        <v>45</v>
      </c>
      <c r="H1408" s="14">
        <v>88.7</v>
      </c>
      <c r="I1408" s="15">
        <v>0.69</v>
      </c>
    </row>
    <row r="1409" spans="1:9" x14ac:dyDescent="0.25">
      <c r="A1409" s="12">
        <v>32</v>
      </c>
      <c r="B1409" s="13">
        <v>45141</v>
      </c>
      <c r="C1409" s="14">
        <v>33.4</v>
      </c>
      <c r="D1409" s="14">
        <v>67</v>
      </c>
      <c r="E1409" s="14">
        <v>414</v>
      </c>
      <c r="F1409" s="14">
        <v>6.1</v>
      </c>
      <c r="G1409" s="14">
        <v>1</v>
      </c>
      <c r="H1409" s="14">
        <v>92.12</v>
      </c>
      <c r="I1409" s="15">
        <v>0.67</v>
      </c>
    </row>
    <row r="1410" spans="1:9" x14ac:dyDescent="0.25">
      <c r="A1410" s="12">
        <v>32</v>
      </c>
      <c r="B1410" s="13">
        <v>45142</v>
      </c>
      <c r="C1410" s="14">
        <v>33.5</v>
      </c>
      <c r="D1410" s="14">
        <v>53</v>
      </c>
      <c r="E1410" s="14">
        <v>715</v>
      </c>
      <c r="F1410" s="14">
        <v>6</v>
      </c>
      <c r="G1410" s="14">
        <v>2</v>
      </c>
      <c r="H1410" s="14">
        <v>92.3</v>
      </c>
      <c r="I1410" s="15">
        <v>0.53</v>
      </c>
    </row>
    <row r="1411" spans="1:9" x14ac:dyDescent="0.25">
      <c r="A1411" s="12">
        <v>32</v>
      </c>
      <c r="B1411" s="13">
        <v>45143</v>
      </c>
      <c r="C1411" s="14">
        <v>33.4</v>
      </c>
      <c r="D1411" s="14">
        <v>58</v>
      </c>
      <c r="E1411" s="14">
        <v>499</v>
      </c>
      <c r="F1411" s="14">
        <v>6.1</v>
      </c>
      <c r="G1411" s="14">
        <v>3</v>
      </c>
      <c r="H1411" s="14">
        <v>92.12</v>
      </c>
      <c r="I1411" s="15">
        <v>0.57999999999999996</v>
      </c>
    </row>
    <row r="1412" spans="1:9" x14ac:dyDescent="0.25">
      <c r="A1412" s="12">
        <v>32</v>
      </c>
      <c r="B1412" s="13">
        <v>45144</v>
      </c>
      <c r="C1412" s="14">
        <v>33.4</v>
      </c>
      <c r="D1412" s="14">
        <v>72</v>
      </c>
      <c r="E1412" s="14">
        <v>779</v>
      </c>
      <c r="F1412" s="14">
        <v>6.2</v>
      </c>
      <c r="G1412" s="14">
        <v>4</v>
      </c>
      <c r="H1412" s="14">
        <v>92.12</v>
      </c>
      <c r="I1412" s="15">
        <v>0.72</v>
      </c>
    </row>
    <row r="1413" spans="1:9" x14ac:dyDescent="0.25">
      <c r="A1413" s="12">
        <v>32</v>
      </c>
      <c r="B1413" s="13">
        <v>45145</v>
      </c>
      <c r="C1413" s="14">
        <v>33.4</v>
      </c>
      <c r="D1413" s="14">
        <v>78</v>
      </c>
      <c r="E1413" s="14">
        <v>688</v>
      </c>
      <c r="F1413" s="14">
        <v>6.8</v>
      </c>
      <c r="G1413" s="14">
        <v>5</v>
      </c>
      <c r="H1413" s="14">
        <v>92.12</v>
      </c>
      <c r="I1413" s="15">
        <v>0.78</v>
      </c>
    </row>
    <row r="1414" spans="1:9" x14ac:dyDescent="0.25">
      <c r="A1414" s="12">
        <v>32</v>
      </c>
      <c r="B1414" s="13">
        <v>45146</v>
      </c>
      <c r="C1414" s="14">
        <v>32.299999999999997</v>
      </c>
      <c r="D1414" s="14">
        <v>66</v>
      </c>
      <c r="E1414" s="14">
        <v>494</v>
      </c>
      <c r="F1414" s="14">
        <v>6.4</v>
      </c>
      <c r="G1414" s="14">
        <v>6</v>
      </c>
      <c r="H1414" s="14">
        <v>90.14</v>
      </c>
      <c r="I1414" s="15">
        <v>0.66</v>
      </c>
    </row>
    <row r="1415" spans="1:9" x14ac:dyDescent="0.25">
      <c r="A1415" s="12">
        <v>32</v>
      </c>
      <c r="B1415" s="13">
        <v>45147</v>
      </c>
      <c r="C1415" s="14">
        <v>32.299999999999997</v>
      </c>
      <c r="D1415" s="14">
        <v>57</v>
      </c>
      <c r="E1415" s="14">
        <v>557</v>
      </c>
      <c r="F1415" s="14">
        <v>6.2</v>
      </c>
      <c r="G1415" s="14">
        <v>7</v>
      </c>
      <c r="H1415" s="14">
        <v>90.14</v>
      </c>
      <c r="I1415" s="15">
        <v>0.56999999999999995</v>
      </c>
    </row>
    <row r="1416" spans="1:9" x14ac:dyDescent="0.25">
      <c r="A1416" s="12">
        <v>32</v>
      </c>
      <c r="B1416" s="13">
        <v>45148</v>
      </c>
      <c r="C1416" s="14">
        <v>22.7</v>
      </c>
      <c r="D1416" s="14">
        <v>69</v>
      </c>
      <c r="E1416" s="14">
        <v>553</v>
      </c>
      <c r="F1416" s="14">
        <v>6.3</v>
      </c>
      <c r="G1416" s="14">
        <v>8</v>
      </c>
      <c r="H1416" s="14">
        <v>72.86</v>
      </c>
      <c r="I1416" s="15">
        <v>0.69</v>
      </c>
    </row>
    <row r="1417" spans="1:9" x14ac:dyDescent="0.25">
      <c r="A1417" s="12">
        <v>32</v>
      </c>
      <c r="B1417" s="13">
        <v>45149</v>
      </c>
      <c r="C1417" s="14">
        <v>31.9</v>
      </c>
      <c r="D1417" s="14">
        <v>77</v>
      </c>
      <c r="E1417" s="14">
        <v>705</v>
      </c>
      <c r="F1417" s="14">
        <v>6.7</v>
      </c>
      <c r="G1417" s="14">
        <v>9</v>
      </c>
      <c r="H1417" s="14">
        <v>89.42</v>
      </c>
      <c r="I1417" s="15">
        <v>0.77</v>
      </c>
    </row>
    <row r="1418" spans="1:9" x14ac:dyDescent="0.25">
      <c r="A1418" s="12">
        <v>32</v>
      </c>
      <c r="B1418" s="13">
        <v>45150</v>
      </c>
      <c r="C1418" s="14">
        <v>30.2</v>
      </c>
      <c r="D1418" s="14">
        <v>76</v>
      </c>
      <c r="E1418" s="14">
        <v>701</v>
      </c>
      <c r="F1418" s="14">
        <v>6.2</v>
      </c>
      <c r="G1418" s="14">
        <v>10</v>
      </c>
      <c r="H1418" s="14">
        <v>86.36</v>
      </c>
      <c r="I1418" s="15">
        <v>0.76</v>
      </c>
    </row>
    <row r="1419" spans="1:9" x14ac:dyDescent="0.25">
      <c r="A1419" s="12">
        <v>32</v>
      </c>
      <c r="B1419" s="13">
        <v>45151</v>
      </c>
      <c r="C1419" s="14">
        <v>30.1</v>
      </c>
      <c r="D1419" s="14">
        <v>69</v>
      </c>
      <c r="E1419" s="14">
        <v>441</v>
      </c>
      <c r="F1419" s="14">
        <v>6.7</v>
      </c>
      <c r="G1419" s="14">
        <v>11</v>
      </c>
      <c r="H1419" s="14">
        <v>86.18</v>
      </c>
      <c r="I1419" s="15">
        <v>0.69</v>
      </c>
    </row>
    <row r="1420" spans="1:9" x14ac:dyDescent="0.25">
      <c r="A1420" s="12">
        <v>32</v>
      </c>
      <c r="B1420" s="13">
        <v>45152</v>
      </c>
      <c r="C1420" s="14">
        <v>30.1</v>
      </c>
      <c r="D1420" s="14">
        <v>80</v>
      </c>
      <c r="E1420" s="14">
        <v>486</v>
      </c>
      <c r="F1420" s="14">
        <v>6.5</v>
      </c>
      <c r="G1420" s="14">
        <v>12</v>
      </c>
      <c r="H1420" s="14">
        <v>86.18</v>
      </c>
      <c r="I1420" s="15">
        <v>0.8</v>
      </c>
    </row>
    <row r="1421" spans="1:9" x14ac:dyDescent="0.25">
      <c r="A1421" s="12">
        <v>32</v>
      </c>
      <c r="B1421" s="13">
        <v>45153</v>
      </c>
      <c r="C1421" s="14">
        <v>30.1</v>
      </c>
      <c r="D1421" s="14">
        <v>50</v>
      </c>
      <c r="E1421" s="14">
        <v>514</v>
      </c>
      <c r="F1421" s="14">
        <v>6.3</v>
      </c>
      <c r="G1421" s="14">
        <v>13</v>
      </c>
      <c r="H1421" s="14">
        <v>86.18</v>
      </c>
      <c r="I1421" s="15">
        <v>0.5</v>
      </c>
    </row>
    <row r="1422" spans="1:9" x14ac:dyDescent="0.25">
      <c r="A1422" s="12">
        <v>32</v>
      </c>
      <c r="B1422" s="13">
        <v>45154</v>
      </c>
      <c r="C1422" s="14">
        <v>29.8</v>
      </c>
      <c r="D1422" s="14">
        <v>68</v>
      </c>
      <c r="E1422" s="14">
        <v>571</v>
      </c>
      <c r="F1422" s="14">
        <v>6.1</v>
      </c>
      <c r="G1422" s="14">
        <v>14</v>
      </c>
      <c r="H1422" s="14">
        <v>85.64</v>
      </c>
      <c r="I1422" s="15">
        <v>0.68</v>
      </c>
    </row>
    <row r="1423" spans="1:9" x14ac:dyDescent="0.25">
      <c r="A1423" s="12">
        <v>32</v>
      </c>
      <c r="B1423" s="13">
        <v>45155</v>
      </c>
      <c r="C1423" s="14">
        <v>29.6</v>
      </c>
      <c r="D1423" s="14">
        <v>51</v>
      </c>
      <c r="E1423" s="14">
        <v>796</v>
      </c>
      <c r="F1423" s="14">
        <v>6.3</v>
      </c>
      <c r="G1423" s="14">
        <v>15</v>
      </c>
      <c r="H1423" s="14">
        <v>85.28</v>
      </c>
      <c r="I1423" s="15">
        <v>0.51</v>
      </c>
    </row>
    <row r="1424" spans="1:9" x14ac:dyDescent="0.25">
      <c r="A1424" s="12">
        <v>32</v>
      </c>
      <c r="B1424" s="13">
        <v>45156</v>
      </c>
      <c r="C1424" s="14">
        <v>30.9</v>
      </c>
      <c r="D1424" s="14">
        <v>71</v>
      </c>
      <c r="E1424" s="14">
        <v>714</v>
      </c>
      <c r="F1424" s="14">
        <v>6.5</v>
      </c>
      <c r="G1424" s="14">
        <v>16</v>
      </c>
      <c r="H1424" s="14">
        <v>87.62</v>
      </c>
      <c r="I1424" s="15">
        <v>0.71</v>
      </c>
    </row>
    <row r="1425" spans="1:9" x14ac:dyDescent="0.25">
      <c r="A1425" s="12">
        <v>32</v>
      </c>
      <c r="B1425" s="13">
        <v>45157</v>
      </c>
      <c r="C1425" s="14">
        <v>30.8</v>
      </c>
      <c r="D1425" s="14">
        <v>60</v>
      </c>
      <c r="E1425" s="14">
        <v>738</v>
      </c>
      <c r="F1425" s="14">
        <v>6.1</v>
      </c>
      <c r="G1425" s="14">
        <v>17</v>
      </c>
      <c r="H1425" s="14">
        <v>87.44</v>
      </c>
      <c r="I1425" s="15">
        <v>0.6</v>
      </c>
    </row>
    <row r="1426" spans="1:9" x14ac:dyDescent="0.25">
      <c r="A1426" s="12">
        <v>32</v>
      </c>
      <c r="B1426" s="13">
        <v>45158</v>
      </c>
      <c r="C1426" s="14">
        <v>30.9</v>
      </c>
      <c r="D1426" s="14">
        <v>65</v>
      </c>
      <c r="E1426" s="14">
        <v>447</v>
      </c>
      <c r="F1426" s="14">
        <v>6.4</v>
      </c>
      <c r="G1426" s="14">
        <v>18</v>
      </c>
      <c r="H1426" s="14">
        <v>87.62</v>
      </c>
      <c r="I1426" s="15">
        <v>0.65</v>
      </c>
    </row>
    <row r="1427" spans="1:9" x14ac:dyDescent="0.25">
      <c r="A1427" s="12">
        <v>32</v>
      </c>
      <c r="B1427" s="13">
        <v>45159</v>
      </c>
      <c r="C1427" s="14">
        <v>30.2</v>
      </c>
      <c r="D1427" s="14">
        <v>70</v>
      </c>
      <c r="E1427" s="14">
        <v>686</v>
      </c>
      <c r="F1427" s="14">
        <v>6.5</v>
      </c>
      <c r="G1427" s="14">
        <v>19</v>
      </c>
      <c r="H1427" s="14">
        <v>86.36</v>
      </c>
      <c r="I1427" s="15">
        <v>0.7</v>
      </c>
    </row>
    <row r="1428" spans="1:9" x14ac:dyDescent="0.25">
      <c r="A1428" s="12">
        <v>32</v>
      </c>
      <c r="B1428" s="13">
        <v>45160</v>
      </c>
      <c r="C1428" s="14">
        <v>30.5</v>
      </c>
      <c r="D1428" s="14">
        <v>78</v>
      </c>
      <c r="E1428" s="14">
        <v>641</v>
      </c>
      <c r="F1428" s="14">
        <v>6.4</v>
      </c>
      <c r="G1428" s="14">
        <v>20</v>
      </c>
      <c r="H1428" s="14">
        <v>86.9</v>
      </c>
      <c r="I1428" s="15">
        <v>0.78</v>
      </c>
    </row>
    <row r="1429" spans="1:9" x14ac:dyDescent="0.25">
      <c r="A1429" s="12">
        <v>32</v>
      </c>
      <c r="B1429" s="13">
        <v>45161</v>
      </c>
      <c r="C1429" s="14">
        <v>30.8</v>
      </c>
      <c r="D1429" s="14">
        <v>61</v>
      </c>
      <c r="E1429" s="14">
        <v>721</v>
      </c>
      <c r="F1429" s="14">
        <v>6</v>
      </c>
      <c r="G1429" s="14">
        <v>21</v>
      </c>
      <c r="H1429" s="14">
        <v>87.44</v>
      </c>
      <c r="I1429" s="15">
        <v>0.61</v>
      </c>
    </row>
    <row r="1430" spans="1:9" x14ac:dyDescent="0.25">
      <c r="A1430" s="12">
        <v>32</v>
      </c>
      <c r="B1430" s="13">
        <v>45162</v>
      </c>
      <c r="C1430" s="14">
        <v>31.3</v>
      </c>
      <c r="D1430" s="14">
        <v>58</v>
      </c>
      <c r="E1430" s="14">
        <v>573</v>
      </c>
      <c r="F1430" s="14">
        <v>6.6</v>
      </c>
      <c r="G1430" s="14">
        <v>22</v>
      </c>
      <c r="H1430" s="14">
        <v>88.34</v>
      </c>
      <c r="I1430" s="15">
        <v>0.57999999999999996</v>
      </c>
    </row>
    <row r="1431" spans="1:9" x14ac:dyDescent="0.25">
      <c r="A1431" s="12">
        <v>32</v>
      </c>
      <c r="B1431" s="13">
        <v>45163</v>
      </c>
      <c r="C1431" s="14">
        <v>31.4</v>
      </c>
      <c r="D1431" s="14">
        <v>69</v>
      </c>
      <c r="E1431" s="14">
        <v>685</v>
      </c>
      <c r="F1431" s="14">
        <v>6.4</v>
      </c>
      <c r="G1431" s="14">
        <v>23</v>
      </c>
      <c r="H1431" s="14">
        <v>88.52</v>
      </c>
      <c r="I1431" s="15">
        <v>0.69</v>
      </c>
    </row>
    <row r="1432" spans="1:9" x14ac:dyDescent="0.25">
      <c r="A1432" s="12">
        <v>32</v>
      </c>
      <c r="B1432" s="13">
        <v>45164</v>
      </c>
      <c r="C1432" s="14">
        <v>31.4</v>
      </c>
      <c r="D1432" s="14">
        <v>70</v>
      </c>
      <c r="E1432" s="14">
        <v>588</v>
      </c>
      <c r="F1432" s="14">
        <v>6.3</v>
      </c>
      <c r="G1432" s="14">
        <v>24</v>
      </c>
      <c r="H1432" s="14">
        <v>88.52</v>
      </c>
      <c r="I1432" s="15">
        <v>0.7</v>
      </c>
    </row>
    <row r="1433" spans="1:9" x14ac:dyDescent="0.25">
      <c r="A1433" s="12">
        <v>32</v>
      </c>
      <c r="B1433" s="13">
        <v>45165</v>
      </c>
      <c r="C1433" s="14">
        <v>30.1</v>
      </c>
      <c r="D1433" s="14">
        <v>69</v>
      </c>
      <c r="E1433" s="14">
        <v>750</v>
      </c>
      <c r="F1433" s="14">
        <v>6.4</v>
      </c>
      <c r="G1433" s="14">
        <v>25</v>
      </c>
      <c r="H1433" s="14">
        <v>86.18</v>
      </c>
      <c r="I1433" s="15">
        <v>0.69</v>
      </c>
    </row>
    <row r="1434" spans="1:9" x14ac:dyDescent="0.25">
      <c r="A1434" s="12">
        <v>32</v>
      </c>
      <c r="B1434" s="13">
        <v>45166</v>
      </c>
      <c r="C1434" s="14">
        <v>29.4</v>
      </c>
      <c r="D1434" s="14">
        <v>54</v>
      </c>
      <c r="E1434" s="14">
        <v>655</v>
      </c>
      <c r="F1434" s="14">
        <v>6.3</v>
      </c>
      <c r="G1434" s="14">
        <v>26</v>
      </c>
      <c r="H1434" s="14">
        <v>84.92</v>
      </c>
      <c r="I1434" s="15">
        <v>0.54</v>
      </c>
    </row>
    <row r="1435" spans="1:9" x14ac:dyDescent="0.25">
      <c r="A1435" s="12">
        <v>32</v>
      </c>
      <c r="B1435" s="13">
        <v>45167</v>
      </c>
      <c r="C1435" s="14">
        <v>28.7</v>
      </c>
      <c r="D1435" s="14">
        <v>63</v>
      </c>
      <c r="E1435" s="14">
        <v>495</v>
      </c>
      <c r="F1435" s="14">
        <v>6.1</v>
      </c>
      <c r="G1435" s="14">
        <v>27</v>
      </c>
      <c r="H1435" s="14">
        <v>83.66</v>
      </c>
      <c r="I1435" s="15">
        <v>0.63</v>
      </c>
    </row>
    <row r="1436" spans="1:9" x14ac:dyDescent="0.25">
      <c r="A1436" s="12">
        <v>32</v>
      </c>
      <c r="B1436" s="13">
        <v>45168</v>
      </c>
      <c r="C1436" s="14">
        <v>29.1</v>
      </c>
      <c r="D1436" s="14">
        <v>53</v>
      </c>
      <c r="E1436" s="14">
        <v>796</v>
      </c>
      <c r="F1436" s="14">
        <v>6.8</v>
      </c>
      <c r="G1436" s="14">
        <v>28</v>
      </c>
      <c r="H1436" s="14">
        <v>84.38</v>
      </c>
      <c r="I1436" s="15">
        <v>0.53</v>
      </c>
    </row>
    <row r="1437" spans="1:9" x14ac:dyDescent="0.25">
      <c r="A1437" s="12">
        <v>32</v>
      </c>
      <c r="B1437" s="13">
        <v>45169</v>
      </c>
      <c r="C1437" s="14">
        <v>29.2</v>
      </c>
      <c r="D1437" s="14">
        <v>52</v>
      </c>
      <c r="E1437" s="14">
        <v>799</v>
      </c>
      <c r="F1437" s="14">
        <v>6.3</v>
      </c>
      <c r="G1437" s="14">
        <v>29</v>
      </c>
      <c r="H1437" s="14">
        <v>84.56</v>
      </c>
      <c r="I1437" s="15">
        <v>0.52</v>
      </c>
    </row>
    <row r="1438" spans="1:9" x14ac:dyDescent="0.25">
      <c r="A1438" s="12">
        <v>32</v>
      </c>
      <c r="B1438" s="13">
        <v>45170</v>
      </c>
      <c r="C1438" s="14">
        <v>31.7</v>
      </c>
      <c r="D1438" s="14">
        <v>72</v>
      </c>
      <c r="E1438" s="14">
        <v>586</v>
      </c>
      <c r="F1438" s="14">
        <v>6.7</v>
      </c>
      <c r="G1438" s="14">
        <v>30</v>
      </c>
      <c r="H1438" s="14">
        <v>89.06</v>
      </c>
      <c r="I1438" s="15">
        <v>0.72</v>
      </c>
    </row>
    <row r="1439" spans="1:9" x14ac:dyDescent="0.25">
      <c r="A1439" s="12">
        <v>32</v>
      </c>
      <c r="B1439" s="13">
        <v>45171</v>
      </c>
      <c r="C1439" s="14">
        <v>31.7</v>
      </c>
      <c r="D1439" s="14">
        <v>72</v>
      </c>
      <c r="E1439" s="14">
        <v>455</v>
      </c>
      <c r="F1439" s="14">
        <v>6.7</v>
      </c>
      <c r="G1439" s="14">
        <v>31</v>
      </c>
      <c r="H1439" s="14">
        <v>89.06</v>
      </c>
      <c r="I1439" s="15">
        <v>0.72</v>
      </c>
    </row>
    <row r="1440" spans="1:9" x14ac:dyDescent="0.25">
      <c r="A1440" s="12">
        <v>32</v>
      </c>
      <c r="B1440" s="13">
        <v>45172</v>
      </c>
      <c r="C1440" s="14">
        <v>31.7</v>
      </c>
      <c r="D1440" s="14">
        <v>68</v>
      </c>
      <c r="E1440" s="14">
        <v>558</v>
      </c>
      <c r="F1440" s="14">
        <v>6.7</v>
      </c>
      <c r="G1440" s="14">
        <v>32</v>
      </c>
      <c r="H1440" s="14">
        <v>89.06</v>
      </c>
      <c r="I1440" s="15">
        <v>0.68</v>
      </c>
    </row>
    <row r="1441" spans="1:9" x14ac:dyDescent="0.25">
      <c r="A1441" s="12">
        <v>32</v>
      </c>
      <c r="B1441" s="13">
        <v>45173</v>
      </c>
      <c r="C1441" s="14">
        <v>31.7</v>
      </c>
      <c r="D1441" s="14">
        <v>58</v>
      </c>
      <c r="E1441" s="14">
        <v>730</v>
      </c>
      <c r="F1441" s="14">
        <v>6</v>
      </c>
      <c r="G1441" s="14">
        <v>33</v>
      </c>
      <c r="H1441" s="14">
        <v>89.06</v>
      </c>
      <c r="I1441" s="15">
        <v>0.57999999999999996</v>
      </c>
    </row>
    <row r="1442" spans="1:9" x14ac:dyDescent="0.25">
      <c r="A1442" s="12">
        <v>32</v>
      </c>
      <c r="B1442" s="13">
        <v>45174</v>
      </c>
      <c r="C1442" s="14">
        <v>32</v>
      </c>
      <c r="D1442" s="14">
        <v>62</v>
      </c>
      <c r="E1442" s="14">
        <v>495</v>
      </c>
      <c r="F1442" s="14">
        <v>6.2</v>
      </c>
      <c r="G1442" s="14">
        <v>34</v>
      </c>
      <c r="H1442" s="14">
        <v>89.6</v>
      </c>
      <c r="I1442" s="15">
        <v>0.62</v>
      </c>
    </row>
    <row r="1443" spans="1:9" x14ac:dyDescent="0.25">
      <c r="A1443" s="12">
        <v>32</v>
      </c>
      <c r="B1443" s="13">
        <v>45175</v>
      </c>
      <c r="C1443" s="14">
        <v>32.1</v>
      </c>
      <c r="D1443" s="14">
        <v>77</v>
      </c>
      <c r="E1443" s="14">
        <v>596</v>
      </c>
      <c r="F1443" s="14">
        <v>6.5</v>
      </c>
      <c r="G1443" s="14">
        <v>35</v>
      </c>
      <c r="H1443" s="14">
        <v>89.78</v>
      </c>
      <c r="I1443" s="15">
        <v>0.77</v>
      </c>
    </row>
    <row r="1444" spans="1:9" x14ac:dyDescent="0.25">
      <c r="A1444" s="12">
        <v>32</v>
      </c>
      <c r="B1444" s="13">
        <v>45176</v>
      </c>
      <c r="C1444" s="14">
        <v>31.5</v>
      </c>
      <c r="D1444" s="14">
        <v>67</v>
      </c>
      <c r="E1444" s="14">
        <v>586</v>
      </c>
      <c r="F1444" s="14">
        <v>6.2</v>
      </c>
      <c r="G1444" s="14">
        <v>36</v>
      </c>
      <c r="H1444" s="14">
        <v>88.7</v>
      </c>
      <c r="I1444" s="15">
        <v>0.67</v>
      </c>
    </row>
    <row r="1445" spans="1:9" x14ac:dyDescent="0.25">
      <c r="A1445" s="12">
        <v>32</v>
      </c>
      <c r="B1445" s="13">
        <v>45177</v>
      </c>
      <c r="C1445" s="14">
        <v>29.8</v>
      </c>
      <c r="D1445" s="14">
        <v>77</v>
      </c>
      <c r="E1445" s="14">
        <v>681</v>
      </c>
      <c r="F1445" s="14">
        <v>6.1</v>
      </c>
      <c r="G1445" s="14">
        <v>37</v>
      </c>
      <c r="H1445" s="14">
        <v>85.64</v>
      </c>
      <c r="I1445" s="15">
        <v>0.77</v>
      </c>
    </row>
    <row r="1446" spans="1:9" x14ac:dyDescent="0.25">
      <c r="A1446" s="12">
        <v>32</v>
      </c>
      <c r="B1446" s="13">
        <v>45178</v>
      </c>
      <c r="C1446" s="14">
        <v>20.100000000000001</v>
      </c>
      <c r="D1446" s="14">
        <v>51</v>
      </c>
      <c r="E1446" s="14">
        <v>522</v>
      </c>
      <c r="F1446" s="14">
        <v>6.2</v>
      </c>
      <c r="G1446" s="14">
        <v>38</v>
      </c>
      <c r="H1446" s="14">
        <v>68.180000000000007</v>
      </c>
      <c r="I1446" s="15">
        <v>0.51</v>
      </c>
    </row>
    <row r="1447" spans="1:9" x14ac:dyDescent="0.25">
      <c r="A1447" s="12">
        <v>32</v>
      </c>
      <c r="B1447" s="13">
        <v>45179</v>
      </c>
      <c r="C1447" s="14">
        <v>31.1</v>
      </c>
      <c r="D1447" s="14">
        <v>80</v>
      </c>
      <c r="E1447" s="14">
        <v>458</v>
      </c>
      <c r="F1447" s="14">
        <v>6.1</v>
      </c>
      <c r="G1447" s="14">
        <v>39</v>
      </c>
      <c r="H1447" s="14">
        <v>87.98</v>
      </c>
      <c r="I1447" s="15">
        <v>0.8</v>
      </c>
    </row>
    <row r="1448" spans="1:9" x14ac:dyDescent="0.25">
      <c r="A1448" s="12">
        <v>32</v>
      </c>
      <c r="B1448" s="13">
        <v>45180</v>
      </c>
      <c r="C1448" s="14">
        <v>31.2</v>
      </c>
      <c r="D1448" s="14">
        <v>51</v>
      </c>
      <c r="E1448" s="14">
        <v>717</v>
      </c>
      <c r="F1448" s="14">
        <v>6.5</v>
      </c>
      <c r="G1448" s="14">
        <v>40</v>
      </c>
      <c r="H1448" s="14">
        <v>88.16</v>
      </c>
      <c r="I1448" s="15">
        <v>0.51</v>
      </c>
    </row>
    <row r="1449" spans="1:9" x14ac:dyDescent="0.25">
      <c r="A1449" s="12">
        <v>32</v>
      </c>
      <c r="B1449" s="13">
        <v>45181</v>
      </c>
      <c r="C1449" s="14">
        <v>31.2</v>
      </c>
      <c r="D1449" s="14">
        <v>67</v>
      </c>
      <c r="E1449" s="14">
        <v>768</v>
      </c>
      <c r="F1449" s="14">
        <v>6.7</v>
      </c>
      <c r="G1449" s="14">
        <v>41</v>
      </c>
      <c r="H1449" s="14">
        <v>88.16</v>
      </c>
      <c r="I1449" s="15">
        <v>0.67</v>
      </c>
    </row>
    <row r="1450" spans="1:9" x14ac:dyDescent="0.25">
      <c r="A1450" s="12">
        <v>32</v>
      </c>
      <c r="B1450" s="13">
        <v>45182</v>
      </c>
      <c r="C1450" s="14">
        <v>30.4</v>
      </c>
      <c r="D1450" s="14">
        <v>78</v>
      </c>
      <c r="E1450" s="14">
        <v>465</v>
      </c>
      <c r="F1450" s="14">
        <v>6.6</v>
      </c>
      <c r="G1450" s="14">
        <v>42</v>
      </c>
      <c r="H1450" s="14">
        <v>86.72</v>
      </c>
      <c r="I1450" s="15">
        <v>0.78</v>
      </c>
    </row>
    <row r="1451" spans="1:9" x14ac:dyDescent="0.25">
      <c r="A1451" s="12">
        <v>32</v>
      </c>
      <c r="B1451" s="13">
        <v>45183</v>
      </c>
      <c r="C1451" s="14">
        <v>29.1</v>
      </c>
      <c r="D1451" s="14">
        <v>64</v>
      </c>
      <c r="E1451" s="14">
        <v>782</v>
      </c>
      <c r="F1451" s="14">
        <v>6.8</v>
      </c>
      <c r="G1451" s="14">
        <v>43</v>
      </c>
      <c r="H1451" s="14">
        <v>84.38</v>
      </c>
      <c r="I1451" s="15">
        <v>0.64</v>
      </c>
    </row>
    <row r="1452" spans="1:9" x14ac:dyDescent="0.25">
      <c r="A1452" s="12">
        <v>32</v>
      </c>
      <c r="B1452" s="13">
        <v>45184</v>
      </c>
      <c r="C1452" s="14">
        <v>30.6</v>
      </c>
      <c r="D1452" s="14">
        <v>73</v>
      </c>
      <c r="E1452" s="14">
        <v>517</v>
      </c>
      <c r="F1452" s="14">
        <v>6.8</v>
      </c>
      <c r="G1452" s="14">
        <v>44</v>
      </c>
      <c r="H1452" s="14">
        <v>87.08</v>
      </c>
      <c r="I1452" s="15">
        <v>0.73</v>
      </c>
    </row>
    <row r="1453" spans="1:9" x14ac:dyDescent="0.25">
      <c r="A1453" s="12">
        <v>32</v>
      </c>
      <c r="B1453" s="13">
        <v>45185</v>
      </c>
      <c r="C1453" s="14">
        <v>31.5</v>
      </c>
      <c r="D1453" s="14">
        <v>78</v>
      </c>
      <c r="E1453" s="14">
        <v>695</v>
      </c>
      <c r="F1453" s="14">
        <v>6.4</v>
      </c>
      <c r="G1453" s="14">
        <v>45</v>
      </c>
      <c r="H1453" s="14">
        <v>88.7</v>
      </c>
      <c r="I1453" s="15">
        <v>0.78</v>
      </c>
    </row>
    <row r="1454" spans="1:9" x14ac:dyDescent="0.25">
      <c r="A1454" s="12">
        <v>33</v>
      </c>
      <c r="B1454" s="13">
        <v>45141</v>
      </c>
      <c r="C1454" s="14">
        <v>33.4</v>
      </c>
      <c r="D1454" s="14">
        <v>65</v>
      </c>
      <c r="E1454" s="14">
        <v>575</v>
      </c>
      <c r="F1454" s="14">
        <v>6.8</v>
      </c>
      <c r="G1454" s="14">
        <v>1</v>
      </c>
      <c r="H1454" s="14">
        <v>92.12</v>
      </c>
      <c r="I1454" s="15">
        <v>0.65</v>
      </c>
    </row>
    <row r="1455" spans="1:9" x14ac:dyDescent="0.25">
      <c r="A1455" s="12">
        <v>33</v>
      </c>
      <c r="B1455" s="13">
        <v>45142</v>
      </c>
      <c r="C1455" s="14">
        <v>33.5</v>
      </c>
      <c r="D1455" s="14">
        <v>67</v>
      </c>
      <c r="E1455" s="14">
        <v>453</v>
      </c>
      <c r="F1455" s="14">
        <v>6.2</v>
      </c>
      <c r="G1455" s="14">
        <v>2</v>
      </c>
      <c r="H1455" s="14">
        <v>92.3</v>
      </c>
      <c r="I1455" s="15">
        <v>0.67</v>
      </c>
    </row>
    <row r="1456" spans="1:9" x14ac:dyDescent="0.25">
      <c r="A1456" s="12">
        <v>33</v>
      </c>
      <c r="B1456" s="13">
        <v>45143</v>
      </c>
      <c r="C1456" s="14">
        <v>33.4</v>
      </c>
      <c r="D1456" s="14">
        <v>51</v>
      </c>
      <c r="E1456" s="14">
        <v>424</v>
      </c>
      <c r="F1456" s="14">
        <v>6.5</v>
      </c>
      <c r="G1456" s="14">
        <v>3</v>
      </c>
      <c r="H1456" s="14">
        <v>92.12</v>
      </c>
      <c r="I1456" s="15">
        <v>0.51</v>
      </c>
    </row>
    <row r="1457" spans="1:9" x14ac:dyDescent="0.25">
      <c r="A1457" s="12">
        <v>33</v>
      </c>
      <c r="B1457" s="13">
        <v>45144</v>
      </c>
      <c r="C1457" s="14">
        <v>33.4</v>
      </c>
      <c r="D1457" s="14">
        <v>75</v>
      </c>
      <c r="E1457" s="14">
        <v>604</v>
      </c>
      <c r="F1457" s="14">
        <v>6.4</v>
      </c>
      <c r="G1457" s="14">
        <v>4</v>
      </c>
      <c r="H1457" s="14">
        <v>92.12</v>
      </c>
      <c r="I1457" s="15">
        <v>0.75</v>
      </c>
    </row>
    <row r="1458" spans="1:9" x14ac:dyDescent="0.25">
      <c r="A1458" s="12">
        <v>33</v>
      </c>
      <c r="B1458" s="13">
        <v>45145</v>
      </c>
      <c r="C1458" s="14">
        <v>33.4</v>
      </c>
      <c r="D1458" s="14">
        <v>74</v>
      </c>
      <c r="E1458" s="14">
        <v>464</v>
      </c>
      <c r="F1458" s="14">
        <v>6.5</v>
      </c>
      <c r="G1458" s="14">
        <v>5</v>
      </c>
      <c r="H1458" s="14">
        <v>92.12</v>
      </c>
      <c r="I1458" s="15">
        <v>0.74</v>
      </c>
    </row>
    <row r="1459" spans="1:9" x14ac:dyDescent="0.25">
      <c r="A1459" s="12">
        <v>33</v>
      </c>
      <c r="B1459" s="13">
        <v>45146</v>
      </c>
      <c r="C1459" s="14">
        <v>32.299999999999997</v>
      </c>
      <c r="D1459" s="14">
        <v>80</v>
      </c>
      <c r="E1459" s="14">
        <v>612</v>
      </c>
      <c r="F1459" s="14">
        <v>6.2</v>
      </c>
      <c r="G1459" s="14">
        <v>6</v>
      </c>
      <c r="H1459" s="14">
        <v>90.14</v>
      </c>
      <c r="I1459" s="15">
        <v>0.8</v>
      </c>
    </row>
    <row r="1460" spans="1:9" x14ac:dyDescent="0.25">
      <c r="A1460" s="12">
        <v>33</v>
      </c>
      <c r="B1460" s="13">
        <v>45147</v>
      </c>
      <c r="C1460" s="14">
        <v>32.299999999999997</v>
      </c>
      <c r="D1460" s="14">
        <v>75</v>
      </c>
      <c r="E1460" s="14">
        <v>447</v>
      </c>
      <c r="F1460" s="14">
        <v>6.7</v>
      </c>
      <c r="G1460" s="14">
        <v>7</v>
      </c>
      <c r="H1460" s="14">
        <v>90.14</v>
      </c>
      <c r="I1460" s="15">
        <v>0.75</v>
      </c>
    </row>
    <row r="1461" spans="1:9" x14ac:dyDescent="0.25">
      <c r="A1461" s="12">
        <v>33</v>
      </c>
      <c r="B1461" s="13">
        <v>45148</v>
      </c>
      <c r="C1461" s="14">
        <v>22.7</v>
      </c>
      <c r="D1461" s="14">
        <v>61</v>
      </c>
      <c r="E1461" s="14">
        <v>580</v>
      </c>
      <c r="F1461" s="14">
        <v>6.5</v>
      </c>
      <c r="G1461" s="14">
        <v>8</v>
      </c>
      <c r="H1461" s="14">
        <v>72.86</v>
      </c>
      <c r="I1461" s="15">
        <v>0.61</v>
      </c>
    </row>
    <row r="1462" spans="1:9" x14ac:dyDescent="0.25">
      <c r="A1462" s="12">
        <v>33</v>
      </c>
      <c r="B1462" s="13">
        <v>45149</v>
      </c>
      <c r="C1462" s="14">
        <v>31.9</v>
      </c>
      <c r="D1462" s="14">
        <v>66</v>
      </c>
      <c r="E1462" s="14">
        <v>603</v>
      </c>
      <c r="F1462" s="14">
        <v>6.8</v>
      </c>
      <c r="G1462" s="14">
        <v>9</v>
      </c>
      <c r="H1462" s="14">
        <v>89.42</v>
      </c>
      <c r="I1462" s="15">
        <v>0.66</v>
      </c>
    </row>
    <row r="1463" spans="1:9" x14ac:dyDescent="0.25">
      <c r="A1463" s="12">
        <v>33</v>
      </c>
      <c r="B1463" s="13">
        <v>45150</v>
      </c>
      <c r="C1463" s="14">
        <v>30.2</v>
      </c>
      <c r="D1463" s="14">
        <v>69</v>
      </c>
      <c r="E1463" s="14">
        <v>556</v>
      </c>
      <c r="F1463" s="14">
        <v>6.8</v>
      </c>
      <c r="G1463" s="14">
        <v>10</v>
      </c>
      <c r="H1463" s="14">
        <v>86.36</v>
      </c>
      <c r="I1463" s="15">
        <v>0.69</v>
      </c>
    </row>
    <row r="1464" spans="1:9" x14ac:dyDescent="0.25">
      <c r="A1464" s="12">
        <v>33</v>
      </c>
      <c r="B1464" s="13">
        <v>45151</v>
      </c>
      <c r="C1464" s="14">
        <v>30.1</v>
      </c>
      <c r="D1464" s="14">
        <v>70</v>
      </c>
      <c r="E1464" s="14">
        <v>424</v>
      </c>
      <c r="F1464" s="14">
        <v>6.8</v>
      </c>
      <c r="G1464" s="14">
        <v>11</v>
      </c>
      <c r="H1464" s="14">
        <v>86.18</v>
      </c>
      <c r="I1464" s="15">
        <v>0.7</v>
      </c>
    </row>
    <row r="1465" spans="1:9" x14ac:dyDescent="0.25">
      <c r="A1465" s="12">
        <v>33</v>
      </c>
      <c r="B1465" s="13">
        <v>45152</v>
      </c>
      <c r="C1465" s="14">
        <v>30.1</v>
      </c>
      <c r="D1465" s="14">
        <v>79</v>
      </c>
      <c r="E1465" s="14">
        <v>615</v>
      </c>
      <c r="F1465" s="14">
        <v>6.5</v>
      </c>
      <c r="G1465" s="14">
        <v>12</v>
      </c>
      <c r="H1465" s="14">
        <v>86.18</v>
      </c>
      <c r="I1465" s="15">
        <v>0.79</v>
      </c>
    </row>
    <row r="1466" spans="1:9" x14ac:dyDescent="0.25">
      <c r="A1466" s="12">
        <v>33</v>
      </c>
      <c r="B1466" s="13">
        <v>45153</v>
      </c>
      <c r="C1466" s="14">
        <v>30.1</v>
      </c>
      <c r="D1466" s="14">
        <v>59</v>
      </c>
      <c r="E1466" s="14">
        <v>557</v>
      </c>
      <c r="F1466" s="14">
        <v>6</v>
      </c>
      <c r="G1466" s="14">
        <v>13</v>
      </c>
      <c r="H1466" s="14">
        <v>86.18</v>
      </c>
      <c r="I1466" s="15">
        <v>0.59</v>
      </c>
    </row>
    <row r="1467" spans="1:9" x14ac:dyDescent="0.25">
      <c r="A1467" s="12">
        <v>33</v>
      </c>
      <c r="B1467" s="13">
        <v>45154</v>
      </c>
      <c r="C1467" s="14">
        <v>29.8</v>
      </c>
      <c r="D1467" s="14">
        <v>62</v>
      </c>
      <c r="E1467" s="14">
        <v>793</v>
      </c>
      <c r="F1467" s="14">
        <v>6.2</v>
      </c>
      <c r="G1467" s="14">
        <v>14</v>
      </c>
      <c r="H1467" s="14">
        <v>85.64</v>
      </c>
      <c r="I1467" s="15">
        <v>0.62</v>
      </c>
    </row>
    <row r="1468" spans="1:9" x14ac:dyDescent="0.25">
      <c r="A1468" s="12">
        <v>33</v>
      </c>
      <c r="B1468" s="13">
        <v>45155</v>
      </c>
      <c r="C1468" s="14">
        <v>29.6</v>
      </c>
      <c r="D1468" s="14">
        <v>60</v>
      </c>
      <c r="E1468" s="14">
        <v>456</v>
      </c>
      <c r="F1468" s="14">
        <v>6.7</v>
      </c>
      <c r="G1468" s="14">
        <v>15</v>
      </c>
      <c r="H1468" s="14">
        <v>85.28</v>
      </c>
      <c r="I1468" s="15">
        <v>0.6</v>
      </c>
    </row>
    <row r="1469" spans="1:9" x14ac:dyDescent="0.25">
      <c r="A1469" s="12">
        <v>33</v>
      </c>
      <c r="B1469" s="13">
        <v>45156</v>
      </c>
      <c r="C1469" s="14">
        <v>30.9</v>
      </c>
      <c r="D1469" s="14">
        <v>61</v>
      </c>
      <c r="E1469" s="14">
        <v>667</v>
      </c>
      <c r="F1469" s="14">
        <v>6.4</v>
      </c>
      <c r="G1469" s="14">
        <v>16</v>
      </c>
      <c r="H1469" s="14">
        <v>87.62</v>
      </c>
      <c r="I1469" s="15">
        <v>0.61</v>
      </c>
    </row>
    <row r="1470" spans="1:9" x14ac:dyDescent="0.25">
      <c r="A1470" s="12">
        <v>33</v>
      </c>
      <c r="B1470" s="13">
        <v>45157</v>
      </c>
      <c r="C1470" s="14">
        <v>30.8</v>
      </c>
      <c r="D1470" s="14">
        <v>77</v>
      </c>
      <c r="E1470" s="14">
        <v>719</v>
      </c>
      <c r="F1470" s="14">
        <v>6.2</v>
      </c>
      <c r="G1470" s="14">
        <v>17</v>
      </c>
      <c r="H1470" s="14">
        <v>87.44</v>
      </c>
      <c r="I1470" s="15">
        <v>0.77</v>
      </c>
    </row>
    <row r="1471" spans="1:9" x14ac:dyDescent="0.25">
      <c r="A1471" s="12">
        <v>33</v>
      </c>
      <c r="B1471" s="13">
        <v>45158</v>
      </c>
      <c r="C1471" s="14">
        <v>30.9</v>
      </c>
      <c r="D1471" s="14">
        <v>62</v>
      </c>
      <c r="E1471" s="14">
        <v>609</v>
      </c>
      <c r="F1471" s="14">
        <v>6.3</v>
      </c>
      <c r="G1471" s="14">
        <v>18</v>
      </c>
      <c r="H1471" s="14">
        <v>87.62</v>
      </c>
      <c r="I1471" s="15">
        <v>0.62</v>
      </c>
    </row>
    <row r="1472" spans="1:9" x14ac:dyDescent="0.25">
      <c r="A1472" s="12">
        <v>33</v>
      </c>
      <c r="B1472" s="13">
        <v>45159</v>
      </c>
      <c r="C1472" s="14">
        <v>30.2</v>
      </c>
      <c r="D1472" s="14">
        <v>75</v>
      </c>
      <c r="E1472" s="14">
        <v>676</v>
      </c>
      <c r="F1472" s="14">
        <v>6.2</v>
      </c>
      <c r="G1472" s="14">
        <v>19</v>
      </c>
      <c r="H1472" s="14">
        <v>86.36</v>
      </c>
      <c r="I1472" s="15">
        <v>0.75</v>
      </c>
    </row>
    <row r="1473" spans="1:9" x14ac:dyDescent="0.25">
      <c r="A1473" s="12">
        <v>33</v>
      </c>
      <c r="B1473" s="13">
        <v>45160</v>
      </c>
      <c r="C1473" s="14">
        <v>30.5</v>
      </c>
      <c r="D1473" s="14">
        <v>60</v>
      </c>
      <c r="E1473" s="14">
        <v>784</v>
      </c>
      <c r="F1473" s="14">
        <v>6.4</v>
      </c>
      <c r="G1473" s="14">
        <v>20</v>
      </c>
      <c r="H1473" s="14">
        <v>86.9</v>
      </c>
      <c r="I1473" s="15">
        <v>0.6</v>
      </c>
    </row>
    <row r="1474" spans="1:9" x14ac:dyDescent="0.25">
      <c r="A1474" s="12">
        <v>33</v>
      </c>
      <c r="B1474" s="13">
        <v>45161</v>
      </c>
      <c r="C1474" s="14">
        <v>30.8</v>
      </c>
      <c r="D1474" s="14">
        <v>74</v>
      </c>
      <c r="E1474" s="14">
        <v>647</v>
      </c>
      <c r="F1474" s="14">
        <v>6.6</v>
      </c>
      <c r="G1474" s="14">
        <v>21</v>
      </c>
      <c r="H1474" s="14">
        <v>87.44</v>
      </c>
      <c r="I1474" s="15">
        <v>0.74</v>
      </c>
    </row>
    <row r="1475" spans="1:9" x14ac:dyDescent="0.25">
      <c r="A1475" s="12">
        <v>33</v>
      </c>
      <c r="B1475" s="13">
        <v>45162</v>
      </c>
      <c r="C1475" s="14">
        <v>31.3</v>
      </c>
      <c r="D1475" s="14">
        <v>76</v>
      </c>
      <c r="E1475" s="14">
        <v>680</v>
      </c>
      <c r="F1475" s="14">
        <v>6</v>
      </c>
      <c r="G1475" s="14">
        <v>22</v>
      </c>
      <c r="H1475" s="14">
        <v>88.34</v>
      </c>
      <c r="I1475" s="15">
        <v>0.76</v>
      </c>
    </row>
    <row r="1476" spans="1:9" x14ac:dyDescent="0.25">
      <c r="A1476" s="12">
        <v>33</v>
      </c>
      <c r="B1476" s="13">
        <v>45163</v>
      </c>
      <c r="C1476" s="14">
        <v>31.4</v>
      </c>
      <c r="D1476" s="14">
        <v>52</v>
      </c>
      <c r="E1476" s="14">
        <v>612</v>
      </c>
      <c r="F1476" s="14">
        <v>6.7</v>
      </c>
      <c r="G1476" s="14">
        <v>23</v>
      </c>
      <c r="H1476" s="14">
        <v>88.52</v>
      </c>
      <c r="I1476" s="15">
        <v>0.52</v>
      </c>
    </row>
    <row r="1477" spans="1:9" x14ac:dyDescent="0.25">
      <c r="A1477" s="12">
        <v>33</v>
      </c>
      <c r="B1477" s="13">
        <v>45164</v>
      </c>
      <c r="C1477" s="14">
        <v>31.4</v>
      </c>
      <c r="D1477" s="14">
        <v>80</v>
      </c>
      <c r="E1477" s="14">
        <v>600</v>
      </c>
      <c r="F1477" s="14">
        <v>6.6</v>
      </c>
      <c r="G1477" s="14">
        <v>24</v>
      </c>
      <c r="H1477" s="14">
        <v>88.52</v>
      </c>
      <c r="I1477" s="15">
        <v>0.8</v>
      </c>
    </row>
    <row r="1478" spans="1:9" x14ac:dyDescent="0.25">
      <c r="A1478" s="12">
        <v>33</v>
      </c>
      <c r="B1478" s="13">
        <v>45165</v>
      </c>
      <c r="C1478" s="14">
        <v>30.1</v>
      </c>
      <c r="D1478" s="14">
        <v>66</v>
      </c>
      <c r="E1478" s="14">
        <v>665</v>
      </c>
      <c r="F1478" s="14">
        <v>6.2</v>
      </c>
      <c r="G1478" s="14">
        <v>25</v>
      </c>
      <c r="H1478" s="14">
        <v>86.18</v>
      </c>
      <c r="I1478" s="15">
        <v>0.66</v>
      </c>
    </row>
    <row r="1479" spans="1:9" x14ac:dyDescent="0.25">
      <c r="A1479" s="12">
        <v>33</v>
      </c>
      <c r="B1479" s="13">
        <v>45166</v>
      </c>
      <c r="C1479" s="14">
        <v>29.4</v>
      </c>
      <c r="D1479" s="14">
        <v>50</v>
      </c>
      <c r="E1479" s="14">
        <v>624</v>
      </c>
      <c r="F1479" s="14">
        <v>6</v>
      </c>
      <c r="G1479" s="14">
        <v>26</v>
      </c>
      <c r="H1479" s="14">
        <v>84.92</v>
      </c>
      <c r="I1479" s="15">
        <v>0.5</v>
      </c>
    </row>
    <row r="1480" spans="1:9" x14ac:dyDescent="0.25">
      <c r="A1480" s="12">
        <v>33</v>
      </c>
      <c r="B1480" s="13">
        <v>45167</v>
      </c>
      <c r="C1480" s="14">
        <v>28.7</v>
      </c>
      <c r="D1480" s="14">
        <v>78</v>
      </c>
      <c r="E1480" s="14">
        <v>423</v>
      </c>
      <c r="F1480" s="14">
        <v>6.2</v>
      </c>
      <c r="G1480" s="14">
        <v>27</v>
      </c>
      <c r="H1480" s="14">
        <v>83.66</v>
      </c>
      <c r="I1480" s="15">
        <v>0.78</v>
      </c>
    </row>
    <row r="1481" spans="1:9" x14ac:dyDescent="0.25">
      <c r="A1481" s="12">
        <v>33</v>
      </c>
      <c r="B1481" s="13">
        <v>45168</v>
      </c>
      <c r="C1481" s="14">
        <v>29.1</v>
      </c>
      <c r="D1481" s="14">
        <v>60</v>
      </c>
      <c r="E1481" s="14">
        <v>446</v>
      </c>
      <c r="F1481" s="14">
        <v>6.2</v>
      </c>
      <c r="G1481" s="14">
        <v>28</v>
      </c>
      <c r="H1481" s="14">
        <v>84.38</v>
      </c>
      <c r="I1481" s="15">
        <v>0.6</v>
      </c>
    </row>
    <row r="1482" spans="1:9" x14ac:dyDescent="0.25">
      <c r="A1482" s="12">
        <v>33</v>
      </c>
      <c r="B1482" s="13">
        <v>45169</v>
      </c>
      <c r="C1482" s="14">
        <v>29.2</v>
      </c>
      <c r="D1482" s="14">
        <v>72</v>
      </c>
      <c r="E1482" s="14">
        <v>512</v>
      </c>
      <c r="F1482" s="14">
        <v>6.5</v>
      </c>
      <c r="G1482" s="14">
        <v>29</v>
      </c>
      <c r="H1482" s="14">
        <v>84.56</v>
      </c>
      <c r="I1482" s="15">
        <v>0.72</v>
      </c>
    </row>
    <row r="1483" spans="1:9" x14ac:dyDescent="0.25">
      <c r="A1483" s="12">
        <v>33</v>
      </c>
      <c r="B1483" s="13">
        <v>45170</v>
      </c>
      <c r="C1483" s="14">
        <v>31.7</v>
      </c>
      <c r="D1483" s="14">
        <v>61</v>
      </c>
      <c r="E1483" s="14">
        <v>457</v>
      </c>
      <c r="F1483" s="14">
        <v>6.3</v>
      </c>
      <c r="G1483" s="14">
        <v>30</v>
      </c>
      <c r="H1483" s="14">
        <v>89.06</v>
      </c>
      <c r="I1483" s="15">
        <v>0.61</v>
      </c>
    </row>
    <row r="1484" spans="1:9" x14ac:dyDescent="0.25">
      <c r="A1484" s="12">
        <v>33</v>
      </c>
      <c r="B1484" s="13">
        <v>45171</v>
      </c>
      <c r="C1484" s="14">
        <v>31.7</v>
      </c>
      <c r="D1484" s="14">
        <v>52</v>
      </c>
      <c r="E1484" s="14">
        <v>456</v>
      </c>
      <c r="F1484" s="14">
        <v>6.6</v>
      </c>
      <c r="G1484" s="14">
        <v>31</v>
      </c>
      <c r="H1484" s="14">
        <v>89.06</v>
      </c>
      <c r="I1484" s="15">
        <v>0.52</v>
      </c>
    </row>
    <row r="1485" spans="1:9" x14ac:dyDescent="0.25">
      <c r="A1485" s="12">
        <v>33</v>
      </c>
      <c r="B1485" s="13">
        <v>45172</v>
      </c>
      <c r="C1485" s="14">
        <v>31.7</v>
      </c>
      <c r="D1485" s="14">
        <v>65</v>
      </c>
      <c r="E1485" s="14">
        <v>459</v>
      </c>
      <c r="F1485" s="14">
        <v>6</v>
      </c>
      <c r="G1485" s="14">
        <v>32</v>
      </c>
      <c r="H1485" s="14">
        <v>89.06</v>
      </c>
      <c r="I1485" s="15">
        <v>0.65</v>
      </c>
    </row>
    <row r="1486" spans="1:9" x14ac:dyDescent="0.25">
      <c r="A1486" s="12">
        <v>33</v>
      </c>
      <c r="B1486" s="13">
        <v>45173</v>
      </c>
      <c r="C1486" s="14">
        <v>31.7</v>
      </c>
      <c r="D1486" s="14">
        <v>77</v>
      </c>
      <c r="E1486" s="14">
        <v>497</v>
      </c>
      <c r="F1486" s="14">
        <v>6.7</v>
      </c>
      <c r="G1486" s="14">
        <v>33</v>
      </c>
      <c r="H1486" s="14">
        <v>89.06</v>
      </c>
      <c r="I1486" s="15">
        <v>0.77</v>
      </c>
    </row>
    <row r="1487" spans="1:9" x14ac:dyDescent="0.25">
      <c r="A1487" s="12">
        <v>33</v>
      </c>
      <c r="B1487" s="13">
        <v>45174</v>
      </c>
      <c r="C1487" s="14">
        <v>32</v>
      </c>
      <c r="D1487" s="14">
        <v>74</v>
      </c>
      <c r="E1487" s="14">
        <v>501</v>
      </c>
      <c r="F1487" s="14">
        <v>6.3</v>
      </c>
      <c r="G1487" s="14">
        <v>34</v>
      </c>
      <c r="H1487" s="14">
        <v>89.6</v>
      </c>
      <c r="I1487" s="15">
        <v>0.74</v>
      </c>
    </row>
    <row r="1488" spans="1:9" x14ac:dyDescent="0.25">
      <c r="A1488" s="12">
        <v>33</v>
      </c>
      <c r="B1488" s="13">
        <v>45175</v>
      </c>
      <c r="C1488" s="14">
        <v>32.1</v>
      </c>
      <c r="D1488" s="14">
        <v>67</v>
      </c>
      <c r="E1488" s="14">
        <v>741</v>
      </c>
      <c r="F1488" s="14">
        <v>6.3</v>
      </c>
      <c r="G1488" s="14">
        <v>35</v>
      </c>
      <c r="H1488" s="14">
        <v>89.78</v>
      </c>
      <c r="I1488" s="15">
        <v>0.67</v>
      </c>
    </row>
    <row r="1489" spans="1:9" x14ac:dyDescent="0.25">
      <c r="A1489" s="12">
        <v>33</v>
      </c>
      <c r="B1489" s="13">
        <v>45176</v>
      </c>
      <c r="C1489" s="14">
        <v>31.5</v>
      </c>
      <c r="D1489" s="14">
        <v>75</v>
      </c>
      <c r="E1489" s="14">
        <v>559</v>
      </c>
      <c r="F1489" s="14">
        <v>6.2</v>
      </c>
      <c r="G1489" s="14">
        <v>36</v>
      </c>
      <c r="H1489" s="14">
        <v>88.7</v>
      </c>
      <c r="I1489" s="15">
        <v>0.75</v>
      </c>
    </row>
    <row r="1490" spans="1:9" x14ac:dyDescent="0.25">
      <c r="A1490" s="12">
        <v>33</v>
      </c>
      <c r="B1490" s="13">
        <v>45177</v>
      </c>
      <c r="C1490" s="14">
        <v>29.8</v>
      </c>
      <c r="D1490" s="14">
        <v>71</v>
      </c>
      <c r="E1490" s="14">
        <v>744</v>
      </c>
      <c r="F1490" s="14">
        <v>6.3</v>
      </c>
      <c r="G1490" s="14">
        <v>37</v>
      </c>
      <c r="H1490" s="14">
        <v>85.64</v>
      </c>
      <c r="I1490" s="15">
        <v>0.71</v>
      </c>
    </row>
    <row r="1491" spans="1:9" x14ac:dyDescent="0.25">
      <c r="A1491" s="12">
        <v>33</v>
      </c>
      <c r="B1491" s="13">
        <v>45178</v>
      </c>
      <c r="C1491" s="14">
        <v>20.100000000000001</v>
      </c>
      <c r="D1491" s="14">
        <v>70</v>
      </c>
      <c r="E1491" s="14">
        <v>440</v>
      </c>
      <c r="F1491" s="14">
        <v>6.1</v>
      </c>
      <c r="G1491" s="14">
        <v>38</v>
      </c>
      <c r="H1491" s="14">
        <v>68.180000000000007</v>
      </c>
      <c r="I1491" s="15">
        <v>0.7</v>
      </c>
    </row>
    <row r="1492" spans="1:9" x14ac:dyDescent="0.25">
      <c r="A1492" s="12">
        <v>33</v>
      </c>
      <c r="B1492" s="13">
        <v>45179</v>
      </c>
      <c r="C1492" s="14">
        <v>31.1</v>
      </c>
      <c r="D1492" s="14">
        <v>74</v>
      </c>
      <c r="E1492" s="14">
        <v>436</v>
      </c>
      <c r="F1492" s="14">
        <v>6.6</v>
      </c>
      <c r="G1492" s="14">
        <v>39</v>
      </c>
      <c r="H1492" s="14">
        <v>87.98</v>
      </c>
      <c r="I1492" s="15">
        <v>0.74</v>
      </c>
    </row>
    <row r="1493" spans="1:9" x14ac:dyDescent="0.25">
      <c r="A1493" s="12">
        <v>33</v>
      </c>
      <c r="B1493" s="13">
        <v>45180</v>
      </c>
      <c r="C1493" s="14">
        <v>31.2</v>
      </c>
      <c r="D1493" s="14">
        <v>69</v>
      </c>
      <c r="E1493" s="14">
        <v>483</v>
      </c>
      <c r="F1493" s="14">
        <v>6.1</v>
      </c>
      <c r="G1493" s="14">
        <v>40</v>
      </c>
      <c r="H1493" s="14">
        <v>88.16</v>
      </c>
      <c r="I1493" s="15">
        <v>0.69</v>
      </c>
    </row>
    <row r="1494" spans="1:9" x14ac:dyDescent="0.25">
      <c r="A1494" s="12">
        <v>33</v>
      </c>
      <c r="B1494" s="13">
        <v>45181</v>
      </c>
      <c r="C1494" s="14">
        <v>31.2</v>
      </c>
      <c r="D1494" s="14">
        <v>63</v>
      </c>
      <c r="E1494" s="14">
        <v>664</v>
      </c>
      <c r="F1494" s="14">
        <v>6.8</v>
      </c>
      <c r="G1494" s="14">
        <v>41</v>
      </c>
      <c r="H1494" s="14">
        <v>88.16</v>
      </c>
      <c r="I1494" s="15">
        <v>0.63</v>
      </c>
    </row>
    <row r="1495" spans="1:9" x14ac:dyDescent="0.25">
      <c r="A1495" s="12">
        <v>33</v>
      </c>
      <c r="B1495" s="13">
        <v>45182</v>
      </c>
      <c r="C1495" s="14">
        <v>30.4</v>
      </c>
      <c r="D1495" s="14">
        <v>56</v>
      </c>
      <c r="E1495" s="14">
        <v>578</v>
      </c>
      <c r="F1495" s="14">
        <v>6.4</v>
      </c>
      <c r="G1495" s="14">
        <v>42</v>
      </c>
      <c r="H1495" s="14">
        <v>86.72</v>
      </c>
      <c r="I1495" s="15">
        <v>0.56000000000000005</v>
      </c>
    </row>
    <row r="1496" spans="1:9" x14ac:dyDescent="0.25">
      <c r="A1496" s="12">
        <v>33</v>
      </c>
      <c r="B1496" s="13">
        <v>45183</v>
      </c>
      <c r="C1496" s="14">
        <v>29.1</v>
      </c>
      <c r="D1496" s="14">
        <v>78</v>
      </c>
      <c r="E1496" s="14">
        <v>642</v>
      </c>
      <c r="F1496" s="14">
        <v>6.7</v>
      </c>
      <c r="G1496" s="14">
        <v>43</v>
      </c>
      <c r="H1496" s="14">
        <v>84.38</v>
      </c>
      <c r="I1496" s="15">
        <v>0.78</v>
      </c>
    </row>
    <row r="1497" spans="1:9" x14ac:dyDescent="0.25">
      <c r="A1497" s="12">
        <v>33</v>
      </c>
      <c r="B1497" s="13">
        <v>45184</v>
      </c>
      <c r="C1497" s="14">
        <v>30.6</v>
      </c>
      <c r="D1497" s="14">
        <v>76</v>
      </c>
      <c r="E1497" s="14">
        <v>644</v>
      </c>
      <c r="F1497" s="14">
        <v>6.8</v>
      </c>
      <c r="G1497" s="14">
        <v>44</v>
      </c>
      <c r="H1497" s="14">
        <v>87.08</v>
      </c>
      <c r="I1497" s="15">
        <v>0.76</v>
      </c>
    </row>
    <row r="1498" spans="1:9" x14ac:dyDescent="0.25">
      <c r="A1498" s="12">
        <v>33</v>
      </c>
      <c r="B1498" s="13">
        <v>45185</v>
      </c>
      <c r="C1498" s="14">
        <v>31.5</v>
      </c>
      <c r="D1498" s="14">
        <v>77</v>
      </c>
      <c r="E1498" s="14">
        <v>466</v>
      </c>
      <c r="F1498" s="14">
        <v>6.3</v>
      </c>
      <c r="G1498" s="14">
        <v>45</v>
      </c>
      <c r="H1498" s="14">
        <v>88.7</v>
      </c>
      <c r="I1498" s="15">
        <v>0.77</v>
      </c>
    </row>
    <row r="1499" spans="1:9" x14ac:dyDescent="0.25">
      <c r="A1499" s="12">
        <v>34</v>
      </c>
      <c r="B1499" s="13">
        <v>45141</v>
      </c>
      <c r="C1499" s="14">
        <v>33.4</v>
      </c>
      <c r="D1499" s="14">
        <v>50</v>
      </c>
      <c r="E1499" s="14">
        <v>681</v>
      </c>
      <c r="F1499" s="14">
        <v>6.5</v>
      </c>
      <c r="G1499" s="14">
        <v>1</v>
      </c>
      <c r="H1499" s="14">
        <v>92.12</v>
      </c>
      <c r="I1499" s="15">
        <v>0.5</v>
      </c>
    </row>
    <row r="1500" spans="1:9" x14ac:dyDescent="0.25">
      <c r="A1500" s="12">
        <v>34</v>
      </c>
      <c r="B1500" s="13">
        <v>45142</v>
      </c>
      <c r="C1500" s="14">
        <v>33.5</v>
      </c>
      <c r="D1500" s="14">
        <v>80</v>
      </c>
      <c r="E1500" s="14">
        <v>682</v>
      </c>
      <c r="F1500" s="14">
        <v>6.6</v>
      </c>
      <c r="G1500" s="14">
        <v>2</v>
      </c>
      <c r="H1500" s="14">
        <v>92.3</v>
      </c>
      <c r="I1500" s="15">
        <v>0.8</v>
      </c>
    </row>
    <row r="1501" spans="1:9" x14ac:dyDescent="0.25">
      <c r="A1501" s="12">
        <v>34</v>
      </c>
      <c r="B1501" s="13">
        <v>45143</v>
      </c>
      <c r="C1501" s="14">
        <v>33.4</v>
      </c>
      <c r="D1501" s="14">
        <v>77</v>
      </c>
      <c r="E1501" s="14">
        <v>495</v>
      </c>
      <c r="F1501" s="14">
        <v>6.1</v>
      </c>
      <c r="G1501" s="14">
        <v>3</v>
      </c>
      <c r="H1501" s="14">
        <v>92.12</v>
      </c>
      <c r="I1501" s="15">
        <v>0.77</v>
      </c>
    </row>
    <row r="1502" spans="1:9" x14ac:dyDescent="0.25">
      <c r="A1502" s="12">
        <v>34</v>
      </c>
      <c r="B1502" s="13">
        <v>45144</v>
      </c>
      <c r="C1502" s="14">
        <v>33.4</v>
      </c>
      <c r="D1502" s="14">
        <v>71</v>
      </c>
      <c r="E1502" s="14">
        <v>418</v>
      </c>
      <c r="F1502" s="14">
        <v>6.1</v>
      </c>
      <c r="G1502" s="14">
        <v>4</v>
      </c>
      <c r="H1502" s="14">
        <v>92.12</v>
      </c>
      <c r="I1502" s="15">
        <v>0.71</v>
      </c>
    </row>
    <row r="1503" spans="1:9" x14ac:dyDescent="0.25">
      <c r="A1503" s="12">
        <v>34</v>
      </c>
      <c r="B1503" s="13">
        <v>45145</v>
      </c>
      <c r="C1503" s="14">
        <v>33.4</v>
      </c>
      <c r="D1503" s="14">
        <v>56</v>
      </c>
      <c r="E1503" s="14">
        <v>403</v>
      </c>
      <c r="F1503" s="14">
        <v>6.4</v>
      </c>
      <c r="G1503" s="14">
        <v>5</v>
      </c>
      <c r="H1503" s="14">
        <v>92.12</v>
      </c>
      <c r="I1503" s="15">
        <v>0.56000000000000005</v>
      </c>
    </row>
    <row r="1504" spans="1:9" x14ac:dyDescent="0.25">
      <c r="A1504" s="12">
        <v>34</v>
      </c>
      <c r="B1504" s="13">
        <v>45146</v>
      </c>
      <c r="C1504" s="14">
        <v>32.299999999999997</v>
      </c>
      <c r="D1504" s="14">
        <v>63</v>
      </c>
      <c r="E1504" s="14">
        <v>434</v>
      </c>
      <c r="F1504" s="14">
        <v>6.3</v>
      </c>
      <c r="G1504" s="14">
        <v>6</v>
      </c>
      <c r="H1504" s="14">
        <v>90.14</v>
      </c>
      <c r="I1504" s="15">
        <v>0.63</v>
      </c>
    </row>
    <row r="1505" spans="1:9" x14ac:dyDescent="0.25">
      <c r="A1505" s="12">
        <v>34</v>
      </c>
      <c r="B1505" s="13">
        <v>45147</v>
      </c>
      <c r="C1505" s="14">
        <v>32.299999999999997</v>
      </c>
      <c r="D1505" s="14">
        <v>68</v>
      </c>
      <c r="E1505" s="14">
        <v>684</v>
      </c>
      <c r="F1505" s="14">
        <v>6.4</v>
      </c>
      <c r="G1505" s="14">
        <v>7</v>
      </c>
      <c r="H1505" s="14">
        <v>90.14</v>
      </c>
      <c r="I1505" s="15">
        <v>0.68</v>
      </c>
    </row>
    <row r="1506" spans="1:9" x14ac:dyDescent="0.25">
      <c r="A1506" s="12">
        <v>34</v>
      </c>
      <c r="B1506" s="13">
        <v>45148</v>
      </c>
      <c r="C1506" s="14">
        <v>22.7</v>
      </c>
      <c r="D1506" s="14">
        <v>58</v>
      </c>
      <c r="E1506" s="14">
        <v>589</v>
      </c>
      <c r="F1506" s="14">
        <v>6.4</v>
      </c>
      <c r="G1506" s="14">
        <v>8</v>
      </c>
      <c r="H1506" s="14">
        <v>72.86</v>
      </c>
      <c r="I1506" s="15">
        <v>0.57999999999999996</v>
      </c>
    </row>
    <row r="1507" spans="1:9" x14ac:dyDescent="0.25">
      <c r="A1507" s="12">
        <v>34</v>
      </c>
      <c r="B1507" s="13">
        <v>45149</v>
      </c>
      <c r="C1507" s="14">
        <v>31.9</v>
      </c>
      <c r="D1507" s="14">
        <v>55</v>
      </c>
      <c r="E1507" s="14">
        <v>597</v>
      </c>
      <c r="F1507" s="14">
        <v>6.5</v>
      </c>
      <c r="G1507" s="14">
        <v>9</v>
      </c>
      <c r="H1507" s="14">
        <v>89.42</v>
      </c>
      <c r="I1507" s="15">
        <v>0.55000000000000004</v>
      </c>
    </row>
    <row r="1508" spans="1:9" x14ac:dyDescent="0.25">
      <c r="A1508" s="12">
        <v>34</v>
      </c>
      <c r="B1508" s="13">
        <v>45150</v>
      </c>
      <c r="C1508" s="14">
        <v>30.2</v>
      </c>
      <c r="D1508" s="14">
        <v>78</v>
      </c>
      <c r="E1508" s="14">
        <v>435</v>
      </c>
      <c r="F1508" s="14">
        <v>6</v>
      </c>
      <c r="G1508" s="14">
        <v>10</v>
      </c>
      <c r="H1508" s="14">
        <v>86.36</v>
      </c>
      <c r="I1508" s="15">
        <v>0.78</v>
      </c>
    </row>
    <row r="1509" spans="1:9" x14ac:dyDescent="0.25">
      <c r="A1509" s="12">
        <v>34</v>
      </c>
      <c r="B1509" s="13">
        <v>45151</v>
      </c>
      <c r="C1509" s="14">
        <v>30.1</v>
      </c>
      <c r="D1509" s="14">
        <v>67</v>
      </c>
      <c r="E1509" s="14">
        <v>734</v>
      </c>
      <c r="F1509" s="14">
        <v>6.5</v>
      </c>
      <c r="G1509" s="14">
        <v>11</v>
      </c>
      <c r="H1509" s="14">
        <v>86.18</v>
      </c>
      <c r="I1509" s="15">
        <v>0.67</v>
      </c>
    </row>
    <row r="1510" spans="1:9" x14ac:dyDescent="0.25">
      <c r="A1510" s="12">
        <v>34</v>
      </c>
      <c r="B1510" s="13">
        <v>45152</v>
      </c>
      <c r="C1510" s="14">
        <v>30.1</v>
      </c>
      <c r="D1510" s="14">
        <v>62</v>
      </c>
      <c r="E1510" s="14">
        <v>664</v>
      </c>
      <c r="F1510" s="14">
        <v>6.3</v>
      </c>
      <c r="G1510" s="14">
        <v>12</v>
      </c>
      <c r="H1510" s="14">
        <v>86.18</v>
      </c>
      <c r="I1510" s="15">
        <v>0.62</v>
      </c>
    </row>
    <row r="1511" spans="1:9" x14ac:dyDescent="0.25">
      <c r="A1511" s="12">
        <v>34</v>
      </c>
      <c r="B1511" s="13">
        <v>45153</v>
      </c>
      <c r="C1511" s="14">
        <v>30.1</v>
      </c>
      <c r="D1511" s="14">
        <v>78</v>
      </c>
      <c r="E1511" s="14">
        <v>561</v>
      </c>
      <c r="F1511" s="14">
        <v>6.8</v>
      </c>
      <c r="G1511" s="14">
        <v>13</v>
      </c>
      <c r="H1511" s="14">
        <v>86.18</v>
      </c>
      <c r="I1511" s="15">
        <v>0.78</v>
      </c>
    </row>
    <row r="1512" spans="1:9" x14ac:dyDescent="0.25">
      <c r="A1512" s="12">
        <v>34</v>
      </c>
      <c r="B1512" s="13">
        <v>45154</v>
      </c>
      <c r="C1512" s="14">
        <v>29.8</v>
      </c>
      <c r="D1512" s="14">
        <v>55</v>
      </c>
      <c r="E1512" s="14">
        <v>794</v>
      </c>
      <c r="F1512" s="14">
        <v>6.3</v>
      </c>
      <c r="G1512" s="14">
        <v>14</v>
      </c>
      <c r="H1512" s="14">
        <v>85.64</v>
      </c>
      <c r="I1512" s="15">
        <v>0.55000000000000004</v>
      </c>
    </row>
    <row r="1513" spans="1:9" x14ac:dyDescent="0.25">
      <c r="A1513" s="12">
        <v>34</v>
      </c>
      <c r="B1513" s="13">
        <v>45155</v>
      </c>
      <c r="C1513" s="14">
        <v>29.6</v>
      </c>
      <c r="D1513" s="14">
        <v>55</v>
      </c>
      <c r="E1513" s="14">
        <v>720</v>
      </c>
      <c r="F1513" s="14">
        <v>6.6</v>
      </c>
      <c r="G1513" s="14">
        <v>15</v>
      </c>
      <c r="H1513" s="14">
        <v>85.28</v>
      </c>
      <c r="I1513" s="15">
        <v>0.55000000000000004</v>
      </c>
    </row>
    <row r="1514" spans="1:9" x14ac:dyDescent="0.25">
      <c r="A1514" s="12">
        <v>34</v>
      </c>
      <c r="B1514" s="13">
        <v>45156</v>
      </c>
      <c r="C1514" s="14">
        <v>30.9</v>
      </c>
      <c r="D1514" s="14">
        <v>64</v>
      </c>
      <c r="E1514" s="14">
        <v>514</v>
      </c>
      <c r="F1514" s="14">
        <v>6.8</v>
      </c>
      <c r="G1514" s="14">
        <v>16</v>
      </c>
      <c r="H1514" s="14">
        <v>87.62</v>
      </c>
      <c r="I1514" s="15">
        <v>0.64</v>
      </c>
    </row>
    <row r="1515" spans="1:9" x14ac:dyDescent="0.25">
      <c r="A1515" s="12">
        <v>34</v>
      </c>
      <c r="B1515" s="13">
        <v>45157</v>
      </c>
      <c r="C1515" s="14">
        <v>30.8</v>
      </c>
      <c r="D1515" s="14">
        <v>80</v>
      </c>
      <c r="E1515" s="14">
        <v>763</v>
      </c>
      <c r="F1515" s="14">
        <v>6.1</v>
      </c>
      <c r="G1515" s="14">
        <v>17</v>
      </c>
      <c r="H1515" s="14">
        <v>87.44</v>
      </c>
      <c r="I1515" s="15">
        <v>0.8</v>
      </c>
    </row>
    <row r="1516" spans="1:9" x14ac:dyDescent="0.25">
      <c r="A1516" s="12">
        <v>34</v>
      </c>
      <c r="B1516" s="13">
        <v>45158</v>
      </c>
      <c r="C1516" s="14">
        <v>30.9</v>
      </c>
      <c r="D1516" s="14">
        <v>55</v>
      </c>
      <c r="E1516" s="14">
        <v>719</v>
      </c>
      <c r="F1516" s="14">
        <v>6.2</v>
      </c>
      <c r="G1516" s="14">
        <v>18</v>
      </c>
      <c r="H1516" s="14">
        <v>87.62</v>
      </c>
      <c r="I1516" s="15">
        <v>0.55000000000000004</v>
      </c>
    </row>
    <row r="1517" spans="1:9" x14ac:dyDescent="0.25">
      <c r="A1517" s="12">
        <v>34</v>
      </c>
      <c r="B1517" s="13">
        <v>45159</v>
      </c>
      <c r="C1517" s="14">
        <v>30.2</v>
      </c>
      <c r="D1517" s="14">
        <v>58</v>
      </c>
      <c r="E1517" s="14">
        <v>748</v>
      </c>
      <c r="F1517" s="14">
        <v>6.2</v>
      </c>
      <c r="G1517" s="14">
        <v>19</v>
      </c>
      <c r="H1517" s="14">
        <v>86.36</v>
      </c>
      <c r="I1517" s="15">
        <v>0.57999999999999996</v>
      </c>
    </row>
    <row r="1518" spans="1:9" x14ac:dyDescent="0.25">
      <c r="A1518" s="12">
        <v>34</v>
      </c>
      <c r="B1518" s="13">
        <v>45160</v>
      </c>
      <c r="C1518" s="14">
        <v>30.5</v>
      </c>
      <c r="D1518" s="14">
        <v>56</v>
      </c>
      <c r="E1518" s="14">
        <v>725</v>
      </c>
      <c r="F1518" s="14">
        <v>6.7</v>
      </c>
      <c r="G1518" s="14">
        <v>20</v>
      </c>
      <c r="H1518" s="14">
        <v>86.9</v>
      </c>
      <c r="I1518" s="15">
        <v>0.56000000000000005</v>
      </c>
    </row>
    <row r="1519" spans="1:9" x14ac:dyDescent="0.25">
      <c r="A1519" s="12">
        <v>34</v>
      </c>
      <c r="B1519" s="13">
        <v>45161</v>
      </c>
      <c r="C1519" s="14">
        <v>30.8</v>
      </c>
      <c r="D1519" s="14">
        <v>58</v>
      </c>
      <c r="E1519" s="14">
        <v>654</v>
      </c>
      <c r="F1519" s="14">
        <v>6.1</v>
      </c>
      <c r="G1519" s="14">
        <v>21</v>
      </c>
      <c r="H1519" s="14">
        <v>87.44</v>
      </c>
      <c r="I1519" s="15">
        <v>0.57999999999999996</v>
      </c>
    </row>
    <row r="1520" spans="1:9" x14ac:dyDescent="0.25">
      <c r="A1520" s="12">
        <v>34</v>
      </c>
      <c r="B1520" s="13">
        <v>45162</v>
      </c>
      <c r="C1520" s="14">
        <v>31.3</v>
      </c>
      <c r="D1520" s="14">
        <v>51</v>
      </c>
      <c r="E1520" s="14">
        <v>551</v>
      </c>
      <c r="F1520" s="14">
        <v>6.6</v>
      </c>
      <c r="G1520" s="14">
        <v>22</v>
      </c>
      <c r="H1520" s="14">
        <v>88.34</v>
      </c>
      <c r="I1520" s="15">
        <v>0.51</v>
      </c>
    </row>
    <row r="1521" spans="1:9" x14ac:dyDescent="0.25">
      <c r="A1521" s="12">
        <v>34</v>
      </c>
      <c r="B1521" s="13">
        <v>45163</v>
      </c>
      <c r="C1521" s="14">
        <v>31.4</v>
      </c>
      <c r="D1521" s="14">
        <v>50</v>
      </c>
      <c r="E1521" s="14">
        <v>546</v>
      </c>
      <c r="F1521" s="14">
        <v>6.4</v>
      </c>
      <c r="G1521" s="14">
        <v>23</v>
      </c>
      <c r="H1521" s="14">
        <v>88.52</v>
      </c>
      <c r="I1521" s="15">
        <v>0.5</v>
      </c>
    </row>
    <row r="1522" spans="1:9" x14ac:dyDescent="0.25">
      <c r="A1522" s="12">
        <v>34</v>
      </c>
      <c r="B1522" s="13">
        <v>45164</v>
      </c>
      <c r="C1522" s="14">
        <v>31.4</v>
      </c>
      <c r="D1522" s="14">
        <v>53</v>
      </c>
      <c r="E1522" s="14">
        <v>717</v>
      </c>
      <c r="F1522" s="14">
        <v>6.6</v>
      </c>
      <c r="G1522" s="14">
        <v>24</v>
      </c>
      <c r="H1522" s="14">
        <v>88.52</v>
      </c>
      <c r="I1522" s="15">
        <v>0.53</v>
      </c>
    </row>
    <row r="1523" spans="1:9" x14ac:dyDescent="0.25">
      <c r="A1523" s="12">
        <v>34</v>
      </c>
      <c r="B1523" s="13">
        <v>45165</v>
      </c>
      <c r="C1523" s="14">
        <v>30.1</v>
      </c>
      <c r="D1523" s="14">
        <v>57</v>
      </c>
      <c r="E1523" s="14">
        <v>643</v>
      </c>
      <c r="F1523" s="14">
        <v>6.4</v>
      </c>
      <c r="G1523" s="14">
        <v>25</v>
      </c>
      <c r="H1523" s="14">
        <v>86.18</v>
      </c>
      <c r="I1523" s="15">
        <v>0.56999999999999995</v>
      </c>
    </row>
    <row r="1524" spans="1:9" x14ac:dyDescent="0.25">
      <c r="A1524" s="12">
        <v>34</v>
      </c>
      <c r="B1524" s="13">
        <v>45166</v>
      </c>
      <c r="C1524" s="14">
        <v>29.4</v>
      </c>
      <c r="D1524" s="14">
        <v>63</v>
      </c>
      <c r="E1524" s="14">
        <v>782</v>
      </c>
      <c r="F1524" s="14">
        <v>6.3</v>
      </c>
      <c r="G1524" s="14">
        <v>26</v>
      </c>
      <c r="H1524" s="14">
        <v>84.92</v>
      </c>
      <c r="I1524" s="15">
        <v>0.63</v>
      </c>
    </row>
    <row r="1525" spans="1:9" x14ac:dyDescent="0.25">
      <c r="A1525" s="12">
        <v>34</v>
      </c>
      <c r="B1525" s="13">
        <v>45167</v>
      </c>
      <c r="C1525" s="14">
        <v>28.7</v>
      </c>
      <c r="D1525" s="14">
        <v>72</v>
      </c>
      <c r="E1525" s="14">
        <v>798</v>
      </c>
      <c r="F1525" s="14">
        <v>6.4</v>
      </c>
      <c r="G1525" s="14">
        <v>27</v>
      </c>
      <c r="H1525" s="14">
        <v>83.66</v>
      </c>
      <c r="I1525" s="15">
        <v>0.72</v>
      </c>
    </row>
    <row r="1526" spans="1:9" x14ac:dyDescent="0.25">
      <c r="A1526" s="12">
        <v>34</v>
      </c>
      <c r="B1526" s="13">
        <v>45168</v>
      </c>
      <c r="C1526" s="14">
        <v>29.1</v>
      </c>
      <c r="D1526" s="14">
        <v>74</v>
      </c>
      <c r="E1526" s="14">
        <v>544</v>
      </c>
      <c r="F1526" s="14">
        <v>6.6</v>
      </c>
      <c r="G1526" s="14">
        <v>28</v>
      </c>
      <c r="H1526" s="14">
        <v>84.38</v>
      </c>
      <c r="I1526" s="15">
        <v>0.74</v>
      </c>
    </row>
    <row r="1527" spans="1:9" x14ac:dyDescent="0.25">
      <c r="A1527" s="12">
        <v>34</v>
      </c>
      <c r="B1527" s="13">
        <v>45169</v>
      </c>
      <c r="C1527" s="14">
        <v>29.2</v>
      </c>
      <c r="D1527" s="14">
        <v>55</v>
      </c>
      <c r="E1527" s="14">
        <v>484</v>
      </c>
      <c r="F1527" s="14">
        <v>6.3</v>
      </c>
      <c r="G1527" s="14">
        <v>29</v>
      </c>
      <c r="H1527" s="14">
        <v>84.56</v>
      </c>
      <c r="I1527" s="15">
        <v>0.55000000000000004</v>
      </c>
    </row>
    <row r="1528" spans="1:9" x14ac:dyDescent="0.25">
      <c r="A1528" s="12">
        <v>34</v>
      </c>
      <c r="B1528" s="13">
        <v>45170</v>
      </c>
      <c r="C1528" s="14">
        <v>31.7</v>
      </c>
      <c r="D1528" s="14">
        <v>75</v>
      </c>
      <c r="E1528" s="14">
        <v>689</v>
      </c>
      <c r="F1528" s="14">
        <v>6.7</v>
      </c>
      <c r="G1528" s="14">
        <v>30</v>
      </c>
      <c r="H1528" s="14">
        <v>89.06</v>
      </c>
      <c r="I1528" s="15">
        <v>0.75</v>
      </c>
    </row>
    <row r="1529" spans="1:9" x14ac:dyDescent="0.25">
      <c r="A1529" s="12">
        <v>34</v>
      </c>
      <c r="B1529" s="13">
        <v>45171</v>
      </c>
      <c r="C1529" s="14">
        <v>31.7</v>
      </c>
      <c r="D1529" s="14">
        <v>68</v>
      </c>
      <c r="E1529" s="14">
        <v>597</v>
      </c>
      <c r="F1529" s="14">
        <v>6.7</v>
      </c>
      <c r="G1529" s="14">
        <v>31</v>
      </c>
      <c r="H1529" s="14">
        <v>89.06</v>
      </c>
      <c r="I1529" s="15">
        <v>0.68</v>
      </c>
    </row>
    <row r="1530" spans="1:9" x14ac:dyDescent="0.25">
      <c r="A1530" s="12">
        <v>34</v>
      </c>
      <c r="B1530" s="13">
        <v>45172</v>
      </c>
      <c r="C1530" s="14">
        <v>31.7</v>
      </c>
      <c r="D1530" s="14">
        <v>64</v>
      </c>
      <c r="E1530" s="14">
        <v>764</v>
      </c>
      <c r="F1530" s="14">
        <v>6.3</v>
      </c>
      <c r="G1530" s="14">
        <v>32</v>
      </c>
      <c r="H1530" s="14">
        <v>89.06</v>
      </c>
      <c r="I1530" s="15">
        <v>0.64</v>
      </c>
    </row>
    <row r="1531" spans="1:9" x14ac:dyDescent="0.25">
      <c r="A1531" s="12">
        <v>34</v>
      </c>
      <c r="B1531" s="13">
        <v>45173</v>
      </c>
      <c r="C1531" s="14">
        <v>31.7</v>
      </c>
      <c r="D1531" s="14">
        <v>52</v>
      </c>
      <c r="E1531" s="14">
        <v>756</v>
      </c>
      <c r="F1531" s="14">
        <v>6.3</v>
      </c>
      <c r="G1531" s="14">
        <v>33</v>
      </c>
      <c r="H1531" s="14">
        <v>89.06</v>
      </c>
      <c r="I1531" s="15">
        <v>0.52</v>
      </c>
    </row>
    <row r="1532" spans="1:9" x14ac:dyDescent="0.25">
      <c r="A1532" s="12">
        <v>34</v>
      </c>
      <c r="B1532" s="13">
        <v>45174</v>
      </c>
      <c r="C1532" s="14">
        <v>32</v>
      </c>
      <c r="D1532" s="14">
        <v>63</v>
      </c>
      <c r="E1532" s="14">
        <v>758</v>
      </c>
      <c r="F1532" s="14">
        <v>6.1</v>
      </c>
      <c r="G1532" s="14">
        <v>34</v>
      </c>
      <c r="H1532" s="14">
        <v>89.6</v>
      </c>
      <c r="I1532" s="15">
        <v>0.63</v>
      </c>
    </row>
    <row r="1533" spans="1:9" x14ac:dyDescent="0.25">
      <c r="A1533" s="12">
        <v>34</v>
      </c>
      <c r="B1533" s="13">
        <v>45175</v>
      </c>
      <c r="C1533" s="14">
        <v>32.1</v>
      </c>
      <c r="D1533" s="14">
        <v>54</v>
      </c>
      <c r="E1533" s="14">
        <v>435</v>
      </c>
      <c r="F1533" s="14">
        <v>6.2</v>
      </c>
      <c r="G1533" s="14">
        <v>35</v>
      </c>
      <c r="H1533" s="14">
        <v>89.78</v>
      </c>
      <c r="I1533" s="15">
        <v>0.54</v>
      </c>
    </row>
    <row r="1534" spans="1:9" x14ac:dyDescent="0.25">
      <c r="A1534" s="12">
        <v>34</v>
      </c>
      <c r="B1534" s="13">
        <v>45176</v>
      </c>
      <c r="C1534" s="14">
        <v>31.5</v>
      </c>
      <c r="D1534" s="14">
        <v>51</v>
      </c>
      <c r="E1534" s="14">
        <v>537</v>
      </c>
      <c r="F1534" s="14">
        <v>6.1</v>
      </c>
      <c r="G1534" s="14">
        <v>36</v>
      </c>
      <c r="H1534" s="14">
        <v>88.7</v>
      </c>
      <c r="I1534" s="15">
        <v>0.51</v>
      </c>
    </row>
    <row r="1535" spans="1:9" x14ac:dyDescent="0.25">
      <c r="A1535" s="12">
        <v>34</v>
      </c>
      <c r="B1535" s="13">
        <v>45177</v>
      </c>
      <c r="C1535" s="14">
        <v>29.8</v>
      </c>
      <c r="D1535" s="14">
        <v>56</v>
      </c>
      <c r="E1535" s="14">
        <v>661</v>
      </c>
      <c r="F1535" s="14">
        <v>6.1</v>
      </c>
      <c r="G1535" s="14">
        <v>37</v>
      </c>
      <c r="H1535" s="14">
        <v>85.64</v>
      </c>
      <c r="I1535" s="15">
        <v>0.56000000000000005</v>
      </c>
    </row>
    <row r="1536" spans="1:9" x14ac:dyDescent="0.25">
      <c r="A1536" s="12">
        <v>34</v>
      </c>
      <c r="B1536" s="13">
        <v>45178</v>
      </c>
      <c r="C1536" s="14">
        <v>20.100000000000001</v>
      </c>
      <c r="D1536" s="14">
        <v>60</v>
      </c>
      <c r="E1536" s="14">
        <v>560</v>
      </c>
      <c r="F1536" s="14">
        <v>6.4</v>
      </c>
      <c r="G1536" s="14">
        <v>38</v>
      </c>
      <c r="H1536" s="14">
        <v>68.180000000000007</v>
      </c>
      <c r="I1536" s="15">
        <v>0.6</v>
      </c>
    </row>
    <row r="1537" spans="1:9" x14ac:dyDescent="0.25">
      <c r="A1537" s="12">
        <v>34</v>
      </c>
      <c r="B1537" s="13">
        <v>45179</v>
      </c>
      <c r="C1537" s="14">
        <v>31.1</v>
      </c>
      <c r="D1537" s="14">
        <v>66</v>
      </c>
      <c r="E1537" s="14">
        <v>789</v>
      </c>
      <c r="F1537" s="14">
        <v>6.6</v>
      </c>
      <c r="G1537" s="14">
        <v>39</v>
      </c>
      <c r="H1537" s="14">
        <v>87.98</v>
      </c>
      <c r="I1537" s="15">
        <v>0.66</v>
      </c>
    </row>
    <row r="1538" spans="1:9" x14ac:dyDescent="0.25">
      <c r="A1538" s="12">
        <v>34</v>
      </c>
      <c r="B1538" s="13">
        <v>45180</v>
      </c>
      <c r="C1538" s="14">
        <v>31.2</v>
      </c>
      <c r="D1538" s="14">
        <v>66</v>
      </c>
      <c r="E1538" s="14">
        <v>623</v>
      </c>
      <c r="F1538" s="14">
        <v>6.1</v>
      </c>
      <c r="G1538" s="14">
        <v>40</v>
      </c>
      <c r="H1538" s="14">
        <v>88.16</v>
      </c>
      <c r="I1538" s="15">
        <v>0.66</v>
      </c>
    </row>
    <row r="1539" spans="1:9" x14ac:dyDescent="0.25">
      <c r="A1539" s="12">
        <v>34</v>
      </c>
      <c r="B1539" s="13">
        <v>45181</v>
      </c>
      <c r="C1539" s="14">
        <v>31.2</v>
      </c>
      <c r="D1539" s="14">
        <v>51</v>
      </c>
      <c r="E1539" s="14">
        <v>546</v>
      </c>
      <c r="F1539" s="14">
        <v>6.1</v>
      </c>
      <c r="G1539" s="14">
        <v>41</v>
      </c>
      <c r="H1539" s="14">
        <v>88.16</v>
      </c>
      <c r="I1539" s="15">
        <v>0.51</v>
      </c>
    </row>
    <row r="1540" spans="1:9" x14ac:dyDescent="0.25">
      <c r="A1540" s="12">
        <v>34</v>
      </c>
      <c r="B1540" s="13">
        <v>45182</v>
      </c>
      <c r="C1540" s="14">
        <v>30.4</v>
      </c>
      <c r="D1540" s="14">
        <v>69</v>
      </c>
      <c r="E1540" s="14">
        <v>535</v>
      </c>
      <c r="F1540" s="14">
        <v>6.3</v>
      </c>
      <c r="G1540" s="14">
        <v>42</v>
      </c>
      <c r="H1540" s="14">
        <v>86.72</v>
      </c>
      <c r="I1540" s="15">
        <v>0.69</v>
      </c>
    </row>
    <row r="1541" spans="1:9" x14ac:dyDescent="0.25">
      <c r="A1541" s="12">
        <v>34</v>
      </c>
      <c r="B1541" s="13">
        <v>45183</v>
      </c>
      <c r="C1541" s="14">
        <v>29.1</v>
      </c>
      <c r="D1541" s="14">
        <v>58</v>
      </c>
      <c r="E1541" s="14">
        <v>420</v>
      </c>
      <c r="F1541" s="14">
        <v>6.3</v>
      </c>
      <c r="G1541" s="14">
        <v>43</v>
      </c>
      <c r="H1541" s="14">
        <v>84.38</v>
      </c>
      <c r="I1541" s="15">
        <v>0.57999999999999996</v>
      </c>
    </row>
    <row r="1542" spans="1:9" x14ac:dyDescent="0.25">
      <c r="A1542" s="12">
        <v>34</v>
      </c>
      <c r="B1542" s="13">
        <v>45184</v>
      </c>
      <c r="C1542" s="14">
        <v>30.6</v>
      </c>
      <c r="D1542" s="14">
        <v>78</v>
      </c>
      <c r="E1542" s="14">
        <v>481</v>
      </c>
      <c r="F1542" s="14">
        <v>6.2</v>
      </c>
      <c r="G1542" s="14">
        <v>44</v>
      </c>
      <c r="H1542" s="14">
        <v>87.08</v>
      </c>
      <c r="I1542" s="15">
        <v>0.78</v>
      </c>
    </row>
    <row r="1543" spans="1:9" x14ac:dyDescent="0.25">
      <c r="A1543" s="12">
        <v>34</v>
      </c>
      <c r="B1543" s="13">
        <v>45185</v>
      </c>
      <c r="C1543" s="14">
        <v>31.5</v>
      </c>
      <c r="D1543" s="14">
        <v>73</v>
      </c>
      <c r="E1543" s="14">
        <v>596</v>
      </c>
      <c r="F1543" s="14">
        <v>6.6</v>
      </c>
      <c r="G1543" s="14">
        <v>45</v>
      </c>
      <c r="H1543" s="14">
        <v>88.7</v>
      </c>
      <c r="I1543" s="15">
        <v>0.73</v>
      </c>
    </row>
    <row r="1544" spans="1:9" x14ac:dyDescent="0.25">
      <c r="A1544" s="12">
        <v>35</v>
      </c>
      <c r="B1544" s="13">
        <v>45141</v>
      </c>
      <c r="C1544" s="14">
        <v>33.4</v>
      </c>
      <c r="D1544" s="14">
        <v>66</v>
      </c>
      <c r="E1544" s="14">
        <v>592</v>
      </c>
      <c r="F1544" s="14">
        <v>6.4</v>
      </c>
      <c r="G1544" s="14">
        <v>1</v>
      </c>
      <c r="H1544" s="14">
        <v>92.12</v>
      </c>
      <c r="I1544" s="15">
        <v>0.66</v>
      </c>
    </row>
    <row r="1545" spans="1:9" x14ac:dyDescent="0.25">
      <c r="A1545" s="12">
        <v>35</v>
      </c>
      <c r="B1545" s="13">
        <v>45142</v>
      </c>
      <c r="C1545" s="14">
        <v>33.5</v>
      </c>
      <c r="D1545" s="14">
        <v>52</v>
      </c>
      <c r="E1545" s="14">
        <v>586</v>
      </c>
      <c r="F1545" s="14">
        <v>6.7</v>
      </c>
      <c r="G1545" s="14">
        <v>2</v>
      </c>
      <c r="H1545" s="14">
        <v>92.3</v>
      </c>
      <c r="I1545" s="15">
        <v>0.52</v>
      </c>
    </row>
    <row r="1546" spans="1:9" x14ac:dyDescent="0.25">
      <c r="A1546" s="12">
        <v>35</v>
      </c>
      <c r="B1546" s="13">
        <v>45143</v>
      </c>
      <c r="C1546" s="14">
        <v>33.4</v>
      </c>
      <c r="D1546" s="14">
        <v>68</v>
      </c>
      <c r="E1546" s="14">
        <v>613</v>
      </c>
      <c r="F1546" s="14">
        <v>6.1</v>
      </c>
      <c r="G1546" s="14">
        <v>3</v>
      </c>
      <c r="H1546" s="14">
        <v>92.12</v>
      </c>
      <c r="I1546" s="15">
        <v>0.68</v>
      </c>
    </row>
    <row r="1547" spans="1:9" x14ac:dyDescent="0.25">
      <c r="A1547" s="12">
        <v>35</v>
      </c>
      <c r="B1547" s="13">
        <v>45144</v>
      </c>
      <c r="C1547" s="14">
        <v>33.4</v>
      </c>
      <c r="D1547" s="14">
        <v>51</v>
      </c>
      <c r="E1547" s="14">
        <v>754</v>
      </c>
      <c r="F1547" s="14">
        <v>6.5</v>
      </c>
      <c r="G1547" s="14">
        <v>4</v>
      </c>
      <c r="H1547" s="14">
        <v>92.12</v>
      </c>
      <c r="I1547" s="15">
        <v>0.51</v>
      </c>
    </row>
    <row r="1548" spans="1:9" x14ac:dyDescent="0.25">
      <c r="A1548" s="12">
        <v>35</v>
      </c>
      <c r="B1548" s="13">
        <v>45145</v>
      </c>
      <c r="C1548" s="14">
        <v>33.4</v>
      </c>
      <c r="D1548" s="14">
        <v>64</v>
      </c>
      <c r="E1548" s="14">
        <v>546</v>
      </c>
      <c r="F1548" s="14">
        <v>6.6</v>
      </c>
      <c r="G1548" s="14">
        <v>5</v>
      </c>
      <c r="H1548" s="14">
        <v>92.12</v>
      </c>
      <c r="I1548" s="15">
        <v>0.64</v>
      </c>
    </row>
    <row r="1549" spans="1:9" x14ac:dyDescent="0.25">
      <c r="A1549" s="12">
        <v>35</v>
      </c>
      <c r="B1549" s="13">
        <v>45146</v>
      </c>
      <c r="C1549" s="14">
        <v>32.299999999999997</v>
      </c>
      <c r="D1549" s="14">
        <v>56</v>
      </c>
      <c r="E1549" s="14">
        <v>619</v>
      </c>
      <c r="F1549" s="14">
        <v>6.4</v>
      </c>
      <c r="G1549" s="14">
        <v>6</v>
      </c>
      <c r="H1549" s="14">
        <v>90.14</v>
      </c>
      <c r="I1549" s="15">
        <v>0.56000000000000005</v>
      </c>
    </row>
    <row r="1550" spans="1:9" x14ac:dyDescent="0.25">
      <c r="A1550" s="12">
        <v>35</v>
      </c>
      <c r="B1550" s="13">
        <v>45147</v>
      </c>
      <c r="C1550" s="14">
        <v>32.299999999999997</v>
      </c>
      <c r="D1550" s="14">
        <v>79</v>
      </c>
      <c r="E1550" s="14">
        <v>747</v>
      </c>
      <c r="F1550" s="14">
        <v>6.7</v>
      </c>
      <c r="G1550" s="14">
        <v>7</v>
      </c>
      <c r="H1550" s="14">
        <v>90.14</v>
      </c>
      <c r="I1550" s="15">
        <v>0.79</v>
      </c>
    </row>
    <row r="1551" spans="1:9" x14ac:dyDescent="0.25">
      <c r="A1551" s="12">
        <v>35</v>
      </c>
      <c r="B1551" s="13">
        <v>45148</v>
      </c>
      <c r="C1551" s="14">
        <v>22.7</v>
      </c>
      <c r="D1551" s="14">
        <v>74</v>
      </c>
      <c r="E1551" s="14">
        <v>471</v>
      </c>
      <c r="F1551" s="14">
        <v>6.5</v>
      </c>
      <c r="G1551" s="14">
        <v>8</v>
      </c>
      <c r="H1551" s="14">
        <v>72.86</v>
      </c>
      <c r="I1551" s="15">
        <v>0.74</v>
      </c>
    </row>
    <row r="1552" spans="1:9" x14ac:dyDescent="0.25">
      <c r="A1552" s="12">
        <v>35</v>
      </c>
      <c r="B1552" s="13">
        <v>45149</v>
      </c>
      <c r="C1552" s="14">
        <v>31.9</v>
      </c>
      <c r="D1552" s="14">
        <v>68</v>
      </c>
      <c r="E1552" s="14">
        <v>561</v>
      </c>
      <c r="F1552" s="14">
        <v>6.3</v>
      </c>
      <c r="G1552" s="14">
        <v>9</v>
      </c>
      <c r="H1552" s="14">
        <v>89.42</v>
      </c>
      <c r="I1552" s="15">
        <v>0.68</v>
      </c>
    </row>
    <row r="1553" spans="1:9" x14ac:dyDescent="0.25">
      <c r="A1553" s="12">
        <v>35</v>
      </c>
      <c r="B1553" s="13">
        <v>45150</v>
      </c>
      <c r="C1553" s="14">
        <v>30.2</v>
      </c>
      <c r="D1553" s="14">
        <v>79</v>
      </c>
      <c r="E1553" s="14">
        <v>415</v>
      </c>
      <c r="F1553" s="14">
        <v>6</v>
      </c>
      <c r="G1553" s="14">
        <v>10</v>
      </c>
      <c r="H1553" s="14">
        <v>86.36</v>
      </c>
      <c r="I1553" s="15">
        <v>0.79</v>
      </c>
    </row>
    <row r="1554" spans="1:9" x14ac:dyDescent="0.25">
      <c r="A1554" s="12">
        <v>35</v>
      </c>
      <c r="B1554" s="13">
        <v>45151</v>
      </c>
      <c r="C1554" s="14">
        <v>30.1</v>
      </c>
      <c r="D1554" s="14">
        <v>72</v>
      </c>
      <c r="E1554" s="14">
        <v>752</v>
      </c>
      <c r="F1554" s="14">
        <v>6.4</v>
      </c>
      <c r="G1554" s="14">
        <v>11</v>
      </c>
      <c r="H1554" s="14">
        <v>86.18</v>
      </c>
      <c r="I1554" s="15">
        <v>0.72</v>
      </c>
    </row>
    <row r="1555" spans="1:9" x14ac:dyDescent="0.25">
      <c r="A1555" s="12">
        <v>35</v>
      </c>
      <c r="B1555" s="13">
        <v>45152</v>
      </c>
      <c r="C1555" s="14">
        <v>30.1</v>
      </c>
      <c r="D1555" s="14">
        <v>69</v>
      </c>
      <c r="E1555" s="14">
        <v>796</v>
      </c>
      <c r="F1555" s="14">
        <v>6.7</v>
      </c>
      <c r="G1555" s="14">
        <v>12</v>
      </c>
      <c r="H1555" s="14">
        <v>86.18</v>
      </c>
      <c r="I1555" s="15">
        <v>0.69</v>
      </c>
    </row>
    <row r="1556" spans="1:9" x14ac:dyDescent="0.25">
      <c r="A1556" s="12">
        <v>35</v>
      </c>
      <c r="B1556" s="13">
        <v>45153</v>
      </c>
      <c r="C1556" s="14">
        <v>30.1</v>
      </c>
      <c r="D1556" s="14">
        <v>56</v>
      </c>
      <c r="E1556" s="14">
        <v>495</v>
      </c>
      <c r="F1556" s="14">
        <v>6.5</v>
      </c>
      <c r="G1556" s="14">
        <v>13</v>
      </c>
      <c r="H1556" s="14">
        <v>86.18</v>
      </c>
      <c r="I1556" s="15">
        <v>0.56000000000000005</v>
      </c>
    </row>
    <row r="1557" spans="1:9" x14ac:dyDescent="0.25">
      <c r="A1557" s="12">
        <v>35</v>
      </c>
      <c r="B1557" s="13">
        <v>45154</v>
      </c>
      <c r="C1557" s="14">
        <v>29.8</v>
      </c>
      <c r="D1557" s="14">
        <v>59</v>
      </c>
      <c r="E1557" s="14">
        <v>720</v>
      </c>
      <c r="F1557" s="14">
        <v>6.2</v>
      </c>
      <c r="G1557" s="14">
        <v>14</v>
      </c>
      <c r="H1557" s="14">
        <v>85.64</v>
      </c>
      <c r="I1557" s="15">
        <v>0.59</v>
      </c>
    </row>
    <row r="1558" spans="1:9" x14ac:dyDescent="0.25">
      <c r="A1558" s="12">
        <v>35</v>
      </c>
      <c r="B1558" s="13">
        <v>45155</v>
      </c>
      <c r="C1558" s="14">
        <v>29.6</v>
      </c>
      <c r="D1558" s="14">
        <v>55</v>
      </c>
      <c r="E1558" s="14">
        <v>754</v>
      </c>
      <c r="F1558" s="14">
        <v>6.4</v>
      </c>
      <c r="G1558" s="14">
        <v>15</v>
      </c>
      <c r="H1558" s="14">
        <v>85.28</v>
      </c>
      <c r="I1558" s="15">
        <v>0.55000000000000004</v>
      </c>
    </row>
    <row r="1559" spans="1:9" x14ac:dyDescent="0.25">
      <c r="A1559" s="12">
        <v>35</v>
      </c>
      <c r="B1559" s="13">
        <v>45156</v>
      </c>
      <c r="C1559" s="14">
        <v>30.9</v>
      </c>
      <c r="D1559" s="14">
        <v>63</v>
      </c>
      <c r="E1559" s="14">
        <v>493</v>
      </c>
      <c r="F1559" s="14">
        <v>6.6</v>
      </c>
      <c r="G1559" s="14">
        <v>16</v>
      </c>
      <c r="H1559" s="14">
        <v>87.62</v>
      </c>
      <c r="I1559" s="15">
        <v>0.63</v>
      </c>
    </row>
    <row r="1560" spans="1:9" x14ac:dyDescent="0.25">
      <c r="A1560" s="12">
        <v>35</v>
      </c>
      <c r="B1560" s="13">
        <v>45157</v>
      </c>
      <c r="C1560" s="14">
        <v>30.8</v>
      </c>
      <c r="D1560" s="14">
        <v>63</v>
      </c>
      <c r="E1560" s="14">
        <v>565</v>
      </c>
      <c r="F1560" s="14">
        <v>6.3</v>
      </c>
      <c r="G1560" s="14">
        <v>17</v>
      </c>
      <c r="H1560" s="14">
        <v>87.44</v>
      </c>
      <c r="I1560" s="15">
        <v>0.63</v>
      </c>
    </row>
    <row r="1561" spans="1:9" x14ac:dyDescent="0.25">
      <c r="A1561" s="12">
        <v>35</v>
      </c>
      <c r="B1561" s="13">
        <v>45158</v>
      </c>
      <c r="C1561" s="14">
        <v>30.9</v>
      </c>
      <c r="D1561" s="14">
        <v>69</v>
      </c>
      <c r="E1561" s="14">
        <v>604</v>
      </c>
      <c r="F1561" s="14">
        <v>6.1</v>
      </c>
      <c r="G1561" s="14">
        <v>18</v>
      </c>
      <c r="H1561" s="14">
        <v>87.62</v>
      </c>
      <c r="I1561" s="15">
        <v>0.69</v>
      </c>
    </row>
    <row r="1562" spans="1:9" x14ac:dyDescent="0.25">
      <c r="A1562" s="12">
        <v>35</v>
      </c>
      <c r="B1562" s="13">
        <v>45159</v>
      </c>
      <c r="C1562" s="14">
        <v>30.2</v>
      </c>
      <c r="D1562" s="14">
        <v>60</v>
      </c>
      <c r="E1562" s="14">
        <v>781</v>
      </c>
      <c r="F1562" s="14">
        <v>6.2</v>
      </c>
      <c r="G1562" s="14">
        <v>19</v>
      </c>
      <c r="H1562" s="14">
        <v>86.36</v>
      </c>
      <c r="I1562" s="15">
        <v>0.6</v>
      </c>
    </row>
    <row r="1563" spans="1:9" x14ac:dyDescent="0.25">
      <c r="A1563" s="12">
        <v>35</v>
      </c>
      <c r="B1563" s="13">
        <v>45160</v>
      </c>
      <c r="C1563" s="14">
        <v>30.5</v>
      </c>
      <c r="D1563" s="14">
        <v>72</v>
      </c>
      <c r="E1563" s="14">
        <v>779</v>
      </c>
      <c r="F1563" s="14">
        <v>6.5</v>
      </c>
      <c r="G1563" s="14">
        <v>20</v>
      </c>
      <c r="H1563" s="14">
        <v>86.9</v>
      </c>
      <c r="I1563" s="15">
        <v>0.72</v>
      </c>
    </row>
    <row r="1564" spans="1:9" x14ac:dyDescent="0.25">
      <c r="A1564" s="12">
        <v>35</v>
      </c>
      <c r="B1564" s="13">
        <v>45161</v>
      </c>
      <c r="C1564" s="14">
        <v>30.8</v>
      </c>
      <c r="D1564" s="14">
        <v>66</v>
      </c>
      <c r="E1564" s="14">
        <v>725</v>
      </c>
      <c r="F1564" s="14">
        <v>6.1</v>
      </c>
      <c r="G1564" s="14">
        <v>21</v>
      </c>
      <c r="H1564" s="14">
        <v>87.44</v>
      </c>
      <c r="I1564" s="15">
        <v>0.66</v>
      </c>
    </row>
    <row r="1565" spans="1:9" x14ac:dyDescent="0.25">
      <c r="A1565" s="12">
        <v>35</v>
      </c>
      <c r="B1565" s="13">
        <v>45162</v>
      </c>
      <c r="C1565" s="14">
        <v>31.3</v>
      </c>
      <c r="D1565" s="14">
        <v>76</v>
      </c>
      <c r="E1565" s="14">
        <v>411</v>
      </c>
      <c r="F1565" s="14">
        <v>6.3</v>
      </c>
      <c r="G1565" s="14">
        <v>22</v>
      </c>
      <c r="H1565" s="14">
        <v>88.34</v>
      </c>
      <c r="I1565" s="15">
        <v>0.76</v>
      </c>
    </row>
    <row r="1566" spans="1:9" x14ac:dyDescent="0.25">
      <c r="A1566" s="12">
        <v>35</v>
      </c>
      <c r="B1566" s="13">
        <v>45163</v>
      </c>
      <c r="C1566" s="14">
        <v>31.4</v>
      </c>
      <c r="D1566" s="14">
        <v>76</v>
      </c>
      <c r="E1566" s="14">
        <v>400</v>
      </c>
      <c r="F1566" s="14">
        <v>6.3</v>
      </c>
      <c r="G1566" s="14">
        <v>23</v>
      </c>
      <c r="H1566" s="14">
        <v>88.52</v>
      </c>
      <c r="I1566" s="15">
        <v>0.76</v>
      </c>
    </row>
    <row r="1567" spans="1:9" x14ac:dyDescent="0.25">
      <c r="A1567" s="12">
        <v>35</v>
      </c>
      <c r="B1567" s="13">
        <v>45164</v>
      </c>
      <c r="C1567" s="14">
        <v>31.4</v>
      </c>
      <c r="D1567" s="14">
        <v>57</v>
      </c>
      <c r="E1567" s="14">
        <v>466</v>
      </c>
      <c r="F1567" s="14">
        <v>6.4</v>
      </c>
      <c r="G1567" s="14">
        <v>24</v>
      </c>
      <c r="H1567" s="14">
        <v>88.52</v>
      </c>
      <c r="I1567" s="15">
        <v>0.56999999999999995</v>
      </c>
    </row>
    <row r="1568" spans="1:9" x14ac:dyDescent="0.25">
      <c r="A1568" s="12">
        <v>35</v>
      </c>
      <c r="B1568" s="13">
        <v>45165</v>
      </c>
      <c r="C1568" s="14">
        <v>30.1</v>
      </c>
      <c r="D1568" s="14">
        <v>73</v>
      </c>
      <c r="E1568" s="14">
        <v>800</v>
      </c>
      <c r="F1568" s="14">
        <v>6.3</v>
      </c>
      <c r="G1568" s="14">
        <v>25</v>
      </c>
      <c r="H1568" s="14">
        <v>86.18</v>
      </c>
      <c r="I1568" s="15">
        <v>0.73</v>
      </c>
    </row>
    <row r="1569" spans="1:9" x14ac:dyDescent="0.25">
      <c r="A1569" s="12">
        <v>35</v>
      </c>
      <c r="B1569" s="13">
        <v>45166</v>
      </c>
      <c r="C1569" s="14">
        <v>29.4</v>
      </c>
      <c r="D1569" s="14">
        <v>72</v>
      </c>
      <c r="E1569" s="14">
        <v>740</v>
      </c>
      <c r="F1569" s="14">
        <v>6.3</v>
      </c>
      <c r="G1569" s="14">
        <v>26</v>
      </c>
      <c r="H1569" s="14">
        <v>84.92</v>
      </c>
      <c r="I1569" s="15">
        <v>0.72</v>
      </c>
    </row>
    <row r="1570" spans="1:9" x14ac:dyDescent="0.25">
      <c r="A1570" s="12">
        <v>35</v>
      </c>
      <c r="B1570" s="13">
        <v>45167</v>
      </c>
      <c r="C1570" s="14">
        <v>28.7</v>
      </c>
      <c r="D1570" s="14">
        <v>77</v>
      </c>
      <c r="E1570" s="14">
        <v>554</v>
      </c>
      <c r="F1570" s="14">
        <v>6.5</v>
      </c>
      <c r="G1570" s="14">
        <v>27</v>
      </c>
      <c r="H1570" s="14">
        <v>83.66</v>
      </c>
      <c r="I1570" s="15">
        <v>0.77</v>
      </c>
    </row>
    <row r="1571" spans="1:9" x14ac:dyDescent="0.25">
      <c r="A1571" s="12">
        <v>35</v>
      </c>
      <c r="B1571" s="13">
        <v>45168</v>
      </c>
      <c r="C1571" s="14">
        <v>29.1</v>
      </c>
      <c r="D1571" s="14">
        <v>63</v>
      </c>
      <c r="E1571" s="14">
        <v>440</v>
      </c>
      <c r="F1571" s="14">
        <v>6.5</v>
      </c>
      <c r="G1571" s="14">
        <v>28</v>
      </c>
      <c r="H1571" s="14">
        <v>84.38</v>
      </c>
      <c r="I1571" s="15">
        <v>0.63</v>
      </c>
    </row>
    <row r="1572" spans="1:9" x14ac:dyDescent="0.25">
      <c r="A1572" s="12">
        <v>35</v>
      </c>
      <c r="B1572" s="13">
        <v>45169</v>
      </c>
      <c r="C1572" s="14">
        <v>29.2</v>
      </c>
      <c r="D1572" s="14">
        <v>61</v>
      </c>
      <c r="E1572" s="14">
        <v>748</v>
      </c>
      <c r="F1572" s="14">
        <v>6.4</v>
      </c>
      <c r="G1572" s="14">
        <v>29</v>
      </c>
      <c r="H1572" s="14">
        <v>84.56</v>
      </c>
      <c r="I1572" s="15">
        <v>0.61</v>
      </c>
    </row>
    <row r="1573" spans="1:9" x14ac:dyDescent="0.25">
      <c r="A1573" s="12">
        <v>35</v>
      </c>
      <c r="B1573" s="13">
        <v>45170</v>
      </c>
      <c r="C1573" s="14">
        <v>31.7</v>
      </c>
      <c r="D1573" s="14">
        <v>72</v>
      </c>
      <c r="E1573" s="14">
        <v>763</v>
      </c>
      <c r="F1573" s="14">
        <v>6.6</v>
      </c>
      <c r="G1573" s="14">
        <v>30</v>
      </c>
      <c r="H1573" s="14">
        <v>89.06</v>
      </c>
      <c r="I1573" s="15">
        <v>0.72</v>
      </c>
    </row>
    <row r="1574" spans="1:9" x14ac:dyDescent="0.25">
      <c r="A1574" s="12">
        <v>35</v>
      </c>
      <c r="B1574" s="13">
        <v>45171</v>
      </c>
      <c r="C1574" s="14">
        <v>31.7</v>
      </c>
      <c r="D1574" s="14">
        <v>65</v>
      </c>
      <c r="E1574" s="14">
        <v>473</v>
      </c>
      <c r="F1574" s="14">
        <v>6.8</v>
      </c>
      <c r="G1574" s="14">
        <v>31</v>
      </c>
      <c r="H1574" s="14">
        <v>89.06</v>
      </c>
      <c r="I1574" s="15">
        <v>0.65</v>
      </c>
    </row>
    <row r="1575" spans="1:9" x14ac:dyDescent="0.25">
      <c r="A1575" s="12">
        <v>35</v>
      </c>
      <c r="B1575" s="13">
        <v>45172</v>
      </c>
      <c r="C1575" s="14">
        <v>31.7</v>
      </c>
      <c r="D1575" s="14">
        <v>60</v>
      </c>
      <c r="E1575" s="14">
        <v>703</v>
      </c>
      <c r="F1575" s="14">
        <v>6.4</v>
      </c>
      <c r="G1575" s="14">
        <v>32</v>
      </c>
      <c r="H1575" s="14">
        <v>89.06</v>
      </c>
      <c r="I1575" s="15">
        <v>0.6</v>
      </c>
    </row>
    <row r="1576" spans="1:9" x14ac:dyDescent="0.25">
      <c r="A1576" s="12">
        <v>35</v>
      </c>
      <c r="B1576" s="13">
        <v>45173</v>
      </c>
      <c r="C1576" s="14">
        <v>31.7</v>
      </c>
      <c r="D1576" s="14">
        <v>60</v>
      </c>
      <c r="E1576" s="14">
        <v>495</v>
      </c>
      <c r="F1576" s="14">
        <v>6.5</v>
      </c>
      <c r="G1576" s="14">
        <v>33</v>
      </c>
      <c r="H1576" s="14">
        <v>89.06</v>
      </c>
      <c r="I1576" s="15">
        <v>0.6</v>
      </c>
    </row>
    <row r="1577" spans="1:9" x14ac:dyDescent="0.25">
      <c r="A1577" s="12">
        <v>35</v>
      </c>
      <c r="B1577" s="13">
        <v>45174</v>
      </c>
      <c r="C1577" s="14">
        <v>32</v>
      </c>
      <c r="D1577" s="14">
        <v>70</v>
      </c>
      <c r="E1577" s="14">
        <v>787</v>
      </c>
      <c r="F1577" s="14">
        <v>6.4</v>
      </c>
      <c r="G1577" s="14">
        <v>34</v>
      </c>
      <c r="H1577" s="14">
        <v>89.6</v>
      </c>
      <c r="I1577" s="15">
        <v>0.7</v>
      </c>
    </row>
    <row r="1578" spans="1:9" x14ac:dyDescent="0.25">
      <c r="A1578" s="12">
        <v>35</v>
      </c>
      <c r="B1578" s="13">
        <v>45175</v>
      </c>
      <c r="C1578" s="14">
        <v>32.1</v>
      </c>
      <c r="D1578" s="14">
        <v>63</v>
      </c>
      <c r="E1578" s="14">
        <v>696</v>
      </c>
      <c r="F1578" s="14">
        <v>6.7</v>
      </c>
      <c r="G1578" s="14">
        <v>35</v>
      </c>
      <c r="H1578" s="14">
        <v>89.78</v>
      </c>
      <c r="I1578" s="15">
        <v>0.63</v>
      </c>
    </row>
    <row r="1579" spans="1:9" x14ac:dyDescent="0.25">
      <c r="A1579" s="12">
        <v>35</v>
      </c>
      <c r="B1579" s="13">
        <v>45176</v>
      </c>
      <c r="C1579" s="14">
        <v>31.5</v>
      </c>
      <c r="D1579" s="14">
        <v>72</v>
      </c>
      <c r="E1579" s="14">
        <v>621</v>
      </c>
      <c r="F1579" s="14">
        <v>6.1</v>
      </c>
      <c r="G1579" s="14">
        <v>36</v>
      </c>
      <c r="H1579" s="14">
        <v>88.7</v>
      </c>
      <c r="I1579" s="15">
        <v>0.72</v>
      </c>
    </row>
    <row r="1580" spans="1:9" x14ac:dyDescent="0.25">
      <c r="A1580" s="12">
        <v>35</v>
      </c>
      <c r="B1580" s="13">
        <v>45177</v>
      </c>
      <c r="C1580" s="14">
        <v>29.8</v>
      </c>
      <c r="D1580" s="14">
        <v>75</v>
      </c>
      <c r="E1580" s="14">
        <v>544</v>
      </c>
      <c r="F1580" s="14">
        <v>6.7</v>
      </c>
      <c r="G1580" s="14">
        <v>37</v>
      </c>
      <c r="H1580" s="14">
        <v>85.64</v>
      </c>
      <c r="I1580" s="15">
        <v>0.75</v>
      </c>
    </row>
    <row r="1581" spans="1:9" x14ac:dyDescent="0.25">
      <c r="A1581" s="12">
        <v>35</v>
      </c>
      <c r="B1581" s="13">
        <v>45178</v>
      </c>
      <c r="C1581" s="14">
        <v>20.100000000000001</v>
      </c>
      <c r="D1581" s="14">
        <v>50</v>
      </c>
      <c r="E1581" s="14">
        <v>423</v>
      </c>
      <c r="F1581" s="14">
        <v>6.3</v>
      </c>
      <c r="G1581" s="14">
        <v>38</v>
      </c>
      <c r="H1581" s="14">
        <v>68.180000000000007</v>
      </c>
      <c r="I1581" s="15">
        <v>0.5</v>
      </c>
    </row>
    <row r="1582" spans="1:9" x14ac:dyDescent="0.25">
      <c r="A1582" s="12">
        <v>35</v>
      </c>
      <c r="B1582" s="13">
        <v>45179</v>
      </c>
      <c r="C1582" s="14">
        <v>31.1</v>
      </c>
      <c r="D1582" s="14">
        <v>79</v>
      </c>
      <c r="E1582" s="14">
        <v>642</v>
      </c>
      <c r="F1582" s="14">
        <v>6</v>
      </c>
      <c r="G1582" s="14">
        <v>39</v>
      </c>
      <c r="H1582" s="14">
        <v>87.98</v>
      </c>
      <c r="I1582" s="15">
        <v>0.79</v>
      </c>
    </row>
    <row r="1583" spans="1:9" x14ac:dyDescent="0.25">
      <c r="A1583" s="12">
        <v>35</v>
      </c>
      <c r="B1583" s="13">
        <v>45180</v>
      </c>
      <c r="C1583" s="14">
        <v>31.2</v>
      </c>
      <c r="D1583" s="14">
        <v>51</v>
      </c>
      <c r="E1583" s="14">
        <v>566</v>
      </c>
      <c r="F1583" s="14">
        <v>6</v>
      </c>
      <c r="G1583" s="14">
        <v>40</v>
      </c>
      <c r="H1583" s="14">
        <v>88.16</v>
      </c>
      <c r="I1583" s="15">
        <v>0.51</v>
      </c>
    </row>
    <row r="1584" spans="1:9" x14ac:dyDescent="0.25">
      <c r="A1584" s="12">
        <v>35</v>
      </c>
      <c r="B1584" s="13">
        <v>45181</v>
      </c>
      <c r="C1584" s="14">
        <v>31.2</v>
      </c>
      <c r="D1584" s="14">
        <v>75</v>
      </c>
      <c r="E1584" s="14">
        <v>419</v>
      </c>
      <c r="F1584" s="14">
        <v>6.1</v>
      </c>
      <c r="G1584" s="14">
        <v>41</v>
      </c>
      <c r="H1584" s="14">
        <v>88.16</v>
      </c>
      <c r="I1584" s="15">
        <v>0.75</v>
      </c>
    </row>
    <row r="1585" spans="1:9" x14ac:dyDescent="0.25">
      <c r="A1585" s="12">
        <v>35</v>
      </c>
      <c r="B1585" s="13">
        <v>45182</v>
      </c>
      <c r="C1585" s="14">
        <v>30.4</v>
      </c>
      <c r="D1585" s="14">
        <v>70</v>
      </c>
      <c r="E1585" s="14">
        <v>627</v>
      </c>
      <c r="F1585" s="14">
        <v>6.8</v>
      </c>
      <c r="G1585" s="14">
        <v>42</v>
      </c>
      <c r="H1585" s="14">
        <v>86.72</v>
      </c>
      <c r="I1585" s="15">
        <v>0.7</v>
      </c>
    </row>
    <row r="1586" spans="1:9" x14ac:dyDescent="0.25">
      <c r="A1586" s="12">
        <v>35</v>
      </c>
      <c r="B1586" s="13">
        <v>45183</v>
      </c>
      <c r="C1586" s="14">
        <v>29.1</v>
      </c>
      <c r="D1586" s="14">
        <v>53</v>
      </c>
      <c r="E1586" s="14">
        <v>757</v>
      </c>
      <c r="F1586" s="14">
        <v>6.1</v>
      </c>
      <c r="G1586" s="14">
        <v>43</v>
      </c>
      <c r="H1586" s="14">
        <v>84.38</v>
      </c>
      <c r="I1586" s="15">
        <v>0.53</v>
      </c>
    </row>
    <row r="1587" spans="1:9" x14ac:dyDescent="0.25">
      <c r="A1587" s="12">
        <v>35</v>
      </c>
      <c r="B1587" s="13">
        <v>45184</v>
      </c>
      <c r="C1587" s="14">
        <v>30.6</v>
      </c>
      <c r="D1587" s="14">
        <v>59</v>
      </c>
      <c r="E1587" s="14">
        <v>404</v>
      </c>
      <c r="F1587" s="14">
        <v>6.1</v>
      </c>
      <c r="G1587" s="14">
        <v>44</v>
      </c>
      <c r="H1587" s="14">
        <v>87.08</v>
      </c>
      <c r="I1587" s="15">
        <v>0.59</v>
      </c>
    </row>
    <row r="1588" spans="1:9" x14ac:dyDescent="0.25">
      <c r="A1588" s="12">
        <v>35</v>
      </c>
      <c r="B1588" s="13">
        <v>45185</v>
      </c>
      <c r="C1588" s="14">
        <v>31.5</v>
      </c>
      <c r="D1588" s="14">
        <v>78</v>
      </c>
      <c r="E1588" s="14">
        <v>469</v>
      </c>
      <c r="F1588" s="14">
        <v>6.2</v>
      </c>
      <c r="G1588" s="14">
        <v>45</v>
      </c>
      <c r="H1588" s="14">
        <v>88.7</v>
      </c>
      <c r="I1588" s="15">
        <v>0.78</v>
      </c>
    </row>
    <row r="1589" spans="1:9" x14ac:dyDescent="0.25">
      <c r="A1589" s="12">
        <v>36</v>
      </c>
      <c r="B1589" s="13">
        <v>45141</v>
      </c>
      <c r="C1589" s="14">
        <v>33.4</v>
      </c>
      <c r="D1589" s="14">
        <v>68</v>
      </c>
      <c r="E1589" s="14">
        <v>744</v>
      </c>
      <c r="F1589" s="14">
        <v>6.4</v>
      </c>
      <c r="G1589" s="14">
        <v>1</v>
      </c>
      <c r="H1589" s="14">
        <v>92.12</v>
      </c>
      <c r="I1589" s="15">
        <v>0.68</v>
      </c>
    </row>
    <row r="1590" spans="1:9" x14ac:dyDescent="0.25">
      <c r="A1590" s="12">
        <v>36</v>
      </c>
      <c r="B1590" s="13">
        <v>45142</v>
      </c>
      <c r="C1590" s="14">
        <v>33.5</v>
      </c>
      <c r="D1590" s="14">
        <v>79</v>
      </c>
      <c r="E1590" s="14">
        <v>799</v>
      </c>
      <c r="F1590" s="14">
        <v>6.6</v>
      </c>
      <c r="G1590" s="14">
        <v>2</v>
      </c>
      <c r="H1590" s="14">
        <v>92.3</v>
      </c>
      <c r="I1590" s="15">
        <v>0.79</v>
      </c>
    </row>
    <row r="1591" spans="1:9" x14ac:dyDescent="0.25">
      <c r="A1591" s="12">
        <v>36</v>
      </c>
      <c r="B1591" s="13">
        <v>45143</v>
      </c>
      <c r="C1591" s="14">
        <v>33.4</v>
      </c>
      <c r="D1591" s="14">
        <v>51</v>
      </c>
      <c r="E1591" s="14">
        <v>487</v>
      </c>
      <c r="F1591" s="14">
        <v>6.1</v>
      </c>
      <c r="G1591" s="14">
        <v>3</v>
      </c>
      <c r="H1591" s="14">
        <v>92.12</v>
      </c>
      <c r="I1591" s="15">
        <v>0.51</v>
      </c>
    </row>
    <row r="1592" spans="1:9" x14ac:dyDescent="0.25">
      <c r="A1592" s="12">
        <v>36</v>
      </c>
      <c r="B1592" s="13">
        <v>45144</v>
      </c>
      <c r="C1592" s="14">
        <v>33.4</v>
      </c>
      <c r="D1592" s="14">
        <v>65</v>
      </c>
      <c r="E1592" s="14">
        <v>665</v>
      </c>
      <c r="F1592" s="14">
        <v>6</v>
      </c>
      <c r="G1592" s="14">
        <v>4</v>
      </c>
      <c r="H1592" s="14">
        <v>92.12</v>
      </c>
      <c r="I1592" s="15">
        <v>0.65</v>
      </c>
    </row>
    <row r="1593" spans="1:9" x14ac:dyDescent="0.25">
      <c r="A1593" s="12">
        <v>36</v>
      </c>
      <c r="B1593" s="13">
        <v>45145</v>
      </c>
      <c r="C1593" s="14">
        <v>33.4</v>
      </c>
      <c r="D1593" s="14">
        <v>74</v>
      </c>
      <c r="E1593" s="14">
        <v>796</v>
      </c>
      <c r="F1593" s="14">
        <v>6.4</v>
      </c>
      <c r="G1593" s="14">
        <v>5</v>
      </c>
      <c r="H1593" s="14">
        <v>92.12</v>
      </c>
      <c r="I1593" s="15">
        <v>0.74</v>
      </c>
    </row>
    <row r="1594" spans="1:9" x14ac:dyDescent="0.25">
      <c r="A1594" s="12">
        <v>36</v>
      </c>
      <c r="B1594" s="13">
        <v>45146</v>
      </c>
      <c r="C1594" s="14">
        <v>32.299999999999997</v>
      </c>
      <c r="D1594" s="14">
        <v>63</v>
      </c>
      <c r="E1594" s="14">
        <v>467</v>
      </c>
      <c r="F1594" s="14">
        <v>6.8</v>
      </c>
      <c r="G1594" s="14">
        <v>6</v>
      </c>
      <c r="H1594" s="14">
        <v>90.14</v>
      </c>
      <c r="I1594" s="15">
        <v>0.63</v>
      </c>
    </row>
    <row r="1595" spans="1:9" x14ac:dyDescent="0.25">
      <c r="A1595" s="12">
        <v>36</v>
      </c>
      <c r="B1595" s="13">
        <v>45147</v>
      </c>
      <c r="C1595" s="14">
        <v>32.299999999999997</v>
      </c>
      <c r="D1595" s="14">
        <v>76</v>
      </c>
      <c r="E1595" s="14">
        <v>748</v>
      </c>
      <c r="F1595" s="14">
        <v>6.8</v>
      </c>
      <c r="G1595" s="14">
        <v>7</v>
      </c>
      <c r="H1595" s="14">
        <v>90.14</v>
      </c>
      <c r="I1595" s="15">
        <v>0.76</v>
      </c>
    </row>
    <row r="1596" spans="1:9" x14ac:dyDescent="0.25">
      <c r="A1596" s="12">
        <v>36</v>
      </c>
      <c r="B1596" s="13">
        <v>45148</v>
      </c>
      <c r="C1596" s="14">
        <v>22.7</v>
      </c>
      <c r="D1596" s="14">
        <v>59</v>
      </c>
      <c r="E1596" s="14">
        <v>795</v>
      </c>
      <c r="F1596" s="14">
        <v>6.2</v>
      </c>
      <c r="G1596" s="14">
        <v>8</v>
      </c>
      <c r="H1596" s="14">
        <v>72.86</v>
      </c>
      <c r="I1596" s="15">
        <v>0.59</v>
      </c>
    </row>
    <row r="1597" spans="1:9" x14ac:dyDescent="0.25">
      <c r="A1597" s="12">
        <v>36</v>
      </c>
      <c r="B1597" s="13">
        <v>45149</v>
      </c>
      <c r="C1597" s="14">
        <v>31.9</v>
      </c>
      <c r="D1597" s="14">
        <v>67</v>
      </c>
      <c r="E1597" s="14">
        <v>702</v>
      </c>
      <c r="F1597" s="14">
        <v>6.1</v>
      </c>
      <c r="G1597" s="14">
        <v>9</v>
      </c>
      <c r="H1597" s="14">
        <v>89.42</v>
      </c>
      <c r="I1597" s="15">
        <v>0.67</v>
      </c>
    </row>
    <row r="1598" spans="1:9" x14ac:dyDescent="0.25">
      <c r="A1598" s="12">
        <v>36</v>
      </c>
      <c r="B1598" s="13">
        <v>45150</v>
      </c>
      <c r="C1598" s="14">
        <v>30.2</v>
      </c>
      <c r="D1598" s="14">
        <v>72</v>
      </c>
      <c r="E1598" s="14">
        <v>643</v>
      </c>
      <c r="F1598" s="14">
        <v>6</v>
      </c>
      <c r="G1598" s="14">
        <v>10</v>
      </c>
      <c r="H1598" s="14">
        <v>86.36</v>
      </c>
      <c r="I1598" s="15">
        <v>0.72</v>
      </c>
    </row>
    <row r="1599" spans="1:9" x14ac:dyDescent="0.25">
      <c r="A1599" s="12">
        <v>36</v>
      </c>
      <c r="B1599" s="13">
        <v>45151</v>
      </c>
      <c r="C1599" s="14">
        <v>30.1</v>
      </c>
      <c r="D1599" s="14">
        <v>64</v>
      </c>
      <c r="E1599" s="14">
        <v>442</v>
      </c>
      <c r="F1599" s="14">
        <v>6.2</v>
      </c>
      <c r="G1599" s="14">
        <v>11</v>
      </c>
      <c r="H1599" s="14">
        <v>86.18</v>
      </c>
      <c r="I1599" s="15">
        <v>0.64</v>
      </c>
    </row>
    <row r="1600" spans="1:9" x14ac:dyDescent="0.25">
      <c r="A1600" s="12">
        <v>36</v>
      </c>
      <c r="B1600" s="13">
        <v>45152</v>
      </c>
      <c r="C1600" s="14">
        <v>30.1</v>
      </c>
      <c r="D1600" s="14">
        <v>65</v>
      </c>
      <c r="E1600" s="14">
        <v>639</v>
      </c>
      <c r="F1600" s="14">
        <v>6.6</v>
      </c>
      <c r="G1600" s="14">
        <v>12</v>
      </c>
      <c r="H1600" s="14">
        <v>86.18</v>
      </c>
      <c r="I1600" s="15">
        <v>0.65</v>
      </c>
    </row>
    <row r="1601" spans="1:9" x14ac:dyDescent="0.25">
      <c r="A1601" s="12">
        <v>36</v>
      </c>
      <c r="B1601" s="13">
        <v>45153</v>
      </c>
      <c r="C1601" s="14">
        <v>30.1</v>
      </c>
      <c r="D1601" s="14">
        <v>78</v>
      </c>
      <c r="E1601" s="14">
        <v>620</v>
      </c>
      <c r="F1601" s="14">
        <v>6.1</v>
      </c>
      <c r="G1601" s="14">
        <v>13</v>
      </c>
      <c r="H1601" s="14">
        <v>86.18</v>
      </c>
      <c r="I1601" s="15">
        <v>0.78</v>
      </c>
    </row>
    <row r="1602" spans="1:9" x14ac:dyDescent="0.25">
      <c r="A1602" s="12">
        <v>36</v>
      </c>
      <c r="B1602" s="13">
        <v>45154</v>
      </c>
      <c r="C1602" s="14">
        <v>29.8</v>
      </c>
      <c r="D1602" s="14">
        <v>55</v>
      </c>
      <c r="E1602" s="14">
        <v>508</v>
      </c>
      <c r="F1602" s="14">
        <v>6.7</v>
      </c>
      <c r="G1602" s="14">
        <v>14</v>
      </c>
      <c r="H1602" s="14">
        <v>85.64</v>
      </c>
      <c r="I1602" s="15">
        <v>0.55000000000000004</v>
      </c>
    </row>
    <row r="1603" spans="1:9" x14ac:dyDescent="0.25">
      <c r="A1603" s="12">
        <v>36</v>
      </c>
      <c r="B1603" s="13">
        <v>45155</v>
      </c>
      <c r="C1603" s="14">
        <v>29.6</v>
      </c>
      <c r="D1603" s="14">
        <v>79</v>
      </c>
      <c r="E1603" s="14">
        <v>764</v>
      </c>
      <c r="F1603" s="14">
        <v>6.3</v>
      </c>
      <c r="G1603" s="14">
        <v>15</v>
      </c>
      <c r="H1603" s="14">
        <v>85.28</v>
      </c>
      <c r="I1603" s="15">
        <v>0.79</v>
      </c>
    </row>
    <row r="1604" spans="1:9" x14ac:dyDescent="0.25">
      <c r="A1604" s="12">
        <v>36</v>
      </c>
      <c r="B1604" s="13">
        <v>45156</v>
      </c>
      <c r="C1604" s="14">
        <v>30.9</v>
      </c>
      <c r="D1604" s="14">
        <v>57</v>
      </c>
      <c r="E1604" s="14">
        <v>569</v>
      </c>
      <c r="F1604" s="14">
        <v>6.2</v>
      </c>
      <c r="G1604" s="14">
        <v>16</v>
      </c>
      <c r="H1604" s="14">
        <v>87.62</v>
      </c>
      <c r="I1604" s="15">
        <v>0.56999999999999995</v>
      </c>
    </row>
    <row r="1605" spans="1:9" x14ac:dyDescent="0.25">
      <c r="A1605" s="12">
        <v>36</v>
      </c>
      <c r="B1605" s="13">
        <v>45157</v>
      </c>
      <c r="C1605" s="14">
        <v>30.8</v>
      </c>
      <c r="D1605" s="14">
        <v>80</v>
      </c>
      <c r="E1605" s="14">
        <v>509</v>
      </c>
      <c r="F1605" s="14">
        <v>6.6</v>
      </c>
      <c r="G1605" s="14">
        <v>17</v>
      </c>
      <c r="H1605" s="14">
        <v>87.44</v>
      </c>
      <c r="I1605" s="15">
        <v>0.8</v>
      </c>
    </row>
    <row r="1606" spans="1:9" x14ac:dyDescent="0.25">
      <c r="A1606" s="12">
        <v>36</v>
      </c>
      <c r="B1606" s="13">
        <v>45158</v>
      </c>
      <c r="C1606" s="14">
        <v>30.9</v>
      </c>
      <c r="D1606" s="14">
        <v>50</v>
      </c>
      <c r="E1606" s="14">
        <v>409</v>
      </c>
      <c r="F1606" s="14">
        <v>6.2</v>
      </c>
      <c r="G1606" s="14">
        <v>18</v>
      </c>
      <c r="H1606" s="14">
        <v>87.62</v>
      </c>
      <c r="I1606" s="15">
        <v>0.5</v>
      </c>
    </row>
    <row r="1607" spans="1:9" x14ac:dyDescent="0.25">
      <c r="A1607" s="12">
        <v>36</v>
      </c>
      <c r="B1607" s="13">
        <v>45159</v>
      </c>
      <c r="C1607" s="14">
        <v>30.2</v>
      </c>
      <c r="D1607" s="14">
        <v>55</v>
      </c>
      <c r="E1607" s="14">
        <v>492</v>
      </c>
      <c r="F1607" s="14">
        <v>6.3</v>
      </c>
      <c r="G1607" s="14">
        <v>19</v>
      </c>
      <c r="H1607" s="14">
        <v>86.36</v>
      </c>
      <c r="I1607" s="15">
        <v>0.55000000000000004</v>
      </c>
    </row>
    <row r="1608" spans="1:9" x14ac:dyDescent="0.25">
      <c r="A1608" s="12">
        <v>36</v>
      </c>
      <c r="B1608" s="13">
        <v>45160</v>
      </c>
      <c r="C1608" s="14">
        <v>30.5</v>
      </c>
      <c r="D1608" s="14">
        <v>65</v>
      </c>
      <c r="E1608" s="14">
        <v>634</v>
      </c>
      <c r="F1608" s="14">
        <v>6.1</v>
      </c>
      <c r="G1608" s="14">
        <v>20</v>
      </c>
      <c r="H1608" s="14">
        <v>86.9</v>
      </c>
      <c r="I1608" s="15">
        <v>0.65</v>
      </c>
    </row>
    <row r="1609" spans="1:9" x14ac:dyDescent="0.25">
      <c r="A1609" s="12">
        <v>36</v>
      </c>
      <c r="B1609" s="13">
        <v>45161</v>
      </c>
      <c r="C1609" s="14">
        <v>30.8</v>
      </c>
      <c r="D1609" s="14">
        <v>67</v>
      </c>
      <c r="E1609" s="14">
        <v>620</v>
      </c>
      <c r="F1609" s="14">
        <v>6.2</v>
      </c>
      <c r="G1609" s="14">
        <v>21</v>
      </c>
      <c r="H1609" s="14">
        <v>87.44</v>
      </c>
      <c r="I1609" s="15">
        <v>0.67</v>
      </c>
    </row>
    <row r="1610" spans="1:9" x14ac:dyDescent="0.25">
      <c r="A1610" s="12">
        <v>36</v>
      </c>
      <c r="B1610" s="13">
        <v>45162</v>
      </c>
      <c r="C1610" s="14">
        <v>31.3</v>
      </c>
      <c r="D1610" s="14">
        <v>67</v>
      </c>
      <c r="E1610" s="14">
        <v>570</v>
      </c>
      <c r="F1610" s="14">
        <v>6.5</v>
      </c>
      <c r="G1610" s="14">
        <v>22</v>
      </c>
      <c r="H1610" s="14">
        <v>88.34</v>
      </c>
      <c r="I1610" s="15">
        <v>0.67</v>
      </c>
    </row>
    <row r="1611" spans="1:9" x14ac:dyDescent="0.25">
      <c r="A1611" s="12">
        <v>36</v>
      </c>
      <c r="B1611" s="13">
        <v>45163</v>
      </c>
      <c r="C1611" s="14">
        <v>31.4</v>
      </c>
      <c r="D1611" s="14">
        <v>59</v>
      </c>
      <c r="E1611" s="14">
        <v>548</v>
      </c>
      <c r="F1611" s="14">
        <v>6.6</v>
      </c>
      <c r="G1611" s="14">
        <v>23</v>
      </c>
      <c r="H1611" s="14">
        <v>88.52</v>
      </c>
      <c r="I1611" s="15">
        <v>0.59</v>
      </c>
    </row>
    <row r="1612" spans="1:9" x14ac:dyDescent="0.25">
      <c r="A1612" s="12">
        <v>36</v>
      </c>
      <c r="B1612" s="13">
        <v>45164</v>
      </c>
      <c r="C1612" s="14">
        <v>31.4</v>
      </c>
      <c r="D1612" s="14">
        <v>77</v>
      </c>
      <c r="E1612" s="14">
        <v>602</v>
      </c>
      <c r="F1612" s="14">
        <v>6.8</v>
      </c>
      <c r="G1612" s="14">
        <v>24</v>
      </c>
      <c r="H1612" s="14">
        <v>88.52</v>
      </c>
      <c r="I1612" s="15">
        <v>0.77</v>
      </c>
    </row>
    <row r="1613" spans="1:9" x14ac:dyDescent="0.25">
      <c r="A1613" s="12">
        <v>36</v>
      </c>
      <c r="B1613" s="13">
        <v>45165</v>
      </c>
      <c r="C1613" s="14">
        <v>30.1</v>
      </c>
      <c r="D1613" s="14">
        <v>55</v>
      </c>
      <c r="E1613" s="14">
        <v>408</v>
      </c>
      <c r="F1613" s="14">
        <v>6.1</v>
      </c>
      <c r="G1613" s="14">
        <v>25</v>
      </c>
      <c r="H1613" s="14">
        <v>86.18</v>
      </c>
      <c r="I1613" s="15">
        <v>0.55000000000000004</v>
      </c>
    </row>
    <row r="1614" spans="1:9" x14ac:dyDescent="0.25">
      <c r="A1614" s="12">
        <v>36</v>
      </c>
      <c r="B1614" s="13">
        <v>45166</v>
      </c>
      <c r="C1614" s="14">
        <v>29.4</v>
      </c>
      <c r="D1614" s="14">
        <v>52</v>
      </c>
      <c r="E1614" s="14">
        <v>552</v>
      </c>
      <c r="F1614" s="14">
        <v>6.2</v>
      </c>
      <c r="G1614" s="14">
        <v>26</v>
      </c>
      <c r="H1614" s="14">
        <v>84.92</v>
      </c>
      <c r="I1614" s="15">
        <v>0.52</v>
      </c>
    </row>
    <row r="1615" spans="1:9" x14ac:dyDescent="0.25">
      <c r="A1615" s="12">
        <v>36</v>
      </c>
      <c r="B1615" s="13">
        <v>45167</v>
      </c>
      <c r="C1615" s="14">
        <v>28.7</v>
      </c>
      <c r="D1615" s="14">
        <v>60</v>
      </c>
      <c r="E1615" s="14">
        <v>686</v>
      </c>
      <c r="F1615" s="14">
        <v>6.2</v>
      </c>
      <c r="G1615" s="14">
        <v>27</v>
      </c>
      <c r="H1615" s="14">
        <v>83.66</v>
      </c>
      <c r="I1615" s="15">
        <v>0.6</v>
      </c>
    </row>
    <row r="1616" spans="1:9" x14ac:dyDescent="0.25">
      <c r="A1616" s="12">
        <v>36</v>
      </c>
      <c r="B1616" s="13">
        <v>45168</v>
      </c>
      <c r="C1616" s="14">
        <v>29.1</v>
      </c>
      <c r="D1616" s="14">
        <v>68</v>
      </c>
      <c r="E1616" s="14">
        <v>424</v>
      </c>
      <c r="F1616" s="14">
        <v>6.7</v>
      </c>
      <c r="G1616" s="14">
        <v>28</v>
      </c>
      <c r="H1616" s="14">
        <v>84.38</v>
      </c>
      <c r="I1616" s="15">
        <v>0.68</v>
      </c>
    </row>
    <row r="1617" spans="1:9" x14ac:dyDescent="0.25">
      <c r="A1617" s="12">
        <v>36</v>
      </c>
      <c r="B1617" s="13">
        <v>45169</v>
      </c>
      <c r="C1617" s="14">
        <v>29.2</v>
      </c>
      <c r="D1617" s="14">
        <v>66</v>
      </c>
      <c r="E1617" s="14">
        <v>629</v>
      </c>
      <c r="F1617" s="14">
        <v>6.5</v>
      </c>
      <c r="G1617" s="14">
        <v>29</v>
      </c>
      <c r="H1617" s="14">
        <v>84.56</v>
      </c>
      <c r="I1617" s="15">
        <v>0.66</v>
      </c>
    </row>
    <row r="1618" spans="1:9" x14ac:dyDescent="0.25">
      <c r="A1618" s="12">
        <v>36</v>
      </c>
      <c r="B1618" s="13">
        <v>45170</v>
      </c>
      <c r="C1618" s="14">
        <v>31.7</v>
      </c>
      <c r="D1618" s="14">
        <v>51</v>
      </c>
      <c r="E1618" s="14">
        <v>705</v>
      </c>
      <c r="F1618" s="14">
        <v>6.5</v>
      </c>
      <c r="G1618" s="14">
        <v>30</v>
      </c>
      <c r="H1618" s="14">
        <v>89.06</v>
      </c>
      <c r="I1618" s="15">
        <v>0.51</v>
      </c>
    </row>
    <row r="1619" spans="1:9" x14ac:dyDescent="0.25">
      <c r="A1619" s="12">
        <v>36</v>
      </c>
      <c r="B1619" s="13">
        <v>45171</v>
      </c>
      <c r="C1619" s="14">
        <v>31.7</v>
      </c>
      <c r="D1619" s="14">
        <v>65</v>
      </c>
      <c r="E1619" s="14">
        <v>599</v>
      </c>
      <c r="F1619" s="14">
        <v>6.3</v>
      </c>
      <c r="G1619" s="14">
        <v>31</v>
      </c>
      <c r="H1619" s="14">
        <v>89.06</v>
      </c>
      <c r="I1619" s="15">
        <v>0.65</v>
      </c>
    </row>
    <row r="1620" spans="1:9" x14ac:dyDescent="0.25">
      <c r="A1620" s="12">
        <v>36</v>
      </c>
      <c r="B1620" s="13">
        <v>45172</v>
      </c>
      <c r="C1620" s="14">
        <v>31.7</v>
      </c>
      <c r="D1620" s="14">
        <v>57</v>
      </c>
      <c r="E1620" s="14">
        <v>522</v>
      </c>
      <c r="F1620" s="14">
        <v>6.6</v>
      </c>
      <c r="G1620" s="14">
        <v>32</v>
      </c>
      <c r="H1620" s="14">
        <v>89.06</v>
      </c>
      <c r="I1620" s="15">
        <v>0.56999999999999995</v>
      </c>
    </row>
    <row r="1621" spans="1:9" x14ac:dyDescent="0.25">
      <c r="A1621" s="12">
        <v>36</v>
      </c>
      <c r="B1621" s="13">
        <v>45173</v>
      </c>
      <c r="C1621" s="14">
        <v>31.7</v>
      </c>
      <c r="D1621" s="14">
        <v>68</v>
      </c>
      <c r="E1621" s="14">
        <v>639</v>
      </c>
      <c r="F1621" s="14">
        <v>6</v>
      </c>
      <c r="G1621" s="14">
        <v>33</v>
      </c>
      <c r="H1621" s="14">
        <v>89.06</v>
      </c>
      <c r="I1621" s="15">
        <v>0.68</v>
      </c>
    </row>
    <row r="1622" spans="1:9" x14ac:dyDescent="0.25">
      <c r="A1622" s="12">
        <v>36</v>
      </c>
      <c r="B1622" s="13">
        <v>45174</v>
      </c>
      <c r="C1622" s="14">
        <v>32</v>
      </c>
      <c r="D1622" s="14">
        <v>63</v>
      </c>
      <c r="E1622" s="14">
        <v>558</v>
      </c>
      <c r="F1622" s="14">
        <v>6.6</v>
      </c>
      <c r="G1622" s="14">
        <v>34</v>
      </c>
      <c r="H1622" s="14">
        <v>89.6</v>
      </c>
      <c r="I1622" s="15">
        <v>0.63</v>
      </c>
    </row>
    <row r="1623" spans="1:9" x14ac:dyDescent="0.25">
      <c r="A1623" s="12">
        <v>36</v>
      </c>
      <c r="B1623" s="13">
        <v>45175</v>
      </c>
      <c r="C1623" s="14">
        <v>32.1</v>
      </c>
      <c r="D1623" s="14">
        <v>71</v>
      </c>
      <c r="E1623" s="14">
        <v>570</v>
      </c>
      <c r="F1623" s="14">
        <v>6.2</v>
      </c>
      <c r="G1623" s="14">
        <v>35</v>
      </c>
      <c r="H1623" s="14">
        <v>89.78</v>
      </c>
      <c r="I1623" s="15">
        <v>0.71</v>
      </c>
    </row>
    <row r="1624" spans="1:9" x14ac:dyDescent="0.25">
      <c r="A1624" s="12">
        <v>36</v>
      </c>
      <c r="B1624" s="13">
        <v>45176</v>
      </c>
      <c r="C1624" s="14">
        <v>31.5</v>
      </c>
      <c r="D1624" s="14">
        <v>72</v>
      </c>
      <c r="E1624" s="14">
        <v>680</v>
      </c>
      <c r="F1624" s="14">
        <v>6.4</v>
      </c>
      <c r="G1624" s="14">
        <v>36</v>
      </c>
      <c r="H1624" s="14">
        <v>88.7</v>
      </c>
      <c r="I1624" s="15">
        <v>0.72</v>
      </c>
    </row>
    <row r="1625" spans="1:9" x14ac:dyDescent="0.25">
      <c r="A1625" s="12">
        <v>36</v>
      </c>
      <c r="B1625" s="13">
        <v>45177</v>
      </c>
      <c r="C1625" s="14">
        <v>29.8</v>
      </c>
      <c r="D1625" s="14">
        <v>64</v>
      </c>
      <c r="E1625" s="14">
        <v>564</v>
      </c>
      <c r="F1625" s="14">
        <v>6.3</v>
      </c>
      <c r="G1625" s="14">
        <v>37</v>
      </c>
      <c r="H1625" s="14">
        <v>85.64</v>
      </c>
      <c r="I1625" s="15">
        <v>0.64</v>
      </c>
    </row>
    <row r="1626" spans="1:9" x14ac:dyDescent="0.25">
      <c r="A1626" s="12">
        <v>36</v>
      </c>
      <c r="B1626" s="13">
        <v>45178</v>
      </c>
      <c r="C1626" s="14">
        <v>20.100000000000001</v>
      </c>
      <c r="D1626" s="14">
        <v>75</v>
      </c>
      <c r="E1626" s="14">
        <v>693</v>
      </c>
      <c r="F1626" s="14">
        <v>6.7</v>
      </c>
      <c r="G1626" s="14">
        <v>38</v>
      </c>
      <c r="H1626" s="14">
        <v>68.180000000000007</v>
      </c>
      <c r="I1626" s="15">
        <v>0.75</v>
      </c>
    </row>
    <row r="1627" spans="1:9" x14ac:dyDescent="0.25">
      <c r="A1627" s="12">
        <v>36</v>
      </c>
      <c r="B1627" s="13">
        <v>45179</v>
      </c>
      <c r="C1627" s="14">
        <v>31.1</v>
      </c>
      <c r="D1627" s="14">
        <v>75</v>
      </c>
      <c r="E1627" s="14">
        <v>453</v>
      </c>
      <c r="F1627" s="14">
        <v>6.4</v>
      </c>
      <c r="G1627" s="14">
        <v>39</v>
      </c>
      <c r="H1627" s="14">
        <v>87.98</v>
      </c>
      <c r="I1627" s="15">
        <v>0.75</v>
      </c>
    </row>
    <row r="1628" spans="1:9" x14ac:dyDescent="0.25">
      <c r="A1628" s="12">
        <v>36</v>
      </c>
      <c r="B1628" s="13">
        <v>45180</v>
      </c>
      <c r="C1628" s="14">
        <v>31.2</v>
      </c>
      <c r="D1628" s="14">
        <v>65</v>
      </c>
      <c r="E1628" s="14">
        <v>722</v>
      </c>
      <c r="F1628" s="14">
        <v>6.1</v>
      </c>
      <c r="G1628" s="14">
        <v>40</v>
      </c>
      <c r="H1628" s="14">
        <v>88.16</v>
      </c>
      <c r="I1628" s="15">
        <v>0.65</v>
      </c>
    </row>
    <row r="1629" spans="1:9" x14ac:dyDescent="0.25">
      <c r="A1629" s="12">
        <v>36</v>
      </c>
      <c r="B1629" s="13">
        <v>45181</v>
      </c>
      <c r="C1629" s="14">
        <v>31.2</v>
      </c>
      <c r="D1629" s="14">
        <v>70</v>
      </c>
      <c r="E1629" s="14">
        <v>756</v>
      </c>
      <c r="F1629" s="14">
        <v>6.1</v>
      </c>
      <c r="G1629" s="14">
        <v>41</v>
      </c>
      <c r="H1629" s="14">
        <v>88.16</v>
      </c>
      <c r="I1629" s="15">
        <v>0.7</v>
      </c>
    </row>
    <row r="1630" spans="1:9" x14ac:dyDescent="0.25">
      <c r="A1630" s="12">
        <v>36</v>
      </c>
      <c r="B1630" s="13">
        <v>45182</v>
      </c>
      <c r="C1630" s="14">
        <v>30.4</v>
      </c>
      <c r="D1630" s="14">
        <v>74</v>
      </c>
      <c r="E1630" s="14">
        <v>733</v>
      </c>
      <c r="F1630" s="14">
        <v>6.7</v>
      </c>
      <c r="G1630" s="14">
        <v>42</v>
      </c>
      <c r="H1630" s="14">
        <v>86.72</v>
      </c>
      <c r="I1630" s="15">
        <v>0.74</v>
      </c>
    </row>
    <row r="1631" spans="1:9" x14ac:dyDescent="0.25">
      <c r="A1631" s="12">
        <v>36</v>
      </c>
      <c r="B1631" s="13">
        <v>45183</v>
      </c>
      <c r="C1631" s="14">
        <v>29.1</v>
      </c>
      <c r="D1631" s="14">
        <v>76</v>
      </c>
      <c r="E1631" s="14">
        <v>746</v>
      </c>
      <c r="F1631" s="14">
        <v>6.6</v>
      </c>
      <c r="G1631" s="14">
        <v>43</v>
      </c>
      <c r="H1631" s="14">
        <v>84.38</v>
      </c>
      <c r="I1631" s="15">
        <v>0.76</v>
      </c>
    </row>
    <row r="1632" spans="1:9" x14ac:dyDescent="0.25">
      <c r="A1632" s="12">
        <v>36</v>
      </c>
      <c r="B1632" s="13">
        <v>45184</v>
      </c>
      <c r="C1632" s="14">
        <v>30.6</v>
      </c>
      <c r="D1632" s="14">
        <v>58</v>
      </c>
      <c r="E1632" s="14">
        <v>550</v>
      </c>
      <c r="F1632" s="14">
        <v>6.8</v>
      </c>
      <c r="G1632" s="14">
        <v>44</v>
      </c>
      <c r="H1632" s="14">
        <v>87.08</v>
      </c>
      <c r="I1632" s="15">
        <v>0.57999999999999996</v>
      </c>
    </row>
    <row r="1633" spans="1:9" x14ac:dyDescent="0.25">
      <c r="A1633" s="12">
        <v>36</v>
      </c>
      <c r="B1633" s="13">
        <v>45185</v>
      </c>
      <c r="C1633" s="14">
        <v>31.5</v>
      </c>
      <c r="D1633" s="14">
        <v>58</v>
      </c>
      <c r="E1633" s="14">
        <v>769</v>
      </c>
      <c r="F1633" s="14">
        <v>6.1</v>
      </c>
      <c r="G1633" s="14">
        <v>45</v>
      </c>
      <c r="H1633" s="14">
        <v>88.7</v>
      </c>
      <c r="I1633" s="15">
        <v>0.57999999999999996</v>
      </c>
    </row>
    <row r="1634" spans="1:9" x14ac:dyDescent="0.25">
      <c r="A1634" s="12">
        <v>37</v>
      </c>
      <c r="B1634" s="13">
        <v>45141</v>
      </c>
      <c r="C1634" s="14">
        <v>33.4</v>
      </c>
      <c r="D1634" s="14">
        <v>72</v>
      </c>
      <c r="E1634" s="14">
        <v>571</v>
      </c>
      <c r="F1634" s="14">
        <v>6.6</v>
      </c>
      <c r="G1634" s="14">
        <v>1</v>
      </c>
      <c r="H1634" s="14">
        <v>92.12</v>
      </c>
      <c r="I1634" s="15">
        <v>0.72</v>
      </c>
    </row>
    <row r="1635" spans="1:9" x14ac:dyDescent="0.25">
      <c r="A1635" s="12">
        <v>37</v>
      </c>
      <c r="B1635" s="13">
        <v>45142</v>
      </c>
      <c r="C1635" s="14">
        <v>33.5</v>
      </c>
      <c r="D1635" s="14">
        <v>57</v>
      </c>
      <c r="E1635" s="14">
        <v>764</v>
      </c>
      <c r="F1635" s="14">
        <v>6.1</v>
      </c>
      <c r="G1635" s="14">
        <v>2</v>
      </c>
      <c r="H1635" s="14">
        <v>92.3</v>
      </c>
      <c r="I1635" s="15">
        <v>0.56999999999999995</v>
      </c>
    </row>
    <row r="1636" spans="1:9" x14ac:dyDescent="0.25">
      <c r="A1636" s="12">
        <v>37</v>
      </c>
      <c r="B1636" s="13">
        <v>45143</v>
      </c>
      <c r="C1636" s="14">
        <v>33.4</v>
      </c>
      <c r="D1636" s="14">
        <v>67</v>
      </c>
      <c r="E1636" s="14">
        <v>655</v>
      </c>
      <c r="F1636" s="14">
        <v>6.5</v>
      </c>
      <c r="G1636" s="14">
        <v>3</v>
      </c>
      <c r="H1636" s="14">
        <v>92.12</v>
      </c>
      <c r="I1636" s="15">
        <v>0.67</v>
      </c>
    </row>
    <row r="1637" spans="1:9" x14ac:dyDescent="0.25">
      <c r="A1637" s="12">
        <v>37</v>
      </c>
      <c r="B1637" s="13">
        <v>45144</v>
      </c>
      <c r="C1637" s="14">
        <v>33.4</v>
      </c>
      <c r="D1637" s="14">
        <v>62</v>
      </c>
      <c r="E1637" s="14">
        <v>661</v>
      </c>
      <c r="F1637" s="14">
        <v>6.2</v>
      </c>
      <c r="G1637" s="14">
        <v>4</v>
      </c>
      <c r="H1637" s="14">
        <v>92.12</v>
      </c>
      <c r="I1637" s="15">
        <v>0.62</v>
      </c>
    </row>
    <row r="1638" spans="1:9" x14ac:dyDescent="0.25">
      <c r="A1638" s="12">
        <v>37</v>
      </c>
      <c r="B1638" s="13">
        <v>45145</v>
      </c>
      <c r="C1638" s="14">
        <v>33.4</v>
      </c>
      <c r="D1638" s="14">
        <v>79</v>
      </c>
      <c r="E1638" s="14">
        <v>410</v>
      </c>
      <c r="F1638" s="14">
        <v>6.4</v>
      </c>
      <c r="G1638" s="14">
        <v>5</v>
      </c>
      <c r="H1638" s="14">
        <v>92.12</v>
      </c>
      <c r="I1638" s="15">
        <v>0.79</v>
      </c>
    </row>
    <row r="1639" spans="1:9" x14ac:dyDescent="0.25">
      <c r="A1639" s="12">
        <v>37</v>
      </c>
      <c r="B1639" s="13">
        <v>45146</v>
      </c>
      <c r="C1639" s="14">
        <v>32.299999999999997</v>
      </c>
      <c r="D1639" s="14">
        <v>58</v>
      </c>
      <c r="E1639" s="14">
        <v>725</v>
      </c>
      <c r="F1639" s="14">
        <v>6.8</v>
      </c>
      <c r="G1639" s="14">
        <v>6</v>
      </c>
      <c r="H1639" s="14">
        <v>90.14</v>
      </c>
      <c r="I1639" s="15">
        <v>0.57999999999999996</v>
      </c>
    </row>
    <row r="1640" spans="1:9" x14ac:dyDescent="0.25">
      <c r="A1640" s="12">
        <v>37</v>
      </c>
      <c r="B1640" s="13">
        <v>45147</v>
      </c>
      <c r="C1640" s="14">
        <v>32.299999999999997</v>
      </c>
      <c r="D1640" s="14">
        <v>74</v>
      </c>
      <c r="E1640" s="14">
        <v>408</v>
      </c>
      <c r="F1640" s="14">
        <v>6.1</v>
      </c>
      <c r="G1640" s="14">
        <v>7</v>
      </c>
      <c r="H1640" s="14">
        <v>90.14</v>
      </c>
      <c r="I1640" s="15">
        <v>0.74</v>
      </c>
    </row>
    <row r="1641" spans="1:9" x14ac:dyDescent="0.25">
      <c r="A1641" s="12">
        <v>37</v>
      </c>
      <c r="B1641" s="13">
        <v>45148</v>
      </c>
      <c r="C1641" s="14">
        <v>22.7</v>
      </c>
      <c r="D1641" s="14">
        <v>50</v>
      </c>
      <c r="E1641" s="14">
        <v>784</v>
      </c>
      <c r="F1641" s="14">
        <v>6.3</v>
      </c>
      <c r="G1641" s="14">
        <v>8</v>
      </c>
      <c r="H1641" s="14">
        <v>72.86</v>
      </c>
      <c r="I1641" s="15">
        <v>0.5</v>
      </c>
    </row>
    <row r="1642" spans="1:9" x14ac:dyDescent="0.25">
      <c r="A1642" s="12">
        <v>37</v>
      </c>
      <c r="B1642" s="13">
        <v>45149</v>
      </c>
      <c r="C1642" s="14">
        <v>31.9</v>
      </c>
      <c r="D1642" s="14">
        <v>62</v>
      </c>
      <c r="E1642" s="14">
        <v>489</v>
      </c>
      <c r="F1642" s="14">
        <v>6.5</v>
      </c>
      <c r="G1642" s="14">
        <v>9</v>
      </c>
      <c r="H1642" s="14">
        <v>89.42</v>
      </c>
      <c r="I1642" s="15">
        <v>0.62</v>
      </c>
    </row>
    <row r="1643" spans="1:9" x14ac:dyDescent="0.25">
      <c r="A1643" s="12">
        <v>37</v>
      </c>
      <c r="B1643" s="13">
        <v>45150</v>
      </c>
      <c r="C1643" s="14">
        <v>30.2</v>
      </c>
      <c r="D1643" s="14">
        <v>54</v>
      </c>
      <c r="E1643" s="14">
        <v>674</v>
      </c>
      <c r="F1643" s="14">
        <v>6.4</v>
      </c>
      <c r="G1643" s="14">
        <v>10</v>
      </c>
      <c r="H1643" s="14">
        <v>86.36</v>
      </c>
      <c r="I1643" s="15">
        <v>0.54</v>
      </c>
    </row>
    <row r="1644" spans="1:9" x14ac:dyDescent="0.25">
      <c r="A1644" s="12">
        <v>37</v>
      </c>
      <c r="B1644" s="13">
        <v>45151</v>
      </c>
      <c r="C1644" s="14">
        <v>30.1</v>
      </c>
      <c r="D1644" s="14">
        <v>80</v>
      </c>
      <c r="E1644" s="14">
        <v>543</v>
      </c>
      <c r="F1644" s="14">
        <v>6.5</v>
      </c>
      <c r="G1644" s="14">
        <v>11</v>
      </c>
      <c r="H1644" s="14">
        <v>86.18</v>
      </c>
      <c r="I1644" s="15">
        <v>0.8</v>
      </c>
    </row>
    <row r="1645" spans="1:9" x14ac:dyDescent="0.25">
      <c r="A1645" s="12">
        <v>37</v>
      </c>
      <c r="B1645" s="13">
        <v>45152</v>
      </c>
      <c r="C1645" s="14">
        <v>30.1</v>
      </c>
      <c r="D1645" s="14">
        <v>79</v>
      </c>
      <c r="E1645" s="14">
        <v>780</v>
      </c>
      <c r="F1645" s="14">
        <v>6.5</v>
      </c>
      <c r="G1645" s="14">
        <v>12</v>
      </c>
      <c r="H1645" s="14">
        <v>86.18</v>
      </c>
      <c r="I1645" s="15">
        <v>0.79</v>
      </c>
    </row>
    <row r="1646" spans="1:9" x14ac:dyDescent="0.25">
      <c r="A1646" s="12">
        <v>37</v>
      </c>
      <c r="B1646" s="13">
        <v>45153</v>
      </c>
      <c r="C1646" s="14">
        <v>30.1</v>
      </c>
      <c r="D1646" s="14">
        <v>56</v>
      </c>
      <c r="E1646" s="14">
        <v>721</v>
      </c>
      <c r="F1646" s="14">
        <v>6</v>
      </c>
      <c r="G1646" s="14">
        <v>13</v>
      </c>
      <c r="H1646" s="14">
        <v>86.18</v>
      </c>
      <c r="I1646" s="15">
        <v>0.56000000000000005</v>
      </c>
    </row>
    <row r="1647" spans="1:9" x14ac:dyDescent="0.25">
      <c r="A1647" s="12">
        <v>37</v>
      </c>
      <c r="B1647" s="13">
        <v>45154</v>
      </c>
      <c r="C1647" s="14">
        <v>29.8</v>
      </c>
      <c r="D1647" s="14">
        <v>80</v>
      </c>
      <c r="E1647" s="14">
        <v>695</v>
      </c>
      <c r="F1647" s="14">
        <v>6.5</v>
      </c>
      <c r="G1647" s="14">
        <v>14</v>
      </c>
      <c r="H1647" s="14">
        <v>85.64</v>
      </c>
      <c r="I1647" s="15">
        <v>0.8</v>
      </c>
    </row>
    <row r="1648" spans="1:9" x14ac:dyDescent="0.25">
      <c r="A1648" s="12">
        <v>37</v>
      </c>
      <c r="B1648" s="13">
        <v>45155</v>
      </c>
      <c r="C1648" s="14">
        <v>29.6</v>
      </c>
      <c r="D1648" s="14">
        <v>77</v>
      </c>
      <c r="E1648" s="14">
        <v>488</v>
      </c>
      <c r="F1648" s="14">
        <v>6.3</v>
      </c>
      <c r="G1648" s="14">
        <v>15</v>
      </c>
      <c r="H1648" s="14">
        <v>85.28</v>
      </c>
      <c r="I1648" s="15">
        <v>0.77</v>
      </c>
    </row>
    <row r="1649" spans="1:9" x14ac:dyDescent="0.25">
      <c r="A1649" s="12">
        <v>37</v>
      </c>
      <c r="B1649" s="13">
        <v>45156</v>
      </c>
      <c r="C1649" s="14">
        <v>30.9</v>
      </c>
      <c r="D1649" s="14">
        <v>58</v>
      </c>
      <c r="E1649" s="14">
        <v>534</v>
      </c>
      <c r="F1649" s="14">
        <v>6.5</v>
      </c>
      <c r="G1649" s="14">
        <v>16</v>
      </c>
      <c r="H1649" s="14">
        <v>87.62</v>
      </c>
      <c r="I1649" s="15">
        <v>0.57999999999999996</v>
      </c>
    </row>
    <row r="1650" spans="1:9" x14ac:dyDescent="0.25">
      <c r="A1650" s="12">
        <v>37</v>
      </c>
      <c r="B1650" s="13">
        <v>45157</v>
      </c>
      <c r="C1650" s="14">
        <v>30.8</v>
      </c>
      <c r="D1650" s="14">
        <v>73</v>
      </c>
      <c r="E1650" s="14">
        <v>764</v>
      </c>
      <c r="F1650" s="14">
        <v>6.6</v>
      </c>
      <c r="G1650" s="14">
        <v>17</v>
      </c>
      <c r="H1650" s="14">
        <v>87.44</v>
      </c>
      <c r="I1650" s="15">
        <v>0.73</v>
      </c>
    </row>
    <row r="1651" spans="1:9" x14ac:dyDescent="0.25">
      <c r="A1651" s="12">
        <v>37</v>
      </c>
      <c r="B1651" s="13">
        <v>45158</v>
      </c>
      <c r="C1651" s="14">
        <v>30.9</v>
      </c>
      <c r="D1651" s="14">
        <v>75</v>
      </c>
      <c r="E1651" s="14">
        <v>798</v>
      </c>
      <c r="F1651" s="14">
        <v>6.6</v>
      </c>
      <c r="G1651" s="14">
        <v>18</v>
      </c>
      <c r="H1651" s="14">
        <v>87.62</v>
      </c>
      <c r="I1651" s="15">
        <v>0.75</v>
      </c>
    </row>
    <row r="1652" spans="1:9" x14ac:dyDescent="0.25">
      <c r="A1652" s="12">
        <v>37</v>
      </c>
      <c r="B1652" s="13">
        <v>45159</v>
      </c>
      <c r="C1652" s="14">
        <v>30.2</v>
      </c>
      <c r="D1652" s="14">
        <v>71</v>
      </c>
      <c r="E1652" s="14">
        <v>472</v>
      </c>
      <c r="F1652" s="14">
        <v>6.5</v>
      </c>
      <c r="G1652" s="14">
        <v>19</v>
      </c>
      <c r="H1652" s="14">
        <v>86.36</v>
      </c>
      <c r="I1652" s="15">
        <v>0.71</v>
      </c>
    </row>
    <row r="1653" spans="1:9" x14ac:dyDescent="0.25">
      <c r="A1653" s="12">
        <v>37</v>
      </c>
      <c r="B1653" s="13">
        <v>45160</v>
      </c>
      <c r="C1653" s="14">
        <v>30.5</v>
      </c>
      <c r="D1653" s="14">
        <v>79</v>
      </c>
      <c r="E1653" s="14">
        <v>503</v>
      </c>
      <c r="F1653" s="14">
        <v>6.1</v>
      </c>
      <c r="G1653" s="14">
        <v>20</v>
      </c>
      <c r="H1653" s="14">
        <v>86.9</v>
      </c>
      <c r="I1653" s="15">
        <v>0.79</v>
      </c>
    </row>
    <row r="1654" spans="1:9" x14ac:dyDescent="0.25">
      <c r="A1654" s="12">
        <v>37</v>
      </c>
      <c r="B1654" s="13">
        <v>45161</v>
      </c>
      <c r="C1654" s="14">
        <v>30.8</v>
      </c>
      <c r="D1654" s="14">
        <v>77</v>
      </c>
      <c r="E1654" s="14">
        <v>557</v>
      </c>
      <c r="F1654" s="14">
        <v>6.2</v>
      </c>
      <c r="G1654" s="14">
        <v>21</v>
      </c>
      <c r="H1654" s="14">
        <v>87.44</v>
      </c>
      <c r="I1654" s="15">
        <v>0.77</v>
      </c>
    </row>
    <row r="1655" spans="1:9" x14ac:dyDescent="0.25">
      <c r="A1655" s="12">
        <v>37</v>
      </c>
      <c r="B1655" s="13">
        <v>45162</v>
      </c>
      <c r="C1655" s="14">
        <v>31.3</v>
      </c>
      <c r="D1655" s="14">
        <v>63</v>
      </c>
      <c r="E1655" s="14">
        <v>785</v>
      </c>
      <c r="F1655" s="14">
        <v>6.4</v>
      </c>
      <c r="G1655" s="14">
        <v>22</v>
      </c>
      <c r="H1655" s="14">
        <v>88.34</v>
      </c>
      <c r="I1655" s="15">
        <v>0.63</v>
      </c>
    </row>
    <row r="1656" spans="1:9" x14ac:dyDescent="0.25">
      <c r="A1656" s="12">
        <v>37</v>
      </c>
      <c r="B1656" s="13">
        <v>45163</v>
      </c>
      <c r="C1656" s="14">
        <v>31.4</v>
      </c>
      <c r="D1656" s="14">
        <v>54</v>
      </c>
      <c r="E1656" s="14">
        <v>406</v>
      </c>
      <c r="F1656" s="14">
        <v>6.8</v>
      </c>
      <c r="G1656" s="14">
        <v>23</v>
      </c>
      <c r="H1656" s="14">
        <v>88.52</v>
      </c>
      <c r="I1656" s="15">
        <v>0.54</v>
      </c>
    </row>
    <row r="1657" spans="1:9" x14ac:dyDescent="0.25">
      <c r="A1657" s="12">
        <v>37</v>
      </c>
      <c r="B1657" s="13">
        <v>45164</v>
      </c>
      <c r="C1657" s="14">
        <v>31.4</v>
      </c>
      <c r="D1657" s="14">
        <v>76</v>
      </c>
      <c r="E1657" s="14">
        <v>745</v>
      </c>
      <c r="F1657" s="14">
        <v>6.3</v>
      </c>
      <c r="G1657" s="14">
        <v>24</v>
      </c>
      <c r="H1657" s="14">
        <v>88.52</v>
      </c>
      <c r="I1657" s="15">
        <v>0.76</v>
      </c>
    </row>
    <row r="1658" spans="1:9" x14ac:dyDescent="0.25">
      <c r="A1658" s="12">
        <v>37</v>
      </c>
      <c r="B1658" s="13">
        <v>45165</v>
      </c>
      <c r="C1658" s="14">
        <v>30.1</v>
      </c>
      <c r="D1658" s="14">
        <v>71</v>
      </c>
      <c r="E1658" s="14">
        <v>743</v>
      </c>
      <c r="F1658" s="14">
        <v>6.6</v>
      </c>
      <c r="G1658" s="14">
        <v>25</v>
      </c>
      <c r="H1658" s="14">
        <v>86.18</v>
      </c>
      <c r="I1658" s="15">
        <v>0.71</v>
      </c>
    </row>
    <row r="1659" spans="1:9" x14ac:dyDescent="0.25">
      <c r="A1659" s="12">
        <v>37</v>
      </c>
      <c r="B1659" s="13">
        <v>45166</v>
      </c>
      <c r="C1659" s="14">
        <v>29.4</v>
      </c>
      <c r="D1659" s="14">
        <v>51</v>
      </c>
      <c r="E1659" s="14">
        <v>568</v>
      </c>
      <c r="F1659" s="14">
        <v>6.6</v>
      </c>
      <c r="G1659" s="14">
        <v>26</v>
      </c>
      <c r="H1659" s="14">
        <v>84.92</v>
      </c>
      <c r="I1659" s="15">
        <v>0.51</v>
      </c>
    </row>
    <row r="1660" spans="1:9" x14ac:dyDescent="0.25">
      <c r="A1660" s="12">
        <v>37</v>
      </c>
      <c r="B1660" s="13">
        <v>45167</v>
      </c>
      <c r="C1660" s="14">
        <v>28.7</v>
      </c>
      <c r="D1660" s="14">
        <v>56</v>
      </c>
      <c r="E1660" s="14">
        <v>539</v>
      </c>
      <c r="F1660" s="14">
        <v>6.1</v>
      </c>
      <c r="G1660" s="14">
        <v>27</v>
      </c>
      <c r="H1660" s="14">
        <v>83.66</v>
      </c>
      <c r="I1660" s="15">
        <v>0.56000000000000005</v>
      </c>
    </row>
    <row r="1661" spans="1:9" x14ac:dyDescent="0.25">
      <c r="A1661" s="12">
        <v>37</v>
      </c>
      <c r="B1661" s="13">
        <v>45168</v>
      </c>
      <c r="C1661" s="14">
        <v>29.1</v>
      </c>
      <c r="D1661" s="14">
        <v>75</v>
      </c>
      <c r="E1661" s="14">
        <v>489</v>
      </c>
      <c r="F1661" s="14">
        <v>6.3</v>
      </c>
      <c r="G1661" s="14">
        <v>28</v>
      </c>
      <c r="H1661" s="14">
        <v>84.38</v>
      </c>
      <c r="I1661" s="15">
        <v>0.75</v>
      </c>
    </row>
    <row r="1662" spans="1:9" x14ac:dyDescent="0.25">
      <c r="A1662" s="12">
        <v>37</v>
      </c>
      <c r="B1662" s="13">
        <v>45169</v>
      </c>
      <c r="C1662" s="14">
        <v>29.2</v>
      </c>
      <c r="D1662" s="14">
        <v>56</v>
      </c>
      <c r="E1662" s="14">
        <v>777</v>
      </c>
      <c r="F1662" s="14">
        <v>6.4</v>
      </c>
      <c r="G1662" s="14">
        <v>29</v>
      </c>
      <c r="H1662" s="14">
        <v>84.56</v>
      </c>
      <c r="I1662" s="15">
        <v>0.56000000000000005</v>
      </c>
    </row>
    <row r="1663" spans="1:9" x14ac:dyDescent="0.25">
      <c r="A1663" s="12">
        <v>37</v>
      </c>
      <c r="B1663" s="13">
        <v>45170</v>
      </c>
      <c r="C1663" s="14">
        <v>31.7</v>
      </c>
      <c r="D1663" s="14">
        <v>50</v>
      </c>
      <c r="E1663" s="14">
        <v>646</v>
      </c>
      <c r="F1663" s="14">
        <v>6.7</v>
      </c>
      <c r="G1663" s="14">
        <v>30</v>
      </c>
      <c r="H1663" s="14">
        <v>89.06</v>
      </c>
      <c r="I1663" s="15">
        <v>0.5</v>
      </c>
    </row>
    <row r="1664" spans="1:9" x14ac:dyDescent="0.25">
      <c r="A1664" s="12">
        <v>37</v>
      </c>
      <c r="B1664" s="13">
        <v>45171</v>
      </c>
      <c r="C1664" s="14">
        <v>31.7</v>
      </c>
      <c r="D1664" s="14">
        <v>60</v>
      </c>
      <c r="E1664" s="14">
        <v>575</v>
      </c>
      <c r="F1664" s="14">
        <v>6.4</v>
      </c>
      <c r="G1664" s="14">
        <v>31</v>
      </c>
      <c r="H1664" s="14">
        <v>89.06</v>
      </c>
      <c r="I1664" s="15">
        <v>0.6</v>
      </c>
    </row>
    <row r="1665" spans="1:9" x14ac:dyDescent="0.25">
      <c r="A1665" s="12">
        <v>37</v>
      </c>
      <c r="B1665" s="13">
        <v>45172</v>
      </c>
      <c r="C1665" s="14">
        <v>31.7</v>
      </c>
      <c r="D1665" s="14">
        <v>79</v>
      </c>
      <c r="E1665" s="14">
        <v>412</v>
      </c>
      <c r="F1665" s="14">
        <v>6.7</v>
      </c>
      <c r="G1665" s="14">
        <v>32</v>
      </c>
      <c r="H1665" s="14">
        <v>89.06</v>
      </c>
      <c r="I1665" s="15">
        <v>0.79</v>
      </c>
    </row>
    <row r="1666" spans="1:9" x14ac:dyDescent="0.25">
      <c r="A1666" s="12">
        <v>37</v>
      </c>
      <c r="B1666" s="13">
        <v>45173</v>
      </c>
      <c r="C1666" s="14">
        <v>31.7</v>
      </c>
      <c r="D1666" s="14">
        <v>68</v>
      </c>
      <c r="E1666" s="14">
        <v>416</v>
      </c>
      <c r="F1666" s="14">
        <v>6.4</v>
      </c>
      <c r="G1666" s="14">
        <v>33</v>
      </c>
      <c r="H1666" s="14">
        <v>89.06</v>
      </c>
      <c r="I1666" s="15">
        <v>0.68</v>
      </c>
    </row>
    <row r="1667" spans="1:9" x14ac:dyDescent="0.25">
      <c r="A1667" s="12">
        <v>37</v>
      </c>
      <c r="B1667" s="13">
        <v>45174</v>
      </c>
      <c r="C1667" s="14">
        <v>32</v>
      </c>
      <c r="D1667" s="14">
        <v>64</v>
      </c>
      <c r="E1667" s="14">
        <v>426</v>
      </c>
      <c r="F1667" s="14">
        <v>6.3</v>
      </c>
      <c r="G1667" s="14">
        <v>34</v>
      </c>
      <c r="H1667" s="14">
        <v>89.6</v>
      </c>
      <c r="I1667" s="15">
        <v>0.64</v>
      </c>
    </row>
    <row r="1668" spans="1:9" x14ac:dyDescent="0.25">
      <c r="A1668" s="12">
        <v>37</v>
      </c>
      <c r="B1668" s="13">
        <v>45175</v>
      </c>
      <c r="C1668" s="14">
        <v>32.1</v>
      </c>
      <c r="D1668" s="14">
        <v>76</v>
      </c>
      <c r="E1668" s="14">
        <v>536</v>
      </c>
      <c r="F1668" s="14">
        <v>6.8</v>
      </c>
      <c r="G1668" s="14">
        <v>35</v>
      </c>
      <c r="H1668" s="14">
        <v>89.78</v>
      </c>
      <c r="I1668" s="15">
        <v>0.76</v>
      </c>
    </row>
    <row r="1669" spans="1:9" x14ac:dyDescent="0.25">
      <c r="A1669" s="12">
        <v>37</v>
      </c>
      <c r="B1669" s="13">
        <v>45176</v>
      </c>
      <c r="C1669" s="14">
        <v>31.5</v>
      </c>
      <c r="D1669" s="14">
        <v>62</v>
      </c>
      <c r="E1669" s="14">
        <v>670</v>
      </c>
      <c r="F1669" s="14">
        <v>6.3</v>
      </c>
      <c r="G1669" s="14">
        <v>36</v>
      </c>
      <c r="H1669" s="14">
        <v>88.7</v>
      </c>
      <c r="I1669" s="15">
        <v>0.62</v>
      </c>
    </row>
    <row r="1670" spans="1:9" x14ac:dyDescent="0.25">
      <c r="A1670" s="12">
        <v>37</v>
      </c>
      <c r="B1670" s="13">
        <v>45177</v>
      </c>
      <c r="C1670" s="14">
        <v>29.8</v>
      </c>
      <c r="D1670" s="14">
        <v>76</v>
      </c>
      <c r="E1670" s="14">
        <v>435</v>
      </c>
      <c r="F1670" s="14">
        <v>6.3</v>
      </c>
      <c r="G1670" s="14">
        <v>37</v>
      </c>
      <c r="H1670" s="14">
        <v>85.64</v>
      </c>
      <c r="I1670" s="15">
        <v>0.76</v>
      </c>
    </row>
    <row r="1671" spans="1:9" x14ac:dyDescent="0.25">
      <c r="A1671" s="12">
        <v>37</v>
      </c>
      <c r="B1671" s="13">
        <v>45178</v>
      </c>
      <c r="C1671" s="14">
        <v>20.100000000000001</v>
      </c>
      <c r="D1671" s="14">
        <v>52</v>
      </c>
      <c r="E1671" s="14">
        <v>588</v>
      </c>
      <c r="F1671" s="14">
        <v>6.3</v>
      </c>
      <c r="G1671" s="14">
        <v>38</v>
      </c>
      <c r="H1671" s="14">
        <v>68.180000000000007</v>
      </c>
      <c r="I1671" s="15">
        <v>0.52</v>
      </c>
    </row>
    <row r="1672" spans="1:9" x14ac:dyDescent="0.25">
      <c r="A1672" s="12">
        <v>37</v>
      </c>
      <c r="B1672" s="13">
        <v>45179</v>
      </c>
      <c r="C1672" s="14">
        <v>31.1</v>
      </c>
      <c r="D1672" s="14">
        <v>60</v>
      </c>
      <c r="E1672" s="14">
        <v>773</v>
      </c>
      <c r="F1672" s="14">
        <v>6.2</v>
      </c>
      <c r="G1672" s="14">
        <v>39</v>
      </c>
      <c r="H1672" s="14">
        <v>87.98</v>
      </c>
      <c r="I1672" s="15">
        <v>0.6</v>
      </c>
    </row>
    <row r="1673" spans="1:9" x14ac:dyDescent="0.25">
      <c r="A1673" s="12">
        <v>37</v>
      </c>
      <c r="B1673" s="13">
        <v>45180</v>
      </c>
      <c r="C1673" s="14">
        <v>31.2</v>
      </c>
      <c r="D1673" s="14">
        <v>75</v>
      </c>
      <c r="E1673" s="14">
        <v>753</v>
      </c>
      <c r="F1673" s="14">
        <v>6.6</v>
      </c>
      <c r="G1673" s="14">
        <v>40</v>
      </c>
      <c r="H1673" s="14">
        <v>88.16</v>
      </c>
      <c r="I1673" s="15">
        <v>0.75</v>
      </c>
    </row>
    <row r="1674" spans="1:9" x14ac:dyDescent="0.25">
      <c r="A1674" s="12">
        <v>37</v>
      </c>
      <c r="B1674" s="13">
        <v>45181</v>
      </c>
      <c r="C1674" s="14">
        <v>31.2</v>
      </c>
      <c r="D1674" s="14">
        <v>51</v>
      </c>
      <c r="E1674" s="14">
        <v>622</v>
      </c>
      <c r="F1674" s="14">
        <v>6.6</v>
      </c>
      <c r="G1674" s="14">
        <v>41</v>
      </c>
      <c r="H1674" s="14">
        <v>88.16</v>
      </c>
      <c r="I1674" s="15">
        <v>0.51</v>
      </c>
    </row>
    <row r="1675" spans="1:9" x14ac:dyDescent="0.25">
      <c r="A1675" s="12">
        <v>37</v>
      </c>
      <c r="B1675" s="13">
        <v>45182</v>
      </c>
      <c r="C1675" s="14">
        <v>30.4</v>
      </c>
      <c r="D1675" s="14">
        <v>71</v>
      </c>
      <c r="E1675" s="14">
        <v>496</v>
      </c>
      <c r="F1675" s="14">
        <v>6</v>
      </c>
      <c r="G1675" s="14">
        <v>42</v>
      </c>
      <c r="H1675" s="14">
        <v>86.72</v>
      </c>
      <c r="I1675" s="15">
        <v>0.71</v>
      </c>
    </row>
    <row r="1676" spans="1:9" x14ac:dyDescent="0.25">
      <c r="A1676" s="12">
        <v>37</v>
      </c>
      <c r="B1676" s="13">
        <v>45183</v>
      </c>
      <c r="C1676" s="14">
        <v>29.1</v>
      </c>
      <c r="D1676" s="14">
        <v>50</v>
      </c>
      <c r="E1676" s="14">
        <v>476</v>
      </c>
      <c r="F1676" s="14">
        <v>6.5</v>
      </c>
      <c r="G1676" s="14">
        <v>43</v>
      </c>
      <c r="H1676" s="14">
        <v>84.38</v>
      </c>
      <c r="I1676" s="15">
        <v>0.5</v>
      </c>
    </row>
    <row r="1677" spans="1:9" x14ac:dyDescent="0.25">
      <c r="A1677" s="12">
        <v>37</v>
      </c>
      <c r="B1677" s="13">
        <v>45184</v>
      </c>
      <c r="C1677" s="14">
        <v>30.6</v>
      </c>
      <c r="D1677" s="14">
        <v>80</v>
      </c>
      <c r="E1677" s="14">
        <v>659</v>
      </c>
      <c r="F1677" s="14">
        <v>6.7</v>
      </c>
      <c r="G1677" s="14">
        <v>44</v>
      </c>
      <c r="H1677" s="14">
        <v>87.08</v>
      </c>
      <c r="I1677" s="15">
        <v>0.8</v>
      </c>
    </row>
    <row r="1678" spans="1:9" x14ac:dyDescent="0.25">
      <c r="A1678" s="12">
        <v>37</v>
      </c>
      <c r="B1678" s="13">
        <v>45185</v>
      </c>
      <c r="C1678" s="14">
        <v>31.5</v>
      </c>
      <c r="D1678" s="14">
        <v>69</v>
      </c>
      <c r="E1678" s="14">
        <v>426</v>
      </c>
      <c r="F1678" s="14">
        <v>6</v>
      </c>
      <c r="G1678" s="14">
        <v>45</v>
      </c>
      <c r="H1678" s="14">
        <v>88.7</v>
      </c>
      <c r="I1678" s="15">
        <v>0.69</v>
      </c>
    </row>
    <row r="1679" spans="1:9" x14ac:dyDescent="0.25">
      <c r="A1679" s="12">
        <v>38</v>
      </c>
      <c r="B1679" s="13">
        <v>45141</v>
      </c>
      <c r="C1679" s="14">
        <v>33.4</v>
      </c>
      <c r="D1679" s="14">
        <v>52</v>
      </c>
      <c r="E1679" s="14">
        <v>609</v>
      </c>
      <c r="F1679" s="14">
        <v>6.4</v>
      </c>
      <c r="G1679" s="14">
        <v>1</v>
      </c>
      <c r="H1679" s="14">
        <v>92.12</v>
      </c>
      <c r="I1679" s="15">
        <v>0.52</v>
      </c>
    </row>
    <row r="1680" spans="1:9" x14ac:dyDescent="0.25">
      <c r="A1680" s="12">
        <v>38</v>
      </c>
      <c r="B1680" s="13">
        <v>45142</v>
      </c>
      <c r="C1680" s="14">
        <v>33.5</v>
      </c>
      <c r="D1680" s="14">
        <v>56</v>
      </c>
      <c r="E1680" s="14">
        <v>507</v>
      </c>
      <c r="F1680" s="14">
        <v>6.2</v>
      </c>
      <c r="G1680" s="14">
        <v>2</v>
      </c>
      <c r="H1680" s="14">
        <v>92.3</v>
      </c>
      <c r="I1680" s="15">
        <v>0.56000000000000005</v>
      </c>
    </row>
    <row r="1681" spans="1:9" x14ac:dyDescent="0.25">
      <c r="A1681" s="12">
        <v>38</v>
      </c>
      <c r="B1681" s="13">
        <v>45143</v>
      </c>
      <c r="C1681" s="14">
        <v>33.4</v>
      </c>
      <c r="D1681" s="14">
        <v>66</v>
      </c>
      <c r="E1681" s="14">
        <v>634</v>
      </c>
      <c r="F1681" s="14">
        <v>6.2</v>
      </c>
      <c r="G1681" s="14">
        <v>3</v>
      </c>
      <c r="H1681" s="14">
        <v>92.12</v>
      </c>
      <c r="I1681" s="15">
        <v>0.66</v>
      </c>
    </row>
    <row r="1682" spans="1:9" x14ac:dyDescent="0.25">
      <c r="A1682" s="12">
        <v>38</v>
      </c>
      <c r="B1682" s="13">
        <v>45144</v>
      </c>
      <c r="C1682" s="14">
        <v>33.4</v>
      </c>
      <c r="D1682" s="14">
        <v>77</v>
      </c>
      <c r="E1682" s="14">
        <v>557</v>
      </c>
      <c r="F1682" s="14">
        <v>6</v>
      </c>
      <c r="G1682" s="14">
        <v>4</v>
      </c>
      <c r="H1682" s="14">
        <v>92.12</v>
      </c>
      <c r="I1682" s="15">
        <v>0.77</v>
      </c>
    </row>
    <row r="1683" spans="1:9" x14ac:dyDescent="0.25">
      <c r="A1683" s="12">
        <v>38</v>
      </c>
      <c r="B1683" s="13">
        <v>45145</v>
      </c>
      <c r="C1683" s="14">
        <v>33.4</v>
      </c>
      <c r="D1683" s="14">
        <v>78</v>
      </c>
      <c r="E1683" s="14">
        <v>682</v>
      </c>
      <c r="F1683" s="14">
        <v>6.3</v>
      </c>
      <c r="G1683" s="14">
        <v>5</v>
      </c>
      <c r="H1683" s="14">
        <v>92.12</v>
      </c>
      <c r="I1683" s="15">
        <v>0.78</v>
      </c>
    </row>
    <row r="1684" spans="1:9" x14ac:dyDescent="0.25">
      <c r="A1684" s="12">
        <v>38</v>
      </c>
      <c r="B1684" s="13">
        <v>45146</v>
      </c>
      <c r="C1684" s="14">
        <v>32.299999999999997</v>
      </c>
      <c r="D1684" s="14">
        <v>67</v>
      </c>
      <c r="E1684" s="14">
        <v>745</v>
      </c>
      <c r="F1684" s="14">
        <v>6.1</v>
      </c>
      <c r="G1684" s="14">
        <v>6</v>
      </c>
      <c r="H1684" s="14">
        <v>90.14</v>
      </c>
      <c r="I1684" s="15">
        <v>0.67</v>
      </c>
    </row>
    <row r="1685" spans="1:9" x14ac:dyDescent="0.25">
      <c r="A1685" s="12">
        <v>38</v>
      </c>
      <c r="B1685" s="13">
        <v>45147</v>
      </c>
      <c r="C1685" s="14">
        <v>32.299999999999997</v>
      </c>
      <c r="D1685" s="14">
        <v>78</v>
      </c>
      <c r="E1685" s="14">
        <v>430</v>
      </c>
      <c r="F1685" s="14">
        <v>6.2</v>
      </c>
      <c r="G1685" s="14">
        <v>7</v>
      </c>
      <c r="H1685" s="14">
        <v>90.14</v>
      </c>
      <c r="I1685" s="15">
        <v>0.78</v>
      </c>
    </row>
    <row r="1686" spans="1:9" x14ac:dyDescent="0.25">
      <c r="A1686" s="12">
        <v>38</v>
      </c>
      <c r="B1686" s="13">
        <v>45148</v>
      </c>
      <c r="C1686" s="14">
        <v>22.7</v>
      </c>
      <c r="D1686" s="14">
        <v>77</v>
      </c>
      <c r="E1686" s="14">
        <v>455</v>
      </c>
      <c r="F1686" s="14">
        <v>6.7</v>
      </c>
      <c r="G1686" s="14">
        <v>8</v>
      </c>
      <c r="H1686" s="14">
        <v>72.86</v>
      </c>
      <c r="I1686" s="15">
        <v>0.77</v>
      </c>
    </row>
    <row r="1687" spans="1:9" x14ac:dyDescent="0.25">
      <c r="A1687" s="12">
        <v>38</v>
      </c>
      <c r="B1687" s="13">
        <v>45149</v>
      </c>
      <c r="C1687" s="14">
        <v>31.9</v>
      </c>
      <c r="D1687" s="14">
        <v>68</v>
      </c>
      <c r="E1687" s="14">
        <v>520</v>
      </c>
      <c r="F1687" s="14">
        <v>6.6</v>
      </c>
      <c r="G1687" s="14">
        <v>9</v>
      </c>
      <c r="H1687" s="14">
        <v>89.42</v>
      </c>
      <c r="I1687" s="15">
        <v>0.68</v>
      </c>
    </row>
    <row r="1688" spans="1:9" x14ac:dyDescent="0.25">
      <c r="A1688" s="12">
        <v>38</v>
      </c>
      <c r="B1688" s="13">
        <v>45150</v>
      </c>
      <c r="C1688" s="14">
        <v>30.2</v>
      </c>
      <c r="D1688" s="14">
        <v>60</v>
      </c>
      <c r="E1688" s="14">
        <v>728</v>
      </c>
      <c r="F1688" s="14">
        <v>6.8</v>
      </c>
      <c r="G1688" s="14">
        <v>10</v>
      </c>
      <c r="H1688" s="14">
        <v>86.36</v>
      </c>
      <c r="I1688" s="15">
        <v>0.6</v>
      </c>
    </row>
    <row r="1689" spans="1:9" x14ac:dyDescent="0.25">
      <c r="A1689" s="12">
        <v>38</v>
      </c>
      <c r="B1689" s="13">
        <v>45151</v>
      </c>
      <c r="C1689" s="14">
        <v>30.1</v>
      </c>
      <c r="D1689" s="14">
        <v>55</v>
      </c>
      <c r="E1689" s="14">
        <v>577</v>
      </c>
      <c r="F1689" s="14">
        <v>6.6</v>
      </c>
      <c r="G1689" s="14">
        <v>11</v>
      </c>
      <c r="H1689" s="14">
        <v>86.18</v>
      </c>
      <c r="I1689" s="15">
        <v>0.55000000000000004</v>
      </c>
    </row>
    <row r="1690" spans="1:9" x14ac:dyDescent="0.25">
      <c r="A1690" s="12">
        <v>38</v>
      </c>
      <c r="B1690" s="13">
        <v>45152</v>
      </c>
      <c r="C1690" s="14">
        <v>30.1</v>
      </c>
      <c r="D1690" s="14">
        <v>69</v>
      </c>
      <c r="E1690" s="14">
        <v>782</v>
      </c>
      <c r="F1690" s="14">
        <v>6.6</v>
      </c>
      <c r="G1690" s="14">
        <v>12</v>
      </c>
      <c r="H1690" s="14">
        <v>86.18</v>
      </c>
      <c r="I1690" s="15">
        <v>0.69</v>
      </c>
    </row>
    <row r="1691" spans="1:9" x14ac:dyDescent="0.25">
      <c r="A1691" s="12">
        <v>38</v>
      </c>
      <c r="B1691" s="13">
        <v>45153</v>
      </c>
      <c r="C1691" s="14">
        <v>30.1</v>
      </c>
      <c r="D1691" s="14">
        <v>60</v>
      </c>
      <c r="E1691" s="14">
        <v>582</v>
      </c>
      <c r="F1691" s="14">
        <v>6</v>
      </c>
      <c r="G1691" s="14">
        <v>13</v>
      </c>
      <c r="H1691" s="14">
        <v>86.18</v>
      </c>
      <c r="I1691" s="15">
        <v>0.6</v>
      </c>
    </row>
    <row r="1692" spans="1:9" x14ac:dyDescent="0.25">
      <c r="A1692" s="12">
        <v>38</v>
      </c>
      <c r="B1692" s="13">
        <v>45154</v>
      </c>
      <c r="C1692" s="14">
        <v>29.8</v>
      </c>
      <c r="D1692" s="14">
        <v>64</v>
      </c>
      <c r="E1692" s="14">
        <v>459</v>
      </c>
      <c r="F1692" s="14">
        <v>6.1</v>
      </c>
      <c r="G1692" s="14">
        <v>14</v>
      </c>
      <c r="H1692" s="14">
        <v>85.64</v>
      </c>
      <c r="I1692" s="15">
        <v>0.64</v>
      </c>
    </row>
    <row r="1693" spans="1:9" x14ac:dyDescent="0.25">
      <c r="A1693" s="12">
        <v>38</v>
      </c>
      <c r="B1693" s="13">
        <v>45155</v>
      </c>
      <c r="C1693" s="14">
        <v>29.6</v>
      </c>
      <c r="D1693" s="14">
        <v>72</v>
      </c>
      <c r="E1693" s="14">
        <v>590</v>
      </c>
      <c r="F1693" s="14">
        <v>6.6</v>
      </c>
      <c r="G1693" s="14">
        <v>15</v>
      </c>
      <c r="H1693" s="14">
        <v>85.28</v>
      </c>
      <c r="I1693" s="15">
        <v>0.72</v>
      </c>
    </row>
    <row r="1694" spans="1:9" x14ac:dyDescent="0.25">
      <c r="A1694" s="12">
        <v>38</v>
      </c>
      <c r="B1694" s="13">
        <v>45156</v>
      </c>
      <c r="C1694" s="14">
        <v>30.9</v>
      </c>
      <c r="D1694" s="14">
        <v>68</v>
      </c>
      <c r="E1694" s="14">
        <v>592</v>
      </c>
      <c r="F1694" s="14">
        <v>6.7</v>
      </c>
      <c r="G1694" s="14">
        <v>16</v>
      </c>
      <c r="H1694" s="14">
        <v>87.62</v>
      </c>
      <c r="I1694" s="15">
        <v>0.68</v>
      </c>
    </row>
    <row r="1695" spans="1:9" x14ac:dyDescent="0.25">
      <c r="A1695" s="12">
        <v>38</v>
      </c>
      <c r="B1695" s="13">
        <v>45157</v>
      </c>
      <c r="C1695" s="14">
        <v>30.8</v>
      </c>
      <c r="D1695" s="14">
        <v>75</v>
      </c>
      <c r="E1695" s="14">
        <v>526</v>
      </c>
      <c r="F1695" s="14">
        <v>6.7</v>
      </c>
      <c r="G1695" s="14">
        <v>17</v>
      </c>
      <c r="H1695" s="14">
        <v>87.44</v>
      </c>
      <c r="I1695" s="15">
        <v>0.75</v>
      </c>
    </row>
    <row r="1696" spans="1:9" x14ac:dyDescent="0.25">
      <c r="A1696" s="12">
        <v>38</v>
      </c>
      <c r="B1696" s="13">
        <v>45158</v>
      </c>
      <c r="C1696" s="14">
        <v>30.9</v>
      </c>
      <c r="D1696" s="14">
        <v>73</v>
      </c>
      <c r="E1696" s="14">
        <v>600</v>
      </c>
      <c r="F1696" s="14">
        <v>6.3</v>
      </c>
      <c r="G1696" s="14">
        <v>18</v>
      </c>
      <c r="H1696" s="14">
        <v>87.62</v>
      </c>
      <c r="I1696" s="15">
        <v>0.73</v>
      </c>
    </row>
    <row r="1697" spans="1:9" x14ac:dyDescent="0.25">
      <c r="A1697" s="12">
        <v>38</v>
      </c>
      <c r="B1697" s="13">
        <v>45159</v>
      </c>
      <c r="C1697" s="14">
        <v>30.2</v>
      </c>
      <c r="D1697" s="14">
        <v>69</v>
      </c>
      <c r="E1697" s="14">
        <v>676</v>
      </c>
      <c r="F1697" s="14">
        <v>6</v>
      </c>
      <c r="G1697" s="14">
        <v>19</v>
      </c>
      <c r="H1697" s="14">
        <v>86.36</v>
      </c>
      <c r="I1697" s="15">
        <v>0.69</v>
      </c>
    </row>
    <row r="1698" spans="1:9" x14ac:dyDescent="0.25">
      <c r="A1698" s="12">
        <v>38</v>
      </c>
      <c r="B1698" s="13">
        <v>45160</v>
      </c>
      <c r="C1698" s="14">
        <v>30.5</v>
      </c>
      <c r="D1698" s="14">
        <v>53</v>
      </c>
      <c r="E1698" s="14">
        <v>421</v>
      </c>
      <c r="F1698" s="14">
        <v>6.6</v>
      </c>
      <c r="G1698" s="14">
        <v>20</v>
      </c>
      <c r="H1698" s="14">
        <v>86.9</v>
      </c>
      <c r="I1698" s="15">
        <v>0.53</v>
      </c>
    </row>
    <row r="1699" spans="1:9" x14ac:dyDescent="0.25">
      <c r="A1699" s="12">
        <v>38</v>
      </c>
      <c r="B1699" s="13">
        <v>45161</v>
      </c>
      <c r="C1699" s="14">
        <v>30.8</v>
      </c>
      <c r="D1699" s="14">
        <v>75</v>
      </c>
      <c r="E1699" s="14">
        <v>578</v>
      </c>
      <c r="F1699" s="14">
        <v>6.1</v>
      </c>
      <c r="G1699" s="14">
        <v>21</v>
      </c>
      <c r="H1699" s="14">
        <v>87.44</v>
      </c>
      <c r="I1699" s="15">
        <v>0.75</v>
      </c>
    </row>
    <row r="1700" spans="1:9" x14ac:dyDescent="0.25">
      <c r="A1700" s="12">
        <v>38</v>
      </c>
      <c r="B1700" s="13">
        <v>45162</v>
      </c>
      <c r="C1700" s="14">
        <v>31.3</v>
      </c>
      <c r="D1700" s="14">
        <v>62</v>
      </c>
      <c r="E1700" s="14">
        <v>581</v>
      </c>
      <c r="F1700" s="14">
        <v>6.6</v>
      </c>
      <c r="G1700" s="14">
        <v>22</v>
      </c>
      <c r="H1700" s="14">
        <v>88.34</v>
      </c>
      <c r="I1700" s="15">
        <v>0.62</v>
      </c>
    </row>
    <row r="1701" spans="1:9" x14ac:dyDescent="0.25">
      <c r="A1701" s="12">
        <v>38</v>
      </c>
      <c r="B1701" s="13">
        <v>45163</v>
      </c>
      <c r="C1701" s="14">
        <v>31.4</v>
      </c>
      <c r="D1701" s="14">
        <v>72</v>
      </c>
      <c r="E1701" s="14">
        <v>427</v>
      </c>
      <c r="F1701" s="14">
        <v>6.3</v>
      </c>
      <c r="G1701" s="14">
        <v>23</v>
      </c>
      <c r="H1701" s="14">
        <v>88.52</v>
      </c>
      <c r="I1701" s="15">
        <v>0.72</v>
      </c>
    </row>
    <row r="1702" spans="1:9" x14ac:dyDescent="0.25">
      <c r="A1702" s="12">
        <v>38</v>
      </c>
      <c r="B1702" s="13">
        <v>45164</v>
      </c>
      <c r="C1702" s="14">
        <v>31.4</v>
      </c>
      <c r="D1702" s="14">
        <v>72</v>
      </c>
      <c r="E1702" s="14">
        <v>610</v>
      </c>
      <c r="F1702" s="14">
        <v>6.4</v>
      </c>
      <c r="G1702" s="14">
        <v>24</v>
      </c>
      <c r="H1702" s="14">
        <v>88.52</v>
      </c>
      <c r="I1702" s="15">
        <v>0.72</v>
      </c>
    </row>
    <row r="1703" spans="1:9" x14ac:dyDescent="0.25">
      <c r="A1703" s="12">
        <v>38</v>
      </c>
      <c r="B1703" s="13">
        <v>45165</v>
      </c>
      <c r="C1703" s="14">
        <v>30.1</v>
      </c>
      <c r="D1703" s="14">
        <v>79</v>
      </c>
      <c r="E1703" s="14">
        <v>548</v>
      </c>
      <c r="F1703" s="14">
        <v>6.3</v>
      </c>
      <c r="G1703" s="14">
        <v>25</v>
      </c>
      <c r="H1703" s="14">
        <v>86.18</v>
      </c>
      <c r="I1703" s="15">
        <v>0.79</v>
      </c>
    </row>
    <row r="1704" spans="1:9" x14ac:dyDescent="0.25">
      <c r="A1704" s="12">
        <v>38</v>
      </c>
      <c r="B1704" s="13">
        <v>45166</v>
      </c>
      <c r="C1704" s="14">
        <v>29.4</v>
      </c>
      <c r="D1704" s="14">
        <v>72</v>
      </c>
      <c r="E1704" s="14">
        <v>685</v>
      </c>
      <c r="F1704" s="14">
        <v>6.5</v>
      </c>
      <c r="G1704" s="14">
        <v>26</v>
      </c>
      <c r="H1704" s="14">
        <v>84.92</v>
      </c>
      <c r="I1704" s="15">
        <v>0.72</v>
      </c>
    </row>
    <row r="1705" spans="1:9" x14ac:dyDescent="0.25">
      <c r="A1705" s="12">
        <v>38</v>
      </c>
      <c r="B1705" s="13">
        <v>45167</v>
      </c>
      <c r="C1705" s="14">
        <v>28.7</v>
      </c>
      <c r="D1705" s="14">
        <v>72</v>
      </c>
      <c r="E1705" s="14">
        <v>656</v>
      </c>
      <c r="F1705" s="14">
        <v>6</v>
      </c>
      <c r="G1705" s="14">
        <v>27</v>
      </c>
      <c r="H1705" s="14">
        <v>83.66</v>
      </c>
      <c r="I1705" s="15">
        <v>0.72</v>
      </c>
    </row>
    <row r="1706" spans="1:9" x14ac:dyDescent="0.25">
      <c r="A1706" s="12">
        <v>38</v>
      </c>
      <c r="B1706" s="13">
        <v>45168</v>
      </c>
      <c r="C1706" s="14">
        <v>29.1</v>
      </c>
      <c r="D1706" s="14">
        <v>57</v>
      </c>
      <c r="E1706" s="14">
        <v>702</v>
      </c>
      <c r="F1706" s="14">
        <v>6.4</v>
      </c>
      <c r="G1706" s="14">
        <v>28</v>
      </c>
      <c r="H1706" s="14">
        <v>84.38</v>
      </c>
      <c r="I1706" s="15">
        <v>0.56999999999999995</v>
      </c>
    </row>
    <row r="1707" spans="1:9" x14ac:dyDescent="0.25">
      <c r="A1707" s="12">
        <v>38</v>
      </c>
      <c r="B1707" s="13">
        <v>45169</v>
      </c>
      <c r="C1707" s="14">
        <v>29.2</v>
      </c>
      <c r="D1707" s="14">
        <v>74</v>
      </c>
      <c r="E1707" s="14">
        <v>565</v>
      </c>
      <c r="F1707" s="14">
        <v>6.5</v>
      </c>
      <c r="G1707" s="14">
        <v>29</v>
      </c>
      <c r="H1707" s="14">
        <v>84.56</v>
      </c>
      <c r="I1707" s="15">
        <v>0.74</v>
      </c>
    </row>
    <row r="1708" spans="1:9" x14ac:dyDescent="0.25">
      <c r="A1708" s="12">
        <v>38</v>
      </c>
      <c r="B1708" s="13">
        <v>45170</v>
      </c>
      <c r="C1708" s="14">
        <v>31.7</v>
      </c>
      <c r="D1708" s="14">
        <v>58</v>
      </c>
      <c r="E1708" s="14">
        <v>474</v>
      </c>
      <c r="F1708" s="14">
        <v>6.7</v>
      </c>
      <c r="G1708" s="14">
        <v>30</v>
      </c>
      <c r="H1708" s="14">
        <v>89.06</v>
      </c>
      <c r="I1708" s="15">
        <v>0.57999999999999996</v>
      </c>
    </row>
    <row r="1709" spans="1:9" x14ac:dyDescent="0.25">
      <c r="A1709" s="12">
        <v>38</v>
      </c>
      <c r="B1709" s="13">
        <v>45171</v>
      </c>
      <c r="C1709" s="14">
        <v>31.7</v>
      </c>
      <c r="D1709" s="14">
        <v>79</v>
      </c>
      <c r="E1709" s="14">
        <v>727</v>
      </c>
      <c r="F1709" s="14">
        <v>6.4</v>
      </c>
      <c r="G1709" s="14">
        <v>31</v>
      </c>
      <c r="H1709" s="14">
        <v>89.06</v>
      </c>
      <c r="I1709" s="15">
        <v>0.79</v>
      </c>
    </row>
    <row r="1710" spans="1:9" x14ac:dyDescent="0.25">
      <c r="A1710" s="12">
        <v>38</v>
      </c>
      <c r="B1710" s="13">
        <v>45172</v>
      </c>
      <c r="C1710" s="14">
        <v>31.7</v>
      </c>
      <c r="D1710" s="14">
        <v>74</v>
      </c>
      <c r="E1710" s="14">
        <v>615</v>
      </c>
      <c r="F1710" s="14">
        <v>6.7</v>
      </c>
      <c r="G1710" s="14">
        <v>32</v>
      </c>
      <c r="H1710" s="14">
        <v>89.06</v>
      </c>
      <c r="I1710" s="15">
        <v>0.74</v>
      </c>
    </row>
    <row r="1711" spans="1:9" x14ac:dyDescent="0.25">
      <c r="A1711" s="12">
        <v>38</v>
      </c>
      <c r="B1711" s="13">
        <v>45173</v>
      </c>
      <c r="C1711" s="14">
        <v>31.7</v>
      </c>
      <c r="D1711" s="14">
        <v>65</v>
      </c>
      <c r="E1711" s="14">
        <v>527</v>
      </c>
      <c r="F1711" s="14">
        <v>6.6</v>
      </c>
      <c r="G1711" s="14">
        <v>33</v>
      </c>
      <c r="H1711" s="14">
        <v>89.06</v>
      </c>
      <c r="I1711" s="15">
        <v>0.65</v>
      </c>
    </row>
    <row r="1712" spans="1:9" x14ac:dyDescent="0.25">
      <c r="A1712" s="12">
        <v>38</v>
      </c>
      <c r="B1712" s="13">
        <v>45174</v>
      </c>
      <c r="C1712" s="14">
        <v>32</v>
      </c>
      <c r="D1712" s="14">
        <v>51</v>
      </c>
      <c r="E1712" s="14">
        <v>724</v>
      </c>
      <c r="F1712" s="14">
        <v>6.7</v>
      </c>
      <c r="G1712" s="14">
        <v>34</v>
      </c>
      <c r="H1712" s="14">
        <v>89.6</v>
      </c>
      <c r="I1712" s="15">
        <v>0.51</v>
      </c>
    </row>
    <row r="1713" spans="1:9" x14ac:dyDescent="0.25">
      <c r="A1713" s="12">
        <v>38</v>
      </c>
      <c r="B1713" s="13">
        <v>45175</v>
      </c>
      <c r="C1713" s="14">
        <v>32.1</v>
      </c>
      <c r="D1713" s="14">
        <v>55</v>
      </c>
      <c r="E1713" s="14">
        <v>470</v>
      </c>
      <c r="F1713" s="14">
        <v>6.7</v>
      </c>
      <c r="G1713" s="14">
        <v>35</v>
      </c>
      <c r="H1713" s="14">
        <v>89.78</v>
      </c>
      <c r="I1713" s="15">
        <v>0.55000000000000004</v>
      </c>
    </row>
    <row r="1714" spans="1:9" x14ac:dyDescent="0.25">
      <c r="A1714" s="12">
        <v>38</v>
      </c>
      <c r="B1714" s="13">
        <v>45176</v>
      </c>
      <c r="C1714" s="14">
        <v>31.5</v>
      </c>
      <c r="D1714" s="14">
        <v>77</v>
      </c>
      <c r="E1714" s="14">
        <v>581</v>
      </c>
      <c r="F1714" s="14">
        <v>6.7</v>
      </c>
      <c r="G1714" s="14">
        <v>36</v>
      </c>
      <c r="H1714" s="14">
        <v>88.7</v>
      </c>
      <c r="I1714" s="15">
        <v>0.77</v>
      </c>
    </row>
    <row r="1715" spans="1:9" x14ac:dyDescent="0.25">
      <c r="A1715" s="12">
        <v>38</v>
      </c>
      <c r="B1715" s="13">
        <v>45177</v>
      </c>
      <c r="C1715" s="14">
        <v>29.8</v>
      </c>
      <c r="D1715" s="14">
        <v>73</v>
      </c>
      <c r="E1715" s="14">
        <v>438</v>
      </c>
      <c r="F1715" s="14">
        <v>6.5</v>
      </c>
      <c r="G1715" s="14">
        <v>37</v>
      </c>
      <c r="H1715" s="14">
        <v>85.64</v>
      </c>
      <c r="I1715" s="15">
        <v>0.73</v>
      </c>
    </row>
    <row r="1716" spans="1:9" x14ac:dyDescent="0.25">
      <c r="A1716" s="12">
        <v>38</v>
      </c>
      <c r="B1716" s="13">
        <v>45178</v>
      </c>
      <c r="C1716" s="14">
        <v>20.100000000000001</v>
      </c>
      <c r="D1716" s="14">
        <v>58</v>
      </c>
      <c r="E1716" s="14">
        <v>634</v>
      </c>
      <c r="F1716" s="14">
        <v>6.8</v>
      </c>
      <c r="G1716" s="14">
        <v>38</v>
      </c>
      <c r="H1716" s="14">
        <v>68.180000000000007</v>
      </c>
      <c r="I1716" s="15">
        <v>0.57999999999999996</v>
      </c>
    </row>
    <row r="1717" spans="1:9" x14ac:dyDescent="0.25">
      <c r="A1717" s="12">
        <v>38</v>
      </c>
      <c r="B1717" s="13">
        <v>45179</v>
      </c>
      <c r="C1717" s="14">
        <v>31.1</v>
      </c>
      <c r="D1717" s="14">
        <v>52</v>
      </c>
      <c r="E1717" s="14">
        <v>548</v>
      </c>
      <c r="F1717" s="14">
        <v>6.6</v>
      </c>
      <c r="G1717" s="14">
        <v>39</v>
      </c>
      <c r="H1717" s="14">
        <v>87.98</v>
      </c>
      <c r="I1717" s="15">
        <v>0.52</v>
      </c>
    </row>
    <row r="1718" spans="1:9" x14ac:dyDescent="0.25">
      <c r="A1718" s="12">
        <v>38</v>
      </c>
      <c r="B1718" s="13">
        <v>45180</v>
      </c>
      <c r="C1718" s="14">
        <v>31.2</v>
      </c>
      <c r="D1718" s="14">
        <v>61</v>
      </c>
      <c r="E1718" s="14">
        <v>696</v>
      </c>
      <c r="F1718" s="14">
        <v>6.1</v>
      </c>
      <c r="G1718" s="14">
        <v>40</v>
      </c>
      <c r="H1718" s="14">
        <v>88.16</v>
      </c>
      <c r="I1718" s="15">
        <v>0.61</v>
      </c>
    </row>
    <row r="1719" spans="1:9" x14ac:dyDescent="0.25">
      <c r="A1719" s="12">
        <v>38</v>
      </c>
      <c r="B1719" s="13">
        <v>45181</v>
      </c>
      <c r="C1719" s="14">
        <v>31.2</v>
      </c>
      <c r="D1719" s="14">
        <v>58</v>
      </c>
      <c r="E1719" s="14">
        <v>611</v>
      </c>
      <c r="F1719" s="14">
        <v>6.1</v>
      </c>
      <c r="G1719" s="14">
        <v>41</v>
      </c>
      <c r="H1719" s="14">
        <v>88.16</v>
      </c>
      <c r="I1719" s="15">
        <v>0.57999999999999996</v>
      </c>
    </row>
    <row r="1720" spans="1:9" x14ac:dyDescent="0.25">
      <c r="A1720" s="12">
        <v>38</v>
      </c>
      <c r="B1720" s="13">
        <v>45182</v>
      </c>
      <c r="C1720" s="14">
        <v>30.4</v>
      </c>
      <c r="D1720" s="14">
        <v>66</v>
      </c>
      <c r="E1720" s="14">
        <v>748</v>
      </c>
      <c r="F1720" s="14">
        <v>6.3</v>
      </c>
      <c r="G1720" s="14">
        <v>42</v>
      </c>
      <c r="H1720" s="14">
        <v>86.72</v>
      </c>
      <c r="I1720" s="15">
        <v>0.66</v>
      </c>
    </row>
    <row r="1721" spans="1:9" x14ac:dyDescent="0.25">
      <c r="A1721" s="12">
        <v>38</v>
      </c>
      <c r="B1721" s="13">
        <v>45183</v>
      </c>
      <c r="C1721" s="14">
        <v>29.1</v>
      </c>
      <c r="D1721" s="14">
        <v>63</v>
      </c>
      <c r="E1721" s="14">
        <v>545</v>
      </c>
      <c r="F1721" s="14">
        <v>6.3</v>
      </c>
      <c r="G1721" s="14">
        <v>43</v>
      </c>
      <c r="H1721" s="14">
        <v>84.38</v>
      </c>
      <c r="I1721" s="15">
        <v>0.63</v>
      </c>
    </row>
    <row r="1722" spans="1:9" x14ac:dyDescent="0.25">
      <c r="A1722" s="12">
        <v>38</v>
      </c>
      <c r="B1722" s="13">
        <v>45184</v>
      </c>
      <c r="C1722" s="14">
        <v>30.6</v>
      </c>
      <c r="D1722" s="14">
        <v>68</v>
      </c>
      <c r="E1722" s="14">
        <v>748</v>
      </c>
      <c r="F1722" s="14">
        <v>6.3</v>
      </c>
      <c r="G1722" s="14">
        <v>44</v>
      </c>
      <c r="H1722" s="14">
        <v>87.08</v>
      </c>
      <c r="I1722" s="15">
        <v>0.68</v>
      </c>
    </row>
    <row r="1723" spans="1:9" x14ac:dyDescent="0.25">
      <c r="A1723" s="12">
        <v>38</v>
      </c>
      <c r="B1723" s="13">
        <v>45185</v>
      </c>
      <c r="C1723" s="14">
        <v>31.5</v>
      </c>
      <c r="D1723" s="14">
        <v>67</v>
      </c>
      <c r="E1723" s="14">
        <v>742</v>
      </c>
      <c r="F1723" s="14">
        <v>6.7</v>
      </c>
      <c r="G1723" s="14">
        <v>45</v>
      </c>
      <c r="H1723" s="14">
        <v>88.7</v>
      </c>
      <c r="I1723" s="15">
        <v>0.67</v>
      </c>
    </row>
    <row r="1724" spans="1:9" x14ac:dyDescent="0.25">
      <c r="A1724" s="12">
        <v>39</v>
      </c>
      <c r="B1724" s="13">
        <v>45141</v>
      </c>
      <c r="C1724" s="14">
        <v>33.4</v>
      </c>
      <c r="D1724" s="14">
        <v>75</v>
      </c>
      <c r="E1724" s="14">
        <v>416</v>
      </c>
      <c r="F1724" s="14">
        <v>6.6</v>
      </c>
      <c r="G1724" s="14">
        <v>1</v>
      </c>
      <c r="H1724" s="14">
        <v>92.12</v>
      </c>
      <c r="I1724" s="15">
        <v>0.75</v>
      </c>
    </row>
    <row r="1725" spans="1:9" x14ac:dyDescent="0.25">
      <c r="A1725" s="12">
        <v>39</v>
      </c>
      <c r="B1725" s="13">
        <v>45142</v>
      </c>
      <c r="C1725" s="14">
        <v>33.5</v>
      </c>
      <c r="D1725" s="14">
        <v>73</v>
      </c>
      <c r="E1725" s="14">
        <v>449</v>
      </c>
      <c r="F1725" s="14">
        <v>6.7</v>
      </c>
      <c r="G1725" s="14">
        <v>2</v>
      </c>
      <c r="H1725" s="14">
        <v>92.3</v>
      </c>
      <c r="I1725" s="15">
        <v>0.73</v>
      </c>
    </row>
    <row r="1726" spans="1:9" x14ac:dyDescent="0.25">
      <c r="A1726" s="12">
        <v>39</v>
      </c>
      <c r="B1726" s="13">
        <v>45143</v>
      </c>
      <c r="C1726" s="14">
        <v>33.4</v>
      </c>
      <c r="D1726" s="14">
        <v>77</v>
      </c>
      <c r="E1726" s="14">
        <v>601</v>
      </c>
      <c r="F1726" s="14">
        <v>6.2</v>
      </c>
      <c r="G1726" s="14">
        <v>3</v>
      </c>
      <c r="H1726" s="14">
        <v>92.12</v>
      </c>
      <c r="I1726" s="15">
        <v>0.77</v>
      </c>
    </row>
    <row r="1727" spans="1:9" x14ac:dyDescent="0.25">
      <c r="A1727" s="12">
        <v>39</v>
      </c>
      <c r="B1727" s="13">
        <v>45144</v>
      </c>
      <c r="C1727" s="14">
        <v>33.4</v>
      </c>
      <c r="D1727" s="14">
        <v>74</v>
      </c>
      <c r="E1727" s="14">
        <v>564</v>
      </c>
      <c r="F1727" s="14">
        <v>6.4</v>
      </c>
      <c r="G1727" s="14">
        <v>4</v>
      </c>
      <c r="H1727" s="14">
        <v>92.12</v>
      </c>
      <c r="I1727" s="15">
        <v>0.74</v>
      </c>
    </row>
    <row r="1728" spans="1:9" x14ac:dyDescent="0.25">
      <c r="A1728" s="12">
        <v>39</v>
      </c>
      <c r="B1728" s="13">
        <v>45145</v>
      </c>
      <c r="C1728" s="14">
        <v>33.4</v>
      </c>
      <c r="D1728" s="14">
        <v>80</v>
      </c>
      <c r="E1728" s="14">
        <v>642</v>
      </c>
      <c r="F1728" s="14">
        <v>6.7</v>
      </c>
      <c r="G1728" s="14">
        <v>5</v>
      </c>
      <c r="H1728" s="14">
        <v>92.12</v>
      </c>
      <c r="I1728" s="15">
        <v>0.8</v>
      </c>
    </row>
    <row r="1729" spans="1:9" x14ac:dyDescent="0.25">
      <c r="A1729" s="12">
        <v>39</v>
      </c>
      <c r="B1729" s="13">
        <v>45146</v>
      </c>
      <c r="C1729" s="14">
        <v>32.299999999999997</v>
      </c>
      <c r="D1729" s="14">
        <v>68</v>
      </c>
      <c r="E1729" s="14">
        <v>791</v>
      </c>
      <c r="F1729" s="14">
        <v>6.3</v>
      </c>
      <c r="G1729" s="14">
        <v>6</v>
      </c>
      <c r="H1729" s="14">
        <v>90.14</v>
      </c>
      <c r="I1729" s="15">
        <v>0.68</v>
      </c>
    </row>
    <row r="1730" spans="1:9" x14ac:dyDescent="0.25">
      <c r="A1730" s="12">
        <v>39</v>
      </c>
      <c r="B1730" s="13">
        <v>45147</v>
      </c>
      <c r="C1730" s="14">
        <v>32.299999999999997</v>
      </c>
      <c r="D1730" s="14">
        <v>61</v>
      </c>
      <c r="E1730" s="14">
        <v>591</v>
      </c>
      <c r="F1730" s="14">
        <v>6</v>
      </c>
      <c r="G1730" s="14">
        <v>7</v>
      </c>
      <c r="H1730" s="14">
        <v>90.14</v>
      </c>
      <c r="I1730" s="15">
        <v>0.61</v>
      </c>
    </row>
    <row r="1731" spans="1:9" x14ac:dyDescent="0.25">
      <c r="A1731" s="12">
        <v>39</v>
      </c>
      <c r="B1731" s="13">
        <v>45148</v>
      </c>
      <c r="C1731" s="14">
        <v>22.7</v>
      </c>
      <c r="D1731" s="14">
        <v>51</v>
      </c>
      <c r="E1731" s="14">
        <v>466</v>
      </c>
      <c r="F1731" s="14">
        <v>6.7</v>
      </c>
      <c r="G1731" s="14">
        <v>8</v>
      </c>
      <c r="H1731" s="14">
        <v>72.86</v>
      </c>
      <c r="I1731" s="15">
        <v>0.51</v>
      </c>
    </row>
    <row r="1732" spans="1:9" x14ac:dyDescent="0.25">
      <c r="A1732" s="12">
        <v>39</v>
      </c>
      <c r="B1732" s="13">
        <v>45149</v>
      </c>
      <c r="C1732" s="14">
        <v>31.9</v>
      </c>
      <c r="D1732" s="14">
        <v>56</v>
      </c>
      <c r="E1732" s="14">
        <v>438</v>
      </c>
      <c r="F1732" s="14">
        <v>6.2</v>
      </c>
      <c r="G1732" s="14">
        <v>9</v>
      </c>
      <c r="H1732" s="14">
        <v>89.42</v>
      </c>
      <c r="I1732" s="15">
        <v>0.56000000000000005</v>
      </c>
    </row>
    <row r="1733" spans="1:9" x14ac:dyDescent="0.25">
      <c r="A1733" s="12">
        <v>39</v>
      </c>
      <c r="B1733" s="13">
        <v>45150</v>
      </c>
      <c r="C1733" s="14">
        <v>30.2</v>
      </c>
      <c r="D1733" s="14">
        <v>71</v>
      </c>
      <c r="E1733" s="14">
        <v>769</v>
      </c>
      <c r="F1733" s="14">
        <v>6.6</v>
      </c>
      <c r="G1733" s="14">
        <v>10</v>
      </c>
      <c r="H1733" s="14">
        <v>86.36</v>
      </c>
      <c r="I1733" s="15">
        <v>0.71</v>
      </c>
    </row>
    <row r="1734" spans="1:9" x14ac:dyDescent="0.25">
      <c r="A1734" s="12">
        <v>39</v>
      </c>
      <c r="B1734" s="13">
        <v>45151</v>
      </c>
      <c r="C1734" s="14">
        <v>30.1</v>
      </c>
      <c r="D1734" s="14">
        <v>74</v>
      </c>
      <c r="E1734" s="14">
        <v>646</v>
      </c>
      <c r="F1734" s="14">
        <v>6.7</v>
      </c>
      <c r="G1734" s="14">
        <v>11</v>
      </c>
      <c r="H1734" s="14">
        <v>86.18</v>
      </c>
      <c r="I1734" s="15">
        <v>0.74</v>
      </c>
    </row>
    <row r="1735" spans="1:9" x14ac:dyDescent="0.25">
      <c r="A1735" s="12">
        <v>39</v>
      </c>
      <c r="B1735" s="13">
        <v>45152</v>
      </c>
      <c r="C1735" s="14">
        <v>30.1</v>
      </c>
      <c r="D1735" s="14">
        <v>51</v>
      </c>
      <c r="E1735" s="14">
        <v>786</v>
      </c>
      <c r="F1735" s="14">
        <v>6.2</v>
      </c>
      <c r="G1735" s="14">
        <v>12</v>
      </c>
      <c r="H1735" s="14">
        <v>86.18</v>
      </c>
      <c r="I1735" s="15">
        <v>0.51</v>
      </c>
    </row>
    <row r="1736" spans="1:9" x14ac:dyDescent="0.25">
      <c r="A1736" s="12">
        <v>39</v>
      </c>
      <c r="B1736" s="13">
        <v>45153</v>
      </c>
      <c r="C1736" s="14">
        <v>30.1</v>
      </c>
      <c r="D1736" s="14">
        <v>61</v>
      </c>
      <c r="E1736" s="14">
        <v>705</v>
      </c>
      <c r="F1736" s="14">
        <v>6.7</v>
      </c>
      <c r="G1736" s="14">
        <v>13</v>
      </c>
      <c r="H1736" s="14">
        <v>86.18</v>
      </c>
      <c r="I1736" s="15">
        <v>0.61</v>
      </c>
    </row>
    <row r="1737" spans="1:9" x14ac:dyDescent="0.25">
      <c r="A1737" s="12">
        <v>39</v>
      </c>
      <c r="B1737" s="13">
        <v>45154</v>
      </c>
      <c r="C1737" s="14">
        <v>29.8</v>
      </c>
      <c r="D1737" s="14">
        <v>56</v>
      </c>
      <c r="E1737" s="14">
        <v>404</v>
      </c>
      <c r="F1737" s="14">
        <v>6.3</v>
      </c>
      <c r="G1737" s="14">
        <v>14</v>
      </c>
      <c r="H1737" s="14">
        <v>85.64</v>
      </c>
      <c r="I1737" s="15">
        <v>0.56000000000000005</v>
      </c>
    </row>
    <row r="1738" spans="1:9" x14ac:dyDescent="0.25">
      <c r="A1738" s="12">
        <v>39</v>
      </c>
      <c r="B1738" s="13">
        <v>45155</v>
      </c>
      <c r="C1738" s="14">
        <v>29.6</v>
      </c>
      <c r="D1738" s="14">
        <v>68</v>
      </c>
      <c r="E1738" s="14">
        <v>563</v>
      </c>
      <c r="F1738" s="14">
        <v>6.3</v>
      </c>
      <c r="G1738" s="14">
        <v>15</v>
      </c>
      <c r="H1738" s="14">
        <v>85.28</v>
      </c>
      <c r="I1738" s="15">
        <v>0.68</v>
      </c>
    </row>
    <row r="1739" spans="1:9" x14ac:dyDescent="0.25">
      <c r="A1739" s="12">
        <v>39</v>
      </c>
      <c r="B1739" s="13">
        <v>45156</v>
      </c>
      <c r="C1739" s="14">
        <v>30.9</v>
      </c>
      <c r="D1739" s="14">
        <v>70</v>
      </c>
      <c r="E1739" s="14">
        <v>728</v>
      </c>
      <c r="F1739" s="14">
        <v>6.6</v>
      </c>
      <c r="G1739" s="14">
        <v>16</v>
      </c>
      <c r="H1739" s="14">
        <v>87.62</v>
      </c>
      <c r="I1739" s="15">
        <v>0.7</v>
      </c>
    </row>
    <row r="1740" spans="1:9" x14ac:dyDescent="0.25">
      <c r="A1740" s="12">
        <v>39</v>
      </c>
      <c r="B1740" s="13">
        <v>45157</v>
      </c>
      <c r="C1740" s="14">
        <v>30.8</v>
      </c>
      <c r="D1740" s="14">
        <v>61</v>
      </c>
      <c r="E1740" s="14">
        <v>447</v>
      </c>
      <c r="F1740" s="14">
        <v>6.8</v>
      </c>
      <c r="G1740" s="14">
        <v>17</v>
      </c>
      <c r="H1740" s="14">
        <v>87.44</v>
      </c>
      <c r="I1740" s="15">
        <v>0.61</v>
      </c>
    </row>
    <row r="1741" spans="1:9" x14ac:dyDescent="0.25">
      <c r="A1741" s="12">
        <v>39</v>
      </c>
      <c r="B1741" s="13">
        <v>45158</v>
      </c>
      <c r="C1741" s="14">
        <v>30.9</v>
      </c>
      <c r="D1741" s="14">
        <v>66</v>
      </c>
      <c r="E1741" s="14">
        <v>708</v>
      </c>
      <c r="F1741" s="14">
        <v>6.2</v>
      </c>
      <c r="G1741" s="14">
        <v>18</v>
      </c>
      <c r="H1741" s="14">
        <v>87.62</v>
      </c>
      <c r="I1741" s="15">
        <v>0.66</v>
      </c>
    </row>
    <row r="1742" spans="1:9" x14ac:dyDescent="0.25">
      <c r="A1742" s="12">
        <v>39</v>
      </c>
      <c r="B1742" s="13">
        <v>45159</v>
      </c>
      <c r="C1742" s="14">
        <v>30.2</v>
      </c>
      <c r="D1742" s="14">
        <v>52</v>
      </c>
      <c r="E1742" s="14">
        <v>462</v>
      </c>
      <c r="F1742" s="14">
        <v>6.5</v>
      </c>
      <c r="G1742" s="14">
        <v>19</v>
      </c>
      <c r="H1742" s="14">
        <v>86.36</v>
      </c>
      <c r="I1742" s="15">
        <v>0.52</v>
      </c>
    </row>
    <row r="1743" spans="1:9" x14ac:dyDescent="0.25">
      <c r="A1743" s="12">
        <v>39</v>
      </c>
      <c r="B1743" s="13">
        <v>45160</v>
      </c>
      <c r="C1743" s="14">
        <v>30.5</v>
      </c>
      <c r="D1743" s="14">
        <v>52</v>
      </c>
      <c r="E1743" s="14">
        <v>707</v>
      </c>
      <c r="F1743" s="14">
        <v>6.1</v>
      </c>
      <c r="G1743" s="14">
        <v>20</v>
      </c>
      <c r="H1743" s="14">
        <v>86.9</v>
      </c>
      <c r="I1743" s="15">
        <v>0.52</v>
      </c>
    </row>
    <row r="1744" spans="1:9" x14ac:dyDescent="0.25">
      <c r="A1744" s="12">
        <v>39</v>
      </c>
      <c r="B1744" s="13">
        <v>45161</v>
      </c>
      <c r="C1744" s="14">
        <v>30.8</v>
      </c>
      <c r="D1744" s="14">
        <v>57</v>
      </c>
      <c r="E1744" s="14">
        <v>633</v>
      </c>
      <c r="F1744" s="14">
        <v>6.5</v>
      </c>
      <c r="G1744" s="14">
        <v>21</v>
      </c>
      <c r="H1744" s="14">
        <v>87.44</v>
      </c>
      <c r="I1744" s="15">
        <v>0.56999999999999995</v>
      </c>
    </row>
    <row r="1745" spans="1:9" x14ac:dyDescent="0.25">
      <c r="A1745" s="12">
        <v>39</v>
      </c>
      <c r="B1745" s="13">
        <v>45162</v>
      </c>
      <c r="C1745" s="14">
        <v>31.3</v>
      </c>
      <c r="D1745" s="14">
        <v>75</v>
      </c>
      <c r="E1745" s="14">
        <v>555</v>
      </c>
      <c r="F1745" s="14">
        <v>6.1</v>
      </c>
      <c r="G1745" s="14">
        <v>22</v>
      </c>
      <c r="H1745" s="14">
        <v>88.34</v>
      </c>
      <c r="I1745" s="15">
        <v>0.75</v>
      </c>
    </row>
    <row r="1746" spans="1:9" x14ac:dyDescent="0.25">
      <c r="A1746" s="12">
        <v>39</v>
      </c>
      <c r="B1746" s="13">
        <v>45163</v>
      </c>
      <c r="C1746" s="14">
        <v>31.4</v>
      </c>
      <c r="D1746" s="14">
        <v>80</v>
      </c>
      <c r="E1746" s="14">
        <v>670</v>
      </c>
      <c r="F1746" s="14">
        <v>6.4</v>
      </c>
      <c r="G1746" s="14">
        <v>23</v>
      </c>
      <c r="H1746" s="14">
        <v>88.52</v>
      </c>
      <c r="I1746" s="15">
        <v>0.8</v>
      </c>
    </row>
    <row r="1747" spans="1:9" x14ac:dyDescent="0.25">
      <c r="A1747" s="12">
        <v>39</v>
      </c>
      <c r="B1747" s="13">
        <v>45164</v>
      </c>
      <c r="C1747" s="14">
        <v>31.4</v>
      </c>
      <c r="D1747" s="14">
        <v>60</v>
      </c>
      <c r="E1747" s="14">
        <v>516</v>
      </c>
      <c r="F1747" s="14">
        <v>6.7</v>
      </c>
      <c r="G1747" s="14">
        <v>24</v>
      </c>
      <c r="H1747" s="14">
        <v>88.52</v>
      </c>
      <c r="I1747" s="15">
        <v>0.6</v>
      </c>
    </row>
    <row r="1748" spans="1:9" x14ac:dyDescent="0.25">
      <c r="A1748" s="12">
        <v>39</v>
      </c>
      <c r="B1748" s="13">
        <v>45165</v>
      </c>
      <c r="C1748" s="14">
        <v>30.1</v>
      </c>
      <c r="D1748" s="14">
        <v>74</v>
      </c>
      <c r="E1748" s="14">
        <v>463</v>
      </c>
      <c r="F1748" s="14">
        <v>6</v>
      </c>
      <c r="G1748" s="14">
        <v>25</v>
      </c>
      <c r="H1748" s="14">
        <v>86.18</v>
      </c>
      <c r="I1748" s="15">
        <v>0.74</v>
      </c>
    </row>
    <row r="1749" spans="1:9" x14ac:dyDescent="0.25">
      <c r="A1749" s="12">
        <v>39</v>
      </c>
      <c r="B1749" s="13">
        <v>45166</v>
      </c>
      <c r="C1749" s="14">
        <v>29.4</v>
      </c>
      <c r="D1749" s="14">
        <v>76</v>
      </c>
      <c r="E1749" s="14">
        <v>422</v>
      </c>
      <c r="F1749" s="14">
        <v>6.7</v>
      </c>
      <c r="G1749" s="14">
        <v>26</v>
      </c>
      <c r="H1749" s="14">
        <v>84.92</v>
      </c>
      <c r="I1749" s="15">
        <v>0.76</v>
      </c>
    </row>
    <row r="1750" spans="1:9" x14ac:dyDescent="0.25">
      <c r="A1750" s="12">
        <v>39</v>
      </c>
      <c r="B1750" s="13">
        <v>45167</v>
      </c>
      <c r="C1750" s="14">
        <v>28.7</v>
      </c>
      <c r="D1750" s="14">
        <v>68</v>
      </c>
      <c r="E1750" s="14">
        <v>480</v>
      </c>
      <c r="F1750" s="14">
        <v>6.8</v>
      </c>
      <c r="G1750" s="14">
        <v>27</v>
      </c>
      <c r="H1750" s="14">
        <v>83.66</v>
      </c>
      <c r="I1750" s="15">
        <v>0.68</v>
      </c>
    </row>
    <row r="1751" spans="1:9" x14ac:dyDescent="0.25">
      <c r="A1751" s="12">
        <v>39</v>
      </c>
      <c r="B1751" s="13">
        <v>45168</v>
      </c>
      <c r="C1751" s="14">
        <v>29.1</v>
      </c>
      <c r="D1751" s="14">
        <v>60</v>
      </c>
      <c r="E1751" s="14">
        <v>687</v>
      </c>
      <c r="F1751" s="14">
        <v>6.6</v>
      </c>
      <c r="G1751" s="14">
        <v>28</v>
      </c>
      <c r="H1751" s="14">
        <v>84.38</v>
      </c>
      <c r="I1751" s="15">
        <v>0.6</v>
      </c>
    </row>
    <row r="1752" spans="1:9" x14ac:dyDescent="0.25">
      <c r="A1752" s="12">
        <v>39</v>
      </c>
      <c r="B1752" s="13">
        <v>45169</v>
      </c>
      <c r="C1752" s="14">
        <v>29.2</v>
      </c>
      <c r="D1752" s="14">
        <v>60</v>
      </c>
      <c r="E1752" s="14">
        <v>782</v>
      </c>
      <c r="F1752" s="14">
        <v>6.8</v>
      </c>
      <c r="G1752" s="14">
        <v>29</v>
      </c>
      <c r="H1752" s="14">
        <v>84.56</v>
      </c>
      <c r="I1752" s="15">
        <v>0.6</v>
      </c>
    </row>
    <row r="1753" spans="1:9" x14ac:dyDescent="0.25">
      <c r="A1753" s="12">
        <v>39</v>
      </c>
      <c r="B1753" s="13">
        <v>45170</v>
      </c>
      <c r="C1753" s="14">
        <v>31.7</v>
      </c>
      <c r="D1753" s="14">
        <v>58</v>
      </c>
      <c r="E1753" s="14">
        <v>758</v>
      </c>
      <c r="F1753" s="14">
        <v>6.1</v>
      </c>
      <c r="G1753" s="14">
        <v>30</v>
      </c>
      <c r="H1753" s="14">
        <v>89.06</v>
      </c>
      <c r="I1753" s="15">
        <v>0.57999999999999996</v>
      </c>
    </row>
    <row r="1754" spans="1:9" x14ac:dyDescent="0.25">
      <c r="A1754" s="12">
        <v>39</v>
      </c>
      <c r="B1754" s="13">
        <v>45171</v>
      </c>
      <c r="C1754" s="14">
        <v>31.7</v>
      </c>
      <c r="D1754" s="14">
        <v>54</v>
      </c>
      <c r="E1754" s="14">
        <v>663</v>
      </c>
      <c r="F1754" s="14">
        <v>6.1</v>
      </c>
      <c r="G1754" s="14">
        <v>31</v>
      </c>
      <c r="H1754" s="14">
        <v>89.06</v>
      </c>
      <c r="I1754" s="15">
        <v>0.54</v>
      </c>
    </row>
    <row r="1755" spans="1:9" x14ac:dyDescent="0.25">
      <c r="A1755" s="12">
        <v>39</v>
      </c>
      <c r="B1755" s="13">
        <v>45172</v>
      </c>
      <c r="C1755" s="14">
        <v>31.7</v>
      </c>
      <c r="D1755" s="14">
        <v>57</v>
      </c>
      <c r="E1755" s="14">
        <v>486</v>
      </c>
      <c r="F1755" s="14">
        <v>6.1</v>
      </c>
      <c r="G1755" s="14">
        <v>32</v>
      </c>
      <c r="H1755" s="14">
        <v>89.06</v>
      </c>
      <c r="I1755" s="15">
        <v>0.56999999999999995</v>
      </c>
    </row>
    <row r="1756" spans="1:9" x14ac:dyDescent="0.25">
      <c r="A1756" s="12">
        <v>39</v>
      </c>
      <c r="B1756" s="13">
        <v>45173</v>
      </c>
      <c r="C1756" s="14">
        <v>31.7</v>
      </c>
      <c r="D1756" s="14">
        <v>69</v>
      </c>
      <c r="E1756" s="14">
        <v>547</v>
      </c>
      <c r="F1756" s="14">
        <v>6.7</v>
      </c>
      <c r="G1756" s="14">
        <v>33</v>
      </c>
      <c r="H1756" s="14">
        <v>89.06</v>
      </c>
      <c r="I1756" s="15">
        <v>0.69</v>
      </c>
    </row>
    <row r="1757" spans="1:9" x14ac:dyDescent="0.25">
      <c r="A1757" s="12">
        <v>39</v>
      </c>
      <c r="B1757" s="13">
        <v>45174</v>
      </c>
      <c r="C1757" s="14">
        <v>32</v>
      </c>
      <c r="D1757" s="14">
        <v>55</v>
      </c>
      <c r="E1757" s="14">
        <v>413</v>
      </c>
      <c r="F1757" s="14">
        <v>6.8</v>
      </c>
      <c r="G1757" s="14">
        <v>34</v>
      </c>
      <c r="H1757" s="14">
        <v>89.6</v>
      </c>
      <c r="I1757" s="15">
        <v>0.55000000000000004</v>
      </c>
    </row>
    <row r="1758" spans="1:9" x14ac:dyDescent="0.25">
      <c r="A1758" s="12">
        <v>39</v>
      </c>
      <c r="B1758" s="13">
        <v>45175</v>
      </c>
      <c r="C1758" s="14">
        <v>32.1</v>
      </c>
      <c r="D1758" s="14">
        <v>65</v>
      </c>
      <c r="E1758" s="14">
        <v>739</v>
      </c>
      <c r="F1758" s="14">
        <v>6.1</v>
      </c>
      <c r="G1758" s="14">
        <v>35</v>
      </c>
      <c r="H1758" s="14">
        <v>89.78</v>
      </c>
      <c r="I1758" s="15">
        <v>0.65</v>
      </c>
    </row>
    <row r="1759" spans="1:9" x14ac:dyDescent="0.25">
      <c r="A1759" s="12">
        <v>39</v>
      </c>
      <c r="B1759" s="13">
        <v>45176</v>
      </c>
      <c r="C1759" s="14">
        <v>31.5</v>
      </c>
      <c r="D1759" s="14">
        <v>67</v>
      </c>
      <c r="E1759" s="14">
        <v>522</v>
      </c>
      <c r="F1759" s="14">
        <v>6.2</v>
      </c>
      <c r="G1759" s="14">
        <v>36</v>
      </c>
      <c r="H1759" s="14">
        <v>88.7</v>
      </c>
      <c r="I1759" s="15">
        <v>0.67</v>
      </c>
    </row>
    <row r="1760" spans="1:9" x14ac:dyDescent="0.25">
      <c r="A1760" s="12">
        <v>39</v>
      </c>
      <c r="B1760" s="13">
        <v>45177</v>
      </c>
      <c r="C1760" s="14">
        <v>29.8</v>
      </c>
      <c r="D1760" s="14">
        <v>62</v>
      </c>
      <c r="E1760" s="14">
        <v>434</v>
      </c>
      <c r="F1760" s="14">
        <v>6.7</v>
      </c>
      <c r="G1760" s="14">
        <v>37</v>
      </c>
      <c r="H1760" s="14">
        <v>85.64</v>
      </c>
      <c r="I1760" s="15">
        <v>0.62</v>
      </c>
    </row>
    <row r="1761" spans="1:9" x14ac:dyDescent="0.25">
      <c r="A1761" s="12">
        <v>39</v>
      </c>
      <c r="B1761" s="13">
        <v>45178</v>
      </c>
      <c r="C1761" s="14">
        <v>20.100000000000001</v>
      </c>
      <c r="D1761" s="14">
        <v>70</v>
      </c>
      <c r="E1761" s="14">
        <v>710</v>
      </c>
      <c r="F1761" s="14">
        <v>6.1</v>
      </c>
      <c r="G1761" s="14">
        <v>38</v>
      </c>
      <c r="H1761" s="14">
        <v>68.180000000000007</v>
      </c>
      <c r="I1761" s="15">
        <v>0.7</v>
      </c>
    </row>
    <row r="1762" spans="1:9" x14ac:dyDescent="0.25">
      <c r="A1762" s="12">
        <v>39</v>
      </c>
      <c r="B1762" s="13">
        <v>45179</v>
      </c>
      <c r="C1762" s="14">
        <v>31.1</v>
      </c>
      <c r="D1762" s="14">
        <v>53</v>
      </c>
      <c r="E1762" s="14">
        <v>697</v>
      </c>
      <c r="F1762" s="14">
        <v>6.2</v>
      </c>
      <c r="G1762" s="14">
        <v>39</v>
      </c>
      <c r="H1762" s="14">
        <v>87.98</v>
      </c>
      <c r="I1762" s="15">
        <v>0.53</v>
      </c>
    </row>
    <row r="1763" spans="1:9" x14ac:dyDescent="0.25">
      <c r="A1763" s="12">
        <v>39</v>
      </c>
      <c r="B1763" s="13">
        <v>45180</v>
      </c>
      <c r="C1763" s="14">
        <v>31.2</v>
      </c>
      <c r="D1763" s="14">
        <v>52</v>
      </c>
      <c r="E1763" s="14">
        <v>481</v>
      </c>
      <c r="F1763" s="14">
        <v>6.1</v>
      </c>
      <c r="G1763" s="14">
        <v>40</v>
      </c>
      <c r="H1763" s="14">
        <v>88.16</v>
      </c>
      <c r="I1763" s="15">
        <v>0.52</v>
      </c>
    </row>
    <row r="1764" spans="1:9" x14ac:dyDescent="0.25">
      <c r="A1764" s="12">
        <v>39</v>
      </c>
      <c r="B1764" s="13">
        <v>45181</v>
      </c>
      <c r="C1764" s="14">
        <v>31.2</v>
      </c>
      <c r="D1764" s="14">
        <v>55</v>
      </c>
      <c r="E1764" s="14">
        <v>539</v>
      </c>
      <c r="F1764" s="14">
        <v>6.1</v>
      </c>
      <c r="G1764" s="14">
        <v>41</v>
      </c>
      <c r="H1764" s="14">
        <v>88.16</v>
      </c>
      <c r="I1764" s="15">
        <v>0.55000000000000004</v>
      </c>
    </row>
    <row r="1765" spans="1:9" x14ac:dyDescent="0.25">
      <c r="A1765" s="12">
        <v>39</v>
      </c>
      <c r="B1765" s="13">
        <v>45182</v>
      </c>
      <c r="C1765" s="14">
        <v>30.4</v>
      </c>
      <c r="D1765" s="14">
        <v>70</v>
      </c>
      <c r="E1765" s="14">
        <v>612</v>
      </c>
      <c r="F1765" s="14">
        <v>6.5</v>
      </c>
      <c r="G1765" s="14">
        <v>42</v>
      </c>
      <c r="H1765" s="14">
        <v>86.72</v>
      </c>
      <c r="I1765" s="15">
        <v>0.7</v>
      </c>
    </row>
    <row r="1766" spans="1:9" x14ac:dyDescent="0.25">
      <c r="A1766" s="12">
        <v>39</v>
      </c>
      <c r="B1766" s="13">
        <v>45183</v>
      </c>
      <c r="C1766" s="14">
        <v>29.1</v>
      </c>
      <c r="D1766" s="14">
        <v>55</v>
      </c>
      <c r="E1766" s="14">
        <v>681</v>
      </c>
      <c r="F1766" s="14">
        <v>6.2</v>
      </c>
      <c r="G1766" s="14">
        <v>43</v>
      </c>
      <c r="H1766" s="14">
        <v>84.38</v>
      </c>
      <c r="I1766" s="15">
        <v>0.55000000000000004</v>
      </c>
    </row>
    <row r="1767" spans="1:9" x14ac:dyDescent="0.25">
      <c r="A1767" s="12">
        <v>39</v>
      </c>
      <c r="B1767" s="13">
        <v>45184</v>
      </c>
      <c r="C1767" s="14">
        <v>30.6</v>
      </c>
      <c r="D1767" s="14">
        <v>64</v>
      </c>
      <c r="E1767" s="14">
        <v>633</v>
      </c>
      <c r="F1767" s="14">
        <v>6.1</v>
      </c>
      <c r="G1767" s="14">
        <v>44</v>
      </c>
      <c r="H1767" s="14">
        <v>87.08</v>
      </c>
      <c r="I1767" s="15">
        <v>0.64</v>
      </c>
    </row>
    <row r="1768" spans="1:9" x14ac:dyDescent="0.25">
      <c r="A1768" s="12">
        <v>39</v>
      </c>
      <c r="B1768" s="13">
        <v>45185</v>
      </c>
      <c r="C1768" s="14">
        <v>31.5</v>
      </c>
      <c r="D1768" s="14">
        <v>56</v>
      </c>
      <c r="E1768" s="14">
        <v>771</v>
      </c>
      <c r="F1768" s="14">
        <v>6.6</v>
      </c>
      <c r="G1768" s="14">
        <v>45</v>
      </c>
      <c r="H1768" s="14">
        <v>88.7</v>
      </c>
      <c r="I1768" s="15">
        <v>0.56000000000000005</v>
      </c>
    </row>
    <row r="1769" spans="1:9" x14ac:dyDescent="0.25">
      <c r="A1769" s="12">
        <v>40</v>
      </c>
      <c r="B1769" s="13">
        <v>45141</v>
      </c>
      <c r="C1769" s="14">
        <v>33.4</v>
      </c>
      <c r="D1769" s="14">
        <v>51</v>
      </c>
      <c r="E1769" s="14">
        <v>577</v>
      </c>
      <c r="F1769" s="14">
        <v>6</v>
      </c>
      <c r="G1769" s="14">
        <v>1</v>
      </c>
      <c r="H1769" s="14">
        <v>92.12</v>
      </c>
      <c r="I1769" s="15">
        <v>0.51</v>
      </c>
    </row>
    <row r="1770" spans="1:9" x14ac:dyDescent="0.25">
      <c r="A1770" s="12">
        <v>40</v>
      </c>
      <c r="B1770" s="13">
        <v>45142</v>
      </c>
      <c r="C1770" s="14">
        <v>33.5</v>
      </c>
      <c r="D1770" s="14">
        <v>75</v>
      </c>
      <c r="E1770" s="14">
        <v>796</v>
      </c>
      <c r="F1770" s="14">
        <v>6.5</v>
      </c>
      <c r="G1770" s="14">
        <v>2</v>
      </c>
      <c r="H1770" s="14">
        <v>92.3</v>
      </c>
      <c r="I1770" s="15">
        <v>0.75</v>
      </c>
    </row>
    <row r="1771" spans="1:9" x14ac:dyDescent="0.25">
      <c r="A1771" s="12">
        <v>40</v>
      </c>
      <c r="B1771" s="13">
        <v>45143</v>
      </c>
      <c r="C1771" s="14">
        <v>33.4</v>
      </c>
      <c r="D1771" s="14">
        <v>66</v>
      </c>
      <c r="E1771" s="14">
        <v>705</v>
      </c>
      <c r="F1771" s="14">
        <v>6.6</v>
      </c>
      <c r="G1771" s="14">
        <v>3</v>
      </c>
      <c r="H1771" s="14">
        <v>92.12</v>
      </c>
      <c r="I1771" s="15">
        <v>0.66</v>
      </c>
    </row>
    <row r="1772" spans="1:9" x14ac:dyDescent="0.25">
      <c r="A1772" s="12">
        <v>40</v>
      </c>
      <c r="B1772" s="13">
        <v>45144</v>
      </c>
      <c r="C1772" s="14">
        <v>33.4</v>
      </c>
      <c r="D1772" s="14">
        <v>77</v>
      </c>
      <c r="E1772" s="14">
        <v>449</v>
      </c>
      <c r="F1772" s="14">
        <v>6.1</v>
      </c>
      <c r="G1772" s="14">
        <v>4</v>
      </c>
      <c r="H1772" s="14">
        <v>92.12</v>
      </c>
      <c r="I1772" s="15">
        <v>0.77</v>
      </c>
    </row>
    <row r="1773" spans="1:9" x14ac:dyDescent="0.25">
      <c r="A1773" s="12">
        <v>40</v>
      </c>
      <c r="B1773" s="13">
        <v>45145</v>
      </c>
      <c r="C1773" s="14">
        <v>33.4</v>
      </c>
      <c r="D1773" s="14">
        <v>72</v>
      </c>
      <c r="E1773" s="14">
        <v>628</v>
      </c>
      <c r="F1773" s="14">
        <v>6.1</v>
      </c>
      <c r="G1773" s="14">
        <v>5</v>
      </c>
      <c r="H1773" s="14">
        <v>92.12</v>
      </c>
      <c r="I1773" s="15">
        <v>0.72</v>
      </c>
    </row>
    <row r="1774" spans="1:9" x14ac:dyDescent="0.25">
      <c r="A1774" s="12">
        <v>40</v>
      </c>
      <c r="B1774" s="13">
        <v>45146</v>
      </c>
      <c r="C1774" s="14">
        <v>32.299999999999997</v>
      </c>
      <c r="D1774" s="14">
        <v>65</v>
      </c>
      <c r="E1774" s="14">
        <v>475</v>
      </c>
      <c r="F1774" s="14">
        <v>6</v>
      </c>
      <c r="G1774" s="14">
        <v>6</v>
      </c>
      <c r="H1774" s="14">
        <v>90.14</v>
      </c>
      <c r="I1774" s="15">
        <v>0.65</v>
      </c>
    </row>
    <row r="1775" spans="1:9" x14ac:dyDescent="0.25">
      <c r="A1775" s="12">
        <v>40</v>
      </c>
      <c r="B1775" s="13">
        <v>45147</v>
      </c>
      <c r="C1775" s="14">
        <v>32.299999999999997</v>
      </c>
      <c r="D1775" s="14">
        <v>69</v>
      </c>
      <c r="E1775" s="14">
        <v>541</v>
      </c>
      <c r="F1775" s="14">
        <v>6.5</v>
      </c>
      <c r="G1775" s="14">
        <v>7</v>
      </c>
      <c r="H1775" s="14">
        <v>90.14</v>
      </c>
      <c r="I1775" s="15">
        <v>0.69</v>
      </c>
    </row>
    <row r="1776" spans="1:9" x14ac:dyDescent="0.25">
      <c r="A1776" s="12">
        <v>40</v>
      </c>
      <c r="B1776" s="13">
        <v>45148</v>
      </c>
      <c r="C1776" s="14">
        <v>22.7</v>
      </c>
      <c r="D1776" s="14">
        <v>75</v>
      </c>
      <c r="E1776" s="14">
        <v>729</v>
      </c>
      <c r="F1776" s="14">
        <v>6.4</v>
      </c>
      <c r="G1776" s="14">
        <v>8</v>
      </c>
      <c r="H1776" s="14">
        <v>72.86</v>
      </c>
      <c r="I1776" s="15">
        <v>0.75</v>
      </c>
    </row>
    <row r="1777" spans="1:9" x14ac:dyDescent="0.25">
      <c r="A1777" s="12">
        <v>40</v>
      </c>
      <c r="B1777" s="13">
        <v>45149</v>
      </c>
      <c r="C1777" s="14">
        <v>31.9</v>
      </c>
      <c r="D1777" s="14">
        <v>72</v>
      </c>
      <c r="E1777" s="14">
        <v>579</v>
      </c>
      <c r="F1777" s="14">
        <v>6.7</v>
      </c>
      <c r="G1777" s="14">
        <v>9</v>
      </c>
      <c r="H1777" s="14">
        <v>89.42</v>
      </c>
      <c r="I1777" s="15">
        <v>0.72</v>
      </c>
    </row>
    <row r="1778" spans="1:9" x14ac:dyDescent="0.25">
      <c r="A1778" s="12">
        <v>40</v>
      </c>
      <c r="B1778" s="13">
        <v>45150</v>
      </c>
      <c r="C1778" s="14">
        <v>30.2</v>
      </c>
      <c r="D1778" s="14">
        <v>66</v>
      </c>
      <c r="E1778" s="14">
        <v>494</v>
      </c>
      <c r="F1778" s="14">
        <v>6.4</v>
      </c>
      <c r="G1778" s="14">
        <v>10</v>
      </c>
      <c r="H1778" s="14">
        <v>86.36</v>
      </c>
      <c r="I1778" s="15">
        <v>0.66</v>
      </c>
    </row>
    <row r="1779" spans="1:9" x14ac:dyDescent="0.25">
      <c r="A1779" s="12">
        <v>40</v>
      </c>
      <c r="B1779" s="13">
        <v>45151</v>
      </c>
      <c r="C1779" s="14">
        <v>30.1</v>
      </c>
      <c r="D1779" s="14">
        <v>72</v>
      </c>
      <c r="E1779" s="14">
        <v>504</v>
      </c>
      <c r="F1779" s="14">
        <v>6.3</v>
      </c>
      <c r="G1779" s="14">
        <v>11</v>
      </c>
      <c r="H1779" s="14">
        <v>86.18</v>
      </c>
      <c r="I1779" s="15">
        <v>0.72</v>
      </c>
    </row>
    <row r="1780" spans="1:9" x14ac:dyDescent="0.25">
      <c r="A1780" s="12">
        <v>40</v>
      </c>
      <c r="B1780" s="13">
        <v>45152</v>
      </c>
      <c r="C1780" s="14">
        <v>30.1</v>
      </c>
      <c r="D1780" s="14">
        <v>75</v>
      </c>
      <c r="E1780" s="14">
        <v>555</v>
      </c>
      <c r="F1780" s="14">
        <v>6.2</v>
      </c>
      <c r="G1780" s="14">
        <v>12</v>
      </c>
      <c r="H1780" s="14">
        <v>86.18</v>
      </c>
      <c r="I1780" s="15">
        <v>0.75</v>
      </c>
    </row>
    <row r="1781" spans="1:9" x14ac:dyDescent="0.25">
      <c r="A1781" s="12">
        <v>40</v>
      </c>
      <c r="B1781" s="13">
        <v>45153</v>
      </c>
      <c r="C1781" s="14">
        <v>30.1</v>
      </c>
      <c r="D1781" s="14">
        <v>68</v>
      </c>
      <c r="E1781" s="14">
        <v>402</v>
      </c>
      <c r="F1781" s="14">
        <v>6.6</v>
      </c>
      <c r="G1781" s="14">
        <v>13</v>
      </c>
      <c r="H1781" s="14">
        <v>86.18</v>
      </c>
      <c r="I1781" s="15">
        <v>0.68</v>
      </c>
    </row>
    <row r="1782" spans="1:9" x14ac:dyDescent="0.25">
      <c r="A1782" s="12">
        <v>40</v>
      </c>
      <c r="B1782" s="13">
        <v>45154</v>
      </c>
      <c r="C1782" s="14">
        <v>29.8</v>
      </c>
      <c r="D1782" s="14">
        <v>59</v>
      </c>
      <c r="E1782" s="14">
        <v>404</v>
      </c>
      <c r="F1782" s="14">
        <v>6.7</v>
      </c>
      <c r="G1782" s="14">
        <v>14</v>
      </c>
      <c r="H1782" s="14">
        <v>85.64</v>
      </c>
      <c r="I1782" s="15">
        <v>0.59</v>
      </c>
    </row>
    <row r="1783" spans="1:9" x14ac:dyDescent="0.25">
      <c r="A1783" s="12">
        <v>40</v>
      </c>
      <c r="B1783" s="13">
        <v>45155</v>
      </c>
      <c r="C1783" s="14">
        <v>29.6</v>
      </c>
      <c r="D1783" s="14">
        <v>76</v>
      </c>
      <c r="E1783" s="14">
        <v>505</v>
      </c>
      <c r="F1783" s="14">
        <v>6.6</v>
      </c>
      <c r="G1783" s="14">
        <v>15</v>
      </c>
      <c r="H1783" s="14">
        <v>85.28</v>
      </c>
      <c r="I1783" s="15">
        <v>0.76</v>
      </c>
    </row>
    <row r="1784" spans="1:9" x14ac:dyDescent="0.25">
      <c r="A1784" s="12">
        <v>40</v>
      </c>
      <c r="B1784" s="13">
        <v>45156</v>
      </c>
      <c r="C1784" s="14">
        <v>30.9</v>
      </c>
      <c r="D1784" s="14">
        <v>62</v>
      </c>
      <c r="E1784" s="14">
        <v>560</v>
      </c>
      <c r="F1784" s="14">
        <v>6.2</v>
      </c>
      <c r="G1784" s="14">
        <v>16</v>
      </c>
      <c r="H1784" s="14">
        <v>87.62</v>
      </c>
      <c r="I1784" s="15">
        <v>0.62</v>
      </c>
    </row>
    <row r="1785" spans="1:9" x14ac:dyDescent="0.25">
      <c r="A1785" s="12">
        <v>40</v>
      </c>
      <c r="B1785" s="13">
        <v>45157</v>
      </c>
      <c r="C1785" s="14">
        <v>30.8</v>
      </c>
      <c r="D1785" s="14">
        <v>52</v>
      </c>
      <c r="E1785" s="14">
        <v>509</v>
      </c>
      <c r="F1785" s="14">
        <v>6.5</v>
      </c>
      <c r="G1785" s="14">
        <v>17</v>
      </c>
      <c r="H1785" s="14">
        <v>87.44</v>
      </c>
      <c r="I1785" s="15">
        <v>0.52</v>
      </c>
    </row>
    <row r="1786" spans="1:9" x14ac:dyDescent="0.25">
      <c r="A1786" s="12">
        <v>40</v>
      </c>
      <c r="B1786" s="13">
        <v>45158</v>
      </c>
      <c r="C1786" s="14">
        <v>30.9</v>
      </c>
      <c r="D1786" s="14">
        <v>57</v>
      </c>
      <c r="E1786" s="14">
        <v>769</v>
      </c>
      <c r="F1786" s="14">
        <v>6.6</v>
      </c>
      <c r="G1786" s="14">
        <v>18</v>
      </c>
      <c r="H1786" s="14">
        <v>87.62</v>
      </c>
      <c r="I1786" s="15">
        <v>0.56999999999999995</v>
      </c>
    </row>
    <row r="1787" spans="1:9" x14ac:dyDescent="0.25">
      <c r="A1787" s="12">
        <v>40</v>
      </c>
      <c r="B1787" s="13">
        <v>45159</v>
      </c>
      <c r="C1787" s="14">
        <v>30.2</v>
      </c>
      <c r="D1787" s="14">
        <v>78</v>
      </c>
      <c r="E1787" s="14">
        <v>735</v>
      </c>
      <c r="F1787" s="14">
        <v>6.1</v>
      </c>
      <c r="G1787" s="14">
        <v>19</v>
      </c>
      <c r="H1787" s="14">
        <v>86.36</v>
      </c>
      <c r="I1787" s="15">
        <v>0.78</v>
      </c>
    </row>
    <row r="1788" spans="1:9" x14ac:dyDescent="0.25">
      <c r="A1788" s="12">
        <v>40</v>
      </c>
      <c r="B1788" s="13">
        <v>45160</v>
      </c>
      <c r="C1788" s="14">
        <v>30.5</v>
      </c>
      <c r="D1788" s="14">
        <v>56</v>
      </c>
      <c r="E1788" s="14">
        <v>732</v>
      </c>
      <c r="F1788" s="14">
        <v>6.8</v>
      </c>
      <c r="G1788" s="14">
        <v>20</v>
      </c>
      <c r="H1788" s="14">
        <v>86.9</v>
      </c>
      <c r="I1788" s="15">
        <v>0.56000000000000005</v>
      </c>
    </row>
    <row r="1789" spans="1:9" x14ac:dyDescent="0.25">
      <c r="A1789" s="12">
        <v>40</v>
      </c>
      <c r="B1789" s="13">
        <v>45161</v>
      </c>
      <c r="C1789" s="14">
        <v>30.8</v>
      </c>
      <c r="D1789" s="14">
        <v>58</v>
      </c>
      <c r="E1789" s="14">
        <v>444</v>
      </c>
      <c r="F1789" s="14">
        <v>6.7</v>
      </c>
      <c r="G1789" s="14">
        <v>21</v>
      </c>
      <c r="H1789" s="14">
        <v>87.44</v>
      </c>
      <c r="I1789" s="15">
        <v>0.57999999999999996</v>
      </c>
    </row>
    <row r="1790" spans="1:9" x14ac:dyDescent="0.25">
      <c r="A1790" s="12">
        <v>40</v>
      </c>
      <c r="B1790" s="13">
        <v>45162</v>
      </c>
      <c r="C1790" s="14">
        <v>31.3</v>
      </c>
      <c r="D1790" s="14">
        <v>80</v>
      </c>
      <c r="E1790" s="14">
        <v>598</v>
      </c>
      <c r="F1790" s="14">
        <v>6.5</v>
      </c>
      <c r="G1790" s="14">
        <v>22</v>
      </c>
      <c r="H1790" s="14">
        <v>88.34</v>
      </c>
      <c r="I1790" s="15">
        <v>0.8</v>
      </c>
    </row>
    <row r="1791" spans="1:9" x14ac:dyDescent="0.25">
      <c r="A1791" s="12">
        <v>40</v>
      </c>
      <c r="B1791" s="13">
        <v>45163</v>
      </c>
      <c r="C1791" s="14">
        <v>31.4</v>
      </c>
      <c r="D1791" s="14">
        <v>63</v>
      </c>
      <c r="E1791" s="14">
        <v>579</v>
      </c>
      <c r="F1791" s="14">
        <v>6.5</v>
      </c>
      <c r="G1791" s="14">
        <v>23</v>
      </c>
      <c r="H1791" s="14">
        <v>88.52</v>
      </c>
      <c r="I1791" s="15">
        <v>0.63</v>
      </c>
    </row>
    <row r="1792" spans="1:9" x14ac:dyDescent="0.25">
      <c r="A1792" s="12">
        <v>40</v>
      </c>
      <c r="B1792" s="13">
        <v>45164</v>
      </c>
      <c r="C1792" s="14">
        <v>31.4</v>
      </c>
      <c r="D1792" s="14">
        <v>64</v>
      </c>
      <c r="E1792" s="14">
        <v>752</v>
      </c>
      <c r="F1792" s="14">
        <v>6.2</v>
      </c>
      <c r="G1792" s="14">
        <v>24</v>
      </c>
      <c r="H1792" s="14">
        <v>88.52</v>
      </c>
      <c r="I1792" s="15">
        <v>0.64</v>
      </c>
    </row>
    <row r="1793" spans="1:9" x14ac:dyDescent="0.25">
      <c r="A1793" s="12">
        <v>40</v>
      </c>
      <c r="B1793" s="13">
        <v>45165</v>
      </c>
      <c r="C1793" s="14">
        <v>30.1</v>
      </c>
      <c r="D1793" s="14">
        <v>67</v>
      </c>
      <c r="E1793" s="14">
        <v>467</v>
      </c>
      <c r="F1793" s="14">
        <v>6.3</v>
      </c>
      <c r="G1793" s="14">
        <v>25</v>
      </c>
      <c r="H1793" s="14">
        <v>86.18</v>
      </c>
      <c r="I1793" s="15">
        <v>0.67</v>
      </c>
    </row>
    <row r="1794" spans="1:9" x14ac:dyDescent="0.25">
      <c r="A1794" s="12">
        <v>40</v>
      </c>
      <c r="B1794" s="13">
        <v>45166</v>
      </c>
      <c r="C1794" s="14">
        <v>29.4</v>
      </c>
      <c r="D1794" s="14">
        <v>58</v>
      </c>
      <c r="E1794" s="14">
        <v>681</v>
      </c>
      <c r="F1794" s="14">
        <v>6.8</v>
      </c>
      <c r="G1794" s="14">
        <v>26</v>
      </c>
      <c r="H1794" s="14">
        <v>84.92</v>
      </c>
      <c r="I1794" s="15">
        <v>0.57999999999999996</v>
      </c>
    </row>
    <row r="1795" spans="1:9" x14ac:dyDescent="0.25">
      <c r="A1795" s="12">
        <v>40</v>
      </c>
      <c r="B1795" s="13">
        <v>45167</v>
      </c>
      <c r="C1795" s="14">
        <v>28.7</v>
      </c>
      <c r="D1795" s="14">
        <v>71</v>
      </c>
      <c r="E1795" s="14">
        <v>536</v>
      </c>
      <c r="F1795" s="14">
        <v>6.3</v>
      </c>
      <c r="G1795" s="14">
        <v>27</v>
      </c>
      <c r="H1795" s="14">
        <v>83.66</v>
      </c>
      <c r="I1795" s="15">
        <v>0.71</v>
      </c>
    </row>
    <row r="1796" spans="1:9" x14ac:dyDescent="0.25">
      <c r="A1796" s="12">
        <v>40</v>
      </c>
      <c r="B1796" s="13">
        <v>45168</v>
      </c>
      <c r="C1796" s="14">
        <v>29.1</v>
      </c>
      <c r="D1796" s="14">
        <v>54</v>
      </c>
      <c r="E1796" s="14">
        <v>424</v>
      </c>
      <c r="F1796" s="14">
        <v>6.7</v>
      </c>
      <c r="G1796" s="14">
        <v>28</v>
      </c>
      <c r="H1796" s="14">
        <v>84.38</v>
      </c>
      <c r="I1796" s="15">
        <v>0.54</v>
      </c>
    </row>
    <row r="1797" spans="1:9" x14ac:dyDescent="0.25">
      <c r="A1797" s="12">
        <v>40</v>
      </c>
      <c r="B1797" s="13">
        <v>45169</v>
      </c>
      <c r="C1797" s="14">
        <v>29.2</v>
      </c>
      <c r="D1797" s="14">
        <v>80</v>
      </c>
      <c r="E1797" s="14">
        <v>572</v>
      </c>
      <c r="F1797" s="14">
        <v>6.2</v>
      </c>
      <c r="G1797" s="14">
        <v>29</v>
      </c>
      <c r="H1797" s="14">
        <v>84.56</v>
      </c>
      <c r="I1797" s="15">
        <v>0.8</v>
      </c>
    </row>
    <row r="1798" spans="1:9" x14ac:dyDescent="0.25">
      <c r="A1798" s="12">
        <v>40</v>
      </c>
      <c r="B1798" s="13">
        <v>45170</v>
      </c>
      <c r="C1798" s="14">
        <v>31.7</v>
      </c>
      <c r="D1798" s="14">
        <v>55</v>
      </c>
      <c r="E1798" s="14">
        <v>551</v>
      </c>
      <c r="F1798" s="14">
        <v>6.5</v>
      </c>
      <c r="G1798" s="14">
        <v>30</v>
      </c>
      <c r="H1798" s="14">
        <v>89.06</v>
      </c>
      <c r="I1798" s="15">
        <v>0.55000000000000004</v>
      </c>
    </row>
    <row r="1799" spans="1:9" x14ac:dyDescent="0.25">
      <c r="A1799" s="12">
        <v>40</v>
      </c>
      <c r="B1799" s="13">
        <v>45171</v>
      </c>
      <c r="C1799" s="14">
        <v>31.7</v>
      </c>
      <c r="D1799" s="14">
        <v>71</v>
      </c>
      <c r="E1799" s="14">
        <v>797</v>
      </c>
      <c r="F1799" s="14">
        <v>6.4</v>
      </c>
      <c r="G1799" s="14">
        <v>31</v>
      </c>
      <c r="H1799" s="14">
        <v>89.06</v>
      </c>
      <c r="I1799" s="15">
        <v>0.71</v>
      </c>
    </row>
    <row r="1800" spans="1:9" x14ac:dyDescent="0.25">
      <c r="A1800" s="12">
        <v>40</v>
      </c>
      <c r="B1800" s="13">
        <v>45172</v>
      </c>
      <c r="C1800" s="14">
        <v>31.7</v>
      </c>
      <c r="D1800" s="14">
        <v>51</v>
      </c>
      <c r="E1800" s="14">
        <v>631</v>
      </c>
      <c r="F1800" s="14">
        <v>6.8</v>
      </c>
      <c r="G1800" s="14">
        <v>32</v>
      </c>
      <c r="H1800" s="14">
        <v>89.06</v>
      </c>
      <c r="I1800" s="15">
        <v>0.51</v>
      </c>
    </row>
    <row r="1801" spans="1:9" x14ac:dyDescent="0.25">
      <c r="A1801" s="12">
        <v>40</v>
      </c>
      <c r="B1801" s="13">
        <v>45173</v>
      </c>
      <c r="C1801" s="14">
        <v>31.7</v>
      </c>
      <c r="D1801" s="14">
        <v>54</v>
      </c>
      <c r="E1801" s="14">
        <v>479</v>
      </c>
      <c r="F1801" s="14">
        <v>6.2</v>
      </c>
      <c r="G1801" s="14">
        <v>33</v>
      </c>
      <c r="H1801" s="14">
        <v>89.06</v>
      </c>
      <c r="I1801" s="15">
        <v>0.54</v>
      </c>
    </row>
    <row r="1802" spans="1:9" x14ac:dyDescent="0.25">
      <c r="A1802" s="12">
        <v>40</v>
      </c>
      <c r="B1802" s="13">
        <v>45174</v>
      </c>
      <c r="C1802" s="14">
        <v>32</v>
      </c>
      <c r="D1802" s="14">
        <v>63</v>
      </c>
      <c r="E1802" s="14">
        <v>731</v>
      </c>
      <c r="F1802" s="14">
        <v>6.6</v>
      </c>
      <c r="G1802" s="14">
        <v>34</v>
      </c>
      <c r="H1802" s="14">
        <v>89.6</v>
      </c>
      <c r="I1802" s="15">
        <v>0.63</v>
      </c>
    </row>
    <row r="1803" spans="1:9" x14ac:dyDescent="0.25">
      <c r="A1803" s="12">
        <v>40</v>
      </c>
      <c r="B1803" s="13">
        <v>45175</v>
      </c>
      <c r="C1803" s="14">
        <v>32.1</v>
      </c>
      <c r="D1803" s="14">
        <v>56</v>
      </c>
      <c r="E1803" s="14">
        <v>518</v>
      </c>
      <c r="F1803" s="14">
        <v>6.1</v>
      </c>
      <c r="G1803" s="14">
        <v>35</v>
      </c>
      <c r="H1803" s="14">
        <v>89.78</v>
      </c>
      <c r="I1803" s="15">
        <v>0.56000000000000005</v>
      </c>
    </row>
    <row r="1804" spans="1:9" x14ac:dyDescent="0.25">
      <c r="A1804" s="12">
        <v>40</v>
      </c>
      <c r="B1804" s="13">
        <v>45176</v>
      </c>
      <c r="C1804" s="14">
        <v>31.5</v>
      </c>
      <c r="D1804" s="14">
        <v>53</v>
      </c>
      <c r="E1804" s="14">
        <v>407</v>
      </c>
      <c r="F1804" s="14">
        <v>6.2</v>
      </c>
      <c r="G1804" s="14">
        <v>36</v>
      </c>
      <c r="H1804" s="14">
        <v>88.7</v>
      </c>
      <c r="I1804" s="15">
        <v>0.53</v>
      </c>
    </row>
    <row r="1805" spans="1:9" x14ac:dyDescent="0.25">
      <c r="A1805" s="12">
        <v>40</v>
      </c>
      <c r="B1805" s="13">
        <v>45177</v>
      </c>
      <c r="C1805" s="14">
        <v>29.8</v>
      </c>
      <c r="D1805" s="14">
        <v>78</v>
      </c>
      <c r="E1805" s="14">
        <v>591</v>
      </c>
      <c r="F1805" s="14">
        <v>6.2</v>
      </c>
      <c r="G1805" s="14">
        <v>37</v>
      </c>
      <c r="H1805" s="14">
        <v>85.64</v>
      </c>
      <c r="I1805" s="15">
        <v>0.78</v>
      </c>
    </row>
    <row r="1806" spans="1:9" x14ac:dyDescent="0.25">
      <c r="A1806" s="12">
        <v>40</v>
      </c>
      <c r="B1806" s="13">
        <v>45178</v>
      </c>
      <c r="C1806" s="14">
        <v>20.100000000000001</v>
      </c>
      <c r="D1806" s="14">
        <v>73</v>
      </c>
      <c r="E1806" s="14">
        <v>473</v>
      </c>
      <c r="F1806" s="14">
        <v>6.4</v>
      </c>
      <c r="G1806" s="14">
        <v>38</v>
      </c>
      <c r="H1806" s="14">
        <v>68.180000000000007</v>
      </c>
      <c r="I1806" s="15">
        <v>0.73</v>
      </c>
    </row>
    <row r="1807" spans="1:9" x14ac:dyDescent="0.25">
      <c r="A1807" s="12">
        <v>40</v>
      </c>
      <c r="B1807" s="13">
        <v>45179</v>
      </c>
      <c r="C1807" s="14">
        <v>31.1</v>
      </c>
      <c r="D1807" s="14">
        <v>51</v>
      </c>
      <c r="E1807" s="14">
        <v>768</v>
      </c>
      <c r="F1807" s="14">
        <v>6.4</v>
      </c>
      <c r="G1807" s="14">
        <v>39</v>
      </c>
      <c r="H1807" s="14">
        <v>87.98</v>
      </c>
      <c r="I1807" s="15">
        <v>0.51</v>
      </c>
    </row>
    <row r="1808" spans="1:9" x14ac:dyDescent="0.25">
      <c r="A1808" s="12">
        <v>40</v>
      </c>
      <c r="B1808" s="13">
        <v>45180</v>
      </c>
      <c r="C1808" s="14">
        <v>31.2</v>
      </c>
      <c r="D1808" s="14">
        <v>60</v>
      </c>
      <c r="E1808" s="14">
        <v>673</v>
      </c>
      <c r="F1808" s="14">
        <v>6.3</v>
      </c>
      <c r="G1808" s="14">
        <v>40</v>
      </c>
      <c r="H1808" s="14">
        <v>88.16</v>
      </c>
      <c r="I1808" s="15">
        <v>0.6</v>
      </c>
    </row>
    <row r="1809" spans="1:9" x14ac:dyDescent="0.25">
      <c r="A1809" s="12">
        <v>40</v>
      </c>
      <c r="B1809" s="13">
        <v>45181</v>
      </c>
      <c r="C1809" s="14">
        <v>31.2</v>
      </c>
      <c r="D1809" s="14">
        <v>55</v>
      </c>
      <c r="E1809" s="14">
        <v>503</v>
      </c>
      <c r="F1809" s="14">
        <v>6.8</v>
      </c>
      <c r="G1809" s="14">
        <v>41</v>
      </c>
      <c r="H1809" s="14">
        <v>88.16</v>
      </c>
      <c r="I1809" s="15">
        <v>0.55000000000000004</v>
      </c>
    </row>
    <row r="1810" spans="1:9" x14ac:dyDescent="0.25">
      <c r="A1810" s="12">
        <v>40</v>
      </c>
      <c r="B1810" s="13">
        <v>45182</v>
      </c>
      <c r="C1810" s="14">
        <v>30.4</v>
      </c>
      <c r="D1810" s="14">
        <v>76</v>
      </c>
      <c r="E1810" s="14">
        <v>544</v>
      </c>
      <c r="F1810" s="14">
        <v>6.5</v>
      </c>
      <c r="G1810" s="14">
        <v>42</v>
      </c>
      <c r="H1810" s="14">
        <v>86.72</v>
      </c>
      <c r="I1810" s="15">
        <v>0.76</v>
      </c>
    </row>
    <row r="1811" spans="1:9" x14ac:dyDescent="0.25">
      <c r="A1811" s="12">
        <v>40</v>
      </c>
      <c r="B1811" s="13">
        <v>45183</v>
      </c>
      <c r="C1811" s="14">
        <v>29.1</v>
      </c>
      <c r="D1811" s="14">
        <v>73</v>
      </c>
      <c r="E1811" s="14">
        <v>729</v>
      </c>
      <c r="F1811" s="14">
        <v>6.8</v>
      </c>
      <c r="G1811" s="14">
        <v>43</v>
      </c>
      <c r="H1811" s="14">
        <v>84.38</v>
      </c>
      <c r="I1811" s="15">
        <v>0.73</v>
      </c>
    </row>
    <row r="1812" spans="1:9" x14ac:dyDescent="0.25">
      <c r="A1812" s="12">
        <v>40</v>
      </c>
      <c r="B1812" s="13">
        <v>45184</v>
      </c>
      <c r="C1812" s="14">
        <v>30.6</v>
      </c>
      <c r="D1812" s="14">
        <v>71</v>
      </c>
      <c r="E1812" s="14">
        <v>621</v>
      </c>
      <c r="F1812" s="14">
        <v>6.7</v>
      </c>
      <c r="G1812" s="14">
        <v>44</v>
      </c>
      <c r="H1812" s="14">
        <v>87.08</v>
      </c>
      <c r="I1812" s="15">
        <v>0.71</v>
      </c>
    </row>
    <row r="1813" spans="1:9" x14ac:dyDescent="0.25">
      <c r="A1813" s="12">
        <v>40</v>
      </c>
      <c r="B1813" s="13">
        <v>45185</v>
      </c>
      <c r="C1813" s="14">
        <v>31.5</v>
      </c>
      <c r="D1813" s="14">
        <v>79</v>
      </c>
      <c r="E1813" s="14">
        <v>491</v>
      </c>
      <c r="F1813" s="14">
        <v>6.4</v>
      </c>
      <c r="G1813" s="14">
        <v>45</v>
      </c>
      <c r="H1813" s="14">
        <v>88.7</v>
      </c>
      <c r="I1813" s="15">
        <v>0.79</v>
      </c>
    </row>
    <row r="1814" spans="1:9" x14ac:dyDescent="0.25">
      <c r="A1814" s="12">
        <v>41</v>
      </c>
      <c r="B1814" s="13">
        <v>45141</v>
      </c>
      <c r="C1814" s="14">
        <v>33.4</v>
      </c>
      <c r="D1814" s="14">
        <v>64</v>
      </c>
      <c r="E1814" s="14">
        <v>578</v>
      </c>
      <c r="F1814" s="14">
        <v>6.2</v>
      </c>
      <c r="G1814" s="14">
        <v>1</v>
      </c>
      <c r="H1814" s="14">
        <v>92.12</v>
      </c>
      <c r="I1814" s="15">
        <v>0.64</v>
      </c>
    </row>
    <row r="1815" spans="1:9" x14ac:dyDescent="0.25">
      <c r="A1815" s="12">
        <v>41</v>
      </c>
      <c r="B1815" s="13">
        <v>45142</v>
      </c>
      <c r="C1815" s="14">
        <v>33.5</v>
      </c>
      <c r="D1815" s="14">
        <v>53</v>
      </c>
      <c r="E1815" s="14">
        <v>620</v>
      </c>
      <c r="F1815" s="14">
        <v>6.2</v>
      </c>
      <c r="G1815" s="14">
        <v>2</v>
      </c>
      <c r="H1815" s="14">
        <v>92.3</v>
      </c>
      <c r="I1815" s="15">
        <v>0.53</v>
      </c>
    </row>
    <row r="1816" spans="1:9" x14ac:dyDescent="0.25">
      <c r="A1816" s="12">
        <v>41</v>
      </c>
      <c r="B1816" s="13">
        <v>45143</v>
      </c>
      <c r="C1816" s="14">
        <v>33.4</v>
      </c>
      <c r="D1816" s="14">
        <v>66</v>
      </c>
      <c r="E1816" s="14">
        <v>521</v>
      </c>
      <c r="F1816" s="14">
        <v>6.7</v>
      </c>
      <c r="G1816" s="14">
        <v>3</v>
      </c>
      <c r="H1816" s="14">
        <v>92.12</v>
      </c>
      <c r="I1816" s="15">
        <v>0.66</v>
      </c>
    </row>
    <row r="1817" spans="1:9" x14ac:dyDescent="0.25">
      <c r="A1817" s="12">
        <v>41</v>
      </c>
      <c r="B1817" s="13">
        <v>45144</v>
      </c>
      <c r="C1817" s="14">
        <v>33.4</v>
      </c>
      <c r="D1817" s="14">
        <v>71</v>
      </c>
      <c r="E1817" s="14">
        <v>794</v>
      </c>
      <c r="F1817" s="14">
        <v>6.4</v>
      </c>
      <c r="G1817" s="14">
        <v>4</v>
      </c>
      <c r="H1817" s="14">
        <v>92.12</v>
      </c>
      <c r="I1817" s="15">
        <v>0.71</v>
      </c>
    </row>
    <row r="1818" spans="1:9" x14ac:dyDescent="0.25">
      <c r="A1818" s="12">
        <v>41</v>
      </c>
      <c r="B1818" s="13">
        <v>45145</v>
      </c>
      <c r="C1818" s="14">
        <v>33.4</v>
      </c>
      <c r="D1818" s="14">
        <v>58</v>
      </c>
      <c r="E1818" s="14">
        <v>601</v>
      </c>
      <c r="F1818" s="14">
        <v>6.5</v>
      </c>
      <c r="G1818" s="14">
        <v>5</v>
      </c>
      <c r="H1818" s="14">
        <v>92.12</v>
      </c>
      <c r="I1818" s="15">
        <v>0.57999999999999996</v>
      </c>
    </row>
    <row r="1819" spans="1:9" x14ac:dyDescent="0.25">
      <c r="A1819" s="12">
        <v>41</v>
      </c>
      <c r="B1819" s="13">
        <v>45146</v>
      </c>
      <c r="C1819" s="14">
        <v>32.299999999999997</v>
      </c>
      <c r="D1819" s="14">
        <v>56</v>
      </c>
      <c r="E1819" s="14">
        <v>460</v>
      </c>
      <c r="F1819" s="14">
        <v>6.6</v>
      </c>
      <c r="G1819" s="14">
        <v>6</v>
      </c>
      <c r="H1819" s="14">
        <v>90.14</v>
      </c>
      <c r="I1819" s="15">
        <v>0.56000000000000005</v>
      </c>
    </row>
    <row r="1820" spans="1:9" x14ac:dyDescent="0.25">
      <c r="A1820" s="12">
        <v>41</v>
      </c>
      <c r="B1820" s="13">
        <v>45147</v>
      </c>
      <c r="C1820" s="14">
        <v>32.299999999999997</v>
      </c>
      <c r="D1820" s="14">
        <v>64</v>
      </c>
      <c r="E1820" s="14">
        <v>429</v>
      </c>
      <c r="F1820" s="14">
        <v>6.6</v>
      </c>
      <c r="G1820" s="14">
        <v>7</v>
      </c>
      <c r="H1820" s="14">
        <v>90.14</v>
      </c>
      <c r="I1820" s="15">
        <v>0.64</v>
      </c>
    </row>
    <row r="1821" spans="1:9" x14ac:dyDescent="0.25">
      <c r="A1821" s="12">
        <v>41</v>
      </c>
      <c r="B1821" s="13">
        <v>45148</v>
      </c>
      <c r="C1821" s="14">
        <v>22.7</v>
      </c>
      <c r="D1821" s="14">
        <v>62</v>
      </c>
      <c r="E1821" s="14">
        <v>657</v>
      </c>
      <c r="F1821" s="14">
        <v>6.7</v>
      </c>
      <c r="G1821" s="14">
        <v>8</v>
      </c>
      <c r="H1821" s="14">
        <v>72.86</v>
      </c>
      <c r="I1821" s="15">
        <v>0.62</v>
      </c>
    </row>
    <row r="1822" spans="1:9" x14ac:dyDescent="0.25">
      <c r="A1822" s="12">
        <v>41</v>
      </c>
      <c r="B1822" s="13">
        <v>45149</v>
      </c>
      <c r="C1822" s="14">
        <v>31.9</v>
      </c>
      <c r="D1822" s="14">
        <v>62</v>
      </c>
      <c r="E1822" s="14">
        <v>603</v>
      </c>
      <c r="F1822" s="14">
        <v>6.6</v>
      </c>
      <c r="G1822" s="14">
        <v>9</v>
      </c>
      <c r="H1822" s="14">
        <v>89.42</v>
      </c>
      <c r="I1822" s="15">
        <v>0.62</v>
      </c>
    </row>
    <row r="1823" spans="1:9" x14ac:dyDescent="0.25">
      <c r="A1823" s="12">
        <v>41</v>
      </c>
      <c r="B1823" s="13">
        <v>45150</v>
      </c>
      <c r="C1823" s="14">
        <v>30.2</v>
      </c>
      <c r="D1823" s="14">
        <v>74</v>
      </c>
      <c r="E1823" s="14">
        <v>682</v>
      </c>
      <c r="F1823" s="14">
        <v>6.7</v>
      </c>
      <c r="G1823" s="14">
        <v>10</v>
      </c>
      <c r="H1823" s="14">
        <v>86.36</v>
      </c>
      <c r="I1823" s="15">
        <v>0.74</v>
      </c>
    </row>
    <row r="1824" spans="1:9" x14ac:dyDescent="0.25">
      <c r="A1824" s="12">
        <v>41</v>
      </c>
      <c r="B1824" s="13">
        <v>45151</v>
      </c>
      <c r="C1824" s="14">
        <v>30.1</v>
      </c>
      <c r="D1824" s="14">
        <v>80</v>
      </c>
      <c r="E1824" s="14">
        <v>640</v>
      </c>
      <c r="F1824" s="14">
        <v>6.2</v>
      </c>
      <c r="G1824" s="14">
        <v>11</v>
      </c>
      <c r="H1824" s="14">
        <v>86.18</v>
      </c>
      <c r="I1824" s="15">
        <v>0.8</v>
      </c>
    </row>
    <row r="1825" spans="1:9" x14ac:dyDescent="0.25">
      <c r="A1825" s="12">
        <v>41</v>
      </c>
      <c r="B1825" s="13">
        <v>45152</v>
      </c>
      <c r="C1825" s="14">
        <v>30.1</v>
      </c>
      <c r="D1825" s="14">
        <v>69</v>
      </c>
      <c r="E1825" s="14">
        <v>668</v>
      </c>
      <c r="F1825" s="14">
        <v>6.1</v>
      </c>
      <c r="G1825" s="14">
        <v>12</v>
      </c>
      <c r="H1825" s="14">
        <v>86.18</v>
      </c>
      <c r="I1825" s="15">
        <v>0.69</v>
      </c>
    </row>
    <row r="1826" spans="1:9" x14ac:dyDescent="0.25">
      <c r="A1826" s="12">
        <v>41</v>
      </c>
      <c r="B1826" s="13">
        <v>45153</v>
      </c>
      <c r="C1826" s="14">
        <v>30.1</v>
      </c>
      <c r="D1826" s="14">
        <v>73</v>
      </c>
      <c r="E1826" s="14">
        <v>584</v>
      </c>
      <c r="F1826" s="14">
        <v>6.8</v>
      </c>
      <c r="G1826" s="14">
        <v>13</v>
      </c>
      <c r="H1826" s="14">
        <v>86.18</v>
      </c>
      <c r="I1826" s="15">
        <v>0.73</v>
      </c>
    </row>
    <row r="1827" spans="1:9" x14ac:dyDescent="0.25">
      <c r="A1827" s="12">
        <v>41</v>
      </c>
      <c r="B1827" s="13">
        <v>45154</v>
      </c>
      <c r="C1827" s="14">
        <v>29.8</v>
      </c>
      <c r="D1827" s="14">
        <v>53</v>
      </c>
      <c r="E1827" s="14">
        <v>749</v>
      </c>
      <c r="F1827" s="14">
        <v>6.2</v>
      </c>
      <c r="G1827" s="14">
        <v>14</v>
      </c>
      <c r="H1827" s="14">
        <v>85.64</v>
      </c>
      <c r="I1827" s="15">
        <v>0.53</v>
      </c>
    </row>
    <row r="1828" spans="1:9" x14ac:dyDescent="0.25">
      <c r="A1828" s="12">
        <v>41</v>
      </c>
      <c r="B1828" s="13">
        <v>45155</v>
      </c>
      <c r="C1828" s="14">
        <v>29.6</v>
      </c>
      <c r="D1828" s="14">
        <v>64</v>
      </c>
      <c r="E1828" s="14">
        <v>510</v>
      </c>
      <c r="F1828" s="14">
        <v>6.4</v>
      </c>
      <c r="G1828" s="14">
        <v>15</v>
      </c>
      <c r="H1828" s="14">
        <v>85.28</v>
      </c>
      <c r="I1828" s="15">
        <v>0.64</v>
      </c>
    </row>
    <row r="1829" spans="1:9" x14ac:dyDescent="0.25">
      <c r="A1829" s="12">
        <v>41</v>
      </c>
      <c r="B1829" s="13">
        <v>45156</v>
      </c>
      <c r="C1829" s="14">
        <v>30.9</v>
      </c>
      <c r="D1829" s="14">
        <v>52</v>
      </c>
      <c r="E1829" s="14">
        <v>739</v>
      </c>
      <c r="F1829" s="14">
        <v>6.8</v>
      </c>
      <c r="G1829" s="14">
        <v>16</v>
      </c>
      <c r="H1829" s="14">
        <v>87.62</v>
      </c>
      <c r="I1829" s="15">
        <v>0.52</v>
      </c>
    </row>
    <row r="1830" spans="1:9" x14ac:dyDescent="0.25">
      <c r="A1830" s="12">
        <v>41</v>
      </c>
      <c r="B1830" s="13">
        <v>45157</v>
      </c>
      <c r="C1830" s="14">
        <v>30.8</v>
      </c>
      <c r="D1830" s="14">
        <v>55</v>
      </c>
      <c r="E1830" s="14">
        <v>454</v>
      </c>
      <c r="F1830" s="14">
        <v>6.1</v>
      </c>
      <c r="G1830" s="14">
        <v>17</v>
      </c>
      <c r="H1830" s="14">
        <v>87.44</v>
      </c>
      <c r="I1830" s="15">
        <v>0.55000000000000004</v>
      </c>
    </row>
    <row r="1831" spans="1:9" x14ac:dyDescent="0.25">
      <c r="A1831" s="12">
        <v>41</v>
      </c>
      <c r="B1831" s="13">
        <v>45158</v>
      </c>
      <c r="C1831" s="14">
        <v>30.9</v>
      </c>
      <c r="D1831" s="14">
        <v>50</v>
      </c>
      <c r="E1831" s="14">
        <v>792</v>
      </c>
      <c r="F1831" s="14">
        <v>6.7</v>
      </c>
      <c r="G1831" s="14">
        <v>18</v>
      </c>
      <c r="H1831" s="14">
        <v>87.62</v>
      </c>
      <c r="I1831" s="15">
        <v>0.5</v>
      </c>
    </row>
    <row r="1832" spans="1:9" x14ac:dyDescent="0.25">
      <c r="A1832" s="12">
        <v>41</v>
      </c>
      <c r="B1832" s="13">
        <v>45159</v>
      </c>
      <c r="C1832" s="14">
        <v>30.2</v>
      </c>
      <c r="D1832" s="14">
        <v>77</v>
      </c>
      <c r="E1832" s="14">
        <v>421</v>
      </c>
      <c r="F1832" s="14">
        <v>6.4</v>
      </c>
      <c r="G1832" s="14">
        <v>19</v>
      </c>
      <c r="H1832" s="14">
        <v>86.36</v>
      </c>
      <c r="I1832" s="15">
        <v>0.77</v>
      </c>
    </row>
    <row r="1833" spans="1:9" x14ac:dyDescent="0.25">
      <c r="A1833" s="12">
        <v>41</v>
      </c>
      <c r="B1833" s="13">
        <v>45160</v>
      </c>
      <c r="C1833" s="14">
        <v>30.5</v>
      </c>
      <c r="D1833" s="14">
        <v>53</v>
      </c>
      <c r="E1833" s="14">
        <v>762</v>
      </c>
      <c r="F1833" s="14">
        <v>6.3</v>
      </c>
      <c r="G1833" s="14">
        <v>20</v>
      </c>
      <c r="H1833" s="14">
        <v>86.9</v>
      </c>
      <c r="I1833" s="15">
        <v>0.53</v>
      </c>
    </row>
    <row r="1834" spans="1:9" x14ac:dyDescent="0.25">
      <c r="A1834" s="12">
        <v>41</v>
      </c>
      <c r="B1834" s="13">
        <v>45161</v>
      </c>
      <c r="C1834" s="14">
        <v>30.8</v>
      </c>
      <c r="D1834" s="14">
        <v>53</v>
      </c>
      <c r="E1834" s="14">
        <v>548</v>
      </c>
      <c r="F1834" s="14">
        <v>6.1</v>
      </c>
      <c r="G1834" s="14">
        <v>21</v>
      </c>
      <c r="H1834" s="14">
        <v>87.44</v>
      </c>
      <c r="I1834" s="15">
        <v>0.53</v>
      </c>
    </row>
    <row r="1835" spans="1:9" x14ac:dyDescent="0.25">
      <c r="A1835" s="12">
        <v>41</v>
      </c>
      <c r="B1835" s="13">
        <v>45162</v>
      </c>
      <c r="C1835" s="14">
        <v>31.3</v>
      </c>
      <c r="D1835" s="14">
        <v>63</v>
      </c>
      <c r="E1835" s="14">
        <v>517</v>
      </c>
      <c r="F1835" s="14">
        <v>6.2</v>
      </c>
      <c r="G1835" s="14">
        <v>22</v>
      </c>
      <c r="H1835" s="14">
        <v>88.34</v>
      </c>
      <c r="I1835" s="15">
        <v>0.63</v>
      </c>
    </row>
    <row r="1836" spans="1:9" x14ac:dyDescent="0.25">
      <c r="A1836" s="12">
        <v>41</v>
      </c>
      <c r="B1836" s="13">
        <v>45163</v>
      </c>
      <c r="C1836" s="14">
        <v>31.4</v>
      </c>
      <c r="D1836" s="14">
        <v>51</v>
      </c>
      <c r="E1836" s="14">
        <v>412</v>
      </c>
      <c r="F1836" s="14">
        <v>6.5</v>
      </c>
      <c r="G1836" s="14">
        <v>23</v>
      </c>
      <c r="H1836" s="14">
        <v>88.52</v>
      </c>
      <c r="I1836" s="15">
        <v>0.51</v>
      </c>
    </row>
    <row r="1837" spans="1:9" x14ac:dyDescent="0.25">
      <c r="A1837" s="12">
        <v>41</v>
      </c>
      <c r="B1837" s="13">
        <v>45164</v>
      </c>
      <c r="C1837" s="14">
        <v>31.4</v>
      </c>
      <c r="D1837" s="14">
        <v>70</v>
      </c>
      <c r="E1837" s="14">
        <v>769</v>
      </c>
      <c r="F1837" s="14">
        <v>6.7</v>
      </c>
      <c r="G1837" s="14">
        <v>24</v>
      </c>
      <c r="H1837" s="14">
        <v>88.52</v>
      </c>
      <c r="I1837" s="15">
        <v>0.7</v>
      </c>
    </row>
    <row r="1838" spans="1:9" x14ac:dyDescent="0.25">
      <c r="A1838" s="12">
        <v>41</v>
      </c>
      <c r="B1838" s="13">
        <v>45165</v>
      </c>
      <c r="C1838" s="14">
        <v>30.1</v>
      </c>
      <c r="D1838" s="14">
        <v>64</v>
      </c>
      <c r="E1838" s="14">
        <v>437</v>
      </c>
      <c r="F1838" s="14">
        <v>6.7</v>
      </c>
      <c r="G1838" s="14">
        <v>25</v>
      </c>
      <c r="H1838" s="14">
        <v>86.18</v>
      </c>
      <c r="I1838" s="15">
        <v>0.64</v>
      </c>
    </row>
    <row r="1839" spans="1:9" x14ac:dyDescent="0.25">
      <c r="A1839" s="12">
        <v>41</v>
      </c>
      <c r="B1839" s="13">
        <v>45166</v>
      </c>
      <c r="C1839" s="14">
        <v>29.4</v>
      </c>
      <c r="D1839" s="14">
        <v>65</v>
      </c>
      <c r="E1839" s="14">
        <v>677</v>
      </c>
      <c r="F1839" s="14">
        <v>6.4</v>
      </c>
      <c r="G1839" s="14">
        <v>26</v>
      </c>
      <c r="H1839" s="14">
        <v>84.92</v>
      </c>
      <c r="I1839" s="15">
        <v>0.65</v>
      </c>
    </row>
    <row r="1840" spans="1:9" x14ac:dyDescent="0.25">
      <c r="A1840" s="12">
        <v>41</v>
      </c>
      <c r="B1840" s="13">
        <v>45167</v>
      </c>
      <c r="C1840" s="14">
        <v>28.7</v>
      </c>
      <c r="D1840" s="14">
        <v>72</v>
      </c>
      <c r="E1840" s="14">
        <v>575</v>
      </c>
      <c r="F1840" s="14">
        <v>6.6</v>
      </c>
      <c r="G1840" s="14">
        <v>27</v>
      </c>
      <c r="H1840" s="14">
        <v>83.66</v>
      </c>
      <c r="I1840" s="15">
        <v>0.72</v>
      </c>
    </row>
    <row r="1841" spans="1:9" x14ac:dyDescent="0.25">
      <c r="A1841" s="12">
        <v>41</v>
      </c>
      <c r="B1841" s="13">
        <v>45168</v>
      </c>
      <c r="C1841" s="14">
        <v>29.1</v>
      </c>
      <c r="D1841" s="14">
        <v>77</v>
      </c>
      <c r="E1841" s="14">
        <v>586</v>
      </c>
      <c r="F1841" s="14">
        <v>6.4</v>
      </c>
      <c r="G1841" s="14">
        <v>28</v>
      </c>
      <c r="H1841" s="14">
        <v>84.38</v>
      </c>
      <c r="I1841" s="15">
        <v>0.77</v>
      </c>
    </row>
    <row r="1842" spans="1:9" x14ac:dyDescent="0.25">
      <c r="A1842" s="12">
        <v>41</v>
      </c>
      <c r="B1842" s="13">
        <v>45169</v>
      </c>
      <c r="C1842" s="14">
        <v>29.2</v>
      </c>
      <c r="D1842" s="14">
        <v>69</v>
      </c>
      <c r="E1842" s="14">
        <v>533</v>
      </c>
      <c r="F1842" s="14">
        <v>6.6</v>
      </c>
      <c r="G1842" s="14">
        <v>29</v>
      </c>
      <c r="H1842" s="14">
        <v>84.56</v>
      </c>
      <c r="I1842" s="15">
        <v>0.69</v>
      </c>
    </row>
    <row r="1843" spans="1:9" x14ac:dyDescent="0.25">
      <c r="A1843" s="12">
        <v>41</v>
      </c>
      <c r="B1843" s="13">
        <v>45170</v>
      </c>
      <c r="C1843" s="14">
        <v>31.7</v>
      </c>
      <c r="D1843" s="14">
        <v>53</v>
      </c>
      <c r="E1843" s="14">
        <v>402</v>
      </c>
      <c r="F1843" s="14">
        <v>6.5</v>
      </c>
      <c r="G1843" s="14">
        <v>30</v>
      </c>
      <c r="H1843" s="14">
        <v>89.06</v>
      </c>
      <c r="I1843" s="15">
        <v>0.53</v>
      </c>
    </row>
    <row r="1844" spans="1:9" x14ac:dyDescent="0.25">
      <c r="A1844" s="12">
        <v>41</v>
      </c>
      <c r="B1844" s="13">
        <v>45171</v>
      </c>
      <c r="C1844" s="14">
        <v>31.7</v>
      </c>
      <c r="D1844" s="14">
        <v>59</v>
      </c>
      <c r="E1844" s="14">
        <v>647</v>
      </c>
      <c r="F1844" s="14">
        <v>6.7</v>
      </c>
      <c r="G1844" s="14">
        <v>31</v>
      </c>
      <c r="H1844" s="14">
        <v>89.06</v>
      </c>
      <c r="I1844" s="15">
        <v>0.59</v>
      </c>
    </row>
    <row r="1845" spans="1:9" x14ac:dyDescent="0.25">
      <c r="A1845" s="12">
        <v>41</v>
      </c>
      <c r="B1845" s="13">
        <v>45172</v>
      </c>
      <c r="C1845" s="14">
        <v>31.7</v>
      </c>
      <c r="D1845" s="14">
        <v>61</v>
      </c>
      <c r="E1845" s="14">
        <v>558</v>
      </c>
      <c r="F1845" s="14">
        <v>6.6</v>
      </c>
      <c r="G1845" s="14">
        <v>32</v>
      </c>
      <c r="H1845" s="14">
        <v>89.06</v>
      </c>
      <c r="I1845" s="15">
        <v>0.61</v>
      </c>
    </row>
    <row r="1846" spans="1:9" x14ac:dyDescent="0.25">
      <c r="A1846" s="12">
        <v>41</v>
      </c>
      <c r="B1846" s="13">
        <v>45173</v>
      </c>
      <c r="C1846" s="14">
        <v>31.7</v>
      </c>
      <c r="D1846" s="14">
        <v>52</v>
      </c>
      <c r="E1846" s="14">
        <v>472</v>
      </c>
      <c r="F1846" s="14">
        <v>6</v>
      </c>
      <c r="G1846" s="14">
        <v>33</v>
      </c>
      <c r="H1846" s="14">
        <v>89.06</v>
      </c>
      <c r="I1846" s="15">
        <v>0.52</v>
      </c>
    </row>
    <row r="1847" spans="1:9" x14ac:dyDescent="0.25">
      <c r="A1847" s="12">
        <v>41</v>
      </c>
      <c r="B1847" s="13">
        <v>45174</v>
      </c>
      <c r="C1847" s="14">
        <v>32</v>
      </c>
      <c r="D1847" s="14">
        <v>51</v>
      </c>
      <c r="E1847" s="14">
        <v>456</v>
      </c>
      <c r="F1847" s="14">
        <v>6</v>
      </c>
      <c r="G1847" s="14">
        <v>34</v>
      </c>
      <c r="H1847" s="14">
        <v>89.6</v>
      </c>
      <c r="I1847" s="15">
        <v>0.51</v>
      </c>
    </row>
    <row r="1848" spans="1:9" x14ac:dyDescent="0.25">
      <c r="A1848" s="12">
        <v>41</v>
      </c>
      <c r="B1848" s="13">
        <v>45175</v>
      </c>
      <c r="C1848" s="14">
        <v>32.1</v>
      </c>
      <c r="D1848" s="14">
        <v>77</v>
      </c>
      <c r="E1848" s="14">
        <v>641</v>
      </c>
      <c r="F1848" s="14">
        <v>6.2</v>
      </c>
      <c r="G1848" s="14">
        <v>35</v>
      </c>
      <c r="H1848" s="14">
        <v>89.78</v>
      </c>
      <c r="I1848" s="15">
        <v>0.77</v>
      </c>
    </row>
    <row r="1849" spans="1:9" x14ac:dyDescent="0.25">
      <c r="A1849" s="12">
        <v>41</v>
      </c>
      <c r="B1849" s="13">
        <v>45176</v>
      </c>
      <c r="C1849" s="14">
        <v>31.5</v>
      </c>
      <c r="D1849" s="14">
        <v>75</v>
      </c>
      <c r="E1849" s="14">
        <v>583</v>
      </c>
      <c r="F1849" s="14">
        <v>6.7</v>
      </c>
      <c r="G1849" s="14">
        <v>36</v>
      </c>
      <c r="H1849" s="14">
        <v>88.7</v>
      </c>
      <c r="I1849" s="15">
        <v>0.75</v>
      </c>
    </row>
    <row r="1850" spans="1:9" x14ac:dyDescent="0.25">
      <c r="A1850" s="12">
        <v>41</v>
      </c>
      <c r="B1850" s="13">
        <v>45177</v>
      </c>
      <c r="C1850" s="14">
        <v>29.8</v>
      </c>
      <c r="D1850" s="14">
        <v>79</v>
      </c>
      <c r="E1850" s="14">
        <v>548</v>
      </c>
      <c r="F1850" s="14">
        <v>6.1</v>
      </c>
      <c r="G1850" s="14">
        <v>37</v>
      </c>
      <c r="H1850" s="14">
        <v>85.64</v>
      </c>
      <c r="I1850" s="15">
        <v>0.79</v>
      </c>
    </row>
    <row r="1851" spans="1:9" x14ac:dyDescent="0.25">
      <c r="A1851" s="12">
        <v>41</v>
      </c>
      <c r="B1851" s="13">
        <v>45178</v>
      </c>
      <c r="C1851" s="14">
        <v>20.100000000000001</v>
      </c>
      <c r="D1851" s="14">
        <v>63</v>
      </c>
      <c r="E1851" s="14">
        <v>402</v>
      </c>
      <c r="F1851" s="14">
        <v>6.1</v>
      </c>
      <c r="G1851" s="14">
        <v>38</v>
      </c>
      <c r="H1851" s="14">
        <v>68.180000000000007</v>
      </c>
      <c r="I1851" s="15">
        <v>0.63</v>
      </c>
    </row>
    <row r="1852" spans="1:9" x14ac:dyDescent="0.25">
      <c r="A1852" s="12">
        <v>41</v>
      </c>
      <c r="B1852" s="13">
        <v>45179</v>
      </c>
      <c r="C1852" s="14">
        <v>31.1</v>
      </c>
      <c r="D1852" s="14">
        <v>78</v>
      </c>
      <c r="E1852" s="14">
        <v>488</v>
      </c>
      <c r="F1852" s="14">
        <v>6.6</v>
      </c>
      <c r="G1852" s="14">
        <v>39</v>
      </c>
      <c r="H1852" s="14">
        <v>87.98</v>
      </c>
      <c r="I1852" s="15">
        <v>0.78</v>
      </c>
    </row>
    <row r="1853" spans="1:9" x14ac:dyDescent="0.25">
      <c r="A1853" s="12">
        <v>41</v>
      </c>
      <c r="B1853" s="13">
        <v>45180</v>
      </c>
      <c r="C1853" s="14">
        <v>31.2</v>
      </c>
      <c r="D1853" s="14">
        <v>74</v>
      </c>
      <c r="E1853" s="14">
        <v>443</v>
      </c>
      <c r="F1853" s="14">
        <v>6.5</v>
      </c>
      <c r="G1853" s="14">
        <v>40</v>
      </c>
      <c r="H1853" s="14">
        <v>88.16</v>
      </c>
      <c r="I1853" s="15">
        <v>0.74</v>
      </c>
    </row>
    <row r="1854" spans="1:9" x14ac:dyDescent="0.25">
      <c r="A1854" s="12">
        <v>41</v>
      </c>
      <c r="B1854" s="13">
        <v>45181</v>
      </c>
      <c r="C1854" s="14">
        <v>31.2</v>
      </c>
      <c r="D1854" s="14">
        <v>51</v>
      </c>
      <c r="E1854" s="14">
        <v>716</v>
      </c>
      <c r="F1854" s="14">
        <v>6.7</v>
      </c>
      <c r="G1854" s="14">
        <v>41</v>
      </c>
      <c r="H1854" s="14">
        <v>88.16</v>
      </c>
      <c r="I1854" s="15">
        <v>0.51</v>
      </c>
    </row>
    <row r="1855" spans="1:9" x14ac:dyDescent="0.25">
      <c r="A1855" s="12">
        <v>41</v>
      </c>
      <c r="B1855" s="13">
        <v>45182</v>
      </c>
      <c r="C1855" s="14">
        <v>30.4</v>
      </c>
      <c r="D1855" s="14">
        <v>64</v>
      </c>
      <c r="E1855" s="14">
        <v>551</v>
      </c>
      <c r="F1855" s="14">
        <v>6.1</v>
      </c>
      <c r="G1855" s="14">
        <v>42</v>
      </c>
      <c r="H1855" s="14">
        <v>86.72</v>
      </c>
      <c r="I1855" s="15">
        <v>0.64</v>
      </c>
    </row>
    <row r="1856" spans="1:9" x14ac:dyDescent="0.25">
      <c r="A1856" s="12">
        <v>41</v>
      </c>
      <c r="B1856" s="13">
        <v>45183</v>
      </c>
      <c r="C1856" s="14">
        <v>29.1</v>
      </c>
      <c r="D1856" s="14">
        <v>53</v>
      </c>
      <c r="E1856" s="14">
        <v>496</v>
      </c>
      <c r="F1856" s="14">
        <v>6.7</v>
      </c>
      <c r="G1856" s="14">
        <v>43</v>
      </c>
      <c r="H1856" s="14">
        <v>84.38</v>
      </c>
      <c r="I1856" s="15">
        <v>0.53</v>
      </c>
    </row>
    <row r="1857" spans="1:9" x14ac:dyDescent="0.25">
      <c r="A1857" s="12">
        <v>41</v>
      </c>
      <c r="B1857" s="13">
        <v>45184</v>
      </c>
      <c r="C1857" s="14">
        <v>30.6</v>
      </c>
      <c r="D1857" s="14">
        <v>67</v>
      </c>
      <c r="E1857" s="14">
        <v>650</v>
      </c>
      <c r="F1857" s="14">
        <v>6.1</v>
      </c>
      <c r="G1857" s="14">
        <v>44</v>
      </c>
      <c r="H1857" s="14">
        <v>87.08</v>
      </c>
      <c r="I1857" s="15">
        <v>0.67</v>
      </c>
    </row>
    <row r="1858" spans="1:9" x14ac:dyDescent="0.25">
      <c r="A1858" s="12">
        <v>41</v>
      </c>
      <c r="B1858" s="13">
        <v>45185</v>
      </c>
      <c r="C1858" s="14">
        <v>31.5</v>
      </c>
      <c r="D1858" s="14">
        <v>69</v>
      </c>
      <c r="E1858" s="14">
        <v>623</v>
      </c>
      <c r="F1858" s="14">
        <v>6.5</v>
      </c>
      <c r="G1858" s="14">
        <v>45</v>
      </c>
      <c r="H1858" s="14">
        <v>88.7</v>
      </c>
      <c r="I1858" s="15">
        <v>0.69</v>
      </c>
    </row>
    <row r="1859" spans="1:9" x14ac:dyDescent="0.25">
      <c r="A1859" s="12">
        <v>42</v>
      </c>
      <c r="B1859" s="13">
        <v>45141</v>
      </c>
      <c r="C1859" s="14">
        <v>33.4</v>
      </c>
      <c r="D1859" s="14">
        <v>52</v>
      </c>
      <c r="E1859" s="14">
        <v>661</v>
      </c>
      <c r="F1859" s="14">
        <v>6.2</v>
      </c>
      <c r="G1859" s="14">
        <v>1</v>
      </c>
      <c r="H1859" s="14">
        <v>92.12</v>
      </c>
      <c r="I1859" s="15">
        <v>0.52</v>
      </c>
    </row>
    <row r="1860" spans="1:9" x14ac:dyDescent="0.25">
      <c r="A1860" s="12">
        <v>42</v>
      </c>
      <c r="B1860" s="13">
        <v>45142</v>
      </c>
      <c r="C1860" s="14">
        <v>33.5</v>
      </c>
      <c r="D1860" s="14">
        <v>62</v>
      </c>
      <c r="E1860" s="14">
        <v>767</v>
      </c>
      <c r="F1860" s="14">
        <v>6.6</v>
      </c>
      <c r="G1860" s="14">
        <v>2</v>
      </c>
      <c r="H1860" s="14">
        <v>92.3</v>
      </c>
      <c r="I1860" s="15">
        <v>0.62</v>
      </c>
    </row>
    <row r="1861" spans="1:9" x14ac:dyDescent="0.25">
      <c r="A1861" s="12">
        <v>42</v>
      </c>
      <c r="B1861" s="13">
        <v>45143</v>
      </c>
      <c r="C1861" s="14">
        <v>33.4</v>
      </c>
      <c r="D1861" s="14">
        <v>73</v>
      </c>
      <c r="E1861" s="14">
        <v>669</v>
      </c>
      <c r="F1861" s="14">
        <v>6.6</v>
      </c>
      <c r="G1861" s="14">
        <v>3</v>
      </c>
      <c r="H1861" s="14">
        <v>92.12</v>
      </c>
      <c r="I1861" s="15">
        <v>0.73</v>
      </c>
    </row>
    <row r="1862" spans="1:9" x14ac:dyDescent="0.25">
      <c r="A1862" s="12">
        <v>42</v>
      </c>
      <c r="B1862" s="13">
        <v>45144</v>
      </c>
      <c r="C1862" s="14">
        <v>33.4</v>
      </c>
      <c r="D1862" s="14">
        <v>54</v>
      </c>
      <c r="E1862" s="14">
        <v>692</v>
      </c>
      <c r="F1862" s="14">
        <v>6.4</v>
      </c>
      <c r="G1862" s="14">
        <v>4</v>
      </c>
      <c r="H1862" s="14">
        <v>92.12</v>
      </c>
      <c r="I1862" s="15">
        <v>0.54</v>
      </c>
    </row>
    <row r="1863" spans="1:9" x14ac:dyDescent="0.25">
      <c r="A1863" s="12">
        <v>42</v>
      </c>
      <c r="B1863" s="13">
        <v>45145</v>
      </c>
      <c r="C1863" s="14">
        <v>33.4</v>
      </c>
      <c r="D1863" s="14">
        <v>53</v>
      </c>
      <c r="E1863" s="14">
        <v>586</v>
      </c>
      <c r="F1863" s="14">
        <v>6.7</v>
      </c>
      <c r="G1863" s="14">
        <v>5</v>
      </c>
      <c r="H1863" s="14">
        <v>92.12</v>
      </c>
      <c r="I1863" s="15">
        <v>0.53</v>
      </c>
    </row>
    <row r="1864" spans="1:9" x14ac:dyDescent="0.25">
      <c r="A1864" s="12">
        <v>42</v>
      </c>
      <c r="B1864" s="13">
        <v>45146</v>
      </c>
      <c r="C1864" s="14">
        <v>32.299999999999997</v>
      </c>
      <c r="D1864" s="14">
        <v>54</v>
      </c>
      <c r="E1864" s="14">
        <v>473</v>
      </c>
      <c r="F1864" s="14">
        <v>6.2</v>
      </c>
      <c r="G1864" s="14">
        <v>6</v>
      </c>
      <c r="H1864" s="14">
        <v>90.14</v>
      </c>
      <c r="I1864" s="15">
        <v>0.54</v>
      </c>
    </row>
    <row r="1865" spans="1:9" x14ac:dyDescent="0.25">
      <c r="A1865" s="12">
        <v>42</v>
      </c>
      <c r="B1865" s="13">
        <v>45147</v>
      </c>
      <c r="C1865" s="14">
        <v>32.299999999999997</v>
      </c>
      <c r="D1865" s="14">
        <v>61</v>
      </c>
      <c r="E1865" s="14">
        <v>605</v>
      </c>
      <c r="F1865" s="14">
        <v>6.5</v>
      </c>
      <c r="G1865" s="14">
        <v>7</v>
      </c>
      <c r="H1865" s="14">
        <v>90.14</v>
      </c>
      <c r="I1865" s="15">
        <v>0.61</v>
      </c>
    </row>
    <row r="1866" spans="1:9" x14ac:dyDescent="0.25">
      <c r="A1866" s="12">
        <v>42</v>
      </c>
      <c r="B1866" s="13">
        <v>45148</v>
      </c>
      <c r="C1866" s="14">
        <v>22.7</v>
      </c>
      <c r="D1866" s="14">
        <v>73</v>
      </c>
      <c r="E1866" s="14">
        <v>662</v>
      </c>
      <c r="F1866" s="14">
        <v>6.4</v>
      </c>
      <c r="G1866" s="14">
        <v>8</v>
      </c>
      <c r="H1866" s="14">
        <v>72.86</v>
      </c>
      <c r="I1866" s="15">
        <v>0.73</v>
      </c>
    </row>
    <row r="1867" spans="1:9" x14ac:dyDescent="0.25">
      <c r="A1867" s="12">
        <v>42</v>
      </c>
      <c r="B1867" s="13">
        <v>45149</v>
      </c>
      <c r="C1867" s="14">
        <v>31.9</v>
      </c>
      <c r="D1867" s="14">
        <v>75</v>
      </c>
      <c r="E1867" s="14">
        <v>638</v>
      </c>
      <c r="F1867" s="14">
        <v>6.3</v>
      </c>
      <c r="G1867" s="14">
        <v>9</v>
      </c>
      <c r="H1867" s="14">
        <v>89.42</v>
      </c>
      <c r="I1867" s="15">
        <v>0.75</v>
      </c>
    </row>
    <row r="1868" spans="1:9" x14ac:dyDescent="0.25">
      <c r="A1868" s="12">
        <v>42</v>
      </c>
      <c r="B1868" s="13">
        <v>45150</v>
      </c>
      <c r="C1868" s="14">
        <v>30.2</v>
      </c>
      <c r="D1868" s="14">
        <v>62</v>
      </c>
      <c r="E1868" s="14">
        <v>751</v>
      </c>
      <c r="F1868" s="14">
        <v>6.5</v>
      </c>
      <c r="G1868" s="14">
        <v>10</v>
      </c>
      <c r="H1868" s="14">
        <v>86.36</v>
      </c>
      <c r="I1868" s="15">
        <v>0.62</v>
      </c>
    </row>
    <row r="1869" spans="1:9" x14ac:dyDescent="0.25">
      <c r="A1869" s="12">
        <v>42</v>
      </c>
      <c r="B1869" s="13">
        <v>45151</v>
      </c>
      <c r="C1869" s="14">
        <v>30.1</v>
      </c>
      <c r="D1869" s="14">
        <v>66</v>
      </c>
      <c r="E1869" s="14">
        <v>507</v>
      </c>
      <c r="F1869" s="14">
        <v>6.2</v>
      </c>
      <c r="G1869" s="14">
        <v>11</v>
      </c>
      <c r="H1869" s="14">
        <v>86.18</v>
      </c>
      <c r="I1869" s="15">
        <v>0.66</v>
      </c>
    </row>
    <row r="1870" spans="1:9" x14ac:dyDescent="0.25">
      <c r="A1870" s="12">
        <v>42</v>
      </c>
      <c r="B1870" s="13">
        <v>45152</v>
      </c>
      <c r="C1870" s="14">
        <v>30.1</v>
      </c>
      <c r="D1870" s="14">
        <v>58</v>
      </c>
      <c r="E1870" s="14">
        <v>594</v>
      </c>
      <c r="F1870" s="14">
        <v>6.2</v>
      </c>
      <c r="G1870" s="14">
        <v>12</v>
      </c>
      <c r="H1870" s="14">
        <v>86.18</v>
      </c>
      <c r="I1870" s="15">
        <v>0.57999999999999996</v>
      </c>
    </row>
    <row r="1871" spans="1:9" x14ac:dyDescent="0.25">
      <c r="A1871" s="12">
        <v>42</v>
      </c>
      <c r="B1871" s="13">
        <v>45153</v>
      </c>
      <c r="C1871" s="14">
        <v>30.1</v>
      </c>
      <c r="D1871" s="14">
        <v>73</v>
      </c>
      <c r="E1871" s="14">
        <v>600</v>
      </c>
      <c r="F1871" s="14">
        <v>6.7</v>
      </c>
      <c r="G1871" s="14">
        <v>13</v>
      </c>
      <c r="H1871" s="14">
        <v>86.18</v>
      </c>
      <c r="I1871" s="15">
        <v>0.73</v>
      </c>
    </row>
    <row r="1872" spans="1:9" x14ac:dyDescent="0.25">
      <c r="A1872" s="12">
        <v>42</v>
      </c>
      <c r="B1872" s="13">
        <v>45154</v>
      </c>
      <c r="C1872" s="14">
        <v>29.8</v>
      </c>
      <c r="D1872" s="14">
        <v>72</v>
      </c>
      <c r="E1872" s="14">
        <v>430</v>
      </c>
      <c r="F1872" s="14">
        <v>6.2</v>
      </c>
      <c r="G1872" s="14">
        <v>14</v>
      </c>
      <c r="H1872" s="14">
        <v>85.64</v>
      </c>
      <c r="I1872" s="15">
        <v>0.72</v>
      </c>
    </row>
    <row r="1873" spans="1:9" x14ac:dyDescent="0.25">
      <c r="A1873" s="12">
        <v>42</v>
      </c>
      <c r="B1873" s="13">
        <v>45155</v>
      </c>
      <c r="C1873" s="14">
        <v>29.6</v>
      </c>
      <c r="D1873" s="14">
        <v>58</v>
      </c>
      <c r="E1873" s="14">
        <v>422</v>
      </c>
      <c r="F1873" s="14">
        <v>6.3</v>
      </c>
      <c r="G1873" s="14">
        <v>15</v>
      </c>
      <c r="H1873" s="14">
        <v>85.28</v>
      </c>
      <c r="I1873" s="15">
        <v>0.57999999999999996</v>
      </c>
    </row>
    <row r="1874" spans="1:9" x14ac:dyDescent="0.25">
      <c r="A1874" s="12">
        <v>42</v>
      </c>
      <c r="B1874" s="13">
        <v>45156</v>
      </c>
      <c r="C1874" s="14">
        <v>30.9</v>
      </c>
      <c r="D1874" s="14">
        <v>55</v>
      </c>
      <c r="E1874" s="14">
        <v>714</v>
      </c>
      <c r="F1874" s="14">
        <v>6.4</v>
      </c>
      <c r="G1874" s="14">
        <v>16</v>
      </c>
      <c r="H1874" s="14">
        <v>87.62</v>
      </c>
      <c r="I1874" s="15">
        <v>0.55000000000000004</v>
      </c>
    </row>
    <row r="1875" spans="1:9" x14ac:dyDescent="0.25">
      <c r="A1875" s="12">
        <v>42</v>
      </c>
      <c r="B1875" s="13">
        <v>45157</v>
      </c>
      <c r="C1875" s="14">
        <v>30.8</v>
      </c>
      <c r="D1875" s="14">
        <v>50</v>
      </c>
      <c r="E1875" s="14">
        <v>700</v>
      </c>
      <c r="F1875" s="14">
        <v>6.7</v>
      </c>
      <c r="G1875" s="14">
        <v>17</v>
      </c>
      <c r="H1875" s="14">
        <v>87.44</v>
      </c>
      <c r="I1875" s="15">
        <v>0.5</v>
      </c>
    </row>
    <row r="1876" spans="1:9" x14ac:dyDescent="0.25">
      <c r="A1876" s="12">
        <v>42</v>
      </c>
      <c r="B1876" s="13">
        <v>45158</v>
      </c>
      <c r="C1876" s="14">
        <v>30.9</v>
      </c>
      <c r="D1876" s="14">
        <v>60</v>
      </c>
      <c r="E1876" s="14">
        <v>542</v>
      </c>
      <c r="F1876" s="14">
        <v>6.4</v>
      </c>
      <c r="G1876" s="14">
        <v>18</v>
      </c>
      <c r="H1876" s="14">
        <v>87.62</v>
      </c>
      <c r="I1876" s="15">
        <v>0.6</v>
      </c>
    </row>
    <row r="1877" spans="1:9" x14ac:dyDescent="0.25">
      <c r="A1877" s="12">
        <v>42</v>
      </c>
      <c r="B1877" s="13">
        <v>45159</v>
      </c>
      <c r="C1877" s="14">
        <v>30.2</v>
      </c>
      <c r="D1877" s="14">
        <v>79</v>
      </c>
      <c r="E1877" s="14">
        <v>412</v>
      </c>
      <c r="F1877" s="14">
        <v>6.1</v>
      </c>
      <c r="G1877" s="14">
        <v>19</v>
      </c>
      <c r="H1877" s="14">
        <v>86.36</v>
      </c>
      <c r="I1877" s="15">
        <v>0.79</v>
      </c>
    </row>
    <row r="1878" spans="1:9" x14ac:dyDescent="0.25">
      <c r="A1878" s="12">
        <v>42</v>
      </c>
      <c r="B1878" s="13">
        <v>45160</v>
      </c>
      <c r="C1878" s="14">
        <v>30.5</v>
      </c>
      <c r="D1878" s="14">
        <v>64</v>
      </c>
      <c r="E1878" s="14">
        <v>472</v>
      </c>
      <c r="F1878" s="14">
        <v>6.5</v>
      </c>
      <c r="G1878" s="14">
        <v>20</v>
      </c>
      <c r="H1878" s="14">
        <v>86.9</v>
      </c>
      <c r="I1878" s="15">
        <v>0.64</v>
      </c>
    </row>
    <row r="1879" spans="1:9" x14ac:dyDescent="0.25">
      <c r="A1879" s="12">
        <v>42</v>
      </c>
      <c r="B1879" s="13">
        <v>45161</v>
      </c>
      <c r="C1879" s="14">
        <v>30.8</v>
      </c>
      <c r="D1879" s="14">
        <v>61</v>
      </c>
      <c r="E1879" s="14">
        <v>448</v>
      </c>
      <c r="F1879" s="14">
        <v>6.8</v>
      </c>
      <c r="G1879" s="14">
        <v>21</v>
      </c>
      <c r="H1879" s="14">
        <v>87.44</v>
      </c>
      <c r="I1879" s="15">
        <v>0.61</v>
      </c>
    </row>
    <row r="1880" spans="1:9" x14ac:dyDescent="0.25">
      <c r="A1880" s="12">
        <v>42</v>
      </c>
      <c r="B1880" s="13">
        <v>45162</v>
      </c>
      <c r="C1880" s="14">
        <v>31.3</v>
      </c>
      <c r="D1880" s="14">
        <v>80</v>
      </c>
      <c r="E1880" s="14">
        <v>595</v>
      </c>
      <c r="F1880" s="14">
        <v>6.4</v>
      </c>
      <c r="G1880" s="14">
        <v>22</v>
      </c>
      <c r="H1880" s="14">
        <v>88.34</v>
      </c>
      <c r="I1880" s="15">
        <v>0.8</v>
      </c>
    </row>
    <row r="1881" spans="1:9" x14ac:dyDescent="0.25">
      <c r="A1881" s="12">
        <v>42</v>
      </c>
      <c r="B1881" s="13">
        <v>45163</v>
      </c>
      <c r="C1881" s="14">
        <v>31.4</v>
      </c>
      <c r="D1881" s="14">
        <v>75</v>
      </c>
      <c r="E1881" s="14">
        <v>506</v>
      </c>
      <c r="F1881" s="14">
        <v>6.3</v>
      </c>
      <c r="G1881" s="14">
        <v>23</v>
      </c>
      <c r="H1881" s="14">
        <v>88.52</v>
      </c>
      <c r="I1881" s="15">
        <v>0.75</v>
      </c>
    </row>
    <row r="1882" spans="1:9" x14ac:dyDescent="0.25">
      <c r="A1882" s="12">
        <v>42</v>
      </c>
      <c r="B1882" s="13">
        <v>45164</v>
      </c>
      <c r="C1882" s="14">
        <v>31.4</v>
      </c>
      <c r="D1882" s="14">
        <v>65</v>
      </c>
      <c r="E1882" s="14">
        <v>674</v>
      </c>
      <c r="F1882" s="14">
        <v>6.7</v>
      </c>
      <c r="G1882" s="14">
        <v>24</v>
      </c>
      <c r="H1882" s="14">
        <v>88.52</v>
      </c>
      <c r="I1882" s="15">
        <v>0.65</v>
      </c>
    </row>
    <row r="1883" spans="1:9" x14ac:dyDescent="0.25">
      <c r="A1883" s="12">
        <v>42</v>
      </c>
      <c r="B1883" s="13">
        <v>45165</v>
      </c>
      <c r="C1883" s="14">
        <v>30.1</v>
      </c>
      <c r="D1883" s="14">
        <v>64</v>
      </c>
      <c r="E1883" s="14">
        <v>545</v>
      </c>
      <c r="F1883" s="14">
        <v>6.2</v>
      </c>
      <c r="G1883" s="14">
        <v>25</v>
      </c>
      <c r="H1883" s="14">
        <v>86.18</v>
      </c>
      <c r="I1883" s="15">
        <v>0.64</v>
      </c>
    </row>
    <row r="1884" spans="1:9" x14ac:dyDescent="0.25">
      <c r="A1884" s="12">
        <v>42</v>
      </c>
      <c r="B1884" s="13">
        <v>45166</v>
      </c>
      <c r="C1884" s="14">
        <v>29.4</v>
      </c>
      <c r="D1884" s="14">
        <v>60</v>
      </c>
      <c r="E1884" s="14">
        <v>710</v>
      </c>
      <c r="F1884" s="14">
        <v>6.2</v>
      </c>
      <c r="G1884" s="14">
        <v>26</v>
      </c>
      <c r="H1884" s="14">
        <v>84.92</v>
      </c>
      <c r="I1884" s="15">
        <v>0.6</v>
      </c>
    </row>
    <row r="1885" spans="1:9" x14ac:dyDescent="0.25">
      <c r="A1885" s="12">
        <v>42</v>
      </c>
      <c r="B1885" s="13">
        <v>45167</v>
      </c>
      <c r="C1885" s="14">
        <v>28.7</v>
      </c>
      <c r="D1885" s="14">
        <v>70</v>
      </c>
      <c r="E1885" s="14">
        <v>767</v>
      </c>
      <c r="F1885" s="14">
        <v>6.1</v>
      </c>
      <c r="G1885" s="14">
        <v>27</v>
      </c>
      <c r="H1885" s="14">
        <v>83.66</v>
      </c>
      <c r="I1885" s="15">
        <v>0.7</v>
      </c>
    </row>
    <row r="1886" spans="1:9" x14ac:dyDescent="0.25">
      <c r="A1886" s="12">
        <v>42</v>
      </c>
      <c r="B1886" s="13">
        <v>45168</v>
      </c>
      <c r="C1886" s="14">
        <v>29.1</v>
      </c>
      <c r="D1886" s="14">
        <v>79</v>
      </c>
      <c r="E1886" s="14">
        <v>673</v>
      </c>
      <c r="F1886" s="14">
        <v>6.5</v>
      </c>
      <c r="G1886" s="14">
        <v>28</v>
      </c>
      <c r="H1886" s="14">
        <v>84.38</v>
      </c>
      <c r="I1886" s="15">
        <v>0.79</v>
      </c>
    </row>
    <row r="1887" spans="1:9" x14ac:dyDescent="0.25">
      <c r="A1887" s="12">
        <v>42</v>
      </c>
      <c r="B1887" s="13">
        <v>45169</v>
      </c>
      <c r="C1887" s="14">
        <v>29.2</v>
      </c>
      <c r="D1887" s="14">
        <v>67</v>
      </c>
      <c r="E1887" s="14">
        <v>649</v>
      </c>
      <c r="F1887" s="14">
        <v>6.4</v>
      </c>
      <c r="G1887" s="14">
        <v>29</v>
      </c>
      <c r="H1887" s="14">
        <v>84.56</v>
      </c>
      <c r="I1887" s="15">
        <v>0.67</v>
      </c>
    </row>
    <row r="1888" spans="1:9" x14ac:dyDescent="0.25">
      <c r="A1888" s="12">
        <v>42</v>
      </c>
      <c r="B1888" s="13">
        <v>45170</v>
      </c>
      <c r="C1888" s="14">
        <v>31.7</v>
      </c>
      <c r="D1888" s="14">
        <v>51</v>
      </c>
      <c r="E1888" s="14">
        <v>490</v>
      </c>
      <c r="F1888" s="14">
        <v>6.7</v>
      </c>
      <c r="G1888" s="14">
        <v>30</v>
      </c>
      <c r="H1888" s="14">
        <v>89.06</v>
      </c>
      <c r="I1888" s="15">
        <v>0.51</v>
      </c>
    </row>
    <row r="1889" spans="1:9" x14ac:dyDescent="0.25">
      <c r="A1889" s="12">
        <v>42</v>
      </c>
      <c r="B1889" s="13">
        <v>45171</v>
      </c>
      <c r="C1889" s="14">
        <v>31.7</v>
      </c>
      <c r="D1889" s="14">
        <v>73</v>
      </c>
      <c r="E1889" s="14">
        <v>683</v>
      </c>
      <c r="F1889" s="14">
        <v>6.3</v>
      </c>
      <c r="G1889" s="14">
        <v>31</v>
      </c>
      <c r="H1889" s="14">
        <v>89.06</v>
      </c>
      <c r="I1889" s="15">
        <v>0.73</v>
      </c>
    </row>
    <row r="1890" spans="1:9" x14ac:dyDescent="0.25">
      <c r="A1890" s="12">
        <v>42</v>
      </c>
      <c r="B1890" s="13">
        <v>45172</v>
      </c>
      <c r="C1890" s="14">
        <v>31.7</v>
      </c>
      <c r="D1890" s="14">
        <v>61</v>
      </c>
      <c r="E1890" s="14">
        <v>448</v>
      </c>
      <c r="F1890" s="14">
        <v>6.7</v>
      </c>
      <c r="G1890" s="14">
        <v>32</v>
      </c>
      <c r="H1890" s="14">
        <v>89.06</v>
      </c>
      <c r="I1890" s="15">
        <v>0.61</v>
      </c>
    </row>
    <row r="1891" spans="1:9" x14ac:dyDescent="0.25">
      <c r="A1891" s="12">
        <v>42</v>
      </c>
      <c r="B1891" s="13">
        <v>45173</v>
      </c>
      <c r="C1891" s="14">
        <v>31.7</v>
      </c>
      <c r="D1891" s="14">
        <v>57</v>
      </c>
      <c r="E1891" s="14">
        <v>632</v>
      </c>
      <c r="F1891" s="14">
        <v>6.8</v>
      </c>
      <c r="G1891" s="14">
        <v>33</v>
      </c>
      <c r="H1891" s="14">
        <v>89.06</v>
      </c>
      <c r="I1891" s="15">
        <v>0.56999999999999995</v>
      </c>
    </row>
    <row r="1892" spans="1:9" x14ac:dyDescent="0.25">
      <c r="A1892" s="12">
        <v>42</v>
      </c>
      <c r="B1892" s="13">
        <v>45174</v>
      </c>
      <c r="C1892" s="14">
        <v>32</v>
      </c>
      <c r="D1892" s="14">
        <v>52</v>
      </c>
      <c r="E1892" s="14">
        <v>497</v>
      </c>
      <c r="F1892" s="14">
        <v>6.3</v>
      </c>
      <c r="G1892" s="14">
        <v>34</v>
      </c>
      <c r="H1892" s="14">
        <v>89.6</v>
      </c>
      <c r="I1892" s="15">
        <v>0.52</v>
      </c>
    </row>
    <row r="1893" spans="1:9" x14ac:dyDescent="0.25">
      <c r="A1893" s="12">
        <v>42</v>
      </c>
      <c r="B1893" s="13">
        <v>45175</v>
      </c>
      <c r="C1893" s="14">
        <v>32.1</v>
      </c>
      <c r="D1893" s="14">
        <v>69</v>
      </c>
      <c r="E1893" s="14">
        <v>576</v>
      </c>
      <c r="F1893" s="14">
        <v>6.5</v>
      </c>
      <c r="G1893" s="14">
        <v>35</v>
      </c>
      <c r="H1893" s="14">
        <v>89.78</v>
      </c>
      <c r="I1893" s="15">
        <v>0.69</v>
      </c>
    </row>
    <row r="1894" spans="1:9" x14ac:dyDescent="0.25">
      <c r="A1894" s="12">
        <v>42</v>
      </c>
      <c r="B1894" s="13">
        <v>45176</v>
      </c>
      <c r="C1894" s="14">
        <v>31.5</v>
      </c>
      <c r="D1894" s="14">
        <v>58</v>
      </c>
      <c r="E1894" s="14">
        <v>634</v>
      </c>
      <c r="F1894" s="14">
        <v>6.6</v>
      </c>
      <c r="G1894" s="14">
        <v>36</v>
      </c>
      <c r="H1894" s="14">
        <v>88.7</v>
      </c>
      <c r="I1894" s="15">
        <v>0.57999999999999996</v>
      </c>
    </row>
    <row r="1895" spans="1:9" x14ac:dyDescent="0.25">
      <c r="A1895" s="12">
        <v>42</v>
      </c>
      <c r="B1895" s="13">
        <v>45177</v>
      </c>
      <c r="C1895" s="14">
        <v>29.8</v>
      </c>
      <c r="D1895" s="14">
        <v>71</v>
      </c>
      <c r="E1895" s="14">
        <v>517</v>
      </c>
      <c r="F1895" s="14">
        <v>6.3</v>
      </c>
      <c r="G1895" s="14">
        <v>37</v>
      </c>
      <c r="H1895" s="14">
        <v>85.64</v>
      </c>
      <c r="I1895" s="15">
        <v>0.71</v>
      </c>
    </row>
    <row r="1896" spans="1:9" x14ac:dyDescent="0.25">
      <c r="A1896" s="12">
        <v>42</v>
      </c>
      <c r="B1896" s="13">
        <v>45178</v>
      </c>
      <c r="C1896" s="14">
        <v>20.100000000000001</v>
      </c>
      <c r="D1896" s="14">
        <v>73</v>
      </c>
      <c r="E1896" s="14">
        <v>424</v>
      </c>
      <c r="F1896" s="14">
        <v>6.6</v>
      </c>
      <c r="G1896" s="14">
        <v>38</v>
      </c>
      <c r="H1896" s="14">
        <v>68.180000000000007</v>
      </c>
      <c r="I1896" s="15">
        <v>0.73</v>
      </c>
    </row>
    <row r="1897" spans="1:9" x14ac:dyDescent="0.25">
      <c r="A1897" s="12">
        <v>42</v>
      </c>
      <c r="B1897" s="13">
        <v>45179</v>
      </c>
      <c r="C1897" s="14">
        <v>31.1</v>
      </c>
      <c r="D1897" s="14">
        <v>62</v>
      </c>
      <c r="E1897" s="14">
        <v>687</v>
      </c>
      <c r="F1897" s="14">
        <v>6.1</v>
      </c>
      <c r="G1897" s="14">
        <v>39</v>
      </c>
      <c r="H1897" s="14">
        <v>87.98</v>
      </c>
      <c r="I1897" s="15">
        <v>0.62</v>
      </c>
    </row>
    <row r="1898" spans="1:9" x14ac:dyDescent="0.25">
      <c r="A1898" s="12">
        <v>42</v>
      </c>
      <c r="B1898" s="13">
        <v>45180</v>
      </c>
      <c r="C1898" s="14">
        <v>31.2</v>
      </c>
      <c r="D1898" s="14">
        <v>54</v>
      </c>
      <c r="E1898" s="14">
        <v>720</v>
      </c>
      <c r="F1898" s="14">
        <v>6.2</v>
      </c>
      <c r="G1898" s="14">
        <v>40</v>
      </c>
      <c r="H1898" s="14">
        <v>88.16</v>
      </c>
      <c r="I1898" s="15">
        <v>0.54</v>
      </c>
    </row>
    <row r="1899" spans="1:9" x14ac:dyDescent="0.25">
      <c r="A1899" s="12">
        <v>42</v>
      </c>
      <c r="B1899" s="13">
        <v>45181</v>
      </c>
      <c r="C1899" s="14">
        <v>31.2</v>
      </c>
      <c r="D1899" s="14">
        <v>50</v>
      </c>
      <c r="E1899" s="14">
        <v>554</v>
      </c>
      <c r="F1899" s="14">
        <v>6.3</v>
      </c>
      <c r="G1899" s="14">
        <v>41</v>
      </c>
      <c r="H1899" s="14">
        <v>88.16</v>
      </c>
      <c r="I1899" s="15">
        <v>0.5</v>
      </c>
    </row>
    <row r="1900" spans="1:9" x14ac:dyDescent="0.25">
      <c r="A1900" s="12">
        <v>42</v>
      </c>
      <c r="B1900" s="13">
        <v>45182</v>
      </c>
      <c r="C1900" s="14">
        <v>30.4</v>
      </c>
      <c r="D1900" s="14">
        <v>62</v>
      </c>
      <c r="E1900" s="14">
        <v>506</v>
      </c>
      <c r="F1900" s="14">
        <v>6.5</v>
      </c>
      <c r="G1900" s="14">
        <v>42</v>
      </c>
      <c r="H1900" s="14">
        <v>86.72</v>
      </c>
      <c r="I1900" s="15">
        <v>0.62</v>
      </c>
    </row>
    <row r="1901" spans="1:9" x14ac:dyDescent="0.25">
      <c r="A1901" s="12">
        <v>42</v>
      </c>
      <c r="B1901" s="13">
        <v>45183</v>
      </c>
      <c r="C1901" s="14">
        <v>29.1</v>
      </c>
      <c r="D1901" s="14">
        <v>63</v>
      </c>
      <c r="E1901" s="14">
        <v>703</v>
      </c>
      <c r="F1901" s="14">
        <v>6.4</v>
      </c>
      <c r="G1901" s="14">
        <v>43</v>
      </c>
      <c r="H1901" s="14">
        <v>84.38</v>
      </c>
      <c r="I1901" s="15">
        <v>0.63</v>
      </c>
    </row>
    <row r="1902" spans="1:9" x14ac:dyDescent="0.25">
      <c r="A1902" s="12">
        <v>42</v>
      </c>
      <c r="B1902" s="13">
        <v>45184</v>
      </c>
      <c r="C1902" s="14">
        <v>30.6</v>
      </c>
      <c r="D1902" s="14">
        <v>51</v>
      </c>
      <c r="E1902" s="14">
        <v>593</v>
      </c>
      <c r="F1902" s="14">
        <v>6</v>
      </c>
      <c r="G1902" s="14">
        <v>44</v>
      </c>
      <c r="H1902" s="14">
        <v>87.08</v>
      </c>
      <c r="I1902" s="15">
        <v>0.51</v>
      </c>
    </row>
    <row r="1903" spans="1:9" x14ac:dyDescent="0.25">
      <c r="A1903" s="12">
        <v>42</v>
      </c>
      <c r="B1903" s="13">
        <v>45185</v>
      </c>
      <c r="C1903" s="14">
        <v>31.5</v>
      </c>
      <c r="D1903" s="14">
        <v>56</v>
      </c>
      <c r="E1903" s="14">
        <v>648</v>
      </c>
      <c r="F1903" s="14">
        <v>6.7</v>
      </c>
      <c r="G1903" s="14">
        <v>45</v>
      </c>
      <c r="H1903" s="14">
        <v>88.7</v>
      </c>
      <c r="I1903" s="15">
        <v>0.56000000000000005</v>
      </c>
    </row>
    <row r="1904" spans="1:9" x14ac:dyDescent="0.25">
      <c r="A1904" s="12">
        <v>43</v>
      </c>
      <c r="B1904" s="13">
        <v>45141</v>
      </c>
      <c r="C1904" s="14">
        <v>33.4</v>
      </c>
      <c r="D1904" s="14">
        <v>76</v>
      </c>
      <c r="E1904" s="14">
        <v>468</v>
      </c>
      <c r="F1904" s="14">
        <v>6.7</v>
      </c>
      <c r="G1904" s="14">
        <v>1</v>
      </c>
      <c r="H1904" s="14">
        <v>92.12</v>
      </c>
      <c r="I1904" s="15">
        <v>0.76</v>
      </c>
    </row>
    <row r="1905" spans="1:9" x14ac:dyDescent="0.25">
      <c r="A1905" s="12">
        <v>43</v>
      </c>
      <c r="B1905" s="13">
        <v>45142</v>
      </c>
      <c r="C1905" s="14">
        <v>33.5</v>
      </c>
      <c r="D1905" s="14">
        <v>71</v>
      </c>
      <c r="E1905" s="14">
        <v>584</v>
      </c>
      <c r="F1905" s="14">
        <v>6.7</v>
      </c>
      <c r="G1905" s="14">
        <v>2</v>
      </c>
      <c r="H1905" s="14">
        <v>92.3</v>
      </c>
      <c r="I1905" s="15">
        <v>0.71</v>
      </c>
    </row>
    <row r="1906" spans="1:9" x14ac:dyDescent="0.25">
      <c r="A1906" s="12">
        <v>43</v>
      </c>
      <c r="B1906" s="13">
        <v>45143</v>
      </c>
      <c r="C1906" s="14">
        <v>33.4</v>
      </c>
      <c r="D1906" s="14">
        <v>61</v>
      </c>
      <c r="E1906" s="14">
        <v>730</v>
      </c>
      <c r="F1906" s="14">
        <v>6.1</v>
      </c>
      <c r="G1906" s="14">
        <v>3</v>
      </c>
      <c r="H1906" s="14">
        <v>92.12</v>
      </c>
      <c r="I1906" s="15">
        <v>0.61</v>
      </c>
    </row>
    <row r="1907" spans="1:9" x14ac:dyDescent="0.25">
      <c r="A1907" s="12">
        <v>43</v>
      </c>
      <c r="B1907" s="13">
        <v>45144</v>
      </c>
      <c r="C1907" s="14">
        <v>33.4</v>
      </c>
      <c r="D1907" s="14">
        <v>52</v>
      </c>
      <c r="E1907" s="14">
        <v>423</v>
      </c>
      <c r="F1907" s="14">
        <v>6.4</v>
      </c>
      <c r="G1907" s="14">
        <v>4</v>
      </c>
      <c r="H1907" s="14">
        <v>92.12</v>
      </c>
      <c r="I1907" s="15">
        <v>0.52</v>
      </c>
    </row>
    <row r="1908" spans="1:9" x14ac:dyDescent="0.25">
      <c r="A1908" s="12">
        <v>43</v>
      </c>
      <c r="B1908" s="13">
        <v>45145</v>
      </c>
      <c r="C1908" s="14">
        <v>33.4</v>
      </c>
      <c r="D1908" s="14">
        <v>51</v>
      </c>
      <c r="E1908" s="14">
        <v>473</v>
      </c>
      <c r="F1908" s="14">
        <v>6.3</v>
      </c>
      <c r="G1908" s="14">
        <v>5</v>
      </c>
      <c r="H1908" s="14">
        <v>92.12</v>
      </c>
      <c r="I1908" s="15">
        <v>0.51</v>
      </c>
    </row>
    <row r="1909" spans="1:9" x14ac:dyDescent="0.25">
      <c r="A1909" s="12">
        <v>43</v>
      </c>
      <c r="B1909" s="13">
        <v>45146</v>
      </c>
      <c r="C1909" s="14">
        <v>32.299999999999997</v>
      </c>
      <c r="D1909" s="14">
        <v>80</v>
      </c>
      <c r="E1909" s="14">
        <v>654</v>
      </c>
      <c r="F1909" s="14">
        <v>6.3</v>
      </c>
      <c r="G1909" s="14">
        <v>6</v>
      </c>
      <c r="H1909" s="14">
        <v>90.14</v>
      </c>
      <c r="I1909" s="15">
        <v>0.8</v>
      </c>
    </row>
    <row r="1910" spans="1:9" x14ac:dyDescent="0.25">
      <c r="A1910" s="12">
        <v>43</v>
      </c>
      <c r="B1910" s="13">
        <v>45147</v>
      </c>
      <c r="C1910" s="14">
        <v>32.299999999999997</v>
      </c>
      <c r="D1910" s="14">
        <v>55</v>
      </c>
      <c r="E1910" s="14">
        <v>532</v>
      </c>
      <c r="F1910" s="14">
        <v>6.5</v>
      </c>
      <c r="G1910" s="14">
        <v>7</v>
      </c>
      <c r="H1910" s="14">
        <v>90.14</v>
      </c>
      <c r="I1910" s="15">
        <v>0.55000000000000004</v>
      </c>
    </row>
    <row r="1911" spans="1:9" x14ac:dyDescent="0.25">
      <c r="A1911" s="12">
        <v>43</v>
      </c>
      <c r="B1911" s="13">
        <v>45148</v>
      </c>
      <c r="C1911" s="14">
        <v>22.7</v>
      </c>
      <c r="D1911" s="14">
        <v>55</v>
      </c>
      <c r="E1911" s="14">
        <v>769</v>
      </c>
      <c r="F1911" s="14">
        <v>6.2</v>
      </c>
      <c r="G1911" s="14">
        <v>8</v>
      </c>
      <c r="H1911" s="14">
        <v>72.86</v>
      </c>
      <c r="I1911" s="15">
        <v>0.55000000000000004</v>
      </c>
    </row>
    <row r="1912" spans="1:9" x14ac:dyDescent="0.25">
      <c r="A1912" s="12">
        <v>43</v>
      </c>
      <c r="B1912" s="13">
        <v>45149</v>
      </c>
      <c r="C1912" s="14">
        <v>31.9</v>
      </c>
      <c r="D1912" s="14">
        <v>58</v>
      </c>
      <c r="E1912" s="14">
        <v>731</v>
      </c>
      <c r="F1912" s="14">
        <v>6.3</v>
      </c>
      <c r="G1912" s="14">
        <v>9</v>
      </c>
      <c r="H1912" s="14">
        <v>89.42</v>
      </c>
      <c r="I1912" s="15">
        <v>0.57999999999999996</v>
      </c>
    </row>
    <row r="1913" spans="1:9" x14ac:dyDescent="0.25">
      <c r="A1913" s="12">
        <v>43</v>
      </c>
      <c r="B1913" s="13">
        <v>45150</v>
      </c>
      <c r="C1913" s="14">
        <v>30.2</v>
      </c>
      <c r="D1913" s="14">
        <v>56</v>
      </c>
      <c r="E1913" s="14">
        <v>765</v>
      </c>
      <c r="F1913" s="14">
        <v>6.1</v>
      </c>
      <c r="G1913" s="14">
        <v>10</v>
      </c>
      <c r="H1913" s="14">
        <v>86.36</v>
      </c>
      <c r="I1913" s="15">
        <v>0.56000000000000005</v>
      </c>
    </row>
    <row r="1914" spans="1:9" x14ac:dyDescent="0.25">
      <c r="A1914" s="12">
        <v>43</v>
      </c>
      <c r="B1914" s="13">
        <v>45151</v>
      </c>
      <c r="C1914" s="14">
        <v>30.1</v>
      </c>
      <c r="D1914" s="14">
        <v>68</v>
      </c>
      <c r="E1914" s="14">
        <v>579</v>
      </c>
      <c r="F1914" s="14">
        <v>6.2</v>
      </c>
      <c r="G1914" s="14">
        <v>11</v>
      </c>
      <c r="H1914" s="14">
        <v>86.18</v>
      </c>
      <c r="I1914" s="15">
        <v>0.68</v>
      </c>
    </row>
    <row r="1915" spans="1:9" x14ac:dyDescent="0.25">
      <c r="A1915" s="12">
        <v>43</v>
      </c>
      <c r="B1915" s="13">
        <v>45152</v>
      </c>
      <c r="C1915" s="14">
        <v>30.1</v>
      </c>
      <c r="D1915" s="14">
        <v>52</v>
      </c>
      <c r="E1915" s="14">
        <v>466</v>
      </c>
      <c r="F1915" s="14">
        <v>6.3</v>
      </c>
      <c r="G1915" s="14">
        <v>12</v>
      </c>
      <c r="H1915" s="14">
        <v>86.18</v>
      </c>
      <c r="I1915" s="15">
        <v>0.52</v>
      </c>
    </row>
    <row r="1916" spans="1:9" x14ac:dyDescent="0.25">
      <c r="A1916" s="12">
        <v>43</v>
      </c>
      <c r="B1916" s="13">
        <v>45153</v>
      </c>
      <c r="C1916" s="14">
        <v>30.1</v>
      </c>
      <c r="D1916" s="14">
        <v>56</v>
      </c>
      <c r="E1916" s="14">
        <v>408</v>
      </c>
      <c r="F1916" s="14">
        <v>6.4</v>
      </c>
      <c r="G1916" s="14">
        <v>13</v>
      </c>
      <c r="H1916" s="14">
        <v>86.18</v>
      </c>
      <c r="I1916" s="15">
        <v>0.56000000000000005</v>
      </c>
    </row>
    <row r="1917" spans="1:9" x14ac:dyDescent="0.25">
      <c r="A1917" s="12">
        <v>43</v>
      </c>
      <c r="B1917" s="13">
        <v>45154</v>
      </c>
      <c r="C1917" s="14">
        <v>29.8</v>
      </c>
      <c r="D1917" s="14">
        <v>68</v>
      </c>
      <c r="E1917" s="14">
        <v>547</v>
      </c>
      <c r="F1917" s="14">
        <v>6.3</v>
      </c>
      <c r="G1917" s="14">
        <v>14</v>
      </c>
      <c r="H1917" s="14">
        <v>85.64</v>
      </c>
      <c r="I1917" s="15">
        <v>0.68</v>
      </c>
    </row>
    <row r="1918" spans="1:9" x14ac:dyDescent="0.25">
      <c r="A1918" s="12">
        <v>43</v>
      </c>
      <c r="B1918" s="13">
        <v>45155</v>
      </c>
      <c r="C1918" s="14">
        <v>29.6</v>
      </c>
      <c r="D1918" s="14">
        <v>53</v>
      </c>
      <c r="E1918" s="14">
        <v>587</v>
      </c>
      <c r="F1918" s="14">
        <v>6.3</v>
      </c>
      <c r="G1918" s="14">
        <v>15</v>
      </c>
      <c r="H1918" s="14">
        <v>85.28</v>
      </c>
      <c r="I1918" s="15">
        <v>0.53</v>
      </c>
    </row>
    <row r="1919" spans="1:9" x14ac:dyDescent="0.25">
      <c r="A1919" s="12">
        <v>43</v>
      </c>
      <c r="B1919" s="13">
        <v>45156</v>
      </c>
      <c r="C1919" s="14">
        <v>30.9</v>
      </c>
      <c r="D1919" s="14">
        <v>76</v>
      </c>
      <c r="E1919" s="14">
        <v>771</v>
      </c>
      <c r="F1919" s="14">
        <v>6.1</v>
      </c>
      <c r="G1919" s="14">
        <v>16</v>
      </c>
      <c r="H1919" s="14">
        <v>87.62</v>
      </c>
      <c r="I1919" s="15">
        <v>0.76</v>
      </c>
    </row>
    <row r="1920" spans="1:9" x14ac:dyDescent="0.25">
      <c r="A1920" s="12">
        <v>43</v>
      </c>
      <c r="B1920" s="13">
        <v>45157</v>
      </c>
      <c r="C1920" s="14">
        <v>30.8</v>
      </c>
      <c r="D1920" s="14">
        <v>75</v>
      </c>
      <c r="E1920" s="14">
        <v>432</v>
      </c>
      <c r="F1920" s="14">
        <v>6.4</v>
      </c>
      <c r="G1920" s="14">
        <v>17</v>
      </c>
      <c r="H1920" s="14">
        <v>87.44</v>
      </c>
      <c r="I1920" s="15">
        <v>0.75</v>
      </c>
    </row>
    <row r="1921" spans="1:9" x14ac:dyDescent="0.25">
      <c r="A1921" s="12">
        <v>43</v>
      </c>
      <c r="B1921" s="13">
        <v>45158</v>
      </c>
      <c r="C1921" s="14">
        <v>30.9</v>
      </c>
      <c r="D1921" s="14">
        <v>80</v>
      </c>
      <c r="E1921" s="14">
        <v>688</v>
      </c>
      <c r="F1921" s="14">
        <v>6.7</v>
      </c>
      <c r="G1921" s="14">
        <v>18</v>
      </c>
      <c r="H1921" s="14">
        <v>87.62</v>
      </c>
      <c r="I1921" s="15">
        <v>0.8</v>
      </c>
    </row>
    <row r="1922" spans="1:9" x14ac:dyDescent="0.25">
      <c r="A1922" s="12">
        <v>43</v>
      </c>
      <c r="B1922" s="13">
        <v>45159</v>
      </c>
      <c r="C1922" s="14">
        <v>30.2</v>
      </c>
      <c r="D1922" s="14">
        <v>52</v>
      </c>
      <c r="E1922" s="14">
        <v>683</v>
      </c>
      <c r="F1922" s="14">
        <v>6.1</v>
      </c>
      <c r="G1922" s="14">
        <v>19</v>
      </c>
      <c r="H1922" s="14">
        <v>86.36</v>
      </c>
      <c r="I1922" s="15">
        <v>0.52</v>
      </c>
    </row>
    <row r="1923" spans="1:9" x14ac:dyDescent="0.25">
      <c r="A1923" s="12">
        <v>43</v>
      </c>
      <c r="B1923" s="13">
        <v>45160</v>
      </c>
      <c r="C1923" s="14">
        <v>30.5</v>
      </c>
      <c r="D1923" s="14">
        <v>60</v>
      </c>
      <c r="E1923" s="14">
        <v>749</v>
      </c>
      <c r="F1923" s="14">
        <v>6.2</v>
      </c>
      <c r="G1923" s="14">
        <v>20</v>
      </c>
      <c r="H1923" s="14">
        <v>86.9</v>
      </c>
      <c r="I1923" s="15">
        <v>0.6</v>
      </c>
    </row>
    <row r="1924" spans="1:9" x14ac:dyDescent="0.25">
      <c r="A1924" s="12">
        <v>43</v>
      </c>
      <c r="B1924" s="13">
        <v>45161</v>
      </c>
      <c r="C1924" s="14">
        <v>30.8</v>
      </c>
      <c r="D1924" s="14">
        <v>72</v>
      </c>
      <c r="E1924" s="14">
        <v>447</v>
      </c>
      <c r="F1924" s="14">
        <v>6.7</v>
      </c>
      <c r="G1924" s="14">
        <v>21</v>
      </c>
      <c r="H1924" s="14">
        <v>87.44</v>
      </c>
      <c r="I1924" s="15">
        <v>0.72</v>
      </c>
    </row>
    <row r="1925" spans="1:9" x14ac:dyDescent="0.25">
      <c r="A1925" s="12">
        <v>43</v>
      </c>
      <c r="B1925" s="13">
        <v>45162</v>
      </c>
      <c r="C1925" s="14">
        <v>31.3</v>
      </c>
      <c r="D1925" s="14">
        <v>62</v>
      </c>
      <c r="E1925" s="14">
        <v>625</v>
      </c>
      <c r="F1925" s="14">
        <v>6.2</v>
      </c>
      <c r="G1925" s="14">
        <v>22</v>
      </c>
      <c r="H1925" s="14">
        <v>88.34</v>
      </c>
      <c r="I1925" s="15">
        <v>0.62</v>
      </c>
    </row>
    <row r="1926" spans="1:9" x14ac:dyDescent="0.25">
      <c r="A1926" s="12">
        <v>43</v>
      </c>
      <c r="B1926" s="13">
        <v>45163</v>
      </c>
      <c r="C1926" s="14">
        <v>31.4</v>
      </c>
      <c r="D1926" s="14">
        <v>73</v>
      </c>
      <c r="E1926" s="14">
        <v>441</v>
      </c>
      <c r="F1926" s="14">
        <v>6.4</v>
      </c>
      <c r="G1926" s="14">
        <v>23</v>
      </c>
      <c r="H1926" s="14">
        <v>88.52</v>
      </c>
      <c r="I1926" s="15">
        <v>0.73</v>
      </c>
    </row>
    <row r="1927" spans="1:9" x14ac:dyDescent="0.25">
      <c r="A1927" s="12">
        <v>43</v>
      </c>
      <c r="B1927" s="13">
        <v>45164</v>
      </c>
      <c r="C1927" s="14">
        <v>31.4</v>
      </c>
      <c r="D1927" s="14">
        <v>53</v>
      </c>
      <c r="E1927" s="14">
        <v>723</v>
      </c>
      <c r="F1927" s="14">
        <v>6.6</v>
      </c>
      <c r="G1927" s="14">
        <v>24</v>
      </c>
      <c r="H1927" s="14">
        <v>88.52</v>
      </c>
      <c r="I1927" s="15">
        <v>0.53</v>
      </c>
    </row>
    <row r="1928" spans="1:9" x14ac:dyDescent="0.25">
      <c r="A1928" s="12">
        <v>43</v>
      </c>
      <c r="B1928" s="13">
        <v>45165</v>
      </c>
      <c r="C1928" s="14">
        <v>30.1</v>
      </c>
      <c r="D1928" s="14">
        <v>75</v>
      </c>
      <c r="E1928" s="14">
        <v>751</v>
      </c>
      <c r="F1928" s="14">
        <v>6.4</v>
      </c>
      <c r="G1928" s="14">
        <v>25</v>
      </c>
      <c r="H1928" s="14">
        <v>86.18</v>
      </c>
      <c r="I1928" s="15">
        <v>0.75</v>
      </c>
    </row>
    <row r="1929" spans="1:9" x14ac:dyDescent="0.25">
      <c r="A1929" s="12">
        <v>43</v>
      </c>
      <c r="B1929" s="13">
        <v>45166</v>
      </c>
      <c r="C1929" s="14">
        <v>29.4</v>
      </c>
      <c r="D1929" s="14">
        <v>77</v>
      </c>
      <c r="E1929" s="14">
        <v>780</v>
      </c>
      <c r="F1929" s="14">
        <v>6.7</v>
      </c>
      <c r="G1929" s="14">
        <v>26</v>
      </c>
      <c r="H1929" s="14">
        <v>84.92</v>
      </c>
      <c r="I1929" s="15">
        <v>0.77</v>
      </c>
    </row>
    <row r="1930" spans="1:9" x14ac:dyDescent="0.25">
      <c r="A1930" s="12">
        <v>43</v>
      </c>
      <c r="B1930" s="13">
        <v>45167</v>
      </c>
      <c r="C1930" s="14">
        <v>28.7</v>
      </c>
      <c r="D1930" s="14">
        <v>77</v>
      </c>
      <c r="E1930" s="14">
        <v>506</v>
      </c>
      <c r="F1930" s="14">
        <v>6.3</v>
      </c>
      <c r="G1930" s="14">
        <v>27</v>
      </c>
      <c r="H1930" s="14">
        <v>83.66</v>
      </c>
      <c r="I1930" s="15">
        <v>0.77</v>
      </c>
    </row>
    <row r="1931" spans="1:9" x14ac:dyDescent="0.25">
      <c r="A1931" s="12">
        <v>43</v>
      </c>
      <c r="B1931" s="13">
        <v>45168</v>
      </c>
      <c r="C1931" s="14">
        <v>29.1</v>
      </c>
      <c r="D1931" s="14">
        <v>71</v>
      </c>
      <c r="E1931" s="14">
        <v>793</v>
      </c>
      <c r="F1931" s="14">
        <v>6.7</v>
      </c>
      <c r="G1931" s="14">
        <v>28</v>
      </c>
      <c r="H1931" s="14">
        <v>84.38</v>
      </c>
      <c r="I1931" s="15">
        <v>0.71</v>
      </c>
    </row>
    <row r="1932" spans="1:9" x14ac:dyDescent="0.25">
      <c r="A1932" s="12">
        <v>43</v>
      </c>
      <c r="B1932" s="13">
        <v>45169</v>
      </c>
      <c r="C1932" s="14">
        <v>29.2</v>
      </c>
      <c r="D1932" s="14">
        <v>62</v>
      </c>
      <c r="E1932" s="14">
        <v>638</v>
      </c>
      <c r="F1932" s="14">
        <v>6.3</v>
      </c>
      <c r="G1932" s="14">
        <v>29</v>
      </c>
      <c r="H1932" s="14">
        <v>84.56</v>
      </c>
      <c r="I1932" s="15">
        <v>0.62</v>
      </c>
    </row>
    <row r="1933" spans="1:9" x14ac:dyDescent="0.25">
      <c r="A1933" s="12">
        <v>43</v>
      </c>
      <c r="B1933" s="13">
        <v>45170</v>
      </c>
      <c r="C1933" s="14">
        <v>31.7</v>
      </c>
      <c r="D1933" s="14">
        <v>51</v>
      </c>
      <c r="E1933" s="14">
        <v>753</v>
      </c>
      <c r="F1933" s="14">
        <v>6.3</v>
      </c>
      <c r="G1933" s="14">
        <v>30</v>
      </c>
      <c r="H1933" s="14">
        <v>89.06</v>
      </c>
      <c r="I1933" s="15">
        <v>0.51</v>
      </c>
    </row>
    <row r="1934" spans="1:9" x14ac:dyDescent="0.25">
      <c r="A1934" s="12">
        <v>43</v>
      </c>
      <c r="B1934" s="13">
        <v>45171</v>
      </c>
      <c r="C1934" s="14">
        <v>31.7</v>
      </c>
      <c r="D1934" s="14">
        <v>58</v>
      </c>
      <c r="E1934" s="14">
        <v>538</v>
      </c>
      <c r="F1934" s="14">
        <v>6.6</v>
      </c>
      <c r="G1934" s="14">
        <v>31</v>
      </c>
      <c r="H1934" s="14">
        <v>89.06</v>
      </c>
      <c r="I1934" s="15">
        <v>0.57999999999999996</v>
      </c>
    </row>
    <row r="1935" spans="1:9" x14ac:dyDescent="0.25">
      <c r="A1935" s="12">
        <v>43</v>
      </c>
      <c r="B1935" s="13">
        <v>45172</v>
      </c>
      <c r="C1935" s="14">
        <v>31.7</v>
      </c>
      <c r="D1935" s="14">
        <v>68</v>
      </c>
      <c r="E1935" s="14">
        <v>476</v>
      </c>
      <c r="F1935" s="14">
        <v>6.6</v>
      </c>
      <c r="G1935" s="14">
        <v>32</v>
      </c>
      <c r="H1935" s="14">
        <v>89.06</v>
      </c>
      <c r="I1935" s="15">
        <v>0.68</v>
      </c>
    </row>
    <row r="1936" spans="1:9" x14ac:dyDescent="0.25">
      <c r="A1936" s="12">
        <v>43</v>
      </c>
      <c r="B1936" s="13">
        <v>45173</v>
      </c>
      <c r="C1936" s="14">
        <v>31.7</v>
      </c>
      <c r="D1936" s="14">
        <v>59</v>
      </c>
      <c r="E1936" s="14">
        <v>458</v>
      </c>
      <c r="F1936" s="14">
        <v>6.5</v>
      </c>
      <c r="G1936" s="14">
        <v>33</v>
      </c>
      <c r="H1936" s="14">
        <v>89.06</v>
      </c>
      <c r="I1936" s="15">
        <v>0.59</v>
      </c>
    </row>
    <row r="1937" spans="1:9" x14ac:dyDescent="0.25">
      <c r="A1937" s="12">
        <v>43</v>
      </c>
      <c r="B1937" s="13">
        <v>45174</v>
      </c>
      <c r="C1937" s="14">
        <v>32</v>
      </c>
      <c r="D1937" s="14">
        <v>73</v>
      </c>
      <c r="E1937" s="14">
        <v>793</v>
      </c>
      <c r="F1937" s="14">
        <v>6.5</v>
      </c>
      <c r="G1937" s="14">
        <v>34</v>
      </c>
      <c r="H1937" s="14">
        <v>89.6</v>
      </c>
      <c r="I1937" s="15">
        <v>0.73</v>
      </c>
    </row>
    <row r="1938" spans="1:9" x14ac:dyDescent="0.25">
      <c r="A1938" s="12">
        <v>43</v>
      </c>
      <c r="B1938" s="13">
        <v>45175</v>
      </c>
      <c r="C1938" s="14">
        <v>32.1</v>
      </c>
      <c r="D1938" s="14">
        <v>73</v>
      </c>
      <c r="E1938" s="14">
        <v>661</v>
      </c>
      <c r="F1938" s="14">
        <v>6.7</v>
      </c>
      <c r="G1938" s="14">
        <v>35</v>
      </c>
      <c r="H1938" s="14">
        <v>89.78</v>
      </c>
      <c r="I1938" s="15">
        <v>0.73</v>
      </c>
    </row>
    <row r="1939" spans="1:9" x14ac:dyDescent="0.25">
      <c r="A1939" s="12">
        <v>43</v>
      </c>
      <c r="B1939" s="13">
        <v>45176</v>
      </c>
      <c r="C1939" s="14">
        <v>31.5</v>
      </c>
      <c r="D1939" s="14">
        <v>50</v>
      </c>
      <c r="E1939" s="14">
        <v>666</v>
      </c>
      <c r="F1939" s="14">
        <v>6</v>
      </c>
      <c r="G1939" s="14">
        <v>36</v>
      </c>
      <c r="H1939" s="14">
        <v>88.7</v>
      </c>
      <c r="I1939" s="15">
        <v>0.5</v>
      </c>
    </row>
    <row r="1940" spans="1:9" x14ac:dyDescent="0.25">
      <c r="A1940" s="12">
        <v>43</v>
      </c>
      <c r="B1940" s="13">
        <v>45177</v>
      </c>
      <c r="C1940" s="14">
        <v>29.8</v>
      </c>
      <c r="D1940" s="14">
        <v>50</v>
      </c>
      <c r="E1940" s="14">
        <v>753</v>
      </c>
      <c r="F1940" s="14">
        <v>6.1</v>
      </c>
      <c r="G1940" s="14">
        <v>37</v>
      </c>
      <c r="H1940" s="14">
        <v>85.64</v>
      </c>
      <c r="I1940" s="15">
        <v>0.5</v>
      </c>
    </row>
    <row r="1941" spans="1:9" x14ac:dyDescent="0.25">
      <c r="A1941" s="12">
        <v>43</v>
      </c>
      <c r="B1941" s="13">
        <v>45178</v>
      </c>
      <c r="C1941" s="14">
        <v>20.100000000000001</v>
      </c>
      <c r="D1941" s="14">
        <v>51</v>
      </c>
      <c r="E1941" s="14">
        <v>752</v>
      </c>
      <c r="F1941" s="14">
        <v>6.7</v>
      </c>
      <c r="G1941" s="14">
        <v>38</v>
      </c>
      <c r="H1941" s="14">
        <v>68.180000000000007</v>
      </c>
      <c r="I1941" s="15">
        <v>0.51</v>
      </c>
    </row>
    <row r="1942" spans="1:9" x14ac:dyDescent="0.25">
      <c r="A1942" s="12">
        <v>43</v>
      </c>
      <c r="B1942" s="13">
        <v>45179</v>
      </c>
      <c r="C1942" s="14">
        <v>31.1</v>
      </c>
      <c r="D1942" s="14">
        <v>55</v>
      </c>
      <c r="E1942" s="14">
        <v>403</v>
      </c>
      <c r="F1942" s="14">
        <v>6.4</v>
      </c>
      <c r="G1942" s="14">
        <v>39</v>
      </c>
      <c r="H1942" s="14">
        <v>87.98</v>
      </c>
      <c r="I1942" s="15">
        <v>0.55000000000000004</v>
      </c>
    </row>
    <row r="1943" spans="1:9" x14ac:dyDescent="0.25">
      <c r="A1943" s="12">
        <v>43</v>
      </c>
      <c r="B1943" s="13">
        <v>45180</v>
      </c>
      <c r="C1943" s="14">
        <v>31.2</v>
      </c>
      <c r="D1943" s="14">
        <v>80</v>
      </c>
      <c r="E1943" s="14">
        <v>720</v>
      </c>
      <c r="F1943" s="14">
        <v>6.7</v>
      </c>
      <c r="G1943" s="14">
        <v>40</v>
      </c>
      <c r="H1943" s="14">
        <v>88.16</v>
      </c>
      <c r="I1943" s="15">
        <v>0.8</v>
      </c>
    </row>
    <row r="1944" spans="1:9" x14ac:dyDescent="0.25">
      <c r="A1944" s="12">
        <v>43</v>
      </c>
      <c r="B1944" s="13">
        <v>45181</v>
      </c>
      <c r="C1944" s="14">
        <v>31.2</v>
      </c>
      <c r="D1944" s="14">
        <v>65</v>
      </c>
      <c r="E1944" s="14">
        <v>629</v>
      </c>
      <c r="F1944" s="14">
        <v>6.2</v>
      </c>
      <c r="G1944" s="14">
        <v>41</v>
      </c>
      <c r="H1944" s="14">
        <v>88.16</v>
      </c>
      <c r="I1944" s="15">
        <v>0.65</v>
      </c>
    </row>
    <row r="1945" spans="1:9" x14ac:dyDescent="0.25">
      <c r="A1945" s="12">
        <v>43</v>
      </c>
      <c r="B1945" s="13">
        <v>45182</v>
      </c>
      <c r="C1945" s="14">
        <v>30.4</v>
      </c>
      <c r="D1945" s="14">
        <v>51</v>
      </c>
      <c r="E1945" s="14">
        <v>684</v>
      </c>
      <c r="F1945" s="14">
        <v>6.5</v>
      </c>
      <c r="G1945" s="14">
        <v>42</v>
      </c>
      <c r="H1945" s="14">
        <v>86.72</v>
      </c>
      <c r="I1945" s="15">
        <v>0.51</v>
      </c>
    </row>
    <row r="1946" spans="1:9" x14ac:dyDescent="0.25">
      <c r="A1946" s="12">
        <v>43</v>
      </c>
      <c r="B1946" s="13">
        <v>45183</v>
      </c>
      <c r="C1946" s="14">
        <v>29.1</v>
      </c>
      <c r="D1946" s="14">
        <v>77</v>
      </c>
      <c r="E1946" s="14">
        <v>496</v>
      </c>
      <c r="F1946" s="14">
        <v>6.2</v>
      </c>
      <c r="G1946" s="14">
        <v>43</v>
      </c>
      <c r="H1946" s="14">
        <v>84.38</v>
      </c>
      <c r="I1946" s="15">
        <v>0.77</v>
      </c>
    </row>
    <row r="1947" spans="1:9" x14ac:dyDescent="0.25">
      <c r="A1947" s="12">
        <v>43</v>
      </c>
      <c r="B1947" s="13">
        <v>45184</v>
      </c>
      <c r="C1947" s="14">
        <v>30.6</v>
      </c>
      <c r="D1947" s="14">
        <v>53</v>
      </c>
      <c r="E1947" s="14">
        <v>450</v>
      </c>
      <c r="F1947" s="14">
        <v>6.5</v>
      </c>
      <c r="G1947" s="14">
        <v>44</v>
      </c>
      <c r="H1947" s="14">
        <v>87.08</v>
      </c>
      <c r="I1947" s="15">
        <v>0.53</v>
      </c>
    </row>
    <row r="1948" spans="1:9" x14ac:dyDescent="0.25">
      <c r="A1948" s="12">
        <v>43</v>
      </c>
      <c r="B1948" s="13">
        <v>45185</v>
      </c>
      <c r="C1948" s="14">
        <v>31.5</v>
      </c>
      <c r="D1948" s="14">
        <v>56</v>
      </c>
      <c r="E1948" s="14">
        <v>750</v>
      </c>
      <c r="F1948" s="14">
        <v>6.4</v>
      </c>
      <c r="G1948" s="14">
        <v>45</v>
      </c>
      <c r="H1948" s="14">
        <v>88.7</v>
      </c>
      <c r="I1948" s="15">
        <v>0.56000000000000005</v>
      </c>
    </row>
    <row r="1949" spans="1:9" x14ac:dyDescent="0.25">
      <c r="A1949" s="12">
        <v>44</v>
      </c>
      <c r="B1949" s="13">
        <v>45141</v>
      </c>
      <c r="C1949" s="14">
        <v>33.4</v>
      </c>
      <c r="D1949" s="14">
        <v>73</v>
      </c>
      <c r="E1949" s="14">
        <v>701</v>
      </c>
      <c r="F1949" s="14">
        <v>6.6</v>
      </c>
      <c r="G1949" s="14">
        <v>1</v>
      </c>
      <c r="H1949" s="14">
        <v>92.12</v>
      </c>
      <c r="I1949" s="15">
        <v>0.73</v>
      </c>
    </row>
    <row r="1950" spans="1:9" x14ac:dyDescent="0.25">
      <c r="A1950" s="12">
        <v>44</v>
      </c>
      <c r="B1950" s="13">
        <v>45142</v>
      </c>
      <c r="C1950" s="14">
        <v>33.5</v>
      </c>
      <c r="D1950" s="14">
        <v>59</v>
      </c>
      <c r="E1950" s="14">
        <v>601</v>
      </c>
      <c r="F1950" s="14">
        <v>6.5</v>
      </c>
      <c r="G1950" s="14">
        <v>2</v>
      </c>
      <c r="H1950" s="14">
        <v>92.3</v>
      </c>
      <c r="I1950" s="15">
        <v>0.59</v>
      </c>
    </row>
    <row r="1951" spans="1:9" x14ac:dyDescent="0.25">
      <c r="A1951" s="12">
        <v>44</v>
      </c>
      <c r="B1951" s="13">
        <v>45143</v>
      </c>
      <c r="C1951" s="14">
        <v>33.4</v>
      </c>
      <c r="D1951" s="14">
        <v>74</v>
      </c>
      <c r="E1951" s="14">
        <v>510</v>
      </c>
      <c r="F1951" s="14">
        <v>6.4</v>
      </c>
      <c r="G1951" s="14">
        <v>3</v>
      </c>
      <c r="H1951" s="14">
        <v>92.12</v>
      </c>
      <c r="I1951" s="15">
        <v>0.74</v>
      </c>
    </row>
    <row r="1952" spans="1:9" x14ac:dyDescent="0.25">
      <c r="A1952" s="12">
        <v>44</v>
      </c>
      <c r="B1952" s="13">
        <v>45144</v>
      </c>
      <c r="C1952" s="14">
        <v>33.4</v>
      </c>
      <c r="D1952" s="14">
        <v>51</v>
      </c>
      <c r="E1952" s="14">
        <v>681</v>
      </c>
      <c r="F1952" s="14">
        <v>6.5</v>
      </c>
      <c r="G1952" s="14">
        <v>4</v>
      </c>
      <c r="H1952" s="14">
        <v>92.12</v>
      </c>
      <c r="I1952" s="15">
        <v>0.51</v>
      </c>
    </row>
    <row r="1953" spans="1:9" x14ac:dyDescent="0.25">
      <c r="A1953" s="12">
        <v>44</v>
      </c>
      <c r="B1953" s="13">
        <v>45145</v>
      </c>
      <c r="C1953" s="14">
        <v>33.4</v>
      </c>
      <c r="D1953" s="14">
        <v>59</v>
      </c>
      <c r="E1953" s="14">
        <v>768</v>
      </c>
      <c r="F1953" s="14">
        <v>6.8</v>
      </c>
      <c r="G1953" s="14">
        <v>5</v>
      </c>
      <c r="H1953" s="14">
        <v>92.12</v>
      </c>
      <c r="I1953" s="15">
        <v>0.59</v>
      </c>
    </row>
    <row r="1954" spans="1:9" x14ac:dyDescent="0.25">
      <c r="A1954" s="12">
        <v>44</v>
      </c>
      <c r="B1954" s="13">
        <v>45146</v>
      </c>
      <c r="C1954" s="14">
        <v>32.299999999999997</v>
      </c>
      <c r="D1954" s="14">
        <v>72</v>
      </c>
      <c r="E1954" s="14">
        <v>634</v>
      </c>
      <c r="F1954" s="14">
        <v>6</v>
      </c>
      <c r="G1954" s="14">
        <v>6</v>
      </c>
      <c r="H1954" s="14">
        <v>90.14</v>
      </c>
      <c r="I1954" s="15">
        <v>0.72</v>
      </c>
    </row>
    <row r="1955" spans="1:9" x14ac:dyDescent="0.25">
      <c r="A1955" s="12">
        <v>44</v>
      </c>
      <c r="B1955" s="13">
        <v>45147</v>
      </c>
      <c r="C1955" s="14">
        <v>32.299999999999997</v>
      </c>
      <c r="D1955" s="14">
        <v>53</v>
      </c>
      <c r="E1955" s="14">
        <v>401</v>
      </c>
      <c r="F1955" s="14">
        <v>6.7</v>
      </c>
      <c r="G1955" s="14">
        <v>7</v>
      </c>
      <c r="H1955" s="14">
        <v>90.14</v>
      </c>
      <c r="I1955" s="15">
        <v>0.53</v>
      </c>
    </row>
    <row r="1956" spans="1:9" x14ac:dyDescent="0.25">
      <c r="A1956" s="12">
        <v>44</v>
      </c>
      <c r="B1956" s="13">
        <v>45148</v>
      </c>
      <c r="C1956" s="14">
        <v>22.7</v>
      </c>
      <c r="D1956" s="14">
        <v>62</v>
      </c>
      <c r="E1956" s="14">
        <v>721</v>
      </c>
      <c r="F1956" s="14">
        <v>6.1</v>
      </c>
      <c r="G1956" s="14">
        <v>8</v>
      </c>
      <c r="H1956" s="14">
        <v>72.86</v>
      </c>
      <c r="I1956" s="15">
        <v>0.62</v>
      </c>
    </row>
    <row r="1957" spans="1:9" x14ac:dyDescent="0.25">
      <c r="A1957" s="12">
        <v>44</v>
      </c>
      <c r="B1957" s="13">
        <v>45149</v>
      </c>
      <c r="C1957" s="14">
        <v>31.9</v>
      </c>
      <c r="D1957" s="14">
        <v>71</v>
      </c>
      <c r="E1957" s="14">
        <v>609</v>
      </c>
      <c r="F1957" s="14">
        <v>6.4</v>
      </c>
      <c r="G1957" s="14">
        <v>9</v>
      </c>
      <c r="H1957" s="14">
        <v>89.42</v>
      </c>
      <c r="I1957" s="15">
        <v>0.71</v>
      </c>
    </row>
    <row r="1958" spans="1:9" x14ac:dyDescent="0.25">
      <c r="A1958" s="12">
        <v>44</v>
      </c>
      <c r="B1958" s="13">
        <v>45150</v>
      </c>
      <c r="C1958" s="14">
        <v>30.2</v>
      </c>
      <c r="D1958" s="14">
        <v>58</v>
      </c>
      <c r="E1958" s="14">
        <v>576</v>
      </c>
      <c r="F1958" s="14">
        <v>6.4</v>
      </c>
      <c r="G1958" s="14">
        <v>10</v>
      </c>
      <c r="H1958" s="14">
        <v>86.36</v>
      </c>
      <c r="I1958" s="15">
        <v>0.57999999999999996</v>
      </c>
    </row>
    <row r="1959" spans="1:9" x14ac:dyDescent="0.25">
      <c r="A1959" s="12">
        <v>44</v>
      </c>
      <c r="B1959" s="13">
        <v>45151</v>
      </c>
      <c r="C1959" s="14">
        <v>30.1</v>
      </c>
      <c r="D1959" s="14">
        <v>61</v>
      </c>
      <c r="E1959" s="14">
        <v>799</v>
      </c>
      <c r="F1959" s="14">
        <v>6.1</v>
      </c>
      <c r="G1959" s="14">
        <v>11</v>
      </c>
      <c r="H1959" s="14">
        <v>86.18</v>
      </c>
      <c r="I1959" s="15">
        <v>0.61</v>
      </c>
    </row>
    <row r="1960" spans="1:9" x14ac:dyDescent="0.25">
      <c r="A1960" s="12">
        <v>44</v>
      </c>
      <c r="B1960" s="13">
        <v>45152</v>
      </c>
      <c r="C1960" s="14">
        <v>30.1</v>
      </c>
      <c r="D1960" s="14">
        <v>58</v>
      </c>
      <c r="E1960" s="14">
        <v>580</v>
      </c>
      <c r="F1960" s="14">
        <v>6</v>
      </c>
      <c r="G1960" s="14">
        <v>12</v>
      </c>
      <c r="H1960" s="14">
        <v>86.18</v>
      </c>
      <c r="I1960" s="15">
        <v>0.57999999999999996</v>
      </c>
    </row>
    <row r="1961" spans="1:9" x14ac:dyDescent="0.25">
      <c r="A1961" s="12">
        <v>44</v>
      </c>
      <c r="B1961" s="13">
        <v>45153</v>
      </c>
      <c r="C1961" s="14">
        <v>30.1</v>
      </c>
      <c r="D1961" s="14">
        <v>58</v>
      </c>
      <c r="E1961" s="14">
        <v>765</v>
      </c>
      <c r="F1961" s="14">
        <v>6.5</v>
      </c>
      <c r="G1961" s="14">
        <v>13</v>
      </c>
      <c r="H1961" s="14">
        <v>86.18</v>
      </c>
      <c r="I1961" s="15">
        <v>0.57999999999999996</v>
      </c>
    </row>
    <row r="1962" spans="1:9" x14ac:dyDescent="0.25">
      <c r="A1962" s="12">
        <v>44</v>
      </c>
      <c r="B1962" s="13">
        <v>45154</v>
      </c>
      <c r="C1962" s="14">
        <v>29.8</v>
      </c>
      <c r="D1962" s="14">
        <v>77</v>
      </c>
      <c r="E1962" s="14">
        <v>688</v>
      </c>
      <c r="F1962" s="14">
        <v>6.2</v>
      </c>
      <c r="G1962" s="14">
        <v>14</v>
      </c>
      <c r="H1962" s="14">
        <v>85.64</v>
      </c>
      <c r="I1962" s="15">
        <v>0.77</v>
      </c>
    </row>
    <row r="1963" spans="1:9" x14ac:dyDescent="0.25">
      <c r="A1963" s="12">
        <v>44</v>
      </c>
      <c r="B1963" s="13">
        <v>45155</v>
      </c>
      <c r="C1963" s="14">
        <v>29.6</v>
      </c>
      <c r="D1963" s="14">
        <v>68</v>
      </c>
      <c r="E1963" s="14">
        <v>453</v>
      </c>
      <c r="F1963" s="14">
        <v>6.1</v>
      </c>
      <c r="G1963" s="14">
        <v>15</v>
      </c>
      <c r="H1963" s="14">
        <v>85.28</v>
      </c>
      <c r="I1963" s="15">
        <v>0.68</v>
      </c>
    </row>
    <row r="1964" spans="1:9" x14ac:dyDescent="0.25">
      <c r="A1964" s="12">
        <v>44</v>
      </c>
      <c r="B1964" s="13">
        <v>45156</v>
      </c>
      <c r="C1964" s="14">
        <v>30.9</v>
      </c>
      <c r="D1964" s="14">
        <v>53</v>
      </c>
      <c r="E1964" s="14">
        <v>426</v>
      </c>
      <c r="F1964" s="14">
        <v>6.4</v>
      </c>
      <c r="G1964" s="14">
        <v>16</v>
      </c>
      <c r="H1964" s="14">
        <v>87.62</v>
      </c>
      <c r="I1964" s="15">
        <v>0.53</v>
      </c>
    </row>
    <row r="1965" spans="1:9" x14ac:dyDescent="0.25">
      <c r="A1965" s="12">
        <v>44</v>
      </c>
      <c r="B1965" s="13">
        <v>45157</v>
      </c>
      <c r="C1965" s="14">
        <v>30.8</v>
      </c>
      <c r="D1965" s="14">
        <v>54</v>
      </c>
      <c r="E1965" s="14">
        <v>527</v>
      </c>
      <c r="F1965" s="14">
        <v>6.3</v>
      </c>
      <c r="G1965" s="14">
        <v>17</v>
      </c>
      <c r="H1965" s="14">
        <v>87.44</v>
      </c>
      <c r="I1965" s="15">
        <v>0.54</v>
      </c>
    </row>
    <row r="1966" spans="1:9" x14ac:dyDescent="0.25">
      <c r="A1966" s="12">
        <v>44</v>
      </c>
      <c r="B1966" s="13">
        <v>45158</v>
      </c>
      <c r="C1966" s="14">
        <v>30.9</v>
      </c>
      <c r="D1966" s="14">
        <v>73</v>
      </c>
      <c r="E1966" s="14">
        <v>445</v>
      </c>
      <c r="F1966" s="14">
        <v>6.1</v>
      </c>
      <c r="G1966" s="14">
        <v>18</v>
      </c>
      <c r="H1966" s="14">
        <v>87.62</v>
      </c>
      <c r="I1966" s="15">
        <v>0.73</v>
      </c>
    </row>
    <row r="1967" spans="1:9" x14ac:dyDescent="0.25">
      <c r="A1967" s="12">
        <v>44</v>
      </c>
      <c r="B1967" s="13">
        <v>45159</v>
      </c>
      <c r="C1967" s="14">
        <v>30.2</v>
      </c>
      <c r="D1967" s="14">
        <v>80</v>
      </c>
      <c r="E1967" s="14">
        <v>715</v>
      </c>
      <c r="F1967" s="14">
        <v>6.3</v>
      </c>
      <c r="G1967" s="14">
        <v>19</v>
      </c>
      <c r="H1967" s="14">
        <v>86.36</v>
      </c>
      <c r="I1967" s="15">
        <v>0.8</v>
      </c>
    </row>
    <row r="1968" spans="1:9" x14ac:dyDescent="0.25">
      <c r="A1968" s="12">
        <v>44</v>
      </c>
      <c r="B1968" s="13">
        <v>45160</v>
      </c>
      <c r="C1968" s="14">
        <v>30.5</v>
      </c>
      <c r="D1968" s="14">
        <v>69</v>
      </c>
      <c r="E1968" s="14">
        <v>791</v>
      </c>
      <c r="F1968" s="14">
        <v>6.1</v>
      </c>
      <c r="G1968" s="14">
        <v>20</v>
      </c>
      <c r="H1968" s="14">
        <v>86.9</v>
      </c>
      <c r="I1968" s="15">
        <v>0.69</v>
      </c>
    </row>
    <row r="1969" spans="1:9" x14ac:dyDescent="0.25">
      <c r="A1969" s="12">
        <v>44</v>
      </c>
      <c r="B1969" s="13">
        <v>45161</v>
      </c>
      <c r="C1969" s="14">
        <v>30.8</v>
      </c>
      <c r="D1969" s="14">
        <v>57</v>
      </c>
      <c r="E1969" s="14">
        <v>703</v>
      </c>
      <c r="F1969" s="14">
        <v>6.4</v>
      </c>
      <c r="G1969" s="14">
        <v>21</v>
      </c>
      <c r="H1969" s="14">
        <v>87.44</v>
      </c>
      <c r="I1969" s="15">
        <v>0.56999999999999995</v>
      </c>
    </row>
    <row r="1970" spans="1:9" x14ac:dyDescent="0.25">
      <c r="A1970" s="12">
        <v>44</v>
      </c>
      <c r="B1970" s="13">
        <v>45162</v>
      </c>
      <c r="C1970" s="14">
        <v>31.3</v>
      </c>
      <c r="D1970" s="14">
        <v>53</v>
      </c>
      <c r="E1970" s="14">
        <v>485</v>
      </c>
      <c r="F1970" s="14">
        <v>6.5</v>
      </c>
      <c r="G1970" s="14">
        <v>22</v>
      </c>
      <c r="H1970" s="14">
        <v>88.34</v>
      </c>
      <c r="I1970" s="15">
        <v>0.53</v>
      </c>
    </row>
    <row r="1971" spans="1:9" x14ac:dyDescent="0.25">
      <c r="A1971" s="12">
        <v>44</v>
      </c>
      <c r="B1971" s="13">
        <v>45163</v>
      </c>
      <c r="C1971" s="14">
        <v>31.4</v>
      </c>
      <c r="D1971" s="14">
        <v>74</v>
      </c>
      <c r="E1971" s="14">
        <v>693</v>
      </c>
      <c r="F1971" s="14">
        <v>6.7</v>
      </c>
      <c r="G1971" s="14">
        <v>23</v>
      </c>
      <c r="H1971" s="14">
        <v>88.52</v>
      </c>
      <c r="I1971" s="15">
        <v>0.74</v>
      </c>
    </row>
    <row r="1972" spans="1:9" x14ac:dyDescent="0.25">
      <c r="A1972" s="12">
        <v>44</v>
      </c>
      <c r="B1972" s="13">
        <v>45164</v>
      </c>
      <c r="C1972" s="14">
        <v>31.4</v>
      </c>
      <c r="D1972" s="14">
        <v>56</v>
      </c>
      <c r="E1972" s="14">
        <v>457</v>
      </c>
      <c r="F1972" s="14">
        <v>6</v>
      </c>
      <c r="G1972" s="14">
        <v>24</v>
      </c>
      <c r="H1972" s="14">
        <v>88.52</v>
      </c>
      <c r="I1972" s="15">
        <v>0.56000000000000005</v>
      </c>
    </row>
    <row r="1973" spans="1:9" x14ac:dyDescent="0.25">
      <c r="A1973" s="12">
        <v>44</v>
      </c>
      <c r="B1973" s="13">
        <v>45165</v>
      </c>
      <c r="C1973" s="14">
        <v>30.1</v>
      </c>
      <c r="D1973" s="14">
        <v>61</v>
      </c>
      <c r="E1973" s="14">
        <v>507</v>
      </c>
      <c r="F1973" s="14">
        <v>6.5</v>
      </c>
      <c r="G1973" s="14">
        <v>25</v>
      </c>
      <c r="H1973" s="14">
        <v>86.18</v>
      </c>
      <c r="I1973" s="15">
        <v>0.61</v>
      </c>
    </row>
    <row r="1974" spans="1:9" x14ac:dyDescent="0.25">
      <c r="A1974" s="12">
        <v>44</v>
      </c>
      <c r="B1974" s="13">
        <v>45166</v>
      </c>
      <c r="C1974" s="14">
        <v>29.4</v>
      </c>
      <c r="D1974" s="14">
        <v>70</v>
      </c>
      <c r="E1974" s="14">
        <v>556</v>
      </c>
      <c r="F1974" s="14">
        <v>6.2</v>
      </c>
      <c r="G1974" s="14">
        <v>26</v>
      </c>
      <c r="H1974" s="14">
        <v>84.92</v>
      </c>
      <c r="I1974" s="15">
        <v>0.7</v>
      </c>
    </row>
    <row r="1975" spans="1:9" x14ac:dyDescent="0.25">
      <c r="A1975" s="12">
        <v>44</v>
      </c>
      <c r="B1975" s="13">
        <v>45167</v>
      </c>
      <c r="C1975" s="14">
        <v>28.7</v>
      </c>
      <c r="D1975" s="14">
        <v>65</v>
      </c>
      <c r="E1975" s="14">
        <v>728</v>
      </c>
      <c r="F1975" s="14">
        <v>6.6</v>
      </c>
      <c r="G1975" s="14">
        <v>27</v>
      </c>
      <c r="H1975" s="14">
        <v>83.66</v>
      </c>
      <c r="I1975" s="15">
        <v>0.65</v>
      </c>
    </row>
    <row r="1976" spans="1:9" x14ac:dyDescent="0.25">
      <c r="A1976" s="12">
        <v>44</v>
      </c>
      <c r="B1976" s="13">
        <v>45168</v>
      </c>
      <c r="C1976" s="14">
        <v>29.1</v>
      </c>
      <c r="D1976" s="14">
        <v>60</v>
      </c>
      <c r="E1976" s="14">
        <v>548</v>
      </c>
      <c r="F1976" s="14">
        <v>6.8</v>
      </c>
      <c r="G1976" s="14">
        <v>28</v>
      </c>
      <c r="H1976" s="14">
        <v>84.38</v>
      </c>
      <c r="I1976" s="15">
        <v>0.6</v>
      </c>
    </row>
    <row r="1977" spans="1:9" x14ac:dyDescent="0.25">
      <c r="A1977" s="12">
        <v>44</v>
      </c>
      <c r="B1977" s="13">
        <v>45169</v>
      </c>
      <c r="C1977" s="14">
        <v>29.2</v>
      </c>
      <c r="D1977" s="14">
        <v>53</v>
      </c>
      <c r="E1977" s="14">
        <v>779</v>
      </c>
      <c r="F1977" s="14">
        <v>6.7</v>
      </c>
      <c r="G1977" s="14">
        <v>29</v>
      </c>
      <c r="H1977" s="14">
        <v>84.56</v>
      </c>
      <c r="I1977" s="15">
        <v>0.53</v>
      </c>
    </row>
    <row r="1978" spans="1:9" x14ac:dyDescent="0.25">
      <c r="A1978" s="12">
        <v>44</v>
      </c>
      <c r="B1978" s="13">
        <v>45170</v>
      </c>
      <c r="C1978" s="14">
        <v>31.7</v>
      </c>
      <c r="D1978" s="14">
        <v>59</v>
      </c>
      <c r="E1978" s="14">
        <v>751</v>
      </c>
      <c r="F1978" s="14">
        <v>6.4</v>
      </c>
      <c r="G1978" s="14">
        <v>30</v>
      </c>
      <c r="H1978" s="14">
        <v>89.06</v>
      </c>
      <c r="I1978" s="15">
        <v>0.59</v>
      </c>
    </row>
    <row r="1979" spans="1:9" x14ac:dyDescent="0.25">
      <c r="A1979" s="12">
        <v>44</v>
      </c>
      <c r="B1979" s="13">
        <v>45171</v>
      </c>
      <c r="C1979" s="14">
        <v>31.7</v>
      </c>
      <c r="D1979" s="14">
        <v>63</v>
      </c>
      <c r="E1979" s="14">
        <v>620</v>
      </c>
      <c r="F1979" s="14">
        <v>6.7</v>
      </c>
      <c r="G1979" s="14">
        <v>31</v>
      </c>
      <c r="H1979" s="14">
        <v>89.06</v>
      </c>
      <c r="I1979" s="15">
        <v>0.63</v>
      </c>
    </row>
    <row r="1980" spans="1:9" x14ac:dyDescent="0.25">
      <c r="A1980" s="12">
        <v>44</v>
      </c>
      <c r="B1980" s="13">
        <v>45172</v>
      </c>
      <c r="C1980" s="14">
        <v>31.7</v>
      </c>
      <c r="D1980" s="14">
        <v>60</v>
      </c>
      <c r="E1980" s="14">
        <v>713</v>
      </c>
      <c r="F1980" s="14">
        <v>6.7</v>
      </c>
      <c r="G1980" s="14">
        <v>32</v>
      </c>
      <c r="H1980" s="14">
        <v>89.06</v>
      </c>
      <c r="I1980" s="15">
        <v>0.6</v>
      </c>
    </row>
    <row r="1981" spans="1:9" x14ac:dyDescent="0.25">
      <c r="A1981" s="12">
        <v>44</v>
      </c>
      <c r="B1981" s="13">
        <v>45173</v>
      </c>
      <c r="C1981" s="14">
        <v>31.7</v>
      </c>
      <c r="D1981" s="14">
        <v>72</v>
      </c>
      <c r="E1981" s="14">
        <v>786</v>
      </c>
      <c r="F1981" s="14">
        <v>6</v>
      </c>
      <c r="G1981" s="14">
        <v>33</v>
      </c>
      <c r="H1981" s="14">
        <v>89.06</v>
      </c>
      <c r="I1981" s="15">
        <v>0.72</v>
      </c>
    </row>
    <row r="1982" spans="1:9" x14ac:dyDescent="0.25">
      <c r="A1982" s="12">
        <v>44</v>
      </c>
      <c r="B1982" s="13">
        <v>45174</v>
      </c>
      <c r="C1982" s="14">
        <v>32</v>
      </c>
      <c r="D1982" s="14">
        <v>74</v>
      </c>
      <c r="E1982" s="14">
        <v>415</v>
      </c>
      <c r="F1982" s="14">
        <v>6.7</v>
      </c>
      <c r="G1982" s="14">
        <v>34</v>
      </c>
      <c r="H1982" s="14">
        <v>89.6</v>
      </c>
      <c r="I1982" s="15">
        <v>0.74</v>
      </c>
    </row>
    <row r="1983" spans="1:9" x14ac:dyDescent="0.25">
      <c r="A1983" s="12">
        <v>44</v>
      </c>
      <c r="B1983" s="13">
        <v>45175</v>
      </c>
      <c r="C1983" s="14">
        <v>32.1</v>
      </c>
      <c r="D1983" s="14">
        <v>73</v>
      </c>
      <c r="E1983" s="14">
        <v>470</v>
      </c>
      <c r="F1983" s="14">
        <v>6.5</v>
      </c>
      <c r="G1983" s="14">
        <v>35</v>
      </c>
      <c r="H1983" s="14">
        <v>89.78</v>
      </c>
      <c r="I1983" s="15">
        <v>0.73</v>
      </c>
    </row>
    <row r="1984" spans="1:9" x14ac:dyDescent="0.25">
      <c r="A1984" s="12">
        <v>44</v>
      </c>
      <c r="B1984" s="13">
        <v>45176</v>
      </c>
      <c r="C1984" s="14">
        <v>31.5</v>
      </c>
      <c r="D1984" s="14">
        <v>63</v>
      </c>
      <c r="E1984" s="14">
        <v>697</v>
      </c>
      <c r="F1984" s="14">
        <v>6.7</v>
      </c>
      <c r="G1984" s="14">
        <v>36</v>
      </c>
      <c r="H1984" s="14">
        <v>88.7</v>
      </c>
      <c r="I1984" s="15">
        <v>0.63</v>
      </c>
    </row>
    <row r="1985" spans="1:9" x14ac:dyDescent="0.25">
      <c r="A1985" s="12">
        <v>44</v>
      </c>
      <c r="B1985" s="13">
        <v>45177</v>
      </c>
      <c r="C1985" s="14">
        <v>29.8</v>
      </c>
      <c r="D1985" s="14">
        <v>74</v>
      </c>
      <c r="E1985" s="14">
        <v>780</v>
      </c>
      <c r="F1985" s="14">
        <v>6.3</v>
      </c>
      <c r="G1985" s="14">
        <v>37</v>
      </c>
      <c r="H1985" s="14">
        <v>85.64</v>
      </c>
      <c r="I1985" s="15">
        <v>0.74</v>
      </c>
    </row>
    <row r="1986" spans="1:9" x14ac:dyDescent="0.25">
      <c r="A1986" s="12">
        <v>44</v>
      </c>
      <c r="B1986" s="13">
        <v>45178</v>
      </c>
      <c r="C1986" s="14">
        <v>20.100000000000001</v>
      </c>
      <c r="D1986" s="14">
        <v>56</v>
      </c>
      <c r="E1986" s="14">
        <v>764</v>
      </c>
      <c r="F1986" s="14">
        <v>6.4</v>
      </c>
      <c r="G1986" s="14">
        <v>38</v>
      </c>
      <c r="H1986" s="14">
        <v>68.180000000000007</v>
      </c>
      <c r="I1986" s="15">
        <v>0.56000000000000005</v>
      </c>
    </row>
    <row r="1987" spans="1:9" x14ac:dyDescent="0.25">
      <c r="A1987" s="12">
        <v>44</v>
      </c>
      <c r="B1987" s="13">
        <v>45179</v>
      </c>
      <c r="C1987" s="14">
        <v>31.1</v>
      </c>
      <c r="D1987" s="14">
        <v>53</v>
      </c>
      <c r="E1987" s="14">
        <v>474</v>
      </c>
      <c r="F1987" s="14">
        <v>6.1</v>
      </c>
      <c r="G1987" s="14">
        <v>39</v>
      </c>
      <c r="H1987" s="14">
        <v>87.98</v>
      </c>
      <c r="I1987" s="15">
        <v>0.53</v>
      </c>
    </row>
    <row r="1988" spans="1:9" x14ac:dyDescent="0.25">
      <c r="A1988" s="12">
        <v>44</v>
      </c>
      <c r="B1988" s="13">
        <v>45180</v>
      </c>
      <c r="C1988" s="14">
        <v>31.2</v>
      </c>
      <c r="D1988" s="14">
        <v>58</v>
      </c>
      <c r="E1988" s="14">
        <v>518</v>
      </c>
      <c r="F1988" s="14">
        <v>6.6</v>
      </c>
      <c r="G1988" s="14">
        <v>40</v>
      </c>
      <c r="H1988" s="14">
        <v>88.16</v>
      </c>
      <c r="I1988" s="15">
        <v>0.57999999999999996</v>
      </c>
    </row>
    <row r="1989" spans="1:9" x14ac:dyDescent="0.25">
      <c r="A1989" s="12">
        <v>44</v>
      </c>
      <c r="B1989" s="13">
        <v>45181</v>
      </c>
      <c r="C1989" s="14">
        <v>31.2</v>
      </c>
      <c r="D1989" s="14">
        <v>64</v>
      </c>
      <c r="E1989" s="14">
        <v>450</v>
      </c>
      <c r="F1989" s="14">
        <v>6.8</v>
      </c>
      <c r="G1989" s="14">
        <v>41</v>
      </c>
      <c r="H1989" s="14">
        <v>88.16</v>
      </c>
      <c r="I1989" s="15">
        <v>0.64</v>
      </c>
    </row>
    <row r="1990" spans="1:9" x14ac:dyDescent="0.25">
      <c r="A1990" s="12">
        <v>44</v>
      </c>
      <c r="B1990" s="13">
        <v>45182</v>
      </c>
      <c r="C1990" s="14">
        <v>30.4</v>
      </c>
      <c r="D1990" s="14">
        <v>52</v>
      </c>
      <c r="E1990" s="14">
        <v>733</v>
      </c>
      <c r="F1990" s="14">
        <v>6.3</v>
      </c>
      <c r="G1990" s="14">
        <v>42</v>
      </c>
      <c r="H1990" s="14">
        <v>86.72</v>
      </c>
      <c r="I1990" s="15">
        <v>0.52</v>
      </c>
    </row>
    <row r="1991" spans="1:9" x14ac:dyDescent="0.25">
      <c r="A1991" s="12">
        <v>44</v>
      </c>
      <c r="B1991" s="13">
        <v>45183</v>
      </c>
      <c r="C1991" s="14">
        <v>29.1</v>
      </c>
      <c r="D1991" s="14">
        <v>69</v>
      </c>
      <c r="E1991" s="14">
        <v>535</v>
      </c>
      <c r="F1991" s="14">
        <v>6.3</v>
      </c>
      <c r="G1991" s="14">
        <v>43</v>
      </c>
      <c r="H1991" s="14">
        <v>84.38</v>
      </c>
      <c r="I1991" s="15">
        <v>0.69</v>
      </c>
    </row>
    <row r="1992" spans="1:9" x14ac:dyDescent="0.25">
      <c r="A1992" s="12">
        <v>44</v>
      </c>
      <c r="B1992" s="13">
        <v>45184</v>
      </c>
      <c r="C1992" s="14">
        <v>30.6</v>
      </c>
      <c r="D1992" s="14">
        <v>65</v>
      </c>
      <c r="E1992" s="14">
        <v>673</v>
      </c>
      <c r="F1992" s="14">
        <v>6.2</v>
      </c>
      <c r="G1992" s="14">
        <v>44</v>
      </c>
      <c r="H1992" s="14">
        <v>87.08</v>
      </c>
      <c r="I1992" s="15">
        <v>0.65</v>
      </c>
    </row>
    <row r="1993" spans="1:9" x14ac:dyDescent="0.25">
      <c r="A1993" s="12">
        <v>44</v>
      </c>
      <c r="B1993" s="13">
        <v>45185</v>
      </c>
      <c r="C1993" s="14">
        <v>31.5</v>
      </c>
      <c r="D1993" s="14">
        <v>69</v>
      </c>
      <c r="E1993" s="14">
        <v>791</v>
      </c>
      <c r="F1993" s="14">
        <v>6.5</v>
      </c>
      <c r="G1993" s="14">
        <v>45</v>
      </c>
      <c r="H1993" s="14">
        <v>88.7</v>
      </c>
      <c r="I1993" s="15">
        <v>0.69</v>
      </c>
    </row>
    <row r="1994" spans="1:9" x14ac:dyDescent="0.25">
      <c r="A1994" s="12">
        <v>45</v>
      </c>
      <c r="B1994" s="13">
        <v>45141</v>
      </c>
      <c r="C1994" s="14">
        <v>33.4</v>
      </c>
      <c r="D1994" s="14">
        <v>69</v>
      </c>
      <c r="E1994" s="14">
        <v>635</v>
      </c>
      <c r="F1994" s="14">
        <v>6.2</v>
      </c>
      <c r="G1994" s="14">
        <v>1</v>
      </c>
      <c r="H1994" s="14">
        <v>92.12</v>
      </c>
      <c r="I1994" s="15">
        <v>0.69</v>
      </c>
    </row>
    <row r="1995" spans="1:9" x14ac:dyDescent="0.25">
      <c r="A1995" s="12">
        <v>45</v>
      </c>
      <c r="B1995" s="13">
        <v>45142</v>
      </c>
      <c r="C1995" s="14">
        <v>33.5</v>
      </c>
      <c r="D1995" s="14">
        <v>63</v>
      </c>
      <c r="E1995" s="14">
        <v>648</v>
      </c>
      <c r="F1995" s="14">
        <v>6.5</v>
      </c>
      <c r="G1995" s="14">
        <v>2</v>
      </c>
      <c r="H1995" s="14">
        <v>92.3</v>
      </c>
      <c r="I1995" s="15">
        <v>0.63</v>
      </c>
    </row>
    <row r="1996" spans="1:9" x14ac:dyDescent="0.25">
      <c r="A1996" s="12">
        <v>45</v>
      </c>
      <c r="B1996" s="13">
        <v>45143</v>
      </c>
      <c r="C1996" s="14">
        <v>33.4</v>
      </c>
      <c r="D1996" s="14">
        <v>70</v>
      </c>
      <c r="E1996" s="14">
        <v>595</v>
      </c>
      <c r="F1996" s="14">
        <v>6.2</v>
      </c>
      <c r="G1996" s="14">
        <v>3</v>
      </c>
      <c r="H1996" s="14">
        <v>92.12</v>
      </c>
      <c r="I1996" s="15">
        <v>0.7</v>
      </c>
    </row>
    <row r="1997" spans="1:9" x14ac:dyDescent="0.25">
      <c r="A1997" s="12">
        <v>45</v>
      </c>
      <c r="B1997" s="13">
        <v>45144</v>
      </c>
      <c r="C1997" s="14">
        <v>33.4</v>
      </c>
      <c r="D1997" s="14">
        <v>79</v>
      </c>
      <c r="E1997" s="14">
        <v>512</v>
      </c>
      <c r="F1997" s="14">
        <v>6.4</v>
      </c>
      <c r="G1997" s="14">
        <v>4</v>
      </c>
      <c r="H1997" s="14">
        <v>92.12</v>
      </c>
      <c r="I1997" s="15">
        <v>0.79</v>
      </c>
    </row>
    <row r="1998" spans="1:9" x14ac:dyDescent="0.25">
      <c r="A1998" s="12">
        <v>45</v>
      </c>
      <c r="B1998" s="13">
        <v>45145</v>
      </c>
      <c r="C1998" s="14">
        <v>33.4</v>
      </c>
      <c r="D1998" s="14">
        <v>51</v>
      </c>
      <c r="E1998" s="14">
        <v>727</v>
      </c>
      <c r="F1998" s="14">
        <v>6.5</v>
      </c>
      <c r="G1998" s="14">
        <v>5</v>
      </c>
      <c r="H1998" s="14">
        <v>92.12</v>
      </c>
      <c r="I1998" s="15">
        <v>0.51</v>
      </c>
    </row>
    <row r="1999" spans="1:9" x14ac:dyDescent="0.25">
      <c r="A1999" s="12">
        <v>45</v>
      </c>
      <c r="B1999" s="13">
        <v>45146</v>
      </c>
      <c r="C1999" s="14">
        <v>32.299999999999997</v>
      </c>
      <c r="D1999" s="14">
        <v>69</v>
      </c>
      <c r="E1999" s="14">
        <v>629</v>
      </c>
      <c r="F1999" s="14">
        <v>6.5</v>
      </c>
      <c r="G1999" s="14">
        <v>6</v>
      </c>
      <c r="H1999" s="14">
        <v>90.14</v>
      </c>
      <c r="I1999" s="15">
        <v>0.69</v>
      </c>
    </row>
    <row r="2000" spans="1:9" x14ac:dyDescent="0.25">
      <c r="A2000" s="12">
        <v>45</v>
      </c>
      <c r="B2000" s="13">
        <v>45147</v>
      </c>
      <c r="C2000" s="14">
        <v>32.299999999999997</v>
      </c>
      <c r="D2000" s="14">
        <v>59</v>
      </c>
      <c r="E2000" s="14">
        <v>410</v>
      </c>
      <c r="F2000" s="14">
        <v>6.2</v>
      </c>
      <c r="G2000" s="14">
        <v>7</v>
      </c>
      <c r="H2000" s="14">
        <v>90.14</v>
      </c>
      <c r="I2000" s="15">
        <v>0.59</v>
      </c>
    </row>
    <row r="2001" spans="1:9" x14ac:dyDescent="0.25">
      <c r="A2001" s="12">
        <v>45</v>
      </c>
      <c r="B2001" s="13">
        <v>45148</v>
      </c>
      <c r="C2001" s="14">
        <v>22.7</v>
      </c>
      <c r="D2001" s="14">
        <v>51</v>
      </c>
      <c r="E2001" s="14">
        <v>540</v>
      </c>
      <c r="F2001" s="14">
        <v>6.8</v>
      </c>
      <c r="G2001" s="14">
        <v>8</v>
      </c>
      <c r="H2001" s="14">
        <v>72.86</v>
      </c>
      <c r="I2001" s="15">
        <v>0.51</v>
      </c>
    </row>
    <row r="2002" spans="1:9" x14ac:dyDescent="0.25">
      <c r="A2002" s="12">
        <v>45</v>
      </c>
      <c r="B2002" s="13">
        <v>45149</v>
      </c>
      <c r="C2002" s="14">
        <v>31.9</v>
      </c>
      <c r="D2002" s="14">
        <v>68</v>
      </c>
      <c r="E2002" s="14">
        <v>564</v>
      </c>
      <c r="F2002" s="14">
        <v>6.7</v>
      </c>
      <c r="G2002" s="14">
        <v>9</v>
      </c>
      <c r="H2002" s="14">
        <v>89.42</v>
      </c>
      <c r="I2002" s="15">
        <v>0.68</v>
      </c>
    </row>
    <row r="2003" spans="1:9" x14ac:dyDescent="0.25">
      <c r="A2003" s="12">
        <v>45</v>
      </c>
      <c r="B2003" s="13">
        <v>45150</v>
      </c>
      <c r="C2003" s="14">
        <v>30.2</v>
      </c>
      <c r="D2003" s="14">
        <v>71</v>
      </c>
      <c r="E2003" s="14">
        <v>701</v>
      </c>
      <c r="F2003" s="14">
        <v>6.6</v>
      </c>
      <c r="G2003" s="14">
        <v>10</v>
      </c>
      <c r="H2003" s="14">
        <v>86.36</v>
      </c>
      <c r="I2003" s="15">
        <v>0.71</v>
      </c>
    </row>
    <row r="2004" spans="1:9" x14ac:dyDescent="0.25">
      <c r="A2004" s="12">
        <v>45</v>
      </c>
      <c r="B2004" s="13">
        <v>45151</v>
      </c>
      <c r="C2004" s="14">
        <v>30.1</v>
      </c>
      <c r="D2004" s="14">
        <v>59</v>
      </c>
      <c r="E2004" s="14">
        <v>515</v>
      </c>
      <c r="F2004" s="14">
        <v>6.3</v>
      </c>
      <c r="G2004" s="14">
        <v>11</v>
      </c>
      <c r="H2004" s="14">
        <v>86.18</v>
      </c>
      <c r="I2004" s="15">
        <v>0.59</v>
      </c>
    </row>
    <row r="2005" spans="1:9" x14ac:dyDescent="0.25">
      <c r="A2005" s="12">
        <v>45</v>
      </c>
      <c r="B2005" s="13">
        <v>45152</v>
      </c>
      <c r="C2005" s="14">
        <v>30.1</v>
      </c>
      <c r="D2005" s="14">
        <v>50</v>
      </c>
      <c r="E2005" s="14">
        <v>597</v>
      </c>
      <c r="F2005" s="14">
        <v>6.3</v>
      </c>
      <c r="G2005" s="14">
        <v>12</v>
      </c>
      <c r="H2005" s="14">
        <v>86.18</v>
      </c>
      <c r="I2005" s="15">
        <v>0.5</v>
      </c>
    </row>
    <row r="2006" spans="1:9" x14ac:dyDescent="0.25">
      <c r="A2006" s="12">
        <v>45</v>
      </c>
      <c r="B2006" s="13">
        <v>45153</v>
      </c>
      <c r="C2006" s="14">
        <v>30.1</v>
      </c>
      <c r="D2006" s="14">
        <v>58</v>
      </c>
      <c r="E2006" s="14">
        <v>553</v>
      </c>
      <c r="F2006" s="14">
        <v>6.5</v>
      </c>
      <c r="G2006" s="14">
        <v>13</v>
      </c>
      <c r="H2006" s="14">
        <v>86.18</v>
      </c>
      <c r="I2006" s="15">
        <v>0.57999999999999996</v>
      </c>
    </row>
    <row r="2007" spans="1:9" x14ac:dyDescent="0.25">
      <c r="A2007" s="12">
        <v>45</v>
      </c>
      <c r="B2007" s="13">
        <v>45154</v>
      </c>
      <c r="C2007" s="14">
        <v>29.8</v>
      </c>
      <c r="D2007" s="14">
        <v>66</v>
      </c>
      <c r="E2007" s="14">
        <v>733</v>
      </c>
      <c r="F2007" s="14">
        <v>6.4</v>
      </c>
      <c r="G2007" s="14">
        <v>14</v>
      </c>
      <c r="H2007" s="14">
        <v>85.64</v>
      </c>
      <c r="I2007" s="15">
        <v>0.66</v>
      </c>
    </row>
    <row r="2008" spans="1:9" x14ac:dyDescent="0.25">
      <c r="A2008" s="12">
        <v>45</v>
      </c>
      <c r="B2008" s="13">
        <v>45155</v>
      </c>
      <c r="C2008" s="14">
        <v>29.6</v>
      </c>
      <c r="D2008" s="14">
        <v>58</v>
      </c>
      <c r="E2008" s="14">
        <v>475</v>
      </c>
      <c r="F2008" s="14">
        <v>6.3</v>
      </c>
      <c r="G2008" s="14">
        <v>15</v>
      </c>
      <c r="H2008" s="14">
        <v>85.28</v>
      </c>
      <c r="I2008" s="15">
        <v>0.57999999999999996</v>
      </c>
    </row>
    <row r="2009" spans="1:9" x14ac:dyDescent="0.25">
      <c r="A2009" s="12">
        <v>45</v>
      </c>
      <c r="B2009" s="13">
        <v>45156</v>
      </c>
      <c r="C2009" s="14">
        <v>30.9</v>
      </c>
      <c r="D2009" s="14">
        <v>58</v>
      </c>
      <c r="E2009" s="14">
        <v>697</v>
      </c>
      <c r="F2009" s="14">
        <v>6.2</v>
      </c>
      <c r="G2009" s="14">
        <v>16</v>
      </c>
      <c r="H2009" s="14">
        <v>87.62</v>
      </c>
      <c r="I2009" s="15">
        <v>0.57999999999999996</v>
      </c>
    </row>
    <row r="2010" spans="1:9" x14ac:dyDescent="0.25">
      <c r="A2010" s="12">
        <v>45</v>
      </c>
      <c r="B2010" s="13">
        <v>45157</v>
      </c>
      <c r="C2010" s="14">
        <v>30.8</v>
      </c>
      <c r="D2010" s="14">
        <v>50</v>
      </c>
      <c r="E2010" s="14">
        <v>705</v>
      </c>
      <c r="F2010" s="14">
        <v>6.2</v>
      </c>
      <c r="G2010" s="14">
        <v>17</v>
      </c>
      <c r="H2010" s="14">
        <v>87.44</v>
      </c>
      <c r="I2010" s="15">
        <v>0.5</v>
      </c>
    </row>
    <row r="2011" spans="1:9" x14ac:dyDescent="0.25">
      <c r="A2011" s="12">
        <v>45</v>
      </c>
      <c r="B2011" s="13">
        <v>45158</v>
      </c>
      <c r="C2011" s="14">
        <v>30.9</v>
      </c>
      <c r="D2011" s="14">
        <v>73</v>
      </c>
      <c r="E2011" s="14">
        <v>675</v>
      </c>
      <c r="F2011" s="14">
        <v>6.5</v>
      </c>
      <c r="G2011" s="14">
        <v>18</v>
      </c>
      <c r="H2011" s="14">
        <v>87.62</v>
      </c>
      <c r="I2011" s="15">
        <v>0.73</v>
      </c>
    </row>
    <row r="2012" spans="1:9" x14ac:dyDescent="0.25">
      <c r="A2012" s="12">
        <v>45</v>
      </c>
      <c r="B2012" s="13">
        <v>45159</v>
      </c>
      <c r="C2012" s="14">
        <v>30.2</v>
      </c>
      <c r="D2012" s="14">
        <v>69</v>
      </c>
      <c r="E2012" s="14">
        <v>774</v>
      </c>
      <c r="F2012" s="14">
        <v>6.1</v>
      </c>
      <c r="G2012" s="14">
        <v>19</v>
      </c>
      <c r="H2012" s="14">
        <v>86.36</v>
      </c>
      <c r="I2012" s="15">
        <v>0.69</v>
      </c>
    </row>
    <row r="2013" spans="1:9" x14ac:dyDescent="0.25">
      <c r="A2013" s="12">
        <v>45</v>
      </c>
      <c r="B2013" s="13">
        <v>45160</v>
      </c>
      <c r="C2013" s="14">
        <v>30.5</v>
      </c>
      <c r="D2013" s="14">
        <v>54</v>
      </c>
      <c r="E2013" s="14">
        <v>477</v>
      </c>
      <c r="F2013" s="14">
        <v>6.2</v>
      </c>
      <c r="G2013" s="14">
        <v>20</v>
      </c>
      <c r="H2013" s="14">
        <v>86.9</v>
      </c>
      <c r="I2013" s="15">
        <v>0.54</v>
      </c>
    </row>
    <row r="2014" spans="1:9" x14ac:dyDescent="0.25">
      <c r="A2014" s="12">
        <v>45</v>
      </c>
      <c r="B2014" s="13">
        <v>45161</v>
      </c>
      <c r="C2014" s="14">
        <v>30.8</v>
      </c>
      <c r="D2014" s="14">
        <v>70</v>
      </c>
      <c r="E2014" s="14">
        <v>769</v>
      </c>
      <c r="F2014" s="14">
        <v>6.7</v>
      </c>
      <c r="G2014" s="14">
        <v>21</v>
      </c>
      <c r="H2014" s="14">
        <v>87.44</v>
      </c>
      <c r="I2014" s="15">
        <v>0.7</v>
      </c>
    </row>
    <row r="2015" spans="1:9" x14ac:dyDescent="0.25">
      <c r="A2015" s="12">
        <v>45</v>
      </c>
      <c r="B2015" s="13">
        <v>45162</v>
      </c>
      <c r="C2015" s="14">
        <v>31.3</v>
      </c>
      <c r="D2015" s="14">
        <v>62</v>
      </c>
      <c r="E2015" s="14">
        <v>545</v>
      </c>
      <c r="F2015" s="14">
        <v>6.4</v>
      </c>
      <c r="G2015" s="14">
        <v>22</v>
      </c>
      <c r="H2015" s="14">
        <v>88.34</v>
      </c>
      <c r="I2015" s="15">
        <v>0.62</v>
      </c>
    </row>
    <row r="2016" spans="1:9" x14ac:dyDescent="0.25">
      <c r="A2016" s="12">
        <v>45</v>
      </c>
      <c r="B2016" s="13">
        <v>45163</v>
      </c>
      <c r="C2016" s="14">
        <v>31.4</v>
      </c>
      <c r="D2016" s="14">
        <v>77</v>
      </c>
      <c r="E2016" s="14">
        <v>463</v>
      </c>
      <c r="F2016" s="14">
        <v>6.3</v>
      </c>
      <c r="G2016" s="14">
        <v>23</v>
      </c>
      <c r="H2016" s="14">
        <v>88.52</v>
      </c>
      <c r="I2016" s="15">
        <v>0.77</v>
      </c>
    </row>
    <row r="2017" spans="1:9" x14ac:dyDescent="0.25">
      <c r="A2017" s="12">
        <v>45</v>
      </c>
      <c r="B2017" s="13">
        <v>45164</v>
      </c>
      <c r="C2017" s="14">
        <v>31.4</v>
      </c>
      <c r="D2017" s="14">
        <v>69</v>
      </c>
      <c r="E2017" s="14">
        <v>663</v>
      </c>
      <c r="F2017" s="14">
        <v>6.6</v>
      </c>
      <c r="G2017" s="14">
        <v>24</v>
      </c>
      <c r="H2017" s="14">
        <v>88.52</v>
      </c>
      <c r="I2017" s="15">
        <v>0.69</v>
      </c>
    </row>
    <row r="2018" spans="1:9" x14ac:dyDescent="0.25">
      <c r="A2018" s="12">
        <v>45</v>
      </c>
      <c r="B2018" s="13">
        <v>45165</v>
      </c>
      <c r="C2018" s="14">
        <v>30.1</v>
      </c>
      <c r="D2018" s="14">
        <v>64</v>
      </c>
      <c r="E2018" s="14">
        <v>587</v>
      </c>
      <c r="F2018" s="14">
        <v>6.5</v>
      </c>
      <c r="G2018" s="14">
        <v>25</v>
      </c>
      <c r="H2018" s="14">
        <v>86.18</v>
      </c>
      <c r="I2018" s="15">
        <v>0.64</v>
      </c>
    </row>
    <row r="2019" spans="1:9" x14ac:dyDescent="0.25">
      <c r="A2019" s="12">
        <v>45</v>
      </c>
      <c r="B2019" s="13">
        <v>45166</v>
      </c>
      <c r="C2019" s="14">
        <v>29.4</v>
      </c>
      <c r="D2019" s="14">
        <v>69</v>
      </c>
      <c r="E2019" s="14">
        <v>532</v>
      </c>
      <c r="F2019" s="14">
        <v>6.2</v>
      </c>
      <c r="G2019" s="14">
        <v>26</v>
      </c>
      <c r="H2019" s="14">
        <v>84.92</v>
      </c>
      <c r="I2019" s="15">
        <v>0.69</v>
      </c>
    </row>
    <row r="2020" spans="1:9" x14ac:dyDescent="0.25">
      <c r="A2020" s="12">
        <v>45</v>
      </c>
      <c r="B2020" s="13">
        <v>45167</v>
      </c>
      <c r="C2020" s="14">
        <v>28.7</v>
      </c>
      <c r="D2020" s="14">
        <v>63</v>
      </c>
      <c r="E2020" s="14">
        <v>517</v>
      </c>
      <c r="F2020" s="14">
        <v>6.3</v>
      </c>
      <c r="G2020" s="14">
        <v>27</v>
      </c>
      <c r="H2020" s="14">
        <v>83.66</v>
      </c>
      <c r="I2020" s="15">
        <v>0.63</v>
      </c>
    </row>
    <row r="2021" spans="1:9" x14ac:dyDescent="0.25">
      <c r="A2021" s="12">
        <v>45</v>
      </c>
      <c r="B2021" s="13">
        <v>45168</v>
      </c>
      <c r="C2021" s="14">
        <v>29.1</v>
      </c>
      <c r="D2021" s="14">
        <v>50</v>
      </c>
      <c r="E2021" s="14">
        <v>432</v>
      </c>
      <c r="F2021" s="14">
        <v>6.2</v>
      </c>
      <c r="G2021" s="14">
        <v>28</v>
      </c>
      <c r="H2021" s="14">
        <v>84.38</v>
      </c>
      <c r="I2021" s="15">
        <v>0.5</v>
      </c>
    </row>
    <row r="2022" spans="1:9" x14ac:dyDescent="0.25">
      <c r="A2022" s="12">
        <v>45</v>
      </c>
      <c r="B2022" s="13">
        <v>45169</v>
      </c>
      <c r="C2022" s="14">
        <v>29.2</v>
      </c>
      <c r="D2022" s="14">
        <v>80</v>
      </c>
      <c r="E2022" s="14">
        <v>733</v>
      </c>
      <c r="F2022" s="14">
        <v>6.2</v>
      </c>
      <c r="G2022" s="14">
        <v>29</v>
      </c>
      <c r="H2022" s="14">
        <v>84.56</v>
      </c>
      <c r="I2022" s="15">
        <v>0.8</v>
      </c>
    </row>
    <row r="2023" spans="1:9" x14ac:dyDescent="0.25">
      <c r="A2023" s="12">
        <v>45</v>
      </c>
      <c r="B2023" s="13">
        <v>45170</v>
      </c>
      <c r="C2023" s="14">
        <v>31.7</v>
      </c>
      <c r="D2023" s="14">
        <v>65</v>
      </c>
      <c r="E2023" s="14">
        <v>538</v>
      </c>
      <c r="F2023" s="14">
        <v>6.6</v>
      </c>
      <c r="G2023" s="14">
        <v>30</v>
      </c>
      <c r="H2023" s="14">
        <v>89.06</v>
      </c>
      <c r="I2023" s="15">
        <v>0.65</v>
      </c>
    </row>
    <row r="2024" spans="1:9" x14ac:dyDescent="0.25">
      <c r="A2024" s="12">
        <v>45</v>
      </c>
      <c r="B2024" s="13">
        <v>45171</v>
      </c>
      <c r="C2024" s="14">
        <v>31.7</v>
      </c>
      <c r="D2024" s="14">
        <v>64</v>
      </c>
      <c r="E2024" s="14">
        <v>751</v>
      </c>
      <c r="F2024" s="14">
        <v>6.3</v>
      </c>
      <c r="G2024" s="14">
        <v>31</v>
      </c>
      <c r="H2024" s="14">
        <v>89.06</v>
      </c>
      <c r="I2024" s="15">
        <v>0.64</v>
      </c>
    </row>
    <row r="2025" spans="1:9" x14ac:dyDescent="0.25">
      <c r="A2025" s="12">
        <v>45</v>
      </c>
      <c r="B2025" s="13">
        <v>45172</v>
      </c>
      <c r="C2025" s="14">
        <v>31.7</v>
      </c>
      <c r="D2025" s="14">
        <v>71</v>
      </c>
      <c r="E2025" s="14">
        <v>539</v>
      </c>
      <c r="F2025" s="14">
        <v>6.6</v>
      </c>
      <c r="G2025" s="14">
        <v>32</v>
      </c>
      <c r="H2025" s="14">
        <v>89.06</v>
      </c>
      <c r="I2025" s="15">
        <v>0.71</v>
      </c>
    </row>
    <row r="2026" spans="1:9" x14ac:dyDescent="0.25">
      <c r="A2026" s="12">
        <v>45</v>
      </c>
      <c r="B2026" s="13">
        <v>45173</v>
      </c>
      <c r="C2026" s="14">
        <v>31.7</v>
      </c>
      <c r="D2026" s="14">
        <v>65</v>
      </c>
      <c r="E2026" s="14">
        <v>503</v>
      </c>
      <c r="F2026" s="14">
        <v>6.7</v>
      </c>
      <c r="G2026" s="14">
        <v>33</v>
      </c>
      <c r="H2026" s="14">
        <v>89.06</v>
      </c>
      <c r="I2026" s="15">
        <v>0.65</v>
      </c>
    </row>
    <row r="2027" spans="1:9" x14ac:dyDescent="0.25">
      <c r="A2027" s="12">
        <v>45</v>
      </c>
      <c r="B2027" s="13">
        <v>45174</v>
      </c>
      <c r="C2027" s="14">
        <v>32</v>
      </c>
      <c r="D2027" s="14">
        <v>77</v>
      </c>
      <c r="E2027" s="14">
        <v>426</v>
      </c>
      <c r="F2027" s="14">
        <v>6.5</v>
      </c>
      <c r="G2027" s="14">
        <v>34</v>
      </c>
      <c r="H2027" s="14">
        <v>89.6</v>
      </c>
      <c r="I2027" s="15">
        <v>0.77</v>
      </c>
    </row>
    <row r="2028" spans="1:9" x14ac:dyDescent="0.25">
      <c r="A2028" s="12">
        <v>45</v>
      </c>
      <c r="B2028" s="13">
        <v>45175</v>
      </c>
      <c r="C2028" s="14">
        <v>32.1</v>
      </c>
      <c r="D2028" s="14">
        <v>70</v>
      </c>
      <c r="E2028" s="14">
        <v>776</v>
      </c>
      <c r="F2028" s="14">
        <v>6.7</v>
      </c>
      <c r="G2028" s="14">
        <v>35</v>
      </c>
      <c r="H2028" s="14">
        <v>89.78</v>
      </c>
      <c r="I2028" s="15">
        <v>0.7</v>
      </c>
    </row>
    <row r="2029" spans="1:9" x14ac:dyDescent="0.25">
      <c r="A2029" s="12">
        <v>45</v>
      </c>
      <c r="B2029" s="13">
        <v>45176</v>
      </c>
      <c r="C2029" s="14">
        <v>31.5</v>
      </c>
      <c r="D2029" s="14">
        <v>62</v>
      </c>
      <c r="E2029" s="14">
        <v>550</v>
      </c>
      <c r="F2029" s="14">
        <v>6.5</v>
      </c>
      <c r="G2029" s="14">
        <v>36</v>
      </c>
      <c r="H2029" s="14">
        <v>88.7</v>
      </c>
      <c r="I2029" s="15">
        <v>0.62</v>
      </c>
    </row>
    <row r="2030" spans="1:9" x14ac:dyDescent="0.25">
      <c r="A2030" s="12">
        <v>45</v>
      </c>
      <c r="B2030" s="13">
        <v>45177</v>
      </c>
      <c r="C2030" s="14">
        <v>29.8</v>
      </c>
      <c r="D2030" s="14">
        <v>54</v>
      </c>
      <c r="E2030" s="14">
        <v>665</v>
      </c>
      <c r="F2030" s="14">
        <v>6.1</v>
      </c>
      <c r="G2030" s="14">
        <v>37</v>
      </c>
      <c r="H2030" s="14">
        <v>85.64</v>
      </c>
      <c r="I2030" s="15">
        <v>0.54</v>
      </c>
    </row>
    <row r="2031" spans="1:9" x14ac:dyDescent="0.25">
      <c r="A2031" s="12">
        <v>45</v>
      </c>
      <c r="B2031" s="13">
        <v>45178</v>
      </c>
      <c r="C2031" s="14">
        <v>20.100000000000001</v>
      </c>
      <c r="D2031" s="14">
        <v>77</v>
      </c>
      <c r="E2031" s="14">
        <v>681</v>
      </c>
      <c r="F2031" s="14">
        <v>6.2</v>
      </c>
      <c r="G2031" s="14">
        <v>38</v>
      </c>
      <c r="H2031" s="14">
        <v>68.180000000000007</v>
      </c>
      <c r="I2031" s="15">
        <v>0.77</v>
      </c>
    </row>
    <row r="2032" spans="1:9" x14ac:dyDescent="0.25">
      <c r="A2032" s="12">
        <v>45</v>
      </c>
      <c r="B2032" s="13">
        <v>45179</v>
      </c>
      <c r="C2032" s="14">
        <v>31.1</v>
      </c>
      <c r="D2032" s="14">
        <v>64</v>
      </c>
      <c r="E2032" s="14">
        <v>578</v>
      </c>
      <c r="F2032" s="14">
        <v>6</v>
      </c>
      <c r="G2032" s="14">
        <v>39</v>
      </c>
      <c r="H2032" s="14">
        <v>87.98</v>
      </c>
      <c r="I2032" s="15">
        <v>0.64</v>
      </c>
    </row>
    <row r="2033" spans="1:9" x14ac:dyDescent="0.25">
      <c r="A2033" s="12">
        <v>45</v>
      </c>
      <c r="B2033" s="13">
        <v>45180</v>
      </c>
      <c r="C2033" s="14">
        <v>31.2</v>
      </c>
      <c r="D2033" s="14">
        <v>50</v>
      </c>
      <c r="E2033" s="14">
        <v>605</v>
      </c>
      <c r="F2033" s="14">
        <v>6</v>
      </c>
      <c r="G2033" s="14">
        <v>40</v>
      </c>
      <c r="H2033" s="14">
        <v>88.16</v>
      </c>
      <c r="I2033" s="15">
        <v>0.5</v>
      </c>
    </row>
    <row r="2034" spans="1:9" x14ac:dyDescent="0.25">
      <c r="A2034" s="12">
        <v>45</v>
      </c>
      <c r="B2034" s="13">
        <v>45181</v>
      </c>
      <c r="C2034" s="14">
        <v>31.2</v>
      </c>
      <c r="D2034" s="14">
        <v>51</v>
      </c>
      <c r="E2034" s="14">
        <v>571</v>
      </c>
      <c r="F2034" s="14">
        <v>6.3</v>
      </c>
      <c r="G2034" s="14">
        <v>41</v>
      </c>
      <c r="H2034" s="14">
        <v>88.16</v>
      </c>
      <c r="I2034" s="15">
        <v>0.51</v>
      </c>
    </row>
    <row r="2035" spans="1:9" x14ac:dyDescent="0.25">
      <c r="A2035" s="12">
        <v>45</v>
      </c>
      <c r="B2035" s="13">
        <v>45182</v>
      </c>
      <c r="C2035" s="14">
        <v>30.4</v>
      </c>
      <c r="D2035" s="14">
        <v>51</v>
      </c>
      <c r="E2035" s="14">
        <v>470</v>
      </c>
      <c r="F2035" s="14">
        <v>6.6</v>
      </c>
      <c r="G2035" s="14">
        <v>42</v>
      </c>
      <c r="H2035" s="14">
        <v>86.72</v>
      </c>
      <c r="I2035" s="15">
        <v>0.51</v>
      </c>
    </row>
    <row r="2036" spans="1:9" x14ac:dyDescent="0.25">
      <c r="A2036" s="12">
        <v>45</v>
      </c>
      <c r="B2036" s="13">
        <v>45183</v>
      </c>
      <c r="C2036" s="14">
        <v>29.1</v>
      </c>
      <c r="D2036" s="14">
        <v>73</v>
      </c>
      <c r="E2036" s="14">
        <v>704</v>
      </c>
      <c r="F2036" s="14">
        <v>6.6</v>
      </c>
      <c r="G2036" s="14">
        <v>43</v>
      </c>
      <c r="H2036" s="14">
        <v>84.38</v>
      </c>
      <c r="I2036" s="15">
        <v>0.73</v>
      </c>
    </row>
    <row r="2037" spans="1:9" x14ac:dyDescent="0.25">
      <c r="A2037" s="12">
        <v>45</v>
      </c>
      <c r="B2037" s="13">
        <v>45184</v>
      </c>
      <c r="C2037" s="14">
        <v>30.6</v>
      </c>
      <c r="D2037" s="14">
        <v>67</v>
      </c>
      <c r="E2037" s="14">
        <v>438</v>
      </c>
      <c r="F2037" s="14">
        <v>6.1</v>
      </c>
      <c r="G2037" s="14">
        <v>44</v>
      </c>
      <c r="H2037" s="14">
        <v>87.08</v>
      </c>
      <c r="I2037" s="15">
        <v>0.67</v>
      </c>
    </row>
    <row r="2038" spans="1:9" x14ac:dyDescent="0.25">
      <c r="A2038" s="12">
        <v>45</v>
      </c>
      <c r="B2038" s="13">
        <v>45185</v>
      </c>
      <c r="C2038" s="14">
        <v>31.5</v>
      </c>
      <c r="D2038" s="14">
        <v>62</v>
      </c>
      <c r="E2038" s="14">
        <v>498</v>
      </c>
      <c r="F2038" s="14">
        <v>6.8</v>
      </c>
      <c r="G2038" s="14">
        <v>45</v>
      </c>
      <c r="H2038" s="14">
        <v>88.7</v>
      </c>
      <c r="I2038" s="15">
        <v>0.62</v>
      </c>
    </row>
    <row r="2039" spans="1:9" x14ac:dyDescent="0.25">
      <c r="A2039" s="12">
        <v>46</v>
      </c>
      <c r="B2039" s="13">
        <v>45141</v>
      </c>
      <c r="C2039" s="14">
        <v>33.4</v>
      </c>
      <c r="D2039" s="14">
        <v>66</v>
      </c>
      <c r="E2039" s="14">
        <v>794</v>
      </c>
      <c r="F2039" s="14">
        <v>6.4</v>
      </c>
      <c r="G2039" s="14">
        <v>1</v>
      </c>
      <c r="H2039" s="14">
        <v>92.12</v>
      </c>
      <c r="I2039" s="15">
        <v>0.66</v>
      </c>
    </row>
    <row r="2040" spans="1:9" x14ac:dyDescent="0.25">
      <c r="A2040" s="12">
        <v>46</v>
      </c>
      <c r="B2040" s="13">
        <v>45142</v>
      </c>
      <c r="C2040" s="14">
        <v>33.5</v>
      </c>
      <c r="D2040" s="14">
        <v>63</v>
      </c>
      <c r="E2040" s="14">
        <v>582</v>
      </c>
      <c r="F2040" s="14">
        <v>6.8</v>
      </c>
      <c r="G2040" s="14">
        <v>2</v>
      </c>
      <c r="H2040" s="14">
        <v>92.3</v>
      </c>
      <c r="I2040" s="15">
        <v>0.63</v>
      </c>
    </row>
    <row r="2041" spans="1:9" x14ac:dyDescent="0.25">
      <c r="A2041" s="12">
        <v>46</v>
      </c>
      <c r="B2041" s="13">
        <v>45143</v>
      </c>
      <c r="C2041" s="14">
        <v>33.4</v>
      </c>
      <c r="D2041" s="14">
        <v>51</v>
      </c>
      <c r="E2041" s="14">
        <v>439</v>
      </c>
      <c r="F2041" s="14">
        <v>6.7</v>
      </c>
      <c r="G2041" s="14">
        <v>3</v>
      </c>
      <c r="H2041" s="14">
        <v>92.12</v>
      </c>
      <c r="I2041" s="15">
        <v>0.51</v>
      </c>
    </row>
    <row r="2042" spans="1:9" x14ac:dyDescent="0.25">
      <c r="A2042" s="12">
        <v>46</v>
      </c>
      <c r="B2042" s="13">
        <v>45144</v>
      </c>
      <c r="C2042" s="14">
        <v>33.4</v>
      </c>
      <c r="D2042" s="14">
        <v>51</v>
      </c>
      <c r="E2042" s="14">
        <v>472</v>
      </c>
      <c r="F2042" s="14">
        <v>6.8</v>
      </c>
      <c r="G2042" s="14">
        <v>4</v>
      </c>
      <c r="H2042" s="14">
        <v>92.12</v>
      </c>
      <c r="I2042" s="15">
        <v>0.51</v>
      </c>
    </row>
    <row r="2043" spans="1:9" x14ac:dyDescent="0.25">
      <c r="A2043" s="12">
        <v>46</v>
      </c>
      <c r="B2043" s="13">
        <v>45145</v>
      </c>
      <c r="C2043" s="14">
        <v>33.4</v>
      </c>
      <c r="D2043" s="14">
        <v>66</v>
      </c>
      <c r="E2043" s="14">
        <v>505</v>
      </c>
      <c r="F2043" s="14">
        <v>6.6</v>
      </c>
      <c r="G2043" s="14">
        <v>5</v>
      </c>
      <c r="H2043" s="14">
        <v>92.12</v>
      </c>
      <c r="I2043" s="15">
        <v>0.66</v>
      </c>
    </row>
    <row r="2044" spans="1:9" x14ac:dyDescent="0.25">
      <c r="A2044" s="12">
        <v>46</v>
      </c>
      <c r="B2044" s="13">
        <v>45146</v>
      </c>
      <c r="C2044" s="14">
        <v>32.299999999999997</v>
      </c>
      <c r="D2044" s="14">
        <v>69</v>
      </c>
      <c r="E2044" s="14">
        <v>681</v>
      </c>
      <c r="F2044" s="14">
        <v>6.3</v>
      </c>
      <c r="G2044" s="14">
        <v>6</v>
      </c>
      <c r="H2044" s="14">
        <v>90.14</v>
      </c>
      <c r="I2044" s="15">
        <v>0.69</v>
      </c>
    </row>
    <row r="2045" spans="1:9" x14ac:dyDescent="0.25">
      <c r="A2045" s="12">
        <v>46</v>
      </c>
      <c r="B2045" s="13">
        <v>45147</v>
      </c>
      <c r="C2045" s="14">
        <v>32.299999999999997</v>
      </c>
      <c r="D2045" s="14">
        <v>53</v>
      </c>
      <c r="E2045" s="14">
        <v>710</v>
      </c>
      <c r="F2045" s="14">
        <v>6.5</v>
      </c>
      <c r="G2045" s="14">
        <v>7</v>
      </c>
      <c r="H2045" s="14">
        <v>90.14</v>
      </c>
      <c r="I2045" s="15">
        <v>0.53</v>
      </c>
    </row>
    <row r="2046" spans="1:9" x14ac:dyDescent="0.25">
      <c r="A2046" s="12">
        <v>46</v>
      </c>
      <c r="B2046" s="13">
        <v>45148</v>
      </c>
      <c r="C2046" s="14">
        <v>22.7</v>
      </c>
      <c r="D2046" s="14">
        <v>80</v>
      </c>
      <c r="E2046" s="14">
        <v>421</v>
      </c>
      <c r="F2046" s="14">
        <v>6.5</v>
      </c>
      <c r="G2046" s="14">
        <v>8</v>
      </c>
      <c r="H2046" s="14">
        <v>72.86</v>
      </c>
      <c r="I2046" s="15">
        <v>0.8</v>
      </c>
    </row>
    <row r="2047" spans="1:9" x14ac:dyDescent="0.25">
      <c r="A2047" s="12">
        <v>46</v>
      </c>
      <c r="B2047" s="13">
        <v>45149</v>
      </c>
      <c r="C2047" s="14">
        <v>31.9</v>
      </c>
      <c r="D2047" s="14">
        <v>77</v>
      </c>
      <c r="E2047" s="14">
        <v>752</v>
      </c>
      <c r="F2047" s="14">
        <v>6.3</v>
      </c>
      <c r="G2047" s="14">
        <v>9</v>
      </c>
      <c r="H2047" s="14">
        <v>89.42</v>
      </c>
      <c r="I2047" s="15">
        <v>0.77</v>
      </c>
    </row>
    <row r="2048" spans="1:9" x14ac:dyDescent="0.25">
      <c r="A2048" s="12">
        <v>46</v>
      </c>
      <c r="B2048" s="13">
        <v>45150</v>
      </c>
      <c r="C2048" s="14">
        <v>30.2</v>
      </c>
      <c r="D2048" s="14">
        <v>73</v>
      </c>
      <c r="E2048" s="14">
        <v>572</v>
      </c>
      <c r="F2048" s="14">
        <v>6</v>
      </c>
      <c r="G2048" s="14">
        <v>10</v>
      </c>
      <c r="H2048" s="14">
        <v>86.36</v>
      </c>
      <c r="I2048" s="15">
        <v>0.73</v>
      </c>
    </row>
    <row r="2049" spans="1:9" x14ac:dyDescent="0.25">
      <c r="A2049" s="12">
        <v>46</v>
      </c>
      <c r="B2049" s="13">
        <v>45151</v>
      </c>
      <c r="C2049" s="14">
        <v>30.1</v>
      </c>
      <c r="D2049" s="14">
        <v>51</v>
      </c>
      <c r="E2049" s="14">
        <v>634</v>
      </c>
      <c r="F2049" s="14">
        <v>6.7</v>
      </c>
      <c r="G2049" s="14">
        <v>11</v>
      </c>
      <c r="H2049" s="14">
        <v>86.18</v>
      </c>
      <c r="I2049" s="15">
        <v>0.51</v>
      </c>
    </row>
    <row r="2050" spans="1:9" x14ac:dyDescent="0.25">
      <c r="A2050" s="12">
        <v>46</v>
      </c>
      <c r="B2050" s="13">
        <v>45152</v>
      </c>
      <c r="C2050" s="14">
        <v>30.1</v>
      </c>
      <c r="D2050" s="14">
        <v>61</v>
      </c>
      <c r="E2050" s="14">
        <v>571</v>
      </c>
      <c r="F2050" s="14">
        <v>6.6</v>
      </c>
      <c r="G2050" s="14">
        <v>12</v>
      </c>
      <c r="H2050" s="14">
        <v>86.18</v>
      </c>
      <c r="I2050" s="15">
        <v>0.61</v>
      </c>
    </row>
    <row r="2051" spans="1:9" x14ac:dyDescent="0.25">
      <c r="A2051" s="12">
        <v>46</v>
      </c>
      <c r="B2051" s="13">
        <v>45153</v>
      </c>
      <c r="C2051" s="14">
        <v>30.1</v>
      </c>
      <c r="D2051" s="14">
        <v>72</v>
      </c>
      <c r="E2051" s="14">
        <v>408</v>
      </c>
      <c r="F2051" s="14">
        <v>6.2</v>
      </c>
      <c r="G2051" s="14">
        <v>13</v>
      </c>
      <c r="H2051" s="14">
        <v>86.18</v>
      </c>
      <c r="I2051" s="15">
        <v>0.72</v>
      </c>
    </row>
    <row r="2052" spans="1:9" x14ac:dyDescent="0.25">
      <c r="A2052" s="12">
        <v>46</v>
      </c>
      <c r="B2052" s="13">
        <v>45154</v>
      </c>
      <c r="C2052" s="14">
        <v>29.8</v>
      </c>
      <c r="D2052" s="14">
        <v>53</v>
      </c>
      <c r="E2052" s="14">
        <v>753</v>
      </c>
      <c r="F2052" s="14">
        <v>6.2</v>
      </c>
      <c r="G2052" s="14">
        <v>14</v>
      </c>
      <c r="H2052" s="14">
        <v>85.64</v>
      </c>
      <c r="I2052" s="15">
        <v>0.53</v>
      </c>
    </row>
    <row r="2053" spans="1:9" x14ac:dyDescent="0.25">
      <c r="A2053" s="12">
        <v>46</v>
      </c>
      <c r="B2053" s="13">
        <v>45155</v>
      </c>
      <c r="C2053" s="14">
        <v>29.6</v>
      </c>
      <c r="D2053" s="14">
        <v>78</v>
      </c>
      <c r="E2053" s="14">
        <v>469</v>
      </c>
      <c r="F2053" s="14">
        <v>6.6</v>
      </c>
      <c r="G2053" s="14">
        <v>15</v>
      </c>
      <c r="H2053" s="14">
        <v>85.28</v>
      </c>
      <c r="I2053" s="15">
        <v>0.78</v>
      </c>
    </row>
    <row r="2054" spans="1:9" x14ac:dyDescent="0.25">
      <c r="A2054" s="12">
        <v>46</v>
      </c>
      <c r="B2054" s="13">
        <v>45156</v>
      </c>
      <c r="C2054" s="14">
        <v>30.9</v>
      </c>
      <c r="D2054" s="14">
        <v>56</v>
      </c>
      <c r="E2054" s="14">
        <v>448</v>
      </c>
      <c r="F2054" s="14">
        <v>6.3</v>
      </c>
      <c r="G2054" s="14">
        <v>16</v>
      </c>
      <c r="H2054" s="14">
        <v>87.62</v>
      </c>
      <c r="I2054" s="15">
        <v>0.56000000000000005</v>
      </c>
    </row>
    <row r="2055" spans="1:9" x14ac:dyDescent="0.25">
      <c r="A2055" s="12">
        <v>46</v>
      </c>
      <c r="B2055" s="13">
        <v>45157</v>
      </c>
      <c r="C2055" s="14">
        <v>30.8</v>
      </c>
      <c r="D2055" s="14">
        <v>58</v>
      </c>
      <c r="E2055" s="14">
        <v>580</v>
      </c>
      <c r="F2055" s="14">
        <v>6.1</v>
      </c>
      <c r="G2055" s="14">
        <v>17</v>
      </c>
      <c r="H2055" s="14">
        <v>87.44</v>
      </c>
      <c r="I2055" s="15">
        <v>0.57999999999999996</v>
      </c>
    </row>
    <row r="2056" spans="1:9" x14ac:dyDescent="0.25">
      <c r="A2056" s="12">
        <v>46</v>
      </c>
      <c r="B2056" s="13">
        <v>45158</v>
      </c>
      <c r="C2056" s="14">
        <v>30.9</v>
      </c>
      <c r="D2056" s="14">
        <v>72</v>
      </c>
      <c r="E2056" s="14">
        <v>531</v>
      </c>
      <c r="F2056" s="14">
        <v>6.1</v>
      </c>
      <c r="G2056" s="14">
        <v>18</v>
      </c>
      <c r="H2056" s="14">
        <v>87.62</v>
      </c>
      <c r="I2056" s="15">
        <v>0.72</v>
      </c>
    </row>
    <row r="2057" spans="1:9" x14ac:dyDescent="0.25">
      <c r="A2057" s="12">
        <v>46</v>
      </c>
      <c r="B2057" s="13">
        <v>45159</v>
      </c>
      <c r="C2057" s="14">
        <v>30.2</v>
      </c>
      <c r="D2057" s="14">
        <v>70</v>
      </c>
      <c r="E2057" s="14">
        <v>534</v>
      </c>
      <c r="F2057" s="14">
        <v>6.4</v>
      </c>
      <c r="G2057" s="14">
        <v>19</v>
      </c>
      <c r="H2057" s="14">
        <v>86.36</v>
      </c>
      <c r="I2057" s="15">
        <v>0.7</v>
      </c>
    </row>
    <row r="2058" spans="1:9" x14ac:dyDescent="0.25">
      <c r="A2058" s="12">
        <v>46</v>
      </c>
      <c r="B2058" s="13">
        <v>45160</v>
      </c>
      <c r="C2058" s="14">
        <v>30.5</v>
      </c>
      <c r="D2058" s="14">
        <v>65</v>
      </c>
      <c r="E2058" s="14">
        <v>425</v>
      </c>
      <c r="F2058" s="14">
        <v>6.2</v>
      </c>
      <c r="G2058" s="14">
        <v>20</v>
      </c>
      <c r="H2058" s="14">
        <v>86.9</v>
      </c>
      <c r="I2058" s="15">
        <v>0.65</v>
      </c>
    </row>
    <row r="2059" spans="1:9" x14ac:dyDescent="0.25">
      <c r="A2059" s="12">
        <v>46</v>
      </c>
      <c r="B2059" s="13">
        <v>45161</v>
      </c>
      <c r="C2059" s="14">
        <v>30.8</v>
      </c>
      <c r="D2059" s="14">
        <v>57</v>
      </c>
      <c r="E2059" s="14">
        <v>534</v>
      </c>
      <c r="F2059" s="14">
        <v>6.5</v>
      </c>
      <c r="G2059" s="14">
        <v>21</v>
      </c>
      <c r="H2059" s="14">
        <v>87.44</v>
      </c>
      <c r="I2059" s="15">
        <v>0.56999999999999995</v>
      </c>
    </row>
    <row r="2060" spans="1:9" x14ac:dyDescent="0.25">
      <c r="A2060" s="12">
        <v>46</v>
      </c>
      <c r="B2060" s="13">
        <v>45162</v>
      </c>
      <c r="C2060" s="14">
        <v>31.3</v>
      </c>
      <c r="D2060" s="14">
        <v>80</v>
      </c>
      <c r="E2060" s="14">
        <v>562</v>
      </c>
      <c r="F2060" s="14">
        <v>6.4</v>
      </c>
      <c r="G2060" s="14">
        <v>22</v>
      </c>
      <c r="H2060" s="14">
        <v>88.34</v>
      </c>
      <c r="I2060" s="15">
        <v>0.8</v>
      </c>
    </row>
    <row r="2061" spans="1:9" x14ac:dyDescent="0.25">
      <c r="A2061" s="12">
        <v>46</v>
      </c>
      <c r="B2061" s="13">
        <v>45163</v>
      </c>
      <c r="C2061" s="14">
        <v>31.4</v>
      </c>
      <c r="D2061" s="14">
        <v>76</v>
      </c>
      <c r="E2061" s="14">
        <v>422</v>
      </c>
      <c r="F2061" s="14">
        <v>6.3</v>
      </c>
      <c r="G2061" s="14">
        <v>23</v>
      </c>
      <c r="H2061" s="14">
        <v>88.52</v>
      </c>
      <c r="I2061" s="15">
        <v>0.76</v>
      </c>
    </row>
    <row r="2062" spans="1:9" x14ac:dyDescent="0.25">
      <c r="A2062" s="12">
        <v>46</v>
      </c>
      <c r="B2062" s="13">
        <v>45164</v>
      </c>
      <c r="C2062" s="14">
        <v>31.4</v>
      </c>
      <c r="D2062" s="14">
        <v>51</v>
      </c>
      <c r="E2062" s="14">
        <v>679</v>
      </c>
      <c r="F2062" s="14">
        <v>6.3</v>
      </c>
      <c r="G2062" s="14">
        <v>24</v>
      </c>
      <c r="H2062" s="14">
        <v>88.52</v>
      </c>
      <c r="I2062" s="15">
        <v>0.51</v>
      </c>
    </row>
    <row r="2063" spans="1:9" x14ac:dyDescent="0.25">
      <c r="A2063" s="12">
        <v>46</v>
      </c>
      <c r="B2063" s="13">
        <v>45165</v>
      </c>
      <c r="C2063" s="14">
        <v>30.1</v>
      </c>
      <c r="D2063" s="14">
        <v>58</v>
      </c>
      <c r="E2063" s="14">
        <v>534</v>
      </c>
      <c r="F2063" s="14">
        <v>6.8</v>
      </c>
      <c r="G2063" s="14">
        <v>25</v>
      </c>
      <c r="H2063" s="14">
        <v>86.18</v>
      </c>
      <c r="I2063" s="15">
        <v>0.57999999999999996</v>
      </c>
    </row>
    <row r="2064" spans="1:9" x14ac:dyDescent="0.25">
      <c r="A2064" s="12">
        <v>46</v>
      </c>
      <c r="B2064" s="13">
        <v>45166</v>
      </c>
      <c r="C2064" s="14">
        <v>29.4</v>
      </c>
      <c r="D2064" s="14">
        <v>71</v>
      </c>
      <c r="E2064" s="14">
        <v>765</v>
      </c>
      <c r="F2064" s="14">
        <v>6.1</v>
      </c>
      <c r="G2064" s="14">
        <v>26</v>
      </c>
      <c r="H2064" s="14">
        <v>84.92</v>
      </c>
      <c r="I2064" s="15">
        <v>0.71</v>
      </c>
    </row>
    <row r="2065" spans="1:9" x14ac:dyDescent="0.25">
      <c r="A2065" s="12">
        <v>46</v>
      </c>
      <c r="B2065" s="13">
        <v>45167</v>
      </c>
      <c r="C2065" s="14">
        <v>28.7</v>
      </c>
      <c r="D2065" s="14">
        <v>58</v>
      </c>
      <c r="E2065" s="14">
        <v>404</v>
      </c>
      <c r="F2065" s="14">
        <v>6.2</v>
      </c>
      <c r="G2065" s="14">
        <v>27</v>
      </c>
      <c r="H2065" s="14">
        <v>83.66</v>
      </c>
      <c r="I2065" s="15">
        <v>0.57999999999999996</v>
      </c>
    </row>
    <row r="2066" spans="1:9" x14ac:dyDescent="0.25">
      <c r="A2066" s="12">
        <v>46</v>
      </c>
      <c r="B2066" s="13">
        <v>45168</v>
      </c>
      <c r="C2066" s="14">
        <v>29.1</v>
      </c>
      <c r="D2066" s="14">
        <v>70</v>
      </c>
      <c r="E2066" s="14">
        <v>720</v>
      </c>
      <c r="F2066" s="14">
        <v>6.2</v>
      </c>
      <c r="G2066" s="14">
        <v>28</v>
      </c>
      <c r="H2066" s="14">
        <v>84.38</v>
      </c>
      <c r="I2066" s="15">
        <v>0.7</v>
      </c>
    </row>
    <row r="2067" spans="1:9" x14ac:dyDescent="0.25">
      <c r="A2067" s="12">
        <v>46</v>
      </c>
      <c r="B2067" s="13">
        <v>45169</v>
      </c>
      <c r="C2067" s="14">
        <v>29.2</v>
      </c>
      <c r="D2067" s="14">
        <v>71</v>
      </c>
      <c r="E2067" s="14">
        <v>596</v>
      </c>
      <c r="F2067" s="14">
        <v>6.7</v>
      </c>
      <c r="G2067" s="14">
        <v>29</v>
      </c>
      <c r="H2067" s="14">
        <v>84.56</v>
      </c>
      <c r="I2067" s="15">
        <v>0.71</v>
      </c>
    </row>
    <row r="2068" spans="1:9" x14ac:dyDescent="0.25">
      <c r="A2068" s="12">
        <v>46</v>
      </c>
      <c r="B2068" s="13">
        <v>45170</v>
      </c>
      <c r="C2068" s="14">
        <v>31.7</v>
      </c>
      <c r="D2068" s="14">
        <v>55</v>
      </c>
      <c r="E2068" s="14">
        <v>472</v>
      </c>
      <c r="F2068" s="14">
        <v>6.6</v>
      </c>
      <c r="G2068" s="14">
        <v>30</v>
      </c>
      <c r="H2068" s="14">
        <v>89.06</v>
      </c>
      <c r="I2068" s="15">
        <v>0.55000000000000004</v>
      </c>
    </row>
    <row r="2069" spans="1:9" x14ac:dyDescent="0.25">
      <c r="A2069" s="12">
        <v>46</v>
      </c>
      <c r="B2069" s="13">
        <v>45171</v>
      </c>
      <c r="C2069" s="14">
        <v>31.7</v>
      </c>
      <c r="D2069" s="14">
        <v>79</v>
      </c>
      <c r="E2069" s="14">
        <v>569</v>
      </c>
      <c r="F2069" s="14">
        <v>6.3</v>
      </c>
      <c r="G2069" s="14">
        <v>31</v>
      </c>
      <c r="H2069" s="14">
        <v>89.06</v>
      </c>
      <c r="I2069" s="15">
        <v>0.79</v>
      </c>
    </row>
    <row r="2070" spans="1:9" x14ac:dyDescent="0.25">
      <c r="A2070" s="12">
        <v>46</v>
      </c>
      <c r="B2070" s="13">
        <v>45172</v>
      </c>
      <c r="C2070" s="14">
        <v>31.7</v>
      </c>
      <c r="D2070" s="14">
        <v>80</v>
      </c>
      <c r="E2070" s="14">
        <v>507</v>
      </c>
      <c r="F2070" s="14">
        <v>6.5</v>
      </c>
      <c r="G2070" s="14">
        <v>32</v>
      </c>
      <c r="H2070" s="14">
        <v>89.06</v>
      </c>
      <c r="I2070" s="15">
        <v>0.8</v>
      </c>
    </row>
    <row r="2071" spans="1:9" x14ac:dyDescent="0.25">
      <c r="A2071" s="12">
        <v>46</v>
      </c>
      <c r="B2071" s="13">
        <v>45173</v>
      </c>
      <c r="C2071" s="14">
        <v>31.7</v>
      </c>
      <c r="D2071" s="14">
        <v>57</v>
      </c>
      <c r="E2071" s="14">
        <v>504</v>
      </c>
      <c r="F2071" s="14">
        <v>6</v>
      </c>
      <c r="G2071" s="14">
        <v>33</v>
      </c>
      <c r="H2071" s="14">
        <v>89.06</v>
      </c>
      <c r="I2071" s="15">
        <v>0.56999999999999995</v>
      </c>
    </row>
    <row r="2072" spans="1:9" x14ac:dyDescent="0.25">
      <c r="A2072" s="12">
        <v>46</v>
      </c>
      <c r="B2072" s="13">
        <v>45174</v>
      </c>
      <c r="C2072" s="14">
        <v>32</v>
      </c>
      <c r="D2072" s="14">
        <v>73</v>
      </c>
      <c r="E2072" s="14">
        <v>650</v>
      </c>
      <c r="F2072" s="14">
        <v>6.3</v>
      </c>
      <c r="G2072" s="14">
        <v>34</v>
      </c>
      <c r="H2072" s="14">
        <v>89.6</v>
      </c>
      <c r="I2072" s="15">
        <v>0.73</v>
      </c>
    </row>
    <row r="2073" spans="1:9" x14ac:dyDescent="0.25">
      <c r="A2073" s="12">
        <v>46</v>
      </c>
      <c r="B2073" s="13">
        <v>45175</v>
      </c>
      <c r="C2073" s="14">
        <v>32.1</v>
      </c>
      <c r="D2073" s="14">
        <v>59</v>
      </c>
      <c r="E2073" s="14">
        <v>486</v>
      </c>
      <c r="F2073" s="14">
        <v>6.6</v>
      </c>
      <c r="G2073" s="14">
        <v>35</v>
      </c>
      <c r="H2073" s="14">
        <v>89.78</v>
      </c>
      <c r="I2073" s="15">
        <v>0.59</v>
      </c>
    </row>
    <row r="2074" spans="1:9" x14ac:dyDescent="0.25">
      <c r="A2074" s="12">
        <v>46</v>
      </c>
      <c r="B2074" s="13">
        <v>45176</v>
      </c>
      <c r="C2074" s="14">
        <v>31.5</v>
      </c>
      <c r="D2074" s="14">
        <v>74</v>
      </c>
      <c r="E2074" s="14">
        <v>525</v>
      </c>
      <c r="F2074" s="14">
        <v>6.8</v>
      </c>
      <c r="G2074" s="14">
        <v>36</v>
      </c>
      <c r="H2074" s="14">
        <v>88.7</v>
      </c>
      <c r="I2074" s="15">
        <v>0.74</v>
      </c>
    </row>
    <row r="2075" spans="1:9" x14ac:dyDescent="0.25">
      <c r="A2075" s="12">
        <v>46</v>
      </c>
      <c r="B2075" s="13">
        <v>45177</v>
      </c>
      <c r="C2075" s="14">
        <v>29.8</v>
      </c>
      <c r="D2075" s="14">
        <v>65</v>
      </c>
      <c r="E2075" s="14">
        <v>631</v>
      </c>
      <c r="F2075" s="14">
        <v>6.5</v>
      </c>
      <c r="G2075" s="14">
        <v>37</v>
      </c>
      <c r="H2075" s="14">
        <v>85.64</v>
      </c>
      <c r="I2075" s="15">
        <v>0.65</v>
      </c>
    </row>
    <row r="2076" spans="1:9" x14ac:dyDescent="0.25">
      <c r="A2076" s="12">
        <v>46</v>
      </c>
      <c r="B2076" s="13">
        <v>45178</v>
      </c>
      <c r="C2076" s="14">
        <v>20.100000000000001</v>
      </c>
      <c r="D2076" s="14">
        <v>80</v>
      </c>
      <c r="E2076" s="14">
        <v>501</v>
      </c>
      <c r="F2076" s="14">
        <v>6</v>
      </c>
      <c r="G2076" s="14">
        <v>38</v>
      </c>
      <c r="H2076" s="14">
        <v>68.180000000000007</v>
      </c>
      <c r="I2076" s="15">
        <v>0.8</v>
      </c>
    </row>
    <row r="2077" spans="1:9" x14ac:dyDescent="0.25">
      <c r="A2077" s="12">
        <v>46</v>
      </c>
      <c r="B2077" s="13">
        <v>45179</v>
      </c>
      <c r="C2077" s="14">
        <v>31.1</v>
      </c>
      <c r="D2077" s="14">
        <v>52</v>
      </c>
      <c r="E2077" s="14">
        <v>630</v>
      </c>
      <c r="F2077" s="14">
        <v>6.8</v>
      </c>
      <c r="G2077" s="14">
        <v>39</v>
      </c>
      <c r="H2077" s="14">
        <v>87.98</v>
      </c>
      <c r="I2077" s="15">
        <v>0.52</v>
      </c>
    </row>
    <row r="2078" spans="1:9" x14ac:dyDescent="0.25">
      <c r="A2078" s="12">
        <v>46</v>
      </c>
      <c r="B2078" s="13">
        <v>45180</v>
      </c>
      <c r="C2078" s="14">
        <v>31.2</v>
      </c>
      <c r="D2078" s="14">
        <v>56</v>
      </c>
      <c r="E2078" s="14">
        <v>638</v>
      </c>
      <c r="F2078" s="14">
        <v>6.6</v>
      </c>
      <c r="G2078" s="14">
        <v>40</v>
      </c>
      <c r="H2078" s="14">
        <v>88.16</v>
      </c>
      <c r="I2078" s="15">
        <v>0.56000000000000005</v>
      </c>
    </row>
    <row r="2079" spans="1:9" x14ac:dyDescent="0.25">
      <c r="A2079" s="12">
        <v>46</v>
      </c>
      <c r="B2079" s="13">
        <v>45181</v>
      </c>
      <c r="C2079" s="14">
        <v>31.2</v>
      </c>
      <c r="D2079" s="14">
        <v>80</v>
      </c>
      <c r="E2079" s="14">
        <v>795</v>
      </c>
      <c r="F2079" s="14">
        <v>6.3</v>
      </c>
      <c r="G2079" s="14">
        <v>41</v>
      </c>
      <c r="H2079" s="14">
        <v>88.16</v>
      </c>
      <c r="I2079" s="15">
        <v>0.8</v>
      </c>
    </row>
    <row r="2080" spans="1:9" x14ac:dyDescent="0.25">
      <c r="A2080" s="12">
        <v>46</v>
      </c>
      <c r="B2080" s="13">
        <v>45182</v>
      </c>
      <c r="C2080" s="14">
        <v>30.4</v>
      </c>
      <c r="D2080" s="14">
        <v>77</v>
      </c>
      <c r="E2080" s="14">
        <v>417</v>
      </c>
      <c r="F2080" s="14">
        <v>6.7</v>
      </c>
      <c r="G2080" s="14">
        <v>42</v>
      </c>
      <c r="H2080" s="14">
        <v>86.72</v>
      </c>
      <c r="I2080" s="15">
        <v>0.77</v>
      </c>
    </row>
    <row r="2081" spans="1:9" x14ac:dyDescent="0.25">
      <c r="A2081" s="12">
        <v>46</v>
      </c>
      <c r="B2081" s="13">
        <v>45183</v>
      </c>
      <c r="C2081" s="14">
        <v>29.1</v>
      </c>
      <c r="D2081" s="14">
        <v>76</v>
      </c>
      <c r="E2081" s="14">
        <v>645</v>
      </c>
      <c r="F2081" s="14">
        <v>6.3</v>
      </c>
      <c r="G2081" s="14">
        <v>43</v>
      </c>
      <c r="H2081" s="14">
        <v>84.38</v>
      </c>
      <c r="I2081" s="15">
        <v>0.76</v>
      </c>
    </row>
    <row r="2082" spans="1:9" x14ac:dyDescent="0.25">
      <c r="A2082" s="12">
        <v>46</v>
      </c>
      <c r="B2082" s="13">
        <v>45184</v>
      </c>
      <c r="C2082" s="14">
        <v>30.6</v>
      </c>
      <c r="D2082" s="14">
        <v>63</v>
      </c>
      <c r="E2082" s="14">
        <v>550</v>
      </c>
      <c r="F2082" s="14">
        <v>6.4</v>
      </c>
      <c r="G2082" s="14">
        <v>44</v>
      </c>
      <c r="H2082" s="14">
        <v>87.08</v>
      </c>
      <c r="I2082" s="15">
        <v>0.63</v>
      </c>
    </row>
    <row r="2083" spans="1:9" x14ac:dyDescent="0.25">
      <c r="A2083" s="12">
        <v>46</v>
      </c>
      <c r="B2083" s="13">
        <v>45185</v>
      </c>
      <c r="C2083" s="14">
        <v>31.5</v>
      </c>
      <c r="D2083" s="14">
        <v>58</v>
      </c>
      <c r="E2083" s="14">
        <v>739</v>
      </c>
      <c r="F2083" s="14">
        <v>6.3</v>
      </c>
      <c r="G2083" s="14">
        <v>45</v>
      </c>
      <c r="H2083" s="14">
        <v>88.7</v>
      </c>
      <c r="I2083" s="15">
        <v>0.57999999999999996</v>
      </c>
    </row>
    <row r="2084" spans="1:9" x14ac:dyDescent="0.25">
      <c r="A2084" s="12">
        <v>47</v>
      </c>
      <c r="B2084" s="13">
        <v>45141</v>
      </c>
      <c r="C2084" s="14">
        <v>33.4</v>
      </c>
      <c r="D2084" s="14">
        <v>51</v>
      </c>
      <c r="E2084" s="14">
        <v>578</v>
      </c>
      <c r="F2084" s="14">
        <v>6.3</v>
      </c>
      <c r="G2084" s="14">
        <v>1</v>
      </c>
      <c r="H2084" s="14">
        <v>92.12</v>
      </c>
      <c r="I2084" s="15">
        <v>0.51</v>
      </c>
    </row>
    <row r="2085" spans="1:9" x14ac:dyDescent="0.25">
      <c r="A2085" s="12">
        <v>47</v>
      </c>
      <c r="B2085" s="13">
        <v>45142</v>
      </c>
      <c r="C2085" s="14">
        <v>33.5</v>
      </c>
      <c r="D2085" s="14">
        <v>78</v>
      </c>
      <c r="E2085" s="14">
        <v>486</v>
      </c>
      <c r="F2085" s="14">
        <v>6</v>
      </c>
      <c r="G2085" s="14">
        <v>2</v>
      </c>
      <c r="H2085" s="14">
        <v>92.3</v>
      </c>
      <c r="I2085" s="15">
        <v>0.78</v>
      </c>
    </row>
    <row r="2086" spans="1:9" x14ac:dyDescent="0.25">
      <c r="A2086" s="12">
        <v>47</v>
      </c>
      <c r="B2086" s="13">
        <v>45143</v>
      </c>
      <c r="C2086" s="14">
        <v>33.4</v>
      </c>
      <c r="D2086" s="14">
        <v>78</v>
      </c>
      <c r="E2086" s="14">
        <v>695</v>
      </c>
      <c r="F2086" s="14">
        <v>6.7</v>
      </c>
      <c r="G2086" s="14">
        <v>3</v>
      </c>
      <c r="H2086" s="14">
        <v>92.12</v>
      </c>
      <c r="I2086" s="15">
        <v>0.78</v>
      </c>
    </row>
    <row r="2087" spans="1:9" x14ac:dyDescent="0.25">
      <c r="A2087" s="12">
        <v>47</v>
      </c>
      <c r="B2087" s="13">
        <v>45144</v>
      </c>
      <c r="C2087" s="14">
        <v>33.4</v>
      </c>
      <c r="D2087" s="14">
        <v>70</v>
      </c>
      <c r="E2087" s="14">
        <v>522</v>
      </c>
      <c r="F2087" s="14">
        <v>6.2</v>
      </c>
      <c r="G2087" s="14">
        <v>4</v>
      </c>
      <c r="H2087" s="14">
        <v>92.12</v>
      </c>
      <c r="I2087" s="15">
        <v>0.7</v>
      </c>
    </row>
    <row r="2088" spans="1:9" x14ac:dyDescent="0.25">
      <c r="A2088" s="12">
        <v>47</v>
      </c>
      <c r="B2088" s="13">
        <v>45145</v>
      </c>
      <c r="C2088" s="14">
        <v>33.4</v>
      </c>
      <c r="D2088" s="14">
        <v>76</v>
      </c>
      <c r="E2088" s="14">
        <v>745</v>
      </c>
      <c r="F2088" s="14">
        <v>6.1</v>
      </c>
      <c r="G2088" s="14">
        <v>5</v>
      </c>
      <c r="H2088" s="14">
        <v>92.12</v>
      </c>
      <c r="I2088" s="15">
        <v>0.76</v>
      </c>
    </row>
    <row r="2089" spans="1:9" x14ac:dyDescent="0.25">
      <c r="A2089" s="12">
        <v>47</v>
      </c>
      <c r="B2089" s="13">
        <v>45146</v>
      </c>
      <c r="C2089" s="14">
        <v>32.299999999999997</v>
      </c>
      <c r="D2089" s="14">
        <v>76</v>
      </c>
      <c r="E2089" s="14">
        <v>564</v>
      </c>
      <c r="F2089" s="14">
        <v>6.2</v>
      </c>
      <c r="G2089" s="14">
        <v>6</v>
      </c>
      <c r="H2089" s="14">
        <v>90.14</v>
      </c>
      <c r="I2089" s="15">
        <v>0.76</v>
      </c>
    </row>
    <row r="2090" spans="1:9" x14ac:dyDescent="0.25">
      <c r="A2090" s="12">
        <v>47</v>
      </c>
      <c r="B2090" s="13">
        <v>45147</v>
      </c>
      <c r="C2090" s="14">
        <v>32.299999999999997</v>
      </c>
      <c r="D2090" s="14">
        <v>80</v>
      </c>
      <c r="E2090" s="14">
        <v>491</v>
      </c>
      <c r="F2090" s="14">
        <v>6.5</v>
      </c>
      <c r="G2090" s="14">
        <v>7</v>
      </c>
      <c r="H2090" s="14">
        <v>90.14</v>
      </c>
      <c r="I2090" s="15">
        <v>0.8</v>
      </c>
    </row>
    <row r="2091" spans="1:9" x14ac:dyDescent="0.25">
      <c r="A2091" s="12">
        <v>47</v>
      </c>
      <c r="B2091" s="13">
        <v>45148</v>
      </c>
      <c r="C2091" s="14">
        <v>22.7</v>
      </c>
      <c r="D2091" s="14">
        <v>67</v>
      </c>
      <c r="E2091" s="14">
        <v>571</v>
      </c>
      <c r="F2091" s="14">
        <v>6.3</v>
      </c>
      <c r="G2091" s="14">
        <v>8</v>
      </c>
      <c r="H2091" s="14">
        <v>72.86</v>
      </c>
      <c r="I2091" s="15">
        <v>0.67</v>
      </c>
    </row>
    <row r="2092" spans="1:9" x14ac:dyDescent="0.25">
      <c r="A2092" s="12">
        <v>47</v>
      </c>
      <c r="B2092" s="13">
        <v>45149</v>
      </c>
      <c r="C2092" s="14">
        <v>31.9</v>
      </c>
      <c r="D2092" s="14">
        <v>79</v>
      </c>
      <c r="E2092" s="14">
        <v>473</v>
      </c>
      <c r="F2092" s="14">
        <v>6.3</v>
      </c>
      <c r="G2092" s="14">
        <v>9</v>
      </c>
      <c r="H2092" s="14">
        <v>89.42</v>
      </c>
      <c r="I2092" s="15">
        <v>0.79</v>
      </c>
    </row>
    <row r="2093" spans="1:9" x14ac:dyDescent="0.25">
      <c r="A2093" s="12">
        <v>47</v>
      </c>
      <c r="B2093" s="13">
        <v>45150</v>
      </c>
      <c r="C2093" s="14">
        <v>30.2</v>
      </c>
      <c r="D2093" s="14">
        <v>52</v>
      </c>
      <c r="E2093" s="14">
        <v>539</v>
      </c>
      <c r="F2093" s="14">
        <v>6.3</v>
      </c>
      <c r="G2093" s="14">
        <v>10</v>
      </c>
      <c r="H2093" s="14">
        <v>86.36</v>
      </c>
      <c r="I2093" s="15">
        <v>0.52</v>
      </c>
    </row>
    <row r="2094" spans="1:9" x14ac:dyDescent="0.25">
      <c r="A2094" s="12">
        <v>47</v>
      </c>
      <c r="B2094" s="13">
        <v>45151</v>
      </c>
      <c r="C2094" s="14">
        <v>30.1</v>
      </c>
      <c r="D2094" s="14">
        <v>60</v>
      </c>
      <c r="E2094" s="14">
        <v>421</v>
      </c>
      <c r="F2094" s="14">
        <v>6.5</v>
      </c>
      <c r="G2094" s="14">
        <v>11</v>
      </c>
      <c r="H2094" s="14">
        <v>86.18</v>
      </c>
      <c r="I2094" s="15">
        <v>0.6</v>
      </c>
    </row>
    <row r="2095" spans="1:9" x14ac:dyDescent="0.25">
      <c r="A2095" s="12">
        <v>47</v>
      </c>
      <c r="B2095" s="13">
        <v>45152</v>
      </c>
      <c r="C2095" s="14">
        <v>30.1</v>
      </c>
      <c r="D2095" s="14">
        <v>63</v>
      </c>
      <c r="E2095" s="14">
        <v>611</v>
      </c>
      <c r="F2095" s="14">
        <v>6.6</v>
      </c>
      <c r="G2095" s="14">
        <v>12</v>
      </c>
      <c r="H2095" s="14">
        <v>86.18</v>
      </c>
      <c r="I2095" s="15">
        <v>0.63</v>
      </c>
    </row>
    <row r="2096" spans="1:9" x14ac:dyDescent="0.25">
      <c r="A2096" s="12">
        <v>47</v>
      </c>
      <c r="B2096" s="13">
        <v>45153</v>
      </c>
      <c r="C2096" s="14">
        <v>30.1</v>
      </c>
      <c r="D2096" s="14">
        <v>64</v>
      </c>
      <c r="E2096" s="14">
        <v>766</v>
      </c>
      <c r="F2096" s="14">
        <v>6</v>
      </c>
      <c r="G2096" s="14">
        <v>13</v>
      </c>
      <c r="H2096" s="14">
        <v>86.18</v>
      </c>
      <c r="I2096" s="15">
        <v>0.64</v>
      </c>
    </row>
    <row r="2097" spans="1:9" x14ac:dyDescent="0.25">
      <c r="A2097" s="12">
        <v>47</v>
      </c>
      <c r="B2097" s="13">
        <v>45154</v>
      </c>
      <c r="C2097" s="14">
        <v>29.8</v>
      </c>
      <c r="D2097" s="14">
        <v>62</v>
      </c>
      <c r="E2097" s="14">
        <v>656</v>
      </c>
      <c r="F2097" s="14">
        <v>6.7</v>
      </c>
      <c r="G2097" s="14">
        <v>14</v>
      </c>
      <c r="H2097" s="14">
        <v>85.64</v>
      </c>
      <c r="I2097" s="15">
        <v>0.62</v>
      </c>
    </row>
    <row r="2098" spans="1:9" x14ac:dyDescent="0.25">
      <c r="A2098" s="12">
        <v>47</v>
      </c>
      <c r="B2098" s="13">
        <v>45155</v>
      </c>
      <c r="C2098" s="14">
        <v>29.6</v>
      </c>
      <c r="D2098" s="14">
        <v>68</v>
      </c>
      <c r="E2098" s="14">
        <v>586</v>
      </c>
      <c r="F2098" s="14">
        <v>6.7</v>
      </c>
      <c r="G2098" s="14">
        <v>15</v>
      </c>
      <c r="H2098" s="14">
        <v>85.28</v>
      </c>
      <c r="I2098" s="15">
        <v>0.68</v>
      </c>
    </row>
    <row r="2099" spans="1:9" x14ac:dyDescent="0.25">
      <c r="A2099" s="12">
        <v>47</v>
      </c>
      <c r="B2099" s="13">
        <v>45156</v>
      </c>
      <c r="C2099" s="14">
        <v>30.9</v>
      </c>
      <c r="D2099" s="14">
        <v>57</v>
      </c>
      <c r="E2099" s="14">
        <v>779</v>
      </c>
      <c r="F2099" s="14">
        <v>6.4</v>
      </c>
      <c r="G2099" s="14">
        <v>16</v>
      </c>
      <c r="H2099" s="14">
        <v>87.62</v>
      </c>
      <c r="I2099" s="15">
        <v>0.56999999999999995</v>
      </c>
    </row>
    <row r="2100" spans="1:9" x14ac:dyDescent="0.25">
      <c r="A2100" s="12">
        <v>47</v>
      </c>
      <c r="B2100" s="13">
        <v>45157</v>
      </c>
      <c r="C2100" s="14">
        <v>30.8</v>
      </c>
      <c r="D2100" s="14">
        <v>75</v>
      </c>
      <c r="E2100" s="14">
        <v>711</v>
      </c>
      <c r="F2100" s="14">
        <v>6.2</v>
      </c>
      <c r="G2100" s="14">
        <v>17</v>
      </c>
      <c r="H2100" s="14">
        <v>87.44</v>
      </c>
      <c r="I2100" s="15">
        <v>0.75</v>
      </c>
    </row>
    <row r="2101" spans="1:9" x14ac:dyDescent="0.25">
      <c r="A2101" s="12">
        <v>47</v>
      </c>
      <c r="B2101" s="13">
        <v>45158</v>
      </c>
      <c r="C2101" s="14">
        <v>30.9</v>
      </c>
      <c r="D2101" s="14">
        <v>70</v>
      </c>
      <c r="E2101" s="14">
        <v>651</v>
      </c>
      <c r="F2101" s="14">
        <v>6</v>
      </c>
      <c r="G2101" s="14">
        <v>18</v>
      </c>
      <c r="H2101" s="14">
        <v>87.62</v>
      </c>
      <c r="I2101" s="15">
        <v>0.7</v>
      </c>
    </row>
    <row r="2102" spans="1:9" x14ac:dyDescent="0.25">
      <c r="A2102" s="12">
        <v>47</v>
      </c>
      <c r="B2102" s="13">
        <v>45159</v>
      </c>
      <c r="C2102" s="14">
        <v>30.2</v>
      </c>
      <c r="D2102" s="14">
        <v>56</v>
      </c>
      <c r="E2102" s="14">
        <v>656</v>
      </c>
      <c r="F2102" s="14">
        <v>6.3</v>
      </c>
      <c r="G2102" s="14">
        <v>19</v>
      </c>
      <c r="H2102" s="14">
        <v>86.36</v>
      </c>
      <c r="I2102" s="15">
        <v>0.56000000000000005</v>
      </c>
    </row>
    <row r="2103" spans="1:9" x14ac:dyDescent="0.25">
      <c r="A2103" s="12">
        <v>47</v>
      </c>
      <c r="B2103" s="13">
        <v>45160</v>
      </c>
      <c r="C2103" s="14">
        <v>30.5</v>
      </c>
      <c r="D2103" s="14">
        <v>54</v>
      </c>
      <c r="E2103" s="14">
        <v>758</v>
      </c>
      <c r="F2103" s="14">
        <v>6.5</v>
      </c>
      <c r="G2103" s="14">
        <v>20</v>
      </c>
      <c r="H2103" s="14">
        <v>86.9</v>
      </c>
      <c r="I2103" s="15">
        <v>0.54</v>
      </c>
    </row>
    <row r="2104" spans="1:9" x14ac:dyDescent="0.25">
      <c r="A2104" s="12">
        <v>47</v>
      </c>
      <c r="B2104" s="13">
        <v>45161</v>
      </c>
      <c r="C2104" s="14">
        <v>30.8</v>
      </c>
      <c r="D2104" s="14">
        <v>72</v>
      </c>
      <c r="E2104" s="14">
        <v>784</v>
      </c>
      <c r="F2104" s="14">
        <v>6.7</v>
      </c>
      <c r="G2104" s="14">
        <v>21</v>
      </c>
      <c r="H2104" s="14">
        <v>87.44</v>
      </c>
      <c r="I2104" s="15">
        <v>0.72</v>
      </c>
    </row>
    <row r="2105" spans="1:9" x14ac:dyDescent="0.25">
      <c r="A2105" s="12">
        <v>47</v>
      </c>
      <c r="B2105" s="13">
        <v>45162</v>
      </c>
      <c r="C2105" s="14">
        <v>31.3</v>
      </c>
      <c r="D2105" s="14">
        <v>56</v>
      </c>
      <c r="E2105" s="14">
        <v>736</v>
      </c>
      <c r="F2105" s="14">
        <v>6.1</v>
      </c>
      <c r="G2105" s="14">
        <v>22</v>
      </c>
      <c r="H2105" s="14">
        <v>88.34</v>
      </c>
      <c r="I2105" s="15">
        <v>0.56000000000000005</v>
      </c>
    </row>
    <row r="2106" spans="1:9" x14ac:dyDescent="0.25">
      <c r="A2106" s="12">
        <v>47</v>
      </c>
      <c r="B2106" s="13">
        <v>45163</v>
      </c>
      <c r="C2106" s="14">
        <v>31.4</v>
      </c>
      <c r="D2106" s="14">
        <v>69</v>
      </c>
      <c r="E2106" s="14">
        <v>593</v>
      </c>
      <c r="F2106" s="14">
        <v>6.6</v>
      </c>
      <c r="G2106" s="14">
        <v>23</v>
      </c>
      <c r="H2106" s="14">
        <v>88.52</v>
      </c>
      <c r="I2106" s="15">
        <v>0.69</v>
      </c>
    </row>
    <row r="2107" spans="1:9" x14ac:dyDescent="0.25">
      <c r="A2107" s="12">
        <v>47</v>
      </c>
      <c r="B2107" s="13">
        <v>45164</v>
      </c>
      <c r="C2107" s="14">
        <v>31.4</v>
      </c>
      <c r="D2107" s="14">
        <v>50</v>
      </c>
      <c r="E2107" s="14">
        <v>429</v>
      </c>
      <c r="F2107" s="14">
        <v>6.7</v>
      </c>
      <c r="G2107" s="14">
        <v>24</v>
      </c>
      <c r="H2107" s="14">
        <v>88.52</v>
      </c>
      <c r="I2107" s="15">
        <v>0.5</v>
      </c>
    </row>
    <row r="2108" spans="1:9" x14ac:dyDescent="0.25">
      <c r="A2108" s="12">
        <v>47</v>
      </c>
      <c r="B2108" s="13">
        <v>45165</v>
      </c>
      <c r="C2108" s="14">
        <v>30.1</v>
      </c>
      <c r="D2108" s="14">
        <v>75</v>
      </c>
      <c r="E2108" s="14">
        <v>461</v>
      </c>
      <c r="F2108" s="14">
        <v>6.5</v>
      </c>
      <c r="G2108" s="14">
        <v>25</v>
      </c>
      <c r="H2108" s="14">
        <v>86.18</v>
      </c>
      <c r="I2108" s="15">
        <v>0.75</v>
      </c>
    </row>
    <row r="2109" spans="1:9" x14ac:dyDescent="0.25">
      <c r="A2109" s="12">
        <v>47</v>
      </c>
      <c r="B2109" s="13">
        <v>45166</v>
      </c>
      <c r="C2109" s="14">
        <v>29.4</v>
      </c>
      <c r="D2109" s="14">
        <v>51</v>
      </c>
      <c r="E2109" s="14">
        <v>647</v>
      </c>
      <c r="F2109" s="14">
        <v>6.6</v>
      </c>
      <c r="G2109" s="14">
        <v>26</v>
      </c>
      <c r="H2109" s="14">
        <v>84.92</v>
      </c>
      <c r="I2109" s="15">
        <v>0.51</v>
      </c>
    </row>
    <row r="2110" spans="1:9" x14ac:dyDescent="0.25">
      <c r="A2110" s="12">
        <v>47</v>
      </c>
      <c r="B2110" s="13">
        <v>45167</v>
      </c>
      <c r="C2110" s="14">
        <v>28.7</v>
      </c>
      <c r="D2110" s="14">
        <v>66</v>
      </c>
      <c r="E2110" s="14">
        <v>779</v>
      </c>
      <c r="F2110" s="14">
        <v>6.2</v>
      </c>
      <c r="G2110" s="14">
        <v>27</v>
      </c>
      <c r="H2110" s="14">
        <v>83.66</v>
      </c>
      <c r="I2110" s="15">
        <v>0.66</v>
      </c>
    </row>
    <row r="2111" spans="1:9" x14ac:dyDescent="0.25">
      <c r="A2111" s="12">
        <v>47</v>
      </c>
      <c r="B2111" s="13">
        <v>45168</v>
      </c>
      <c r="C2111" s="14">
        <v>29.1</v>
      </c>
      <c r="D2111" s="14">
        <v>60</v>
      </c>
      <c r="E2111" s="14">
        <v>404</v>
      </c>
      <c r="F2111" s="14">
        <v>6.7</v>
      </c>
      <c r="G2111" s="14">
        <v>28</v>
      </c>
      <c r="H2111" s="14">
        <v>84.38</v>
      </c>
      <c r="I2111" s="15">
        <v>0.6</v>
      </c>
    </row>
    <row r="2112" spans="1:9" x14ac:dyDescent="0.25">
      <c r="A2112" s="12">
        <v>47</v>
      </c>
      <c r="B2112" s="13">
        <v>45169</v>
      </c>
      <c r="C2112" s="14">
        <v>29.2</v>
      </c>
      <c r="D2112" s="14">
        <v>57</v>
      </c>
      <c r="E2112" s="14">
        <v>412</v>
      </c>
      <c r="F2112" s="14">
        <v>6.2</v>
      </c>
      <c r="G2112" s="14">
        <v>29</v>
      </c>
      <c r="H2112" s="14">
        <v>84.56</v>
      </c>
      <c r="I2112" s="15">
        <v>0.56999999999999995</v>
      </c>
    </row>
    <row r="2113" spans="1:9" x14ac:dyDescent="0.25">
      <c r="A2113" s="12">
        <v>47</v>
      </c>
      <c r="B2113" s="13">
        <v>45170</v>
      </c>
      <c r="C2113" s="14">
        <v>31.7</v>
      </c>
      <c r="D2113" s="14">
        <v>66</v>
      </c>
      <c r="E2113" s="14">
        <v>676</v>
      </c>
      <c r="F2113" s="14">
        <v>6.5</v>
      </c>
      <c r="G2113" s="14">
        <v>30</v>
      </c>
      <c r="H2113" s="14">
        <v>89.06</v>
      </c>
      <c r="I2113" s="15">
        <v>0.66</v>
      </c>
    </row>
    <row r="2114" spans="1:9" x14ac:dyDescent="0.25">
      <c r="A2114" s="12">
        <v>47</v>
      </c>
      <c r="B2114" s="13">
        <v>45171</v>
      </c>
      <c r="C2114" s="14">
        <v>31.7</v>
      </c>
      <c r="D2114" s="14">
        <v>60</v>
      </c>
      <c r="E2114" s="14">
        <v>643</v>
      </c>
      <c r="F2114" s="14">
        <v>6.1</v>
      </c>
      <c r="G2114" s="14">
        <v>31</v>
      </c>
      <c r="H2114" s="14">
        <v>89.06</v>
      </c>
      <c r="I2114" s="15">
        <v>0.6</v>
      </c>
    </row>
    <row r="2115" spans="1:9" x14ac:dyDescent="0.25">
      <c r="A2115" s="12">
        <v>47</v>
      </c>
      <c r="B2115" s="13">
        <v>45172</v>
      </c>
      <c r="C2115" s="14">
        <v>31.7</v>
      </c>
      <c r="D2115" s="14">
        <v>75</v>
      </c>
      <c r="E2115" s="14">
        <v>409</v>
      </c>
      <c r="F2115" s="14">
        <v>6.2</v>
      </c>
      <c r="G2115" s="14">
        <v>32</v>
      </c>
      <c r="H2115" s="14">
        <v>89.06</v>
      </c>
      <c r="I2115" s="15">
        <v>0.75</v>
      </c>
    </row>
    <row r="2116" spans="1:9" x14ac:dyDescent="0.25">
      <c r="A2116" s="12">
        <v>47</v>
      </c>
      <c r="B2116" s="13">
        <v>45173</v>
      </c>
      <c r="C2116" s="14">
        <v>31.7</v>
      </c>
      <c r="D2116" s="14">
        <v>59</v>
      </c>
      <c r="E2116" s="14">
        <v>516</v>
      </c>
      <c r="F2116" s="14">
        <v>6.2</v>
      </c>
      <c r="G2116" s="14">
        <v>33</v>
      </c>
      <c r="H2116" s="14">
        <v>89.06</v>
      </c>
      <c r="I2116" s="15">
        <v>0.59</v>
      </c>
    </row>
    <row r="2117" spans="1:9" x14ac:dyDescent="0.25">
      <c r="A2117" s="12">
        <v>47</v>
      </c>
      <c r="B2117" s="13">
        <v>45174</v>
      </c>
      <c r="C2117" s="14">
        <v>32</v>
      </c>
      <c r="D2117" s="14">
        <v>61</v>
      </c>
      <c r="E2117" s="14">
        <v>613</v>
      </c>
      <c r="F2117" s="14">
        <v>6.2</v>
      </c>
      <c r="G2117" s="14">
        <v>34</v>
      </c>
      <c r="H2117" s="14">
        <v>89.6</v>
      </c>
      <c r="I2117" s="15">
        <v>0.61</v>
      </c>
    </row>
    <row r="2118" spans="1:9" x14ac:dyDescent="0.25">
      <c r="A2118" s="12">
        <v>47</v>
      </c>
      <c r="B2118" s="13">
        <v>45175</v>
      </c>
      <c r="C2118" s="14">
        <v>32.1</v>
      </c>
      <c r="D2118" s="14">
        <v>79</v>
      </c>
      <c r="E2118" s="14">
        <v>411</v>
      </c>
      <c r="F2118" s="14">
        <v>6.2</v>
      </c>
      <c r="G2118" s="14">
        <v>35</v>
      </c>
      <c r="H2118" s="14">
        <v>89.78</v>
      </c>
      <c r="I2118" s="15">
        <v>0.79</v>
      </c>
    </row>
    <row r="2119" spans="1:9" x14ac:dyDescent="0.25">
      <c r="A2119" s="12">
        <v>47</v>
      </c>
      <c r="B2119" s="13">
        <v>45176</v>
      </c>
      <c r="C2119" s="14">
        <v>31.5</v>
      </c>
      <c r="D2119" s="14">
        <v>80</v>
      </c>
      <c r="E2119" s="14">
        <v>653</v>
      </c>
      <c r="F2119" s="14">
        <v>6</v>
      </c>
      <c r="G2119" s="14">
        <v>36</v>
      </c>
      <c r="H2119" s="14">
        <v>88.7</v>
      </c>
      <c r="I2119" s="15">
        <v>0.8</v>
      </c>
    </row>
    <row r="2120" spans="1:9" x14ac:dyDescent="0.25">
      <c r="A2120" s="12">
        <v>47</v>
      </c>
      <c r="B2120" s="13">
        <v>45177</v>
      </c>
      <c r="C2120" s="14">
        <v>29.8</v>
      </c>
      <c r="D2120" s="14">
        <v>73</v>
      </c>
      <c r="E2120" s="14">
        <v>722</v>
      </c>
      <c r="F2120" s="14">
        <v>6.5</v>
      </c>
      <c r="G2120" s="14">
        <v>37</v>
      </c>
      <c r="H2120" s="14">
        <v>85.64</v>
      </c>
      <c r="I2120" s="15">
        <v>0.73</v>
      </c>
    </row>
    <row r="2121" spans="1:9" x14ac:dyDescent="0.25">
      <c r="A2121" s="12">
        <v>47</v>
      </c>
      <c r="B2121" s="13">
        <v>45178</v>
      </c>
      <c r="C2121" s="14">
        <v>20.100000000000001</v>
      </c>
      <c r="D2121" s="14">
        <v>79</v>
      </c>
      <c r="E2121" s="14">
        <v>795</v>
      </c>
      <c r="F2121" s="14">
        <v>6.4</v>
      </c>
      <c r="G2121" s="14">
        <v>38</v>
      </c>
      <c r="H2121" s="14">
        <v>68.180000000000007</v>
      </c>
      <c r="I2121" s="15">
        <v>0.79</v>
      </c>
    </row>
    <row r="2122" spans="1:9" x14ac:dyDescent="0.25">
      <c r="A2122" s="12">
        <v>47</v>
      </c>
      <c r="B2122" s="13">
        <v>45179</v>
      </c>
      <c r="C2122" s="14">
        <v>31.1</v>
      </c>
      <c r="D2122" s="14">
        <v>57</v>
      </c>
      <c r="E2122" s="14">
        <v>716</v>
      </c>
      <c r="F2122" s="14">
        <v>6.2</v>
      </c>
      <c r="G2122" s="14">
        <v>39</v>
      </c>
      <c r="H2122" s="14">
        <v>87.98</v>
      </c>
      <c r="I2122" s="15">
        <v>0.56999999999999995</v>
      </c>
    </row>
    <row r="2123" spans="1:9" x14ac:dyDescent="0.25">
      <c r="A2123" s="12">
        <v>47</v>
      </c>
      <c r="B2123" s="13">
        <v>45180</v>
      </c>
      <c r="C2123" s="14">
        <v>31.2</v>
      </c>
      <c r="D2123" s="14">
        <v>72</v>
      </c>
      <c r="E2123" s="14">
        <v>725</v>
      </c>
      <c r="F2123" s="14">
        <v>6.5</v>
      </c>
      <c r="G2123" s="14">
        <v>40</v>
      </c>
      <c r="H2123" s="14">
        <v>88.16</v>
      </c>
      <c r="I2123" s="15">
        <v>0.72</v>
      </c>
    </row>
    <row r="2124" spans="1:9" x14ac:dyDescent="0.25">
      <c r="A2124" s="12">
        <v>47</v>
      </c>
      <c r="B2124" s="13">
        <v>45181</v>
      </c>
      <c r="C2124" s="14">
        <v>31.2</v>
      </c>
      <c r="D2124" s="14">
        <v>77</v>
      </c>
      <c r="E2124" s="14">
        <v>559</v>
      </c>
      <c r="F2124" s="14">
        <v>6.7</v>
      </c>
      <c r="G2124" s="14">
        <v>41</v>
      </c>
      <c r="H2124" s="14">
        <v>88.16</v>
      </c>
      <c r="I2124" s="15">
        <v>0.77</v>
      </c>
    </row>
    <row r="2125" spans="1:9" x14ac:dyDescent="0.25">
      <c r="A2125" s="12">
        <v>47</v>
      </c>
      <c r="B2125" s="13">
        <v>45182</v>
      </c>
      <c r="C2125" s="14">
        <v>30.4</v>
      </c>
      <c r="D2125" s="14">
        <v>61</v>
      </c>
      <c r="E2125" s="14">
        <v>650</v>
      </c>
      <c r="F2125" s="14">
        <v>6.1</v>
      </c>
      <c r="G2125" s="14">
        <v>42</v>
      </c>
      <c r="H2125" s="14">
        <v>86.72</v>
      </c>
      <c r="I2125" s="15">
        <v>0.61</v>
      </c>
    </row>
    <row r="2126" spans="1:9" x14ac:dyDescent="0.25">
      <c r="A2126" s="12">
        <v>47</v>
      </c>
      <c r="B2126" s="13">
        <v>45183</v>
      </c>
      <c r="C2126" s="14">
        <v>29.1</v>
      </c>
      <c r="D2126" s="14">
        <v>65</v>
      </c>
      <c r="E2126" s="14">
        <v>462</v>
      </c>
      <c r="F2126" s="14">
        <v>6</v>
      </c>
      <c r="G2126" s="14">
        <v>43</v>
      </c>
      <c r="H2126" s="14">
        <v>84.38</v>
      </c>
      <c r="I2126" s="15">
        <v>0.65</v>
      </c>
    </row>
    <row r="2127" spans="1:9" x14ac:dyDescent="0.25">
      <c r="A2127" s="12">
        <v>47</v>
      </c>
      <c r="B2127" s="13">
        <v>45184</v>
      </c>
      <c r="C2127" s="14">
        <v>30.6</v>
      </c>
      <c r="D2127" s="14">
        <v>56</v>
      </c>
      <c r="E2127" s="14">
        <v>724</v>
      </c>
      <c r="F2127" s="14">
        <v>6.4</v>
      </c>
      <c r="G2127" s="14">
        <v>44</v>
      </c>
      <c r="H2127" s="14">
        <v>87.08</v>
      </c>
      <c r="I2127" s="15">
        <v>0.56000000000000005</v>
      </c>
    </row>
    <row r="2128" spans="1:9" x14ac:dyDescent="0.25">
      <c r="A2128" s="12">
        <v>47</v>
      </c>
      <c r="B2128" s="13">
        <v>45185</v>
      </c>
      <c r="C2128" s="14">
        <v>31.5</v>
      </c>
      <c r="D2128" s="14">
        <v>70</v>
      </c>
      <c r="E2128" s="14">
        <v>706</v>
      </c>
      <c r="F2128" s="14">
        <v>6.5</v>
      </c>
      <c r="G2128" s="14">
        <v>45</v>
      </c>
      <c r="H2128" s="14">
        <v>88.7</v>
      </c>
      <c r="I2128" s="15">
        <v>0.7</v>
      </c>
    </row>
    <row r="2129" spans="1:9" x14ac:dyDescent="0.25">
      <c r="A2129" s="12">
        <v>48</v>
      </c>
      <c r="B2129" s="13">
        <v>45141</v>
      </c>
      <c r="C2129" s="14">
        <v>33.4</v>
      </c>
      <c r="D2129" s="14">
        <v>57</v>
      </c>
      <c r="E2129" s="14">
        <v>452</v>
      </c>
      <c r="F2129" s="14">
        <v>6.1</v>
      </c>
      <c r="G2129" s="14">
        <v>1</v>
      </c>
      <c r="H2129" s="14">
        <v>92.12</v>
      </c>
      <c r="I2129" s="15">
        <v>0.56999999999999995</v>
      </c>
    </row>
    <row r="2130" spans="1:9" x14ac:dyDescent="0.25">
      <c r="A2130" s="12">
        <v>48</v>
      </c>
      <c r="B2130" s="13">
        <v>45142</v>
      </c>
      <c r="C2130" s="14">
        <v>33.5</v>
      </c>
      <c r="D2130" s="14">
        <v>65</v>
      </c>
      <c r="E2130" s="14">
        <v>507</v>
      </c>
      <c r="F2130" s="14">
        <v>6.6</v>
      </c>
      <c r="G2130" s="14">
        <v>2</v>
      </c>
      <c r="H2130" s="14">
        <v>92.3</v>
      </c>
      <c r="I2130" s="15">
        <v>0.65</v>
      </c>
    </row>
    <row r="2131" spans="1:9" x14ac:dyDescent="0.25">
      <c r="A2131" s="12">
        <v>48</v>
      </c>
      <c r="B2131" s="13">
        <v>45143</v>
      </c>
      <c r="C2131" s="14">
        <v>33.4</v>
      </c>
      <c r="D2131" s="14">
        <v>70</v>
      </c>
      <c r="E2131" s="14">
        <v>510</v>
      </c>
      <c r="F2131" s="14">
        <v>6.7</v>
      </c>
      <c r="G2131" s="14">
        <v>3</v>
      </c>
      <c r="H2131" s="14">
        <v>92.12</v>
      </c>
      <c r="I2131" s="15">
        <v>0.7</v>
      </c>
    </row>
    <row r="2132" spans="1:9" x14ac:dyDescent="0.25">
      <c r="A2132" s="12">
        <v>48</v>
      </c>
      <c r="B2132" s="13">
        <v>45144</v>
      </c>
      <c r="C2132" s="14">
        <v>33.4</v>
      </c>
      <c r="D2132" s="14">
        <v>70</v>
      </c>
      <c r="E2132" s="14">
        <v>571</v>
      </c>
      <c r="F2132" s="14">
        <v>6</v>
      </c>
      <c r="G2132" s="14">
        <v>4</v>
      </c>
      <c r="H2132" s="14">
        <v>92.12</v>
      </c>
      <c r="I2132" s="15">
        <v>0.7</v>
      </c>
    </row>
    <row r="2133" spans="1:9" x14ac:dyDescent="0.25">
      <c r="A2133" s="12">
        <v>48</v>
      </c>
      <c r="B2133" s="13">
        <v>45145</v>
      </c>
      <c r="C2133" s="14">
        <v>33.4</v>
      </c>
      <c r="D2133" s="14">
        <v>63</v>
      </c>
      <c r="E2133" s="14">
        <v>723</v>
      </c>
      <c r="F2133" s="14">
        <v>6.4</v>
      </c>
      <c r="G2133" s="14">
        <v>5</v>
      </c>
      <c r="H2133" s="14">
        <v>92.12</v>
      </c>
      <c r="I2133" s="15">
        <v>0.63</v>
      </c>
    </row>
    <row r="2134" spans="1:9" x14ac:dyDescent="0.25">
      <c r="A2134" s="12">
        <v>48</v>
      </c>
      <c r="B2134" s="13">
        <v>45146</v>
      </c>
      <c r="C2134" s="14">
        <v>32.299999999999997</v>
      </c>
      <c r="D2134" s="14">
        <v>66</v>
      </c>
      <c r="E2134" s="14">
        <v>754</v>
      </c>
      <c r="F2134" s="14">
        <v>6.1</v>
      </c>
      <c r="G2134" s="14">
        <v>6</v>
      </c>
      <c r="H2134" s="14">
        <v>90.14</v>
      </c>
      <c r="I2134" s="15">
        <v>0.66</v>
      </c>
    </row>
    <row r="2135" spans="1:9" x14ac:dyDescent="0.25">
      <c r="A2135" s="12">
        <v>48</v>
      </c>
      <c r="B2135" s="13">
        <v>45147</v>
      </c>
      <c r="C2135" s="14">
        <v>32.299999999999997</v>
      </c>
      <c r="D2135" s="14">
        <v>79</v>
      </c>
      <c r="E2135" s="14">
        <v>756</v>
      </c>
      <c r="F2135" s="14">
        <v>6.5</v>
      </c>
      <c r="G2135" s="14">
        <v>7</v>
      </c>
      <c r="H2135" s="14">
        <v>90.14</v>
      </c>
      <c r="I2135" s="15">
        <v>0.79</v>
      </c>
    </row>
    <row r="2136" spans="1:9" x14ac:dyDescent="0.25">
      <c r="A2136" s="12">
        <v>48</v>
      </c>
      <c r="B2136" s="13">
        <v>45148</v>
      </c>
      <c r="C2136" s="14">
        <v>22.7</v>
      </c>
      <c r="D2136" s="14">
        <v>60</v>
      </c>
      <c r="E2136" s="14">
        <v>571</v>
      </c>
      <c r="F2136" s="14">
        <v>6.7</v>
      </c>
      <c r="G2136" s="14">
        <v>8</v>
      </c>
      <c r="H2136" s="14">
        <v>72.86</v>
      </c>
      <c r="I2136" s="15">
        <v>0.6</v>
      </c>
    </row>
    <row r="2137" spans="1:9" x14ac:dyDescent="0.25">
      <c r="A2137" s="12">
        <v>48</v>
      </c>
      <c r="B2137" s="13">
        <v>45149</v>
      </c>
      <c r="C2137" s="14">
        <v>31.9</v>
      </c>
      <c r="D2137" s="14">
        <v>80</v>
      </c>
      <c r="E2137" s="14">
        <v>523</v>
      </c>
      <c r="F2137" s="14">
        <v>6</v>
      </c>
      <c r="G2137" s="14">
        <v>9</v>
      </c>
      <c r="H2137" s="14">
        <v>89.42</v>
      </c>
      <c r="I2137" s="15">
        <v>0.8</v>
      </c>
    </row>
    <row r="2138" spans="1:9" x14ac:dyDescent="0.25">
      <c r="A2138" s="12">
        <v>48</v>
      </c>
      <c r="B2138" s="13">
        <v>45150</v>
      </c>
      <c r="C2138" s="14">
        <v>30.2</v>
      </c>
      <c r="D2138" s="14">
        <v>61</v>
      </c>
      <c r="E2138" s="14">
        <v>784</v>
      </c>
      <c r="F2138" s="14">
        <v>6.2</v>
      </c>
      <c r="G2138" s="14">
        <v>10</v>
      </c>
      <c r="H2138" s="14">
        <v>86.36</v>
      </c>
      <c r="I2138" s="15">
        <v>0.61</v>
      </c>
    </row>
    <row r="2139" spans="1:9" x14ac:dyDescent="0.25">
      <c r="A2139" s="12">
        <v>48</v>
      </c>
      <c r="B2139" s="13">
        <v>45151</v>
      </c>
      <c r="C2139" s="14">
        <v>30.1</v>
      </c>
      <c r="D2139" s="14">
        <v>52</v>
      </c>
      <c r="E2139" s="14">
        <v>597</v>
      </c>
      <c r="F2139" s="14">
        <v>6.3</v>
      </c>
      <c r="G2139" s="14">
        <v>11</v>
      </c>
      <c r="H2139" s="14">
        <v>86.18</v>
      </c>
      <c r="I2139" s="15">
        <v>0.52</v>
      </c>
    </row>
    <row r="2140" spans="1:9" x14ac:dyDescent="0.25">
      <c r="A2140" s="12">
        <v>48</v>
      </c>
      <c r="B2140" s="13">
        <v>45152</v>
      </c>
      <c r="C2140" s="14">
        <v>30.1</v>
      </c>
      <c r="D2140" s="14">
        <v>70</v>
      </c>
      <c r="E2140" s="14">
        <v>489</v>
      </c>
      <c r="F2140" s="14">
        <v>6</v>
      </c>
      <c r="G2140" s="14">
        <v>12</v>
      </c>
      <c r="H2140" s="14">
        <v>86.18</v>
      </c>
      <c r="I2140" s="15">
        <v>0.7</v>
      </c>
    </row>
    <row r="2141" spans="1:9" x14ac:dyDescent="0.25">
      <c r="A2141" s="12">
        <v>48</v>
      </c>
      <c r="B2141" s="13">
        <v>45153</v>
      </c>
      <c r="C2141" s="14">
        <v>30.1</v>
      </c>
      <c r="D2141" s="14">
        <v>52</v>
      </c>
      <c r="E2141" s="14">
        <v>761</v>
      </c>
      <c r="F2141" s="14">
        <v>6.4</v>
      </c>
      <c r="G2141" s="14">
        <v>13</v>
      </c>
      <c r="H2141" s="14">
        <v>86.18</v>
      </c>
      <c r="I2141" s="15">
        <v>0.52</v>
      </c>
    </row>
    <row r="2142" spans="1:9" x14ac:dyDescent="0.25">
      <c r="A2142" s="12">
        <v>48</v>
      </c>
      <c r="B2142" s="13">
        <v>45154</v>
      </c>
      <c r="C2142" s="14">
        <v>29.8</v>
      </c>
      <c r="D2142" s="14">
        <v>78</v>
      </c>
      <c r="E2142" s="14">
        <v>604</v>
      </c>
      <c r="F2142" s="14">
        <v>6.1</v>
      </c>
      <c r="G2142" s="14">
        <v>14</v>
      </c>
      <c r="H2142" s="14">
        <v>85.64</v>
      </c>
      <c r="I2142" s="15">
        <v>0.78</v>
      </c>
    </row>
    <row r="2143" spans="1:9" x14ac:dyDescent="0.25">
      <c r="A2143" s="12">
        <v>48</v>
      </c>
      <c r="B2143" s="13">
        <v>45155</v>
      </c>
      <c r="C2143" s="14">
        <v>29.6</v>
      </c>
      <c r="D2143" s="14">
        <v>55</v>
      </c>
      <c r="E2143" s="14">
        <v>700</v>
      </c>
      <c r="F2143" s="14">
        <v>6.7</v>
      </c>
      <c r="G2143" s="14">
        <v>15</v>
      </c>
      <c r="H2143" s="14">
        <v>85.28</v>
      </c>
      <c r="I2143" s="15">
        <v>0.55000000000000004</v>
      </c>
    </row>
    <row r="2144" spans="1:9" x14ac:dyDescent="0.25">
      <c r="A2144" s="12">
        <v>48</v>
      </c>
      <c r="B2144" s="13">
        <v>45156</v>
      </c>
      <c r="C2144" s="14">
        <v>30.9</v>
      </c>
      <c r="D2144" s="14">
        <v>74</v>
      </c>
      <c r="E2144" s="14">
        <v>728</v>
      </c>
      <c r="F2144" s="14">
        <v>6.5</v>
      </c>
      <c r="G2144" s="14">
        <v>16</v>
      </c>
      <c r="H2144" s="14">
        <v>87.62</v>
      </c>
      <c r="I2144" s="15">
        <v>0.74</v>
      </c>
    </row>
    <row r="2145" spans="1:9" x14ac:dyDescent="0.25">
      <c r="A2145" s="12">
        <v>48</v>
      </c>
      <c r="B2145" s="13">
        <v>45157</v>
      </c>
      <c r="C2145" s="14">
        <v>30.8</v>
      </c>
      <c r="D2145" s="14">
        <v>62</v>
      </c>
      <c r="E2145" s="14">
        <v>584</v>
      </c>
      <c r="F2145" s="14">
        <v>6.7</v>
      </c>
      <c r="G2145" s="14">
        <v>17</v>
      </c>
      <c r="H2145" s="14">
        <v>87.44</v>
      </c>
      <c r="I2145" s="15">
        <v>0.62</v>
      </c>
    </row>
    <row r="2146" spans="1:9" x14ac:dyDescent="0.25">
      <c r="A2146" s="12">
        <v>48</v>
      </c>
      <c r="B2146" s="13">
        <v>45158</v>
      </c>
      <c r="C2146" s="14">
        <v>30.9</v>
      </c>
      <c r="D2146" s="14">
        <v>71</v>
      </c>
      <c r="E2146" s="14">
        <v>481</v>
      </c>
      <c r="F2146" s="14">
        <v>6.2</v>
      </c>
      <c r="G2146" s="14">
        <v>18</v>
      </c>
      <c r="H2146" s="14">
        <v>87.62</v>
      </c>
      <c r="I2146" s="15">
        <v>0.71</v>
      </c>
    </row>
    <row r="2147" spans="1:9" x14ac:dyDescent="0.25">
      <c r="A2147" s="12">
        <v>48</v>
      </c>
      <c r="B2147" s="13">
        <v>45159</v>
      </c>
      <c r="C2147" s="14">
        <v>30.2</v>
      </c>
      <c r="D2147" s="14">
        <v>55</v>
      </c>
      <c r="E2147" s="14">
        <v>648</v>
      </c>
      <c r="F2147" s="14">
        <v>6.4</v>
      </c>
      <c r="G2147" s="14">
        <v>19</v>
      </c>
      <c r="H2147" s="14">
        <v>86.36</v>
      </c>
      <c r="I2147" s="15">
        <v>0.55000000000000004</v>
      </c>
    </row>
    <row r="2148" spans="1:9" x14ac:dyDescent="0.25">
      <c r="A2148" s="12">
        <v>48</v>
      </c>
      <c r="B2148" s="13">
        <v>45160</v>
      </c>
      <c r="C2148" s="14">
        <v>30.5</v>
      </c>
      <c r="D2148" s="14">
        <v>61</v>
      </c>
      <c r="E2148" s="14">
        <v>564</v>
      </c>
      <c r="F2148" s="14">
        <v>6.6</v>
      </c>
      <c r="G2148" s="14">
        <v>20</v>
      </c>
      <c r="H2148" s="14">
        <v>86.9</v>
      </c>
      <c r="I2148" s="15">
        <v>0.61</v>
      </c>
    </row>
    <row r="2149" spans="1:9" x14ac:dyDescent="0.25">
      <c r="A2149" s="12">
        <v>48</v>
      </c>
      <c r="B2149" s="13">
        <v>45161</v>
      </c>
      <c r="C2149" s="14">
        <v>30.8</v>
      </c>
      <c r="D2149" s="14">
        <v>72</v>
      </c>
      <c r="E2149" s="14">
        <v>406</v>
      </c>
      <c r="F2149" s="14">
        <v>6.5</v>
      </c>
      <c r="G2149" s="14">
        <v>21</v>
      </c>
      <c r="H2149" s="14">
        <v>87.44</v>
      </c>
      <c r="I2149" s="15">
        <v>0.72</v>
      </c>
    </row>
    <row r="2150" spans="1:9" x14ac:dyDescent="0.25">
      <c r="A2150" s="12">
        <v>48</v>
      </c>
      <c r="B2150" s="13">
        <v>45162</v>
      </c>
      <c r="C2150" s="14">
        <v>31.3</v>
      </c>
      <c r="D2150" s="14">
        <v>53</v>
      </c>
      <c r="E2150" s="14">
        <v>684</v>
      </c>
      <c r="F2150" s="14">
        <v>6.5</v>
      </c>
      <c r="G2150" s="14">
        <v>22</v>
      </c>
      <c r="H2150" s="14">
        <v>88.34</v>
      </c>
      <c r="I2150" s="15">
        <v>0.53</v>
      </c>
    </row>
    <row r="2151" spans="1:9" x14ac:dyDescent="0.25">
      <c r="A2151" s="12">
        <v>48</v>
      </c>
      <c r="B2151" s="13">
        <v>45163</v>
      </c>
      <c r="C2151" s="14">
        <v>31.4</v>
      </c>
      <c r="D2151" s="14">
        <v>60</v>
      </c>
      <c r="E2151" s="14">
        <v>512</v>
      </c>
      <c r="F2151" s="14">
        <v>6.4</v>
      </c>
      <c r="G2151" s="14">
        <v>23</v>
      </c>
      <c r="H2151" s="14">
        <v>88.52</v>
      </c>
      <c r="I2151" s="15">
        <v>0.6</v>
      </c>
    </row>
    <row r="2152" spans="1:9" x14ac:dyDescent="0.25">
      <c r="A2152" s="12">
        <v>48</v>
      </c>
      <c r="B2152" s="13">
        <v>45164</v>
      </c>
      <c r="C2152" s="14">
        <v>31.4</v>
      </c>
      <c r="D2152" s="14">
        <v>56</v>
      </c>
      <c r="E2152" s="14">
        <v>538</v>
      </c>
      <c r="F2152" s="14">
        <v>6.4</v>
      </c>
      <c r="G2152" s="14">
        <v>24</v>
      </c>
      <c r="H2152" s="14">
        <v>88.52</v>
      </c>
      <c r="I2152" s="15">
        <v>0.56000000000000005</v>
      </c>
    </row>
    <row r="2153" spans="1:9" x14ac:dyDescent="0.25">
      <c r="A2153" s="12">
        <v>48</v>
      </c>
      <c r="B2153" s="13">
        <v>45165</v>
      </c>
      <c r="C2153" s="14">
        <v>30.1</v>
      </c>
      <c r="D2153" s="14">
        <v>59</v>
      </c>
      <c r="E2153" s="14">
        <v>682</v>
      </c>
      <c r="F2153" s="14">
        <v>6.3</v>
      </c>
      <c r="G2153" s="14">
        <v>25</v>
      </c>
      <c r="H2153" s="14">
        <v>86.18</v>
      </c>
      <c r="I2153" s="15">
        <v>0.59</v>
      </c>
    </row>
    <row r="2154" spans="1:9" x14ac:dyDescent="0.25">
      <c r="A2154" s="12">
        <v>48</v>
      </c>
      <c r="B2154" s="13">
        <v>45166</v>
      </c>
      <c r="C2154" s="14">
        <v>29.4</v>
      </c>
      <c r="D2154" s="14">
        <v>68</v>
      </c>
      <c r="E2154" s="14">
        <v>490</v>
      </c>
      <c r="F2154" s="14">
        <v>6.6</v>
      </c>
      <c r="G2154" s="14">
        <v>26</v>
      </c>
      <c r="H2154" s="14">
        <v>84.92</v>
      </c>
      <c r="I2154" s="15">
        <v>0.68</v>
      </c>
    </row>
    <row r="2155" spans="1:9" x14ac:dyDescent="0.25">
      <c r="A2155" s="12">
        <v>48</v>
      </c>
      <c r="B2155" s="13">
        <v>45167</v>
      </c>
      <c r="C2155" s="14">
        <v>28.7</v>
      </c>
      <c r="D2155" s="14">
        <v>63</v>
      </c>
      <c r="E2155" s="14">
        <v>567</v>
      </c>
      <c r="F2155" s="14">
        <v>6</v>
      </c>
      <c r="G2155" s="14">
        <v>27</v>
      </c>
      <c r="H2155" s="14">
        <v>83.66</v>
      </c>
      <c r="I2155" s="15">
        <v>0.63</v>
      </c>
    </row>
    <row r="2156" spans="1:9" x14ac:dyDescent="0.25">
      <c r="A2156" s="12">
        <v>48</v>
      </c>
      <c r="B2156" s="13">
        <v>45168</v>
      </c>
      <c r="C2156" s="14">
        <v>29.1</v>
      </c>
      <c r="D2156" s="14">
        <v>58</v>
      </c>
      <c r="E2156" s="14">
        <v>416</v>
      </c>
      <c r="F2156" s="14">
        <v>6.4</v>
      </c>
      <c r="G2156" s="14">
        <v>28</v>
      </c>
      <c r="H2156" s="14">
        <v>84.38</v>
      </c>
      <c r="I2156" s="15">
        <v>0.57999999999999996</v>
      </c>
    </row>
    <row r="2157" spans="1:9" x14ac:dyDescent="0.25">
      <c r="A2157" s="12">
        <v>48</v>
      </c>
      <c r="B2157" s="13">
        <v>45169</v>
      </c>
      <c r="C2157" s="14">
        <v>29.2</v>
      </c>
      <c r="D2157" s="14">
        <v>60</v>
      </c>
      <c r="E2157" s="14">
        <v>569</v>
      </c>
      <c r="F2157" s="14">
        <v>6.7</v>
      </c>
      <c r="G2157" s="14">
        <v>29</v>
      </c>
      <c r="H2157" s="14">
        <v>84.56</v>
      </c>
      <c r="I2157" s="15">
        <v>0.6</v>
      </c>
    </row>
    <row r="2158" spans="1:9" x14ac:dyDescent="0.25">
      <c r="A2158" s="12">
        <v>48</v>
      </c>
      <c r="B2158" s="13">
        <v>45170</v>
      </c>
      <c r="C2158" s="14">
        <v>31.7</v>
      </c>
      <c r="D2158" s="14">
        <v>72</v>
      </c>
      <c r="E2158" s="14">
        <v>578</v>
      </c>
      <c r="F2158" s="14">
        <v>6.4</v>
      </c>
      <c r="G2158" s="14">
        <v>30</v>
      </c>
      <c r="H2158" s="14">
        <v>89.06</v>
      </c>
      <c r="I2158" s="15">
        <v>0.72</v>
      </c>
    </row>
    <row r="2159" spans="1:9" x14ac:dyDescent="0.25">
      <c r="A2159" s="12">
        <v>48</v>
      </c>
      <c r="B2159" s="13">
        <v>45171</v>
      </c>
      <c r="C2159" s="14">
        <v>31.7</v>
      </c>
      <c r="D2159" s="14">
        <v>65</v>
      </c>
      <c r="E2159" s="14">
        <v>710</v>
      </c>
      <c r="F2159" s="14">
        <v>6.4</v>
      </c>
      <c r="G2159" s="14">
        <v>31</v>
      </c>
      <c r="H2159" s="14">
        <v>89.06</v>
      </c>
      <c r="I2159" s="15">
        <v>0.65</v>
      </c>
    </row>
    <row r="2160" spans="1:9" x14ac:dyDescent="0.25">
      <c r="A2160" s="12">
        <v>48</v>
      </c>
      <c r="B2160" s="13">
        <v>45172</v>
      </c>
      <c r="C2160" s="14">
        <v>31.7</v>
      </c>
      <c r="D2160" s="14">
        <v>77</v>
      </c>
      <c r="E2160" s="14">
        <v>473</v>
      </c>
      <c r="F2160" s="14">
        <v>6.8</v>
      </c>
      <c r="G2160" s="14">
        <v>32</v>
      </c>
      <c r="H2160" s="14">
        <v>89.06</v>
      </c>
      <c r="I2160" s="15">
        <v>0.77</v>
      </c>
    </row>
    <row r="2161" spans="1:9" x14ac:dyDescent="0.25">
      <c r="A2161" s="12">
        <v>48</v>
      </c>
      <c r="B2161" s="13">
        <v>45173</v>
      </c>
      <c r="C2161" s="14">
        <v>31.7</v>
      </c>
      <c r="D2161" s="14">
        <v>59</v>
      </c>
      <c r="E2161" s="14">
        <v>674</v>
      </c>
      <c r="F2161" s="14">
        <v>6.5</v>
      </c>
      <c r="G2161" s="14">
        <v>33</v>
      </c>
      <c r="H2161" s="14">
        <v>89.06</v>
      </c>
      <c r="I2161" s="15">
        <v>0.59</v>
      </c>
    </row>
    <row r="2162" spans="1:9" x14ac:dyDescent="0.25">
      <c r="A2162" s="12">
        <v>48</v>
      </c>
      <c r="B2162" s="13">
        <v>45174</v>
      </c>
      <c r="C2162" s="14">
        <v>32</v>
      </c>
      <c r="D2162" s="14">
        <v>61</v>
      </c>
      <c r="E2162" s="14">
        <v>538</v>
      </c>
      <c r="F2162" s="14">
        <v>6.4</v>
      </c>
      <c r="G2162" s="14">
        <v>34</v>
      </c>
      <c r="H2162" s="14">
        <v>89.6</v>
      </c>
      <c r="I2162" s="15">
        <v>0.61</v>
      </c>
    </row>
    <row r="2163" spans="1:9" x14ac:dyDescent="0.25">
      <c r="A2163" s="12">
        <v>48</v>
      </c>
      <c r="B2163" s="13">
        <v>45175</v>
      </c>
      <c r="C2163" s="14">
        <v>32.1</v>
      </c>
      <c r="D2163" s="14">
        <v>71</v>
      </c>
      <c r="E2163" s="14">
        <v>556</v>
      </c>
      <c r="F2163" s="14">
        <v>6.1</v>
      </c>
      <c r="G2163" s="14">
        <v>35</v>
      </c>
      <c r="H2163" s="14">
        <v>89.78</v>
      </c>
      <c r="I2163" s="15">
        <v>0.71</v>
      </c>
    </row>
    <row r="2164" spans="1:9" x14ac:dyDescent="0.25">
      <c r="A2164" s="12">
        <v>48</v>
      </c>
      <c r="B2164" s="13">
        <v>45176</v>
      </c>
      <c r="C2164" s="14">
        <v>31.5</v>
      </c>
      <c r="D2164" s="14">
        <v>61</v>
      </c>
      <c r="E2164" s="14">
        <v>577</v>
      </c>
      <c r="F2164" s="14">
        <v>6.1</v>
      </c>
      <c r="G2164" s="14">
        <v>36</v>
      </c>
      <c r="H2164" s="14">
        <v>88.7</v>
      </c>
      <c r="I2164" s="15">
        <v>0.61</v>
      </c>
    </row>
    <row r="2165" spans="1:9" x14ac:dyDescent="0.25">
      <c r="A2165" s="12">
        <v>48</v>
      </c>
      <c r="B2165" s="13">
        <v>45177</v>
      </c>
      <c r="C2165" s="14">
        <v>29.8</v>
      </c>
      <c r="D2165" s="14">
        <v>60</v>
      </c>
      <c r="E2165" s="14">
        <v>760</v>
      </c>
      <c r="F2165" s="14">
        <v>6.2</v>
      </c>
      <c r="G2165" s="14">
        <v>37</v>
      </c>
      <c r="H2165" s="14">
        <v>85.64</v>
      </c>
      <c r="I2165" s="15">
        <v>0.6</v>
      </c>
    </row>
    <row r="2166" spans="1:9" x14ac:dyDescent="0.25">
      <c r="A2166" s="12">
        <v>48</v>
      </c>
      <c r="B2166" s="13">
        <v>45178</v>
      </c>
      <c r="C2166" s="14">
        <v>20.100000000000001</v>
      </c>
      <c r="D2166" s="14">
        <v>69</v>
      </c>
      <c r="E2166" s="14">
        <v>529</v>
      </c>
      <c r="F2166" s="14">
        <v>6.3</v>
      </c>
      <c r="G2166" s="14">
        <v>38</v>
      </c>
      <c r="H2166" s="14">
        <v>68.180000000000007</v>
      </c>
      <c r="I2166" s="15">
        <v>0.69</v>
      </c>
    </row>
    <row r="2167" spans="1:9" x14ac:dyDescent="0.25">
      <c r="A2167" s="12">
        <v>48</v>
      </c>
      <c r="B2167" s="13">
        <v>45179</v>
      </c>
      <c r="C2167" s="14">
        <v>31.1</v>
      </c>
      <c r="D2167" s="14">
        <v>74</v>
      </c>
      <c r="E2167" s="14">
        <v>455</v>
      </c>
      <c r="F2167" s="14">
        <v>6.3</v>
      </c>
      <c r="G2167" s="14">
        <v>39</v>
      </c>
      <c r="H2167" s="14">
        <v>87.98</v>
      </c>
      <c r="I2167" s="15">
        <v>0.74</v>
      </c>
    </row>
    <row r="2168" spans="1:9" x14ac:dyDescent="0.25">
      <c r="A2168" s="12">
        <v>48</v>
      </c>
      <c r="B2168" s="13">
        <v>45180</v>
      </c>
      <c r="C2168" s="14">
        <v>31.2</v>
      </c>
      <c r="D2168" s="14">
        <v>70</v>
      </c>
      <c r="E2168" s="14">
        <v>520</v>
      </c>
      <c r="F2168" s="14">
        <v>6.2</v>
      </c>
      <c r="G2168" s="14">
        <v>40</v>
      </c>
      <c r="H2168" s="14">
        <v>88.16</v>
      </c>
      <c r="I2168" s="15">
        <v>0.7</v>
      </c>
    </row>
    <row r="2169" spans="1:9" x14ac:dyDescent="0.25">
      <c r="A2169" s="12">
        <v>48</v>
      </c>
      <c r="B2169" s="13">
        <v>45181</v>
      </c>
      <c r="C2169" s="14">
        <v>31.2</v>
      </c>
      <c r="D2169" s="14">
        <v>63</v>
      </c>
      <c r="E2169" s="14">
        <v>664</v>
      </c>
      <c r="F2169" s="14">
        <v>6.1</v>
      </c>
      <c r="G2169" s="14">
        <v>41</v>
      </c>
      <c r="H2169" s="14">
        <v>88.16</v>
      </c>
      <c r="I2169" s="15">
        <v>0.63</v>
      </c>
    </row>
    <row r="2170" spans="1:9" x14ac:dyDescent="0.25">
      <c r="A2170" s="12">
        <v>48</v>
      </c>
      <c r="B2170" s="13">
        <v>45182</v>
      </c>
      <c r="C2170" s="14">
        <v>30.4</v>
      </c>
      <c r="D2170" s="14">
        <v>54</v>
      </c>
      <c r="E2170" s="14">
        <v>626</v>
      </c>
      <c r="F2170" s="14">
        <v>6.7</v>
      </c>
      <c r="G2170" s="14">
        <v>42</v>
      </c>
      <c r="H2170" s="14">
        <v>86.72</v>
      </c>
      <c r="I2170" s="15">
        <v>0.54</v>
      </c>
    </row>
    <row r="2171" spans="1:9" x14ac:dyDescent="0.25">
      <c r="A2171" s="12">
        <v>48</v>
      </c>
      <c r="B2171" s="13">
        <v>45183</v>
      </c>
      <c r="C2171" s="14">
        <v>29.1</v>
      </c>
      <c r="D2171" s="14">
        <v>54</v>
      </c>
      <c r="E2171" s="14">
        <v>605</v>
      </c>
      <c r="F2171" s="14">
        <v>6.5</v>
      </c>
      <c r="G2171" s="14">
        <v>43</v>
      </c>
      <c r="H2171" s="14">
        <v>84.38</v>
      </c>
      <c r="I2171" s="15">
        <v>0.54</v>
      </c>
    </row>
    <row r="2172" spans="1:9" x14ac:dyDescent="0.25">
      <c r="A2172" s="12">
        <v>48</v>
      </c>
      <c r="B2172" s="13">
        <v>45184</v>
      </c>
      <c r="C2172" s="14">
        <v>30.6</v>
      </c>
      <c r="D2172" s="14">
        <v>78</v>
      </c>
      <c r="E2172" s="14">
        <v>557</v>
      </c>
      <c r="F2172" s="14">
        <v>6.6</v>
      </c>
      <c r="G2172" s="14">
        <v>44</v>
      </c>
      <c r="H2172" s="14">
        <v>87.08</v>
      </c>
      <c r="I2172" s="15">
        <v>0.78</v>
      </c>
    </row>
    <row r="2173" spans="1:9" x14ac:dyDescent="0.25">
      <c r="A2173" s="12">
        <v>48</v>
      </c>
      <c r="B2173" s="13">
        <v>45185</v>
      </c>
      <c r="C2173" s="14">
        <v>31.6</v>
      </c>
      <c r="D2173" s="14">
        <v>69</v>
      </c>
      <c r="E2173" s="14">
        <v>539</v>
      </c>
      <c r="F2173" s="14">
        <v>6.6</v>
      </c>
      <c r="G2173" s="14">
        <v>45</v>
      </c>
      <c r="H2173" s="14">
        <v>88.88</v>
      </c>
      <c r="I2173" s="15">
        <v>0.69</v>
      </c>
    </row>
    <row r="2174" spans="1:9" x14ac:dyDescent="0.25">
      <c r="A2174" s="12">
        <v>48</v>
      </c>
      <c r="B2174" s="13">
        <v>45186</v>
      </c>
      <c r="C2174" s="14">
        <v>29.4</v>
      </c>
      <c r="D2174" s="14">
        <v>55</v>
      </c>
      <c r="E2174" s="14">
        <v>554</v>
      </c>
      <c r="F2174" s="14">
        <v>6.6</v>
      </c>
      <c r="G2174" s="14">
        <v>46</v>
      </c>
      <c r="H2174" s="14">
        <v>84.92</v>
      </c>
      <c r="I2174" s="15">
        <v>0.55000000000000004</v>
      </c>
    </row>
    <row r="2175" spans="1:9" x14ac:dyDescent="0.25">
      <c r="A2175" s="12">
        <v>48</v>
      </c>
      <c r="B2175" s="13">
        <v>45187</v>
      </c>
      <c r="C2175" s="14">
        <v>31.5</v>
      </c>
      <c r="D2175" s="14">
        <v>51</v>
      </c>
      <c r="E2175" s="14">
        <v>527</v>
      </c>
      <c r="F2175" s="14">
        <v>6.2</v>
      </c>
      <c r="G2175" s="14">
        <v>47</v>
      </c>
      <c r="H2175" s="14">
        <v>88.7</v>
      </c>
      <c r="I2175" s="15">
        <v>0.51</v>
      </c>
    </row>
    <row r="2176" spans="1:9" x14ac:dyDescent="0.25">
      <c r="A2176" s="12">
        <v>49</v>
      </c>
      <c r="B2176" s="13">
        <v>45141</v>
      </c>
      <c r="C2176" s="14">
        <v>33.4</v>
      </c>
      <c r="D2176" s="14">
        <v>70</v>
      </c>
      <c r="E2176" s="14">
        <v>621</v>
      </c>
      <c r="F2176" s="14">
        <v>6.7</v>
      </c>
      <c r="G2176" s="14">
        <v>1</v>
      </c>
      <c r="H2176" s="14">
        <v>92.12</v>
      </c>
      <c r="I2176" s="15">
        <v>0.7</v>
      </c>
    </row>
    <row r="2177" spans="1:9" x14ac:dyDescent="0.25">
      <c r="A2177" s="12">
        <v>49</v>
      </c>
      <c r="B2177" s="13">
        <v>45142</v>
      </c>
      <c r="C2177" s="14">
        <v>33.5</v>
      </c>
      <c r="D2177" s="14">
        <v>80</v>
      </c>
      <c r="E2177" s="14">
        <v>570</v>
      </c>
      <c r="F2177" s="14">
        <v>6.8</v>
      </c>
      <c r="G2177" s="14">
        <v>2</v>
      </c>
      <c r="H2177" s="14">
        <v>92.3</v>
      </c>
      <c r="I2177" s="15">
        <v>0.8</v>
      </c>
    </row>
    <row r="2178" spans="1:9" x14ac:dyDescent="0.25">
      <c r="A2178" s="12">
        <v>49</v>
      </c>
      <c r="B2178" s="13">
        <v>45143</v>
      </c>
      <c r="C2178" s="14">
        <v>33.4</v>
      </c>
      <c r="D2178" s="14">
        <v>60</v>
      </c>
      <c r="E2178" s="14">
        <v>412</v>
      </c>
      <c r="F2178" s="14">
        <v>6.2</v>
      </c>
      <c r="G2178" s="14">
        <v>3</v>
      </c>
      <c r="H2178" s="14">
        <v>92.12</v>
      </c>
      <c r="I2178" s="15">
        <v>0.6</v>
      </c>
    </row>
    <row r="2179" spans="1:9" x14ac:dyDescent="0.25">
      <c r="A2179" s="12">
        <v>49</v>
      </c>
      <c r="B2179" s="13">
        <v>45144</v>
      </c>
      <c r="C2179" s="14">
        <v>33.4</v>
      </c>
      <c r="D2179" s="14">
        <v>65</v>
      </c>
      <c r="E2179" s="14">
        <v>664</v>
      </c>
      <c r="F2179" s="14">
        <v>6.4</v>
      </c>
      <c r="G2179" s="14">
        <v>4</v>
      </c>
      <c r="H2179" s="14">
        <v>92.12</v>
      </c>
      <c r="I2179" s="15">
        <v>0.65</v>
      </c>
    </row>
    <row r="2180" spans="1:9" x14ac:dyDescent="0.25">
      <c r="A2180" s="12">
        <v>49</v>
      </c>
      <c r="B2180" s="13">
        <v>45145</v>
      </c>
      <c r="C2180" s="14">
        <v>33.4</v>
      </c>
      <c r="D2180" s="14">
        <v>60</v>
      </c>
      <c r="E2180" s="14">
        <v>519</v>
      </c>
      <c r="F2180" s="14">
        <v>6.8</v>
      </c>
      <c r="G2180" s="14">
        <v>5</v>
      </c>
      <c r="H2180" s="14">
        <v>92.12</v>
      </c>
      <c r="I2180" s="15">
        <v>0.6</v>
      </c>
    </row>
    <row r="2181" spans="1:9" x14ac:dyDescent="0.25">
      <c r="A2181" s="12">
        <v>49</v>
      </c>
      <c r="B2181" s="13">
        <v>45146</v>
      </c>
      <c r="C2181" s="14">
        <v>32.299999999999997</v>
      </c>
      <c r="D2181" s="14">
        <v>53</v>
      </c>
      <c r="E2181" s="14">
        <v>793</v>
      </c>
      <c r="F2181" s="14">
        <v>6.4</v>
      </c>
      <c r="G2181" s="14">
        <v>6</v>
      </c>
      <c r="H2181" s="14">
        <v>90.14</v>
      </c>
      <c r="I2181" s="15">
        <v>0.53</v>
      </c>
    </row>
    <row r="2182" spans="1:9" x14ac:dyDescent="0.25">
      <c r="A2182" s="12">
        <v>49</v>
      </c>
      <c r="B2182" s="13">
        <v>45147</v>
      </c>
      <c r="C2182" s="14">
        <v>32.299999999999997</v>
      </c>
      <c r="D2182" s="14">
        <v>53</v>
      </c>
      <c r="E2182" s="14">
        <v>674</v>
      </c>
      <c r="F2182" s="14">
        <v>6.7</v>
      </c>
      <c r="G2182" s="14">
        <v>7</v>
      </c>
      <c r="H2182" s="14">
        <v>90.14</v>
      </c>
      <c r="I2182" s="15">
        <v>0.53</v>
      </c>
    </row>
    <row r="2183" spans="1:9" x14ac:dyDescent="0.25">
      <c r="A2183" s="12">
        <v>49</v>
      </c>
      <c r="B2183" s="13">
        <v>45148</v>
      </c>
      <c r="C2183" s="14">
        <v>22.7</v>
      </c>
      <c r="D2183" s="14">
        <v>72</v>
      </c>
      <c r="E2183" s="14">
        <v>676</v>
      </c>
      <c r="F2183" s="14">
        <v>6.7</v>
      </c>
      <c r="G2183" s="14">
        <v>8</v>
      </c>
      <c r="H2183" s="14">
        <v>72.86</v>
      </c>
      <c r="I2183" s="15">
        <v>0.72</v>
      </c>
    </row>
    <row r="2184" spans="1:9" x14ac:dyDescent="0.25">
      <c r="A2184" s="12">
        <v>49</v>
      </c>
      <c r="B2184" s="13">
        <v>45149</v>
      </c>
      <c r="C2184" s="14">
        <v>31.9</v>
      </c>
      <c r="D2184" s="14">
        <v>77</v>
      </c>
      <c r="E2184" s="14">
        <v>586</v>
      </c>
      <c r="F2184" s="14">
        <v>6.4</v>
      </c>
      <c r="G2184" s="14">
        <v>9</v>
      </c>
      <c r="H2184" s="14">
        <v>89.42</v>
      </c>
      <c r="I2184" s="15">
        <v>0.77</v>
      </c>
    </row>
    <row r="2185" spans="1:9" x14ac:dyDescent="0.25">
      <c r="A2185" s="12">
        <v>49</v>
      </c>
      <c r="B2185" s="13">
        <v>45150</v>
      </c>
      <c r="C2185" s="14">
        <v>30.2</v>
      </c>
      <c r="D2185" s="14">
        <v>71</v>
      </c>
      <c r="E2185" s="14">
        <v>608</v>
      </c>
      <c r="F2185" s="14">
        <v>6.7</v>
      </c>
      <c r="G2185" s="14">
        <v>10</v>
      </c>
      <c r="H2185" s="14">
        <v>86.36</v>
      </c>
      <c r="I2185" s="15">
        <v>0.71</v>
      </c>
    </row>
    <row r="2186" spans="1:9" x14ac:dyDescent="0.25">
      <c r="A2186" s="12">
        <v>49</v>
      </c>
      <c r="B2186" s="13">
        <v>45151</v>
      </c>
      <c r="C2186" s="14">
        <v>30.1</v>
      </c>
      <c r="D2186" s="14">
        <v>60</v>
      </c>
      <c r="E2186" s="14">
        <v>604</v>
      </c>
      <c r="F2186" s="14">
        <v>6.2</v>
      </c>
      <c r="G2186" s="14">
        <v>11</v>
      </c>
      <c r="H2186" s="14">
        <v>86.18</v>
      </c>
      <c r="I2186" s="15">
        <v>0.6</v>
      </c>
    </row>
    <row r="2187" spans="1:9" x14ac:dyDescent="0.25">
      <c r="A2187" s="12">
        <v>49</v>
      </c>
      <c r="B2187" s="13">
        <v>45152</v>
      </c>
      <c r="C2187" s="14">
        <v>30.1</v>
      </c>
      <c r="D2187" s="14">
        <v>68</v>
      </c>
      <c r="E2187" s="14">
        <v>488</v>
      </c>
      <c r="F2187" s="14">
        <v>6.3</v>
      </c>
      <c r="G2187" s="14">
        <v>12</v>
      </c>
      <c r="H2187" s="14">
        <v>86.18</v>
      </c>
      <c r="I2187" s="15">
        <v>0.68</v>
      </c>
    </row>
    <row r="2188" spans="1:9" x14ac:dyDescent="0.25">
      <c r="A2188" s="12">
        <v>49</v>
      </c>
      <c r="B2188" s="13">
        <v>45153</v>
      </c>
      <c r="C2188" s="14">
        <v>30.1</v>
      </c>
      <c r="D2188" s="14">
        <v>73</v>
      </c>
      <c r="E2188" s="14">
        <v>718</v>
      </c>
      <c r="F2188" s="14">
        <v>6.1</v>
      </c>
      <c r="G2188" s="14">
        <v>13</v>
      </c>
      <c r="H2188" s="14">
        <v>86.18</v>
      </c>
      <c r="I2188" s="15">
        <v>0.73</v>
      </c>
    </row>
    <row r="2189" spans="1:9" x14ac:dyDescent="0.25">
      <c r="A2189" s="12">
        <v>49</v>
      </c>
      <c r="B2189" s="13">
        <v>45154</v>
      </c>
      <c r="C2189" s="14">
        <v>29.8</v>
      </c>
      <c r="D2189" s="14">
        <v>66</v>
      </c>
      <c r="E2189" s="14">
        <v>659</v>
      </c>
      <c r="F2189" s="14">
        <v>6.4</v>
      </c>
      <c r="G2189" s="14">
        <v>14</v>
      </c>
      <c r="H2189" s="14">
        <v>85.64</v>
      </c>
      <c r="I2189" s="15">
        <v>0.66</v>
      </c>
    </row>
    <row r="2190" spans="1:9" x14ac:dyDescent="0.25">
      <c r="A2190" s="12">
        <v>49</v>
      </c>
      <c r="B2190" s="13">
        <v>45155</v>
      </c>
      <c r="C2190" s="14">
        <v>29.6</v>
      </c>
      <c r="D2190" s="14">
        <v>51</v>
      </c>
      <c r="E2190" s="14">
        <v>764</v>
      </c>
      <c r="F2190" s="14">
        <v>6.7</v>
      </c>
      <c r="G2190" s="14">
        <v>15</v>
      </c>
      <c r="H2190" s="14">
        <v>85.28</v>
      </c>
      <c r="I2190" s="15">
        <v>0.51</v>
      </c>
    </row>
    <row r="2191" spans="1:9" x14ac:dyDescent="0.25">
      <c r="A2191" s="12">
        <v>49</v>
      </c>
      <c r="B2191" s="13">
        <v>45156</v>
      </c>
      <c r="C2191" s="14">
        <v>30.9</v>
      </c>
      <c r="D2191" s="14">
        <v>55</v>
      </c>
      <c r="E2191" s="14">
        <v>446</v>
      </c>
      <c r="F2191" s="14">
        <v>6.2</v>
      </c>
      <c r="G2191" s="14">
        <v>16</v>
      </c>
      <c r="H2191" s="14">
        <v>87.62</v>
      </c>
      <c r="I2191" s="15">
        <v>0.55000000000000004</v>
      </c>
    </row>
    <row r="2192" spans="1:9" x14ac:dyDescent="0.25">
      <c r="A2192" s="12">
        <v>49</v>
      </c>
      <c r="B2192" s="13">
        <v>45157</v>
      </c>
      <c r="C2192" s="14">
        <v>30.8</v>
      </c>
      <c r="D2192" s="14">
        <v>80</v>
      </c>
      <c r="E2192" s="14">
        <v>778</v>
      </c>
      <c r="F2192" s="14">
        <v>6.7</v>
      </c>
      <c r="G2192" s="14">
        <v>17</v>
      </c>
      <c r="H2192" s="14">
        <v>87.44</v>
      </c>
      <c r="I2192" s="15">
        <v>0.8</v>
      </c>
    </row>
    <row r="2193" spans="1:9" x14ac:dyDescent="0.25">
      <c r="A2193" s="12">
        <v>49</v>
      </c>
      <c r="B2193" s="13">
        <v>45158</v>
      </c>
      <c r="C2193" s="14">
        <v>30.9</v>
      </c>
      <c r="D2193" s="14">
        <v>62</v>
      </c>
      <c r="E2193" s="14">
        <v>456</v>
      </c>
      <c r="F2193" s="14">
        <v>6.6</v>
      </c>
      <c r="G2193" s="14">
        <v>18</v>
      </c>
      <c r="H2193" s="14">
        <v>87.62</v>
      </c>
      <c r="I2193" s="15">
        <v>0.62</v>
      </c>
    </row>
    <row r="2194" spans="1:9" x14ac:dyDescent="0.25">
      <c r="A2194" s="12">
        <v>49</v>
      </c>
      <c r="B2194" s="13">
        <v>45159</v>
      </c>
      <c r="C2194" s="14">
        <v>30.2</v>
      </c>
      <c r="D2194" s="14">
        <v>60</v>
      </c>
      <c r="E2194" s="14">
        <v>699</v>
      </c>
      <c r="F2194" s="14">
        <v>6</v>
      </c>
      <c r="G2194" s="14">
        <v>19</v>
      </c>
      <c r="H2194" s="14">
        <v>86.36</v>
      </c>
      <c r="I2194" s="15">
        <v>0.6</v>
      </c>
    </row>
    <row r="2195" spans="1:9" x14ac:dyDescent="0.25">
      <c r="A2195" s="12">
        <v>49</v>
      </c>
      <c r="B2195" s="13">
        <v>45160</v>
      </c>
      <c r="C2195" s="14">
        <v>30.5</v>
      </c>
      <c r="D2195" s="14">
        <v>58</v>
      </c>
      <c r="E2195" s="14">
        <v>594</v>
      </c>
      <c r="F2195" s="14">
        <v>6.6</v>
      </c>
      <c r="G2195" s="14">
        <v>20</v>
      </c>
      <c r="H2195" s="14">
        <v>86.9</v>
      </c>
      <c r="I2195" s="15">
        <v>0.57999999999999996</v>
      </c>
    </row>
    <row r="2196" spans="1:9" x14ac:dyDescent="0.25">
      <c r="A2196" s="12">
        <v>49</v>
      </c>
      <c r="B2196" s="13">
        <v>45161</v>
      </c>
      <c r="C2196" s="14">
        <v>30.8</v>
      </c>
      <c r="D2196" s="14">
        <v>50</v>
      </c>
      <c r="E2196" s="14">
        <v>453</v>
      </c>
      <c r="F2196" s="14">
        <v>6.2</v>
      </c>
      <c r="G2196" s="14">
        <v>21</v>
      </c>
      <c r="H2196" s="14">
        <v>87.44</v>
      </c>
      <c r="I2196" s="15">
        <v>0.5</v>
      </c>
    </row>
    <row r="2197" spans="1:9" x14ac:dyDescent="0.25">
      <c r="A2197" s="12">
        <v>49</v>
      </c>
      <c r="B2197" s="13">
        <v>45162</v>
      </c>
      <c r="C2197" s="14">
        <v>31.3</v>
      </c>
      <c r="D2197" s="14">
        <v>80</v>
      </c>
      <c r="E2197" s="14">
        <v>588</v>
      </c>
      <c r="F2197" s="14">
        <v>6</v>
      </c>
      <c r="G2197" s="14">
        <v>22</v>
      </c>
      <c r="H2197" s="14">
        <v>88.34</v>
      </c>
      <c r="I2197" s="15">
        <v>0.8</v>
      </c>
    </row>
    <row r="2198" spans="1:9" x14ac:dyDescent="0.25">
      <c r="A2198" s="12">
        <v>49</v>
      </c>
      <c r="B2198" s="13">
        <v>45163</v>
      </c>
      <c r="C2198" s="14">
        <v>31.4</v>
      </c>
      <c r="D2198" s="14">
        <v>62</v>
      </c>
      <c r="E2198" s="14">
        <v>603</v>
      </c>
      <c r="F2198" s="14">
        <v>6.1</v>
      </c>
      <c r="G2198" s="14">
        <v>23</v>
      </c>
      <c r="H2198" s="14">
        <v>88.52</v>
      </c>
      <c r="I2198" s="15">
        <v>0.62</v>
      </c>
    </row>
    <row r="2199" spans="1:9" x14ac:dyDescent="0.25">
      <c r="A2199" s="12">
        <v>49</v>
      </c>
      <c r="B2199" s="13">
        <v>45164</v>
      </c>
      <c r="C2199" s="14">
        <v>31.4</v>
      </c>
      <c r="D2199" s="14">
        <v>60</v>
      </c>
      <c r="E2199" s="14">
        <v>773</v>
      </c>
      <c r="F2199" s="14">
        <v>6.3</v>
      </c>
      <c r="G2199" s="14">
        <v>24</v>
      </c>
      <c r="H2199" s="14">
        <v>88.52</v>
      </c>
      <c r="I2199" s="15">
        <v>0.6</v>
      </c>
    </row>
    <row r="2200" spans="1:9" x14ac:dyDescent="0.25">
      <c r="A2200" s="12">
        <v>49</v>
      </c>
      <c r="B2200" s="13">
        <v>45165</v>
      </c>
      <c r="C2200" s="14">
        <v>30.1</v>
      </c>
      <c r="D2200" s="14">
        <v>78</v>
      </c>
      <c r="E2200" s="14">
        <v>586</v>
      </c>
      <c r="F2200" s="14">
        <v>6.3</v>
      </c>
      <c r="G2200" s="14">
        <v>25</v>
      </c>
      <c r="H2200" s="14">
        <v>86.18</v>
      </c>
      <c r="I2200" s="15">
        <v>0.78</v>
      </c>
    </row>
    <row r="2201" spans="1:9" x14ac:dyDescent="0.25">
      <c r="A2201" s="12">
        <v>49</v>
      </c>
      <c r="B2201" s="13">
        <v>45166</v>
      </c>
      <c r="C2201" s="14">
        <v>29.4</v>
      </c>
      <c r="D2201" s="14">
        <v>62</v>
      </c>
      <c r="E2201" s="14">
        <v>711</v>
      </c>
      <c r="F2201" s="14">
        <v>6.4</v>
      </c>
      <c r="G2201" s="14">
        <v>26</v>
      </c>
      <c r="H2201" s="14">
        <v>84.92</v>
      </c>
      <c r="I2201" s="15">
        <v>0.62</v>
      </c>
    </row>
    <row r="2202" spans="1:9" x14ac:dyDescent="0.25">
      <c r="A2202" s="12">
        <v>49</v>
      </c>
      <c r="B2202" s="13">
        <v>45167</v>
      </c>
      <c r="C2202" s="14">
        <v>28.7</v>
      </c>
      <c r="D2202" s="14">
        <v>50</v>
      </c>
      <c r="E2202" s="14">
        <v>583</v>
      </c>
      <c r="F2202" s="14">
        <v>6.7</v>
      </c>
      <c r="G2202" s="14">
        <v>27</v>
      </c>
      <c r="H2202" s="14">
        <v>83.66</v>
      </c>
      <c r="I2202" s="15">
        <v>0.5</v>
      </c>
    </row>
    <row r="2203" spans="1:9" x14ac:dyDescent="0.25">
      <c r="A2203" s="12">
        <v>49</v>
      </c>
      <c r="B2203" s="13">
        <v>45168</v>
      </c>
      <c r="C2203" s="14">
        <v>29.1</v>
      </c>
      <c r="D2203" s="14">
        <v>60</v>
      </c>
      <c r="E2203" s="14">
        <v>685</v>
      </c>
      <c r="F2203" s="14">
        <v>6.3</v>
      </c>
      <c r="G2203" s="14">
        <v>28</v>
      </c>
      <c r="H2203" s="14">
        <v>84.38</v>
      </c>
      <c r="I2203" s="15">
        <v>0.6</v>
      </c>
    </row>
    <row r="2204" spans="1:9" x14ac:dyDescent="0.25">
      <c r="A2204" s="12">
        <v>49</v>
      </c>
      <c r="B2204" s="13">
        <v>45169</v>
      </c>
      <c r="C2204" s="14">
        <v>29.2</v>
      </c>
      <c r="D2204" s="14">
        <v>56</v>
      </c>
      <c r="E2204" s="14">
        <v>621</v>
      </c>
      <c r="F2204" s="14">
        <v>6.7</v>
      </c>
      <c r="G2204" s="14">
        <v>29</v>
      </c>
      <c r="H2204" s="14">
        <v>84.56</v>
      </c>
      <c r="I2204" s="15">
        <v>0.56000000000000005</v>
      </c>
    </row>
    <row r="2205" spans="1:9" x14ac:dyDescent="0.25">
      <c r="A2205" s="12">
        <v>49</v>
      </c>
      <c r="B2205" s="13">
        <v>45170</v>
      </c>
      <c r="C2205" s="14">
        <v>31.7</v>
      </c>
      <c r="D2205" s="14">
        <v>53</v>
      </c>
      <c r="E2205" s="14">
        <v>432</v>
      </c>
      <c r="F2205" s="14">
        <v>6.2</v>
      </c>
      <c r="G2205" s="14">
        <v>30</v>
      </c>
      <c r="H2205" s="14">
        <v>89.06</v>
      </c>
      <c r="I2205" s="15">
        <v>0.53</v>
      </c>
    </row>
    <row r="2206" spans="1:9" x14ac:dyDescent="0.25">
      <c r="A2206" s="12">
        <v>49</v>
      </c>
      <c r="B2206" s="13">
        <v>45171</v>
      </c>
      <c r="C2206" s="14">
        <v>31.7</v>
      </c>
      <c r="D2206" s="14">
        <v>65</v>
      </c>
      <c r="E2206" s="14">
        <v>534</v>
      </c>
      <c r="F2206" s="14">
        <v>6.6</v>
      </c>
      <c r="G2206" s="14">
        <v>31</v>
      </c>
      <c r="H2206" s="14">
        <v>89.06</v>
      </c>
      <c r="I2206" s="15">
        <v>0.65</v>
      </c>
    </row>
    <row r="2207" spans="1:9" x14ac:dyDescent="0.25">
      <c r="A2207" s="12">
        <v>49</v>
      </c>
      <c r="B2207" s="13">
        <v>45172</v>
      </c>
      <c r="C2207" s="14">
        <v>31.7</v>
      </c>
      <c r="D2207" s="14">
        <v>68</v>
      </c>
      <c r="E2207" s="14">
        <v>566</v>
      </c>
      <c r="F2207" s="14">
        <v>6.4</v>
      </c>
      <c r="G2207" s="14">
        <v>32</v>
      </c>
      <c r="H2207" s="14">
        <v>89.06</v>
      </c>
      <c r="I2207" s="15">
        <v>0.68</v>
      </c>
    </row>
    <row r="2208" spans="1:9" x14ac:dyDescent="0.25">
      <c r="A2208" s="12">
        <v>49</v>
      </c>
      <c r="B2208" s="13">
        <v>45173</v>
      </c>
      <c r="C2208" s="14">
        <v>31.7</v>
      </c>
      <c r="D2208" s="14">
        <v>61</v>
      </c>
      <c r="E2208" s="14">
        <v>518</v>
      </c>
      <c r="F2208" s="14">
        <v>6.6</v>
      </c>
      <c r="G2208" s="14">
        <v>33</v>
      </c>
      <c r="H2208" s="14">
        <v>89.06</v>
      </c>
      <c r="I2208" s="15">
        <v>0.61</v>
      </c>
    </row>
    <row r="2209" spans="1:9" x14ac:dyDescent="0.25">
      <c r="A2209" s="12">
        <v>49</v>
      </c>
      <c r="B2209" s="13">
        <v>45174</v>
      </c>
      <c r="C2209" s="14">
        <v>32</v>
      </c>
      <c r="D2209" s="14">
        <v>65</v>
      </c>
      <c r="E2209" s="14">
        <v>548</v>
      </c>
      <c r="F2209" s="14">
        <v>6.6</v>
      </c>
      <c r="G2209" s="14">
        <v>34</v>
      </c>
      <c r="H2209" s="14">
        <v>89.6</v>
      </c>
      <c r="I2209" s="15">
        <v>0.65</v>
      </c>
    </row>
    <row r="2210" spans="1:9" x14ac:dyDescent="0.25">
      <c r="A2210" s="12">
        <v>49</v>
      </c>
      <c r="B2210" s="13">
        <v>45175</v>
      </c>
      <c r="C2210" s="14">
        <v>32.1</v>
      </c>
      <c r="D2210" s="14">
        <v>53</v>
      </c>
      <c r="E2210" s="14">
        <v>651</v>
      </c>
      <c r="F2210" s="14">
        <v>6</v>
      </c>
      <c r="G2210" s="14">
        <v>35</v>
      </c>
      <c r="H2210" s="14">
        <v>89.78</v>
      </c>
      <c r="I2210" s="15">
        <v>0.53</v>
      </c>
    </row>
    <row r="2211" spans="1:9" x14ac:dyDescent="0.25">
      <c r="A2211" s="12">
        <v>49</v>
      </c>
      <c r="B2211" s="13">
        <v>45176</v>
      </c>
      <c r="C2211" s="14">
        <v>31.5</v>
      </c>
      <c r="D2211" s="14">
        <v>51</v>
      </c>
      <c r="E2211" s="14">
        <v>589</v>
      </c>
      <c r="F2211" s="14">
        <v>6.5</v>
      </c>
      <c r="G2211" s="14">
        <v>36</v>
      </c>
      <c r="H2211" s="14">
        <v>88.7</v>
      </c>
      <c r="I2211" s="15">
        <v>0.51</v>
      </c>
    </row>
    <row r="2212" spans="1:9" x14ac:dyDescent="0.25">
      <c r="A2212" s="12">
        <v>49</v>
      </c>
      <c r="B2212" s="13">
        <v>45177</v>
      </c>
      <c r="C2212" s="14">
        <v>29.8</v>
      </c>
      <c r="D2212" s="14">
        <v>71</v>
      </c>
      <c r="E2212" s="14">
        <v>638</v>
      </c>
      <c r="F2212" s="14">
        <v>6.7</v>
      </c>
      <c r="G2212" s="14">
        <v>37</v>
      </c>
      <c r="H2212" s="14">
        <v>85.64</v>
      </c>
      <c r="I2212" s="15">
        <v>0.71</v>
      </c>
    </row>
    <row r="2213" spans="1:9" x14ac:dyDescent="0.25">
      <c r="A2213" s="12">
        <v>49</v>
      </c>
      <c r="B2213" s="13">
        <v>45178</v>
      </c>
      <c r="C2213" s="14">
        <v>20.100000000000001</v>
      </c>
      <c r="D2213" s="14">
        <v>57</v>
      </c>
      <c r="E2213" s="14">
        <v>781</v>
      </c>
      <c r="F2213" s="14">
        <v>6.2</v>
      </c>
      <c r="G2213" s="14">
        <v>38</v>
      </c>
      <c r="H2213" s="14">
        <v>68.180000000000007</v>
      </c>
      <c r="I2213" s="15">
        <v>0.56999999999999995</v>
      </c>
    </row>
    <row r="2214" spans="1:9" x14ac:dyDescent="0.25">
      <c r="A2214" s="12">
        <v>49</v>
      </c>
      <c r="B2214" s="13">
        <v>45179</v>
      </c>
      <c r="C2214" s="14">
        <v>31.1</v>
      </c>
      <c r="D2214" s="14">
        <v>77</v>
      </c>
      <c r="E2214" s="14">
        <v>714</v>
      </c>
      <c r="F2214" s="14">
        <v>6</v>
      </c>
      <c r="G2214" s="14">
        <v>39</v>
      </c>
      <c r="H2214" s="14">
        <v>87.98</v>
      </c>
      <c r="I2214" s="15">
        <v>0.77</v>
      </c>
    </row>
    <row r="2215" spans="1:9" x14ac:dyDescent="0.25">
      <c r="A2215" s="12">
        <v>49</v>
      </c>
      <c r="B2215" s="13">
        <v>45180</v>
      </c>
      <c r="C2215" s="14">
        <v>31.2</v>
      </c>
      <c r="D2215" s="14">
        <v>70</v>
      </c>
      <c r="E2215" s="14">
        <v>758</v>
      </c>
      <c r="F2215" s="14">
        <v>6.6</v>
      </c>
      <c r="G2215" s="14">
        <v>40</v>
      </c>
      <c r="H2215" s="14">
        <v>88.16</v>
      </c>
      <c r="I2215" s="15">
        <v>0.7</v>
      </c>
    </row>
    <row r="2216" spans="1:9" x14ac:dyDescent="0.25">
      <c r="A2216" s="12">
        <v>49</v>
      </c>
      <c r="B2216" s="13">
        <v>45181</v>
      </c>
      <c r="C2216" s="14">
        <v>31.2</v>
      </c>
      <c r="D2216" s="14">
        <v>57</v>
      </c>
      <c r="E2216" s="14">
        <v>757</v>
      </c>
      <c r="F2216" s="14">
        <v>6.3</v>
      </c>
      <c r="G2216" s="14">
        <v>41</v>
      </c>
      <c r="H2216" s="14">
        <v>88.16</v>
      </c>
      <c r="I2216" s="15">
        <v>0.56999999999999995</v>
      </c>
    </row>
    <row r="2217" spans="1:9" x14ac:dyDescent="0.25">
      <c r="A2217" s="12">
        <v>49</v>
      </c>
      <c r="B2217" s="13">
        <v>45182</v>
      </c>
      <c r="C2217" s="14">
        <v>30.4</v>
      </c>
      <c r="D2217" s="14">
        <v>50</v>
      </c>
      <c r="E2217" s="14">
        <v>492</v>
      </c>
      <c r="F2217" s="14">
        <v>6.6</v>
      </c>
      <c r="G2217" s="14">
        <v>42</v>
      </c>
      <c r="H2217" s="14">
        <v>86.72</v>
      </c>
      <c r="I2217" s="15">
        <v>0.5</v>
      </c>
    </row>
    <row r="2218" spans="1:9" x14ac:dyDescent="0.25">
      <c r="A2218" s="12">
        <v>49</v>
      </c>
      <c r="B2218" s="13">
        <v>45183</v>
      </c>
      <c r="C2218" s="14">
        <v>29.1</v>
      </c>
      <c r="D2218" s="14">
        <v>79</v>
      </c>
      <c r="E2218" s="14">
        <v>417</v>
      </c>
      <c r="F2218" s="14">
        <v>6.8</v>
      </c>
      <c r="G2218" s="14">
        <v>43</v>
      </c>
      <c r="H2218" s="14">
        <v>84.38</v>
      </c>
      <c r="I2218" s="15">
        <v>0.79</v>
      </c>
    </row>
    <row r="2219" spans="1:9" x14ac:dyDescent="0.25">
      <c r="A2219" s="12">
        <v>49</v>
      </c>
      <c r="B2219" s="13">
        <v>45184</v>
      </c>
      <c r="C2219" s="14">
        <v>30.6</v>
      </c>
      <c r="D2219" s="14">
        <v>57</v>
      </c>
      <c r="E2219" s="14">
        <v>529</v>
      </c>
      <c r="F2219" s="14">
        <v>6.1</v>
      </c>
      <c r="G2219" s="14">
        <v>44</v>
      </c>
      <c r="H2219" s="14">
        <v>87.08</v>
      </c>
      <c r="I2219" s="15">
        <v>0.56999999999999995</v>
      </c>
    </row>
    <row r="2220" spans="1:9" x14ac:dyDescent="0.25">
      <c r="A2220" s="12">
        <v>49</v>
      </c>
      <c r="B2220" s="13">
        <v>45185</v>
      </c>
      <c r="C2220" s="14">
        <v>31.5</v>
      </c>
      <c r="D2220" s="14">
        <v>54</v>
      </c>
      <c r="E2220" s="14">
        <v>767</v>
      </c>
      <c r="F2220" s="14">
        <v>6.1</v>
      </c>
      <c r="G2220" s="14">
        <v>45</v>
      </c>
      <c r="H2220" s="14">
        <v>88.7</v>
      </c>
      <c r="I2220" s="15">
        <v>0.54</v>
      </c>
    </row>
    <row r="2221" spans="1:9" x14ac:dyDescent="0.25">
      <c r="A2221" s="12">
        <v>50</v>
      </c>
      <c r="B2221" s="13">
        <v>45141</v>
      </c>
      <c r="C2221" s="14">
        <v>33.4</v>
      </c>
      <c r="D2221" s="14">
        <v>56</v>
      </c>
      <c r="E2221" s="14">
        <v>781</v>
      </c>
      <c r="F2221" s="14">
        <v>6.3</v>
      </c>
      <c r="G2221" s="14">
        <v>1</v>
      </c>
      <c r="H2221" s="14">
        <v>92.12</v>
      </c>
      <c r="I2221" s="15">
        <v>0.56000000000000005</v>
      </c>
    </row>
    <row r="2222" spans="1:9" x14ac:dyDescent="0.25">
      <c r="A2222" s="12">
        <v>50</v>
      </c>
      <c r="B2222" s="13">
        <v>45142</v>
      </c>
      <c r="C2222" s="14">
        <v>33.5</v>
      </c>
      <c r="D2222" s="14">
        <v>78</v>
      </c>
      <c r="E2222" s="14">
        <v>550</v>
      </c>
      <c r="F2222" s="14">
        <v>6.1</v>
      </c>
      <c r="G2222" s="14">
        <v>2</v>
      </c>
      <c r="H2222" s="14">
        <v>92.3</v>
      </c>
      <c r="I2222" s="15">
        <v>0.78</v>
      </c>
    </row>
    <row r="2223" spans="1:9" x14ac:dyDescent="0.25">
      <c r="A2223" s="12">
        <v>50</v>
      </c>
      <c r="B2223" s="13">
        <v>45143</v>
      </c>
      <c r="C2223" s="14">
        <v>33.4</v>
      </c>
      <c r="D2223" s="14">
        <v>76</v>
      </c>
      <c r="E2223" s="14">
        <v>459</v>
      </c>
      <c r="F2223" s="14">
        <v>6</v>
      </c>
      <c r="G2223" s="14">
        <v>3</v>
      </c>
      <c r="H2223" s="14">
        <v>92.12</v>
      </c>
      <c r="I2223" s="15">
        <v>0.76</v>
      </c>
    </row>
    <row r="2224" spans="1:9" x14ac:dyDescent="0.25">
      <c r="A2224" s="12">
        <v>50</v>
      </c>
      <c r="B2224" s="13">
        <v>45144</v>
      </c>
      <c r="C2224" s="14">
        <v>33.4</v>
      </c>
      <c r="D2224" s="14">
        <v>61</v>
      </c>
      <c r="E2224" s="14">
        <v>578</v>
      </c>
      <c r="F2224" s="14">
        <v>6.1</v>
      </c>
      <c r="G2224" s="14">
        <v>4</v>
      </c>
      <c r="H2224" s="14">
        <v>92.12</v>
      </c>
      <c r="I2224" s="15">
        <v>0.61</v>
      </c>
    </row>
    <row r="2225" spans="1:9" x14ac:dyDescent="0.25">
      <c r="A2225" s="12">
        <v>50</v>
      </c>
      <c r="B2225" s="13">
        <v>45145</v>
      </c>
      <c r="C2225" s="14">
        <v>33.4</v>
      </c>
      <c r="D2225" s="14">
        <v>60</v>
      </c>
      <c r="E2225" s="14">
        <v>533</v>
      </c>
      <c r="F2225" s="14">
        <v>6.3</v>
      </c>
      <c r="G2225" s="14">
        <v>5</v>
      </c>
      <c r="H2225" s="14">
        <v>92.12</v>
      </c>
      <c r="I2225" s="15">
        <v>0.6</v>
      </c>
    </row>
    <row r="2226" spans="1:9" x14ac:dyDescent="0.25">
      <c r="A2226" s="12">
        <v>50</v>
      </c>
      <c r="B2226" s="13">
        <v>45146</v>
      </c>
      <c r="C2226" s="14">
        <v>32.299999999999997</v>
      </c>
      <c r="D2226" s="14">
        <v>72</v>
      </c>
      <c r="E2226" s="14">
        <v>470</v>
      </c>
      <c r="F2226" s="14">
        <v>6.4</v>
      </c>
      <c r="G2226" s="14">
        <v>6</v>
      </c>
      <c r="H2226" s="14">
        <v>90.14</v>
      </c>
      <c r="I2226" s="15">
        <v>0.72</v>
      </c>
    </row>
    <row r="2227" spans="1:9" x14ac:dyDescent="0.25">
      <c r="A2227" s="12">
        <v>50</v>
      </c>
      <c r="B2227" s="13">
        <v>45147</v>
      </c>
      <c r="C2227" s="14">
        <v>32.299999999999997</v>
      </c>
      <c r="D2227" s="14">
        <v>75</v>
      </c>
      <c r="E2227" s="14">
        <v>643</v>
      </c>
      <c r="F2227" s="14">
        <v>6.1</v>
      </c>
      <c r="G2227" s="14">
        <v>7</v>
      </c>
      <c r="H2227" s="14">
        <v>90.14</v>
      </c>
      <c r="I2227" s="15">
        <v>0.75</v>
      </c>
    </row>
    <row r="2228" spans="1:9" x14ac:dyDescent="0.25">
      <c r="A2228" s="12">
        <v>50</v>
      </c>
      <c r="B2228" s="13">
        <v>45148</v>
      </c>
      <c r="C2228" s="14">
        <v>22.7</v>
      </c>
      <c r="D2228" s="14">
        <v>65</v>
      </c>
      <c r="E2228" s="14">
        <v>730</v>
      </c>
      <c r="F2228" s="14">
        <v>6.2</v>
      </c>
      <c r="G2228" s="14">
        <v>8</v>
      </c>
      <c r="H2228" s="14">
        <v>72.86</v>
      </c>
      <c r="I2228" s="15">
        <v>0.65</v>
      </c>
    </row>
    <row r="2229" spans="1:9" x14ac:dyDescent="0.25">
      <c r="A2229" s="12">
        <v>50</v>
      </c>
      <c r="B2229" s="13">
        <v>45149</v>
      </c>
      <c r="C2229" s="14">
        <v>31.9</v>
      </c>
      <c r="D2229" s="14">
        <v>69</v>
      </c>
      <c r="E2229" s="14">
        <v>440</v>
      </c>
      <c r="F2229" s="14">
        <v>6.3</v>
      </c>
      <c r="G2229" s="14">
        <v>9</v>
      </c>
      <c r="H2229" s="14">
        <v>89.42</v>
      </c>
      <c r="I2229" s="15">
        <v>0.69</v>
      </c>
    </row>
    <row r="2230" spans="1:9" x14ac:dyDescent="0.25">
      <c r="A2230" s="12">
        <v>50</v>
      </c>
      <c r="B2230" s="13">
        <v>45150</v>
      </c>
      <c r="C2230" s="14">
        <v>30.2</v>
      </c>
      <c r="D2230" s="14">
        <v>62</v>
      </c>
      <c r="E2230" s="14">
        <v>729</v>
      </c>
      <c r="F2230" s="14">
        <v>6.5</v>
      </c>
      <c r="G2230" s="14">
        <v>10</v>
      </c>
      <c r="H2230" s="14">
        <v>86.36</v>
      </c>
      <c r="I2230" s="15">
        <v>0.62</v>
      </c>
    </row>
    <row r="2231" spans="1:9" x14ac:dyDescent="0.25">
      <c r="A2231" s="12">
        <v>50</v>
      </c>
      <c r="B2231" s="13">
        <v>45151</v>
      </c>
      <c r="C2231" s="14">
        <v>30.1</v>
      </c>
      <c r="D2231" s="14">
        <v>77</v>
      </c>
      <c r="E2231" s="14">
        <v>798</v>
      </c>
      <c r="F2231" s="14">
        <v>6.7</v>
      </c>
      <c r="G2231" s="14">
        <v>11</v>
      </c>
      <c r="H2231" s="14">
        <v>86.18</v>
      </c>
      <c r="I2231" s="15">
        <v>0.77</v>
      </c>
    </row>
    <row r="2232" spans="1:9" x14ac:dyDescent="0.25">
      <c r="A2232" s="12">
        <v>50</v>
      </c>
      <c r="B2232" s="13">
        <v>45152</v>
      </c>
      <c r="C2232" s="14">
        <v>30.1</v>
      </c>
      <c r="D2232" s="14">
        <v>72</v>
      </c>
      <c r="E2232" s="14">
        <v>400</v>
      </c>
      <c r="F2232" s="14">
        <v>6.8</v>
      </c>
      <c r="G2232" s="14">
        <v>12</v>
      </c>
      <c r="H2232" s="14">
        <v>86.18</v>
      </c>
      <c r="I2232" s="15">
        <v>0.72</v>
      </c>
    </row>
    <row r="2233" spans="1:9" x14ac:dyDescent="0.25">
      <c r="A2233" s="12">
        <v>50</v>
      </c>
      <c r="B2233" s="13">
        <v>45153</v>
      </c>
      <c r="C2233" s="14">
        <v>30.1</v>
      </c>
      <c r="D2233" s="14">
        <v>69</v>
      </c>
      <c r="E2233" s="14">
        <v>741</v>
      </c>
      <c r="F2233" s="14">
        <v>6.1</v>
      </c>
      <c r="G2233" s="14">
        <v>13</v>
      </c>
      <c r="H2233" s="14">
        <v>86.18</v>
      </c>
      <c r="I2233" s="15">
        <v>0.69</v>
      </c>
    </row>
    <row r="2234" spans="1:9" x14ac:dyDescent="0.25">
      <c r="A2234" s="12">
        <v>50</v>
      </c>
      <c r="B2234" s="13">
        <v>45154</v>
      </c>
      <c r="C2234" s="14">
        <v>29.8</v>
      </c>
      <c r="D2234" s="14">
        <v>50</v>
      </c>
      <c r="E2234" s="14">
        <v>480</v>
      </c>
      <c r="F2234" s="14">
        <v>6.7</v>
      </c>
      <c r="G2234" s="14">
        <v>14</v>
      </c>
      <c r="H2234" s="14">
        <v>85.64</v>
      </c>
      <c r="I2234" s="15">
        <v>0.5</v>
      </c>
    </row>
    <row r="2235" spans="1:9" x14ac:dyDescent="0.25">
      <c r="A2235" s="12">
        <v>50</v>
      </c>
      <c r="B2235" s="13">
        <v>45155</v>
      </c>
      <c r="C2235" s="14">
        <v>29.6</v>
      </c>
      <c r="D2235" s="14">
        <v>66</v>
      </c>
      <c r="E2235" s="14">
        <v>555</v>
      </c>
      <c r="F2235" s="14">
        <v>6.5</v>
      </c>
      <c r="G2235" s="14">
        <v>15</v>
      </c>
      <c r="H2235" s="14">
        <v>85.28</v>
      </c>
      <c r="I2235" s="15">
        <v>0.66</v>
      </c>
    </row>
    <row r="2236" spans="1:9" x14ac:dyDescent="0.25">
      <c r="A2236" s="12">
        <v>50</v>
      </c>
      <c r="B2236" s="13">
        <v>45156</v>
      </c>
      <c r="C2236" s="14">
        <v>30.9</v>
      </c>
      <c r="D2236" s="14">
        <v>76</v>
      </c>
      <c r="E2236" s="14">
        <v>434</v>
      </c>
      <c r="F2236" s="14">
        <v>6.3</v>
      </c>
      <c r="G2236" s="14">
        <v>16</v>
      </c>
      <c r="H2236" s="14">
        <v>87.62</v>
      </c>
      <c r="I2236" s="15">
        <v>0.76</v>
      </c>
    </row>
    <row r="2237" spans="1:9" x14ac:dyDescent="0.25">
      <c r="A2237" s="12">
        <v>50</v>
      </c>
      <c r="B2237" s="13">
        <v>45157</v>
      </c>
      <c r="C2237" s="14">
        <v>30.8</v>
      </c>
      <c r="D2237" s="14">
        <v>61</v>
      </c>
      <c r="E2237" s="14">
        <v>635</v>
      </c>
      <c r="F2237" s="14">
        <v>6.6</v>
      </c>
      <c r="G2237" s="14">
        <v>17</v>
      </c>
      <c r="H2237" s="14">
        <v>87.44</v>
      </c>
      <c r="I2237" s="15">
        <v>0.61</v>
      </c>
    </row>
    <row r="2238" spans="1:9" x14ac:dyDescent="0.25">
      <c r="A2238" s="12">
        <v>50</v>
      </c>
      <c r="B2238" s="13">
        <v>45158</v>
      </c>
      <c r="C2238" s="14">
        <v>30.9</v>
      </c>
      <c r="D2238" s="14">
        <v>54</v>
      </c>
      <c r="E2238" s="14">
        <v>568</v>
      </c>
      <c r="F2238" s="14">
        <v>6.4</v>
      </c>
      <c r="G2238" s="14">
        <v>18</v>
      </c>
      <c r="H2238" s="14">
        <v>87.62</v>
      </c>
      <c r="I2238" s="15">
        <v>0.54</v>
      </c>
    </row>
    <row r="2239" spans="1:9" x14ac:dyDescent="0.25">
      <c r="A2239" s="12">
        <v>50</v>
      </c>
      <c r="B2239" s="13">
        <v>45159</v>
      </c>
      <c r="C2239" s="14">
        <v>30.2</v>
      </c>
      <c r="D2239" s="14">
        <v>78</v>
      </c>
      <c r="E2239" s="14">
        <v>776</v>
      </c>
      <c r="F2239" s="14">
        <v>6.6</v>
      </c>
      <c r="G2239" s="14">
        <v>19</v>
      </c>
      <c r="H2239" s="14">
        <v>86.36</v>
      </c>
      <c r="I2239" s="15">
        <v>0.78</v>
      </c>
    </row>
    <row r="2240" spans="1:9" x14ac:dyDescent="0.25">
      <c r="A2240" s="12">
        <v>50</v>
      </c>
      <c r="B2240" s="13">
        <v>45160</v>
      </c>
      <c r="C2240" s="14">
        <v>30.5</v>
      </c>
      <c r="D2240" s="14">
        <v>71</v>
      </c>
      <c r="E2240" s="14">
        <v>423</v>
      </c>
      <c r="F2240" s="14">
        <v>6.3</v>
      </c>
      <c r="G2240" s="14">
        <v>20</v>
      </c>
      <c r="H2240" s="14">
        <v>86.9</v>
      </c>
      <c r="I2240" s="15">
        <v>0.71</v>
      </c>
    </row>
    <row r="2241" spans="1:9" x14ac:dyDescent="0.25">
      <c r="A2241" s="12">
        <v>50</v>
      </c>
      <c r="B2241" s="13">
        <v>45161</v>
      </c>
      <c r="C2241" s="14">
        <v>30.8</v>
      </c>
      <c r="D2241" s="14">
        <v>59</v>
      </c>
      <c r="E2241" s="14">
        <v>797</v>
      </c>
      <c r="F2241" s="14">
        <v>6.5</v>
      </c>
      <c r="G2241" s="14">
        <v>21</v>
      </c>
      <c r="H2241" s="14">
        <v>87.44</v>
      </c>
      <c r="I2241" s="15">
        <v>0.59</v>
      </c>
    </row>
    <row r="2242" spans="1:9" x14ac:dyDescent="0.25">
      <c r="A2242" s="12">
        <v>50</v>
      </c>
      <c r="B2242" s="13">
        <v>45162</v>
      </c>
      <c r="C2242" s="14">
        <v>31.3</v>
      </c>
      <c r="D2242" s="14">
        <v>73</v>
      </c>
      <c r="E2242" s="14">
        <v>725</v>
      </c>
      <c r="F2242" s="14">
        <v>6.6</v>
      </c>
      <c r="G2242" s="14">
        <v>22</v>
      </c>
      <c r="H2242" s="14">
        <v>88.34</v>
      </c>
      <c r="I2242" s="15">
        <v>0.73</v>
      </c>
    </row>
    <row r="2243" spans="1:9" x14ac:dyDescent="0.25">
      <c r="A2243" s="12">
        <v>50</v>
      </c>
      <c r="B2243" s="13">
        <v>45163</v>
      </c>
      <c r="C2243" s="14">
        <v>31.4</v>
      </c>
      <c r="D2243" s="14">
        <v>76</v>
      </c>
      <c r="E2243" s="14">
        <v>605</v>
      </c>
      <c r="F2243" s="14">
        <v>6.1</v>
      </c>
      <c r="G2243" s="14">
        <v>23</v>
      </c>
      <c r="H2243" s="14">
        <v>88.52</v>
      </c>
      <c r="I2243" s="15">
        <v>0.76</v>
      </c>
    </row>
    <row r="2244" spans="1:9" x14ac:dyDescent="0.25">
      <c r="A2244" s="12">
        <v>50</v>
      </c>
      <c r="B2244" s="13">
        <v>45164</v>
      </c>
      <c r="C2244" s="14">
        <v>31.4</v>
      </c>
      <c r="D2244" s="14">
        <v>58</v>
      </c>
      <c r="E2244" s="14">
        <v>447</v>
      </c>
      <c r="F2244" s="14">
        <v>6.3</v>
      </c>
      <c r="G2244" s="14">
        <v>24</v>
      </c>
      <c r="H2244" s="14">
        <v>88.52</v>
      </c>
      <c r="I2244" s="15">
        <v>0.57999999999999996</v>
      </c>
    </row>
    <row r="2245" spans="1:9" x14ac:dyDescent="0.25">
      <c r="A2245" s="12">
        <v>50</v>
      </c>
      <c r="B2245" s="13">
        <v>45165</v>
      </c>
      <c r="C2245" s="14">
        <v>30.1</v>
      </c>
      <c r="D2245" s="14">
        <v>63</v>
      </c>
      <c r="E2245" s="14">
        <v>702</v>
      </c>
      <c r="F2245" s="14">
        <v>6.2</v>
      </c>
      <c r="G2245" s="14">
        <v>25</v>
      </c>
      <c r="H2245" s="14">
        <v>86.18</v>
      </c>
      <c r="I2245" s="15">
        <v>0.63</v>
      </c>
    </row>
    <row r="2246" spans="1:9" x14ac:dyDescent="0.25">
      <c r="A2246" s="12">
        <v>50</v>
      </c>
      <c r="B2246" s="13">
        <v>45166</v>
      </c>
      <c r="C2246" s="14">
        <v>29.4</v>
      </c>
      <c r="D2246" s="14">
        <v>73</v>
      </c>
      <c r="E2246" s="14">
        <v>740</v>
      </c>
      <c r="F2246" s="14">
        <v>6.5</v>
      </c>
      <c r="G2246" s="14">
        <v>26</v>
      </c>
      <c r="H2246" s="14">
        <v>84.92</v>
      </c>
      <c r="I2246" s="15">
        <v>0.73</v>
      </c>
    </row>
    <row r="2247" spans="1:9" x14ac:dyDescent="0.25">
      <c r="A2247" s="12">
        <v>50</v>
      </c>
      <c r="B2247" s="13">
        <v>45167</v>
      </c>
      <c r="C2247" s="14">
        <v>28.7</v>
      </c>
      <c r="D2247" s="14">
        <v>50</v>
      </c>
      <c r="E2247" s="14">
        <v>791</v>
      </c>
      <c r="F2247" s="14">
        <v>6.8</v>
      </c>
      <c r="G2247" s="14">
        <v>27</v>
      </c>
      <c r="H2247" s="14">
        <v>83.66</v>
      </c>
      <c r="I2247" s="15">
        <v>0.5</v>
      </c>
    </row>
    <row r="2248" spans="1:9" x14ac:dyDescent="0.25">
      <c r="A2248" s="12">
        <v>50</v>
      </c>
      <c r="B2248" s="13">
        <v>45168</v>
      </c>
      <c r="C2248" s="14">
        <v>29.1</v>
      </c>
      <c r="D2248" s="14">
        <v>79</v>
      </c>
      <c r="E2248" s="14">
        <v>594</v>
      </c>
      <c r="F2248" s="14">
        <v>6.4</v>
      </c>
      <c r="G2248" s="14">
        <v>28</v>
      </c>
      <c r="H2248" s="14">
        <v>84.38</v>
      </c>
      <c r="I2248" s="15">
        <v>0.79</v>
      </c>
    </row>
    <row r="2249" spans="1:9" x14ac:dyDescent="0.25">
      <c r="A2249" s="12">
        <v>50</v>
      </c>
      <c r="B2249" s="13">
        <v>45169</v>
      </c>
      <c r="C2249" s="14">
        <v>29.2</v>
      </c>
      <c r="D2249" s="14">
        <v>72</v>
      </c>
      <c r="E2249" s="14">
        <v>455</v>
      </c>
      <c r="F2249" s="14">
        <v>6.2</v>
      </c>
      <c r="G2249" s="14">
        <v>29</v>
      </c>
      <c r="H2249" s="14">
        <v>84.56</v>
      </c>
      <c r="I2249" s="15">
        <v>0.72</v>
      </c>
    </row>
    <row r="2250" spans="1:9" x14ac:dyDescent="0.25">
      <c r="A2250" s="12">
        <v>50</v>
      </c>
      <c r="B2250" s="13">
        <v>45170</v>
      </c>
      <c r="C2250" s="14">
        <v>31.7</v>
      </c>
      <c r="D2250" s="14">
        <v>61</v>
      </c>
      <c r="E2250" s="14">
        <v>565</v>
      </c>
      <c r="F2250" s="14">
        <v>6.6</v>
      </c>
      <c r="G2250" s="14">
        <v>30</v>
      </c>
      <c r="H2250" s="14">
        <v>89.06</v>
      </c>
      <c r="I2250" s="15">
        <v>0.61</v>
      </c>
    </row>
    <row r="2251" spans="1:9" x14ac:dyDescent="0.25">
      <c r="A2251" s="12">
        <v>50</v>
      </c>
      <c r="B2251" s="13">
        <v>45171</v>
      </c>
      <c r="C2251" s="14">
        <v>31.7</v>
      </c>
      <c r="D2251" s="14">
        <v>50</v>
      </c>
      <c r="E2251" s="14">
        <v>626</v>
      </c>
      <c r="F2251" s="14">
        <v>6.6</v>
      </c>
      <c r="G2251" s="14">
        <v>31</v>
      </c>
      <c r="H2251" s="14">
        <v>89.06</v>
      </c>
      <c r="I2251" s="15">
        <v>0.5</v>
      </c>
    </row>
    <row r="2252" spans="1:9" x14ac:dyDescent="0.25">
      <c r="A2252" s="12">
        <v>50</v>
      </c>
      <c r="B2252" s="13">
        <v>45172</v>
      </c>
      <c r="C2252" s="14">
        <v>31.7</v>
      </c>
      <c r="D2252" s="14">
        <v>54</v>
      </c>
      <c r="E2252" s="14">
        <v>450</v>
      </c>
      <c r="F2252" s="14">
        <v>6</v>
      </c>
      <c r="G2252" s="14">
        <v>32</v>
      </c>
      <c r="H2252" s="14">
        <v>89.06</v>
      </c>
      <c r="I2252" s="15">
        <v>0.54</v>
      </c>
    </row>
    <row r="2253" spans="1:9" x14ac:dyDescent="0.25">
      <c r="A2253" s="12">
        <v>50</v>
      </c>
      <c r="B2253" s="13">
        <v>45173</v>
      </c>
      <c r="C2253" s="14">
        <v>31.7</v>
      </c>
      <c r="D2253" s="14">
        <v>52</v>
      </c>
      <c r="E2253" s="14">
        <v>516</v>
      </c>
      <c r="F2253" s="14">
        <v>6.1</v>
      </c>
      <c r="G2253" s="14">
        <v>33</v>
      </c>
      <c r="H2253" s="14">
        <v>89.06</v>
      </c>
      <c r="I2253" s="15">
        <v>0.52</v>
      </c>
    </row>
    <row r="2254" spans="1:9" x14ac:dyDescent="0.25">
      <c r="A2254" s="12">
        <v>50</v>
      </c>
      <c r="B2254" s="13">
        <v>45174</v>
      </c>
      <c r="C2254" s="14">
        <v>32</v>
      </c>
      <c r="D2254" s="14">
        <v>56</v>
      </c>
      <c r="E2254" s="14">
        <v>794</v>
      </c>
      <c r="F2254" s="14">
        <v>6.1</v>
      </c>
      <c r="G2254" s="14">
        <v>34</v>
      </c>
      <c r="H2254" s="14">
        <v>89.6</v>
      </c>
      <c r="I2254" s="15">
        <v>0.56000000000000005</v>
      </c>
    </row>
    <row r="2255" spans="1:9" x14ac:dyDescent="0.25">
      <c r="A2255" s="12">
        <v>50</v>
      </c>
      <c r="B2255" s="13">
        <v>45175</v>
      </c>
      <c r="C2255" s="14">
        <v>32.1</v>
      </c>
      <c r="D2255" s="14">
        <v>77</v>
      </c>
      <c r="E2255" s="14">
        <v>577</v>
      </c>
      <c r="F2255" s="14">
        <v>6.2</v>
      </c>
      <c r="G2255" s="14">
        <v>35</v>
      </c>
      <c r="H2255" s="14">
        <v>89.78</v>
      </c>
      <c r="I2255" s="15">
        <v>0.77</v>
      </c>
    </row>
    <row r="2256" spans="1:9" x14ac:dyDescent="0.25">
      <c r="A2256" s="12">
        <v>50</v>
      </c>
      <c r="B2256" s="13">
        <v>45176</v>
      </c>
      <c r="C2256" s="14">
        <v>31.5</v>
      </c>
      <c r="D2256" s="14">
        <v>63</v>
      </c>
      <c r="E2256" s="14">
        <v>798</v>
      </c>
      <c r="F2256" s="14">
        <v>6.2</v>
      </c>
      <c r="G2256" s="14">
        <v>36</v>
      </c>
      <c r="H2256" s="14">
        <v>88.7</v>
      </c>
      <c r="I2256" s="15">
        <v>0.63</v>
      </c>
    </row>
    <row r="2257" spans="1:9" x14ac:dyDescent="0.25">
      <c r="A2257" s="12">
        <v>50</v>
      </c>
      <c r="B2257" s="13">
        <v>45177</v>
      </c>
      <c r="C2257" s="14">
        <v>29.8</v>
      </c>
      <c r="D2257" s="14">
        <v>56</v>
      </c>
      <c r="E2257" s="14">
        <v>747</v>
      </c>
      <c r="F2257" s="14">
        <v>6.4</v>
      </c>
      <c r="G2257" s="14">
        <v>37</v>
      </c>
      <c r="H2257" s="14">
        <v>85.64</v>
      </c>
      <c r="I2257" s="15">
        <v>0.56000000000000005</v>
      </c>
    </row>
    <row r="2258" spans="1:9" x14ac:dyDescent="0.25">
      <c r="A2258" s="12">
        <v>50</v>
      </c>
      <c r="B2258" s="13">
        <v>45178</v>
      </c>
      <c r="C2258" s="14">
        <v>20.100000000000001</v>
      </c>
      <c r="D2258" s="14">
        <v>76</v>
      </c>
      <c r="E2258" s="14">
        <v>415</v>
      </c>
      <c r="F2258" s="14">
        <v>6.5</v>
      </c>
      <c r="G2258" s="14">
        <v>38</v>
      </c>
      <c r="H2258" s="14">
        <v>68.180000000000007</v>
      </c>
      <c r="I2258" s="15">
        <v>0.76</v>
      </c>
    </row>
    <row r="2259" spans="1:9" x14ac:dyDescent="0.25">
      <c r="A2259" s="12">
        <v>50</v>
      </c>
      <c r="B2259" s="13">
        <v>45179</v>
      </c>
      <c r="C2259" s="14">
        <v>31.1</v>
      </c>
      <c r="D2259" s="14">
        <v>51</v>
      </c>
      <c r="E2259" s="14">
        <v>462</v>
      </c>
      <c r="F2259" s="14">
        <v>6.1</v>
      </c>
      <c r="G2259" s="14">
        <v>39</v>
      </c>
      <c r="H2259" s="14">
        <v>87.98</v>
      </c>
      <c r="I2259" s="15">
        <v>0.51</v>
      </c>
    </row>
    <row r="2260" spans="1:9" x14ac:dyDescent="0.25">
      <c r="A2260" s="12">
        <v>50</v>
      </c>
      <c r="B2260" s="13">
        <v>45180</v>
      </c>
      <c r="C2260" s="14">
        <v>31.2</v>
      </c>
      <c r="D2260" s="14">
        <v>80</v>
      </c>
      <c r="E2260" s="14">
        <v>566</v>
      </c>
      <c r="F2260" s="14">
        <v>6.2</v>
      </c>
      <c r="G2260" s="14">
        <v>40</v>
      </c>
      <c r="H2260" s="14">
        <v>88.16</v>
      </c>
      <c r="I2260" s="15">
        <v>0.8</v>
      </c>
    </row>
    <row r="2261" spans="1:9" x14ac:dyDescent="0.25">
      <c r="A2261" s="12">
        <v>50</v>
      </c>
      <c r="B2261" s="13">
        <v>45181</v>
      </c>
      <c r="C2261" s="14">
        <v>31.2</v>
      </c>
      <c r="D2261" s="14">
        <v>54</v>
      </c>
      <c r="E2261" s="14">
        <v>690</v>
      </c>
      <c r="F2261" s="14">
        <v>6.3</v>
      </c>
      <c r="G2261" s="14">
        <v>41</v>
      </c>
      <c r="H2261" s="14">
        <v>88.16</v>
      </c>
      <c r="I2261" s="15">
        <v>0.54</v>
      </c>
    </row>
    <row r="2262" spans="1:9" x14ac:dyDescent="0.25">
      <c r="A2262" s="12">
        <v>50</v>
      </c>
      <c r="B2262" s="13">
        <v>45182</v>
      </c>
      <c r="C2262" s="14">
        <v>30.4</v>
      </c>
      <c r="D2262" s="14">
        <v>67</v>
      </c>
      <c r="E2262" s="14">
        <v>798</v>
      </c>
      <c r="F2262" s="14">
        <v>6.7</v>
      </c>
      <c r="G2262" s="14">
        <v>42</v>
      </c>
      <c r="H2262" s="14">
        <v>86.72</v>
      </c>
      <c r="I2262" s="15">
        <v>0.67</v>
      </c>
    </row>
    <row r="2263" spans="1:9" x14ac:dyDescent="0.25">
      <c r="A2263" s="12">
        <v>50</v>
      </c>
      <c r="B2263" s="13">
        <v>45183</v>
      </c>
      <c r="C2263" s="14">
        <v>29.1</v>
      </c>
      <c r="D2263" s="14">
        <v>51</v>
      </c>
      <c r="E2263" s="14">
        <v>731</v>
      </c>
      <c r="F2263" s="14">
        <v>6.2</v>
      </c>
      <c r="G2263" s="14">
        <v>43</v>
      </c>
      <c r="H2263" s="14">
        <v>84.38</v>
      </c>
      <c r="I2263" s="15">
        <v>0.51</v>
      </c>
    </row>
    <row r="2264" spans="1:9" x14ac:dyDescent="0.25">
      <c r="A2264" s="12">
        <v>50</v>
      </c>
      <c r="B2264" s="13">
        <v>45184</v>
      </c>
      <c r="C2264" s="14">
        <v>30.6</v>
      </c>
      <c r="D2264" s="14">
        <v>57</v>
      </c>
      <c r="E2264" s="14">
        <v>724</v>
      </c>
      <c r="F2264" s="14">
        <v>6.2</v>
      </c>
      <c r="G2264" s="14">
        <v>44</v>
      </c>
      <c r="H2264" s="14">
        <v>87.08</v>
      </c>
      <c r="I2264" s="15">
        <v>0.56999999999999995</v>
      </c>
    </row>
    <row r="2265" spans="1:9" x14ac:dyDescent="0.25">
      <c r="A2265" s="12">
        <v>50</v>
      </c>
      <c r="B2265" s="13">
        <v>45185</v>
      </c>
      <c r="C2265" s="14">
        <v>31.5</v>
      </c>
      <c r="D2265" s="14">
        <v>65</v>
      </c>
      <c r="E2265" s="14">
        <v>518</v>
      </c>
      <c r="F2265" s="14">
        <v>6.7</v>
      </c>
      <c r="G2265" s="14">
        <v>45</v>
      </c>
      <c r="H2265" s="14">
        <v>88.7</v>
      </c>
      <c r="I2265" s="15">
        <v>0.65</v>
      </c>
    </row>
    <row r="2266" spans="1:9" x14ac:dyDescent="0.25">
      <c r="A2266" s="12">
        <v>51</v>
      </c>
      <c r="B2266" s="13">
        <v>45141</v>
      </c>
      <c r="C2266" s="14">
        <v>33.4</v>
      </c>
      <c r="D2266" s="14">
        <v>72</v>
      </c>
      <c r="E2266" s="14">
        <v>524</v>
      </c>
      <c r="F2266" s="14">
        <v>6.6</v>
      </c>
      <c r="G2266" s="14">
        <v>1</v>
      </c>
      <c r="H2266" s="14">
        <v>92.12</v>
      </c>
      <c r="I2266" s="15">
        <v>0.72</v>
      </c>
    </row>
    <row r="2267" spans="1:9" x14ac:dyDescent="0.25">
      <c r="A2267" s="12">
        <v>51</v>
      </c>
      <c r="B2267" s="13">
        <v>45142</v>
      </c>
      <c r="C2267" s="14">
        <v>33.5</v>
      </c>
      <c r="D2267" s="14">
        <v>68</v>
      </c>
      <c r="E2267" s="14">
        <v>571</v>
      </c>
      <c r="F2267" s="14">
        <v>6.7</v>
      </c>
      <c r="G2267" s="14">
        <v>2</v>
      </c>
      <c r="H2267" s="14">
        <v>92.3</v>
      </c>
      <c r="I2267" s="15">
        <v>0.68</v>
      </c>
    </row>
    <row r="2268" spans="1:9" x14ac:dyDescent="0.25">
      <c r="A2268" s="12">
        <v>51</v>
      </c>
      <c r="B2268" s="13">
        <v>45143</v>
      </c>
      <c r="C2268" s="14">
        <v>33.4</v>
      </c>
      <c r="D2268" s="14">
        <v>59</v>
      </c>
      <c r="E2268" s="14">
        <v>705</v>
      </c>
      <c r="F2268" s="14">
        <v>6</v>
      </c>
      <c r="G2268" s="14">
        <v>3</v>
      </c>
      <c r="H2268" s="14">
        <v>92.12</v>
      </c>
      <c r="I2268" s="15">
        <v>0.59</v>
      </c>
    </row>
    <row r="2269" spans="1:9" x14ac:dyDescent="0.25">
      <c r="A2269" s="12">
        <v>51</v>
      </c>
      <c r="B2269" s="13">
        <v>45144</v>
      </c>
      <c r="C2269" s="14">
        <v>33.4</v>
      </c>
      <c r="D2269" s="14">
        <v>59</v>
      </c>
      <c r="E2269" s="14">
        <v>619</v>
      </c>
      <c r="F2269" s="14">
        <v>6.4</v>
      </c>
      <c r="G2269" s="14">
        <v>4</v>
      </c>
      <c r="H2269" s="14">
        <v>92.12</v>
      </c>
      <c r="I2269" s="15">
        <v>0.59</v>
      </c>
    </row>
    <row r="2270" spans="1:9" x14ac:dyDescent="0.25">
      <c r="A2270" s="12">
        <v>51</v>
      </c>
      <c r="B2270" s="13">
        <v>45145</v>
      </c>
      <c r="C2270" s="14">
        <v>33.4</v>
      </c>
      <c r="D2270" s="14">
        <v>68</v>
      </c>
      <c r="E2270" s="14">
        <v>594</v>
      </c>
      <c r="F2270" s="14">
        <v>6.2</v>
      </c>
      <c r="G2270" s="14">
        <v>5</v>
      </c>
      <c r="H2270" s="14">
        <v>92.12</v>
      </c>
      <c r="I2270" s="15">
        <v>0.68</v>
      </c>
    </row>
    <row r="2271" spans="1:9" x14ac:dyDescent="0.25">
      <c r="A2271" s="12">
        <v>51</v>
      </c>
      <c r="B2271" s="13">
        <v>45146</v>
      </c>
      <c r="C2271" s="14">
        <v>32.299999999999997</v>
      </c>
      <c r="D2271" s="14">
        <v>56</v>
      </c>
      <c r="E2271" s="14">
        <v>627</v>
      </c>
      <c r="F2271" s="14">
        <v>6.3</v>
      </c>
      <c r="G2271" s="14">
        <v>6</v>
      </c>
      <c r="H2271" s="14">
        <v>90.14</v>
      </c>
      <c r="I2271" s="15">
        <v>0.56000000000000005</v>
      </c>
    </row>
    <row r="2272" spans="1:9" x14ac:dyDescent="0.25">
      <c r="A2272" s="12">
        <v>51</v>
      </c>
      <c r="B2272" s="13">
        <v>45147</v>
      </c>
      <c r="C2272" s="14">
        <v>32.299999999999997</v>
      </c>
      <c r="D2272" s="14">
        <v>65</v>
      </c>
      <c r="E2272" s="14">
        <v>543</v>
      </c>
      <c r="F2272" s="14">
        <v>6.3</v>
      </c>
      <c r="G2272" s="14">
        <v>7</v>
      </c>
      <c r="H2272" s="14">
        <v>90.14</v>
      </c>
      <c r="I2272" s="15">
        <v>0.65</v>
      </c>
    </row>
    <row r="2273" spans="1:9" x14ac:dyDescent="0.25">
      <c r="A2273" s="12">
        <v>51</v>
      </c>
      <c r="B2273" s="13">
        <v>45148</v>
      </c>
      <c r="C2273" s="14">
        <v>22.7</v>
      </c>
      <c r="D2273" s="14">
        <v>68</v>
      </c>
      <c r="E2273" s="14">
        <v>683</v>
      </c>
      <c r="F2273" s="14">
        <v>6.3</v>
      </c>
      <c r="G2273" s="14">
        <v>8</v>
      </c>
      <c r="H2273" s="14">
        <v>72.86</v>
      </c>
      <c r="I2273" s="15">
        <v>0.68</v>
      </c>
    </row>
    <row r="2274" spans="1:9" x14ac:dyDescent="0.25">
      <c r="A2274" s="12">
        <v>51</v>
      </c>
      <c r="B2274" s="13">
        <v>45149</v>
      </c>
      <c r="C2274" s="14">
        <v>31.9</v>
      </c>
      <c r="D2274" s="14">
        <v>57</v>
      </c>
      <c r="E2274" s="14">
        <v>490</v>
      </c>
      <c r="F2274" s="14">
        <v>6.1</v>
      </c>
      <c r="G2274" s="14">
        <v>9</v>
      </c>
      <c r="H2274" s="14">
        <v>89.42</v>
      </c>
      <c r="I2274" s="15">
        <v>0.56999999999999995</v>
      </c>
    </row>
    <row r="2275" spans="1:9" x14ac:dyDescent="0.25">
      <c r="A2275" s="12">
        <v>51</v>
      </c>
      <c r="B2275" s="13">
        <v>45150</v>
      </c>
      <c r="C2275" s="14">
        <v>30.2</v>
      </c>
      <c r="D2275" s="14">
        <v>80</v>
      </c>
      <c r="E2275" s="14">
        <v>497</v>
      </c>
      <c r="F2275" s="14">
        <v>6.4</v>
      </c>
      <c r="G2275" s="14">
        <v>10</v>
      </c>
      <c r="H2275" s="14">
        <v>86.36</v>
      </c>
      <c r="I2275" s="15">
        <v>0.8</v>
      </c>
    </row>
    <row r="2276" spans="1:9" x14ac:dyDescent="0.25">
      <c r="A2276" s="12">
        <v>51</v>
      </c>
      <c r="B2276" s="13">
        <v>45151</v>
      </c>
      <c r="C2276" s="14">
        <v>30.1</v>
      </c>
      <c r="D2276" s="14">
        <v>76</v>
      </c>
      <c r="E2276" s="14">
        <v>739</v>
      </c>
      <c r="F2276" s="14">
        <v>6.6</v>
      </c>
      <c r="G2276" s="14">
        <v>11</v>
      </c>
      <c r="H2276" s="14">
        <v>86.18</v>
      </c>
      <c r="I2276" s="15">
        <v>0.76</v>
      </c>
    </row>
    <row r="2277" spans="1:9" x14ac:dyDescent="0.25">
      <c r="A2277" s="12">
        <v>51</v>
      </c>
      <c r="B2277" s="13">
        <v>45152</v>
      </c>
      <c r="C2277" s="14">
        <v>30.1</v>
      </c>
      <c r="D2277" s="14">
        <v>78</v>
      </c>
      <c r="E2277" s="14">
        <v>759</v>
      </c>
      <c r="F2277" s="14">
        <v>6.2</v>
      </c>
      <c r="G2277" s="14">
        <v>12</v>
      </c>
      <c r="H2277" s="14">
        <v>86.18</v>
      </c>
      <c r="I2277" s="15">
        <v>0.78</v>
      </c>
    </row>
    <row r="2278" spans="1:9" x14ac:dyDescent="0.25">
      <c r="A2278" s="12">
        <v>51</v>
      </c>
      <c r="B2278" s="13">
        <v>45153</v>
      </c>
      <c r="C2278" s="14">
        <v>30.1</v>
      </c>
      <c r="D2278" s="14">
        <v>76</v>
      </c>
      <c r="E2278" s="14">
        <v>442</v>
      </c>
      <c r="F2278" s="14">
        <v>6.1</v>
      </c>
      <c r="G2278" s="14">
        <v>13</v>
      </c>
      <c r="H2278" s="14">
        <v>86.18</v>
      </c>
      <c r="I2278" s="15">
        <v>0.76</v>
      </c>
    </row>
    <row r="2279" spans="1:9" x14ac:dyDescent="0.25">
      <c r="A2279" s="12">
        <v>51</v>
      </c>
      <c r="B2279" s="13">
        <v>45154</v>
      </c>
      <c r="C2279" s="14">
        <v>29.8</v>
      </c>
      <c r="D2279" s="14">
        <v>56</v>
      </c>
      <c r="E2279" s="14">
        <v>691</v>
      </c>
      <c r="F2279" s="14">
        <v>6.3</v>
      </c>
      <c r="G2279" s="14">
        <v>14</v>
      </c>
      <c r="H2279" s="14">
        <v>85.64</v>
      </c>
      <c r="I2279" s="15">
        <v>0.56000000000000005</v>
      </c>
    </row>
    <row r="2280" spans="1:9" x14ac:dyDescent="0.25">
      <c r="A2280" s="12">
        <v>51</v>
      </c>
      <c r="B2280" s="13">
        <v>45155</v>
      </c>
      <c r="C2280" s="14">
        <v>29.6</v>
      </c>
      <c r="D2280" s="14">
        <v>77</v>
      </c>
      <c r="E2280" s="14">
        <v>776</v>
      </c>
      <c r="F2280" s="14">
        <v>6.6</v>
      </c>
      <c r="G2280" s="14">
        <v>15</v>
      </c>
      <c r="H2280" s="14">
        <v>85.28</v>
      </c>
      <c r="I2280" s="15">
        <v>0.77</v>
      </c>
    </row>
    <row r="2281" spans="1:9" x14ac:dyDescent="0.25">
      <c r="A2281" s="12">
        <v>51</v>
      </c>
      <c r="B2281" s="13">
        <v>45156</v>
      </c>
      <c r="C2281" s="14">
        <v>30.9</v>
      </c>
      <c r="D2281" s="14">
        <v>62</v>
      </c>
      <c r="E2281" s="14">
        <v>696</v>
      </c>
      <c r="F2281" s="14">
        <v>6.2</v>
      </c>
      <c r="G2281" s="14">
        <v>16</v>
      </c>
      <c r="H2281" s="14">
        <v>87.62</v>
      </c>
      <c r="I2281" s="15">
        <v>0.62</v>
      </c>
    </row>
    <row r="2282" spans="1:9" x14ac:dyDescent="0.25">
      <c r="A2282" s="12">
        <v>51</v>
      </c>
      <c r="B2282" s="13">
        <v>45157</v>
      </c>
      <c r="C2282" s="14">
        <v>30.8</v>
      </c>
      <c r="D2282" s="14">
        <v>61</v>
      </c>
      <c r="E2282" s="14">
        <v>646</v>
      </c>
      <c r="F2282" s="14">
        <v>6.6</v>
      </c>
      <c r="G2282" s="14">
        <v>17</v>
      </c>
      <c r="H2282" s="14">
        <v>87.44</v>
      </c>
      <c r="I2282" s="15">
        <v>0.61</v>
      </c>
    </row>
    <row r="2283" spans="1:9" x14ac:dyDescent="0.25">
      <c r="A2283" s="12">
        <v>51</v>
      </c>
      <c r="B2283" s="13">
        <v>45158</v>
      </c>
      <c r="C2283" s="14">
        <v>30.9</v>
      </c>
      <c r="D2283" s="14">
        <v>66</v>
      </c>
      <c r="E2283" s="14">
        <v>717</v>
      </c>
      <c r="F2283" s="14">
        <v>6.5</v>
      </c>
      <c r="G2283" s="14">
        <v>18</v>
      </c>
      <c r="H2283" s="14">
        <v>87.62</v>
      </c>
      <c r="I2283" s="15">
        <v>0.66</v>
      </c>
    </row>
    <row r="2284" spans="1:9" x14ac:dyDescent="0.25">
      <c r="A2284" s="12">
        <v>51</v>
      </c>
      <c r="B2284" s="13">
        <v>45159</v>
      </c>
      <c r="C2284" s="14">
        <v>30.2</v>
      </c>
      <c r="D2284" s="14">
        <v>53</v>
      </c>
      <c r="E2284" s="14">
        <v>542</v>
      </c>
      <c r="F2284" s="14">
        <v>6.6</v>
      </c>
      <c r="G2284" s="14">
        <v>19</v>
      </c>
      <c r="H2284" s="14">
        <v>86.36</v>
      </c>
      <c r="I2284" s="15">
        <v>0.53</v>
      </c>
    </row>
    <row r="2285" spans="1:9" x14ac:dyDescent="0.25">
      <c r="A2285" s="12">
        <v>51</v>
      </c>
      <c r="B2285" s="13">
        <v>45160</v>
      </c>
      <c r="C2285" s="14">
        <v>30.5</v>
      </c>
      <c r="D2285" s="14">
        <v>54</v>
      </c>
      <c r="E2285" s="14">
        <v>782</v>
      </c>
      <c r="F2285" s="14">
        <v>6.6</v>
      </c>
      <c r="G2285" s="14">
        <v>20</v>
      </c>
      <c r="H2285" s="14">
        <v>86.9</v>
      </c>
      <c r="I2285" s="15">
        <v>0.54</v>
      </c>
    </row>
    <row r="2286" spans="1:9" x14ac:dyDescent="0.25">
      <c r="A2286" s="12">
        <v>51</v>
      </c>
      <c r="B2286" s="13">
        <v>45161</v>
      </c>
      <c r="C2286" s="14">
        <v>30.8</v>
      </c>
      <c r="D2286" s="14">
        <v>55</v>
      </c>
      <c r="E2286" s="14">
        <v>714</v>
      </c>
      <c r="F2286" s="14">
        <v>6</v>
      </c>
      <c r="G2286" s="14">
        <v>21</v>
      </c>
      <c r="H2286" s="14">
        <v>87.44</v>
      </c>
      <c r="I2286" s="15">
        <v>0.55000000000000004</v>
      </c>
    </row>
    <row r="2287" spans="1:9" x14ac:dyDescent="0.25">
      <c r="A2287" s="12">
        <v>51</v>
      </c>
      <c r="B2287" s="13">
        <v>45162</v>
      </c>
      <c r="C2287" s="14">
        <v>31.3</v>
      </c>
      <c r="D2287" s="14">
        <v>63</v>
      </c>
      <c r="E2287" s="14">
        <v>505</v>
      </c>
      <c r="F2287" s="14">
        <v>6.6</v>
      </c>
      <c r="G2287" s="14">
        <v>22</v>
      </c>
      <c r="H2287" s="14">
        <v>88.34</v>
      </c>
      <c r="I2287" s="15">
        <v>0.63</v>
      </c>
    </row>
    <row r="2288" spans="1:9" x14ac:dyDescent="0.25">
      <c r="A2288" s="12">
        <v>51</v>
      </c>
      <c r="B2288" s="13">
        <v>45163</v>
      </c>
      <c r="C2288" s="14">
        <v>31.4</v>
      </c>
      <c r="D2288" s="14">
        <v>59</v>
      </c>
      <c r="E2288" s="14">
        <v>673</v>
      </c>
      <c r="F2288" s="14">
        <v>6.3</v>
      </c>
      <c r="G2288" s="14">
        <v>23</v>
      </c>
      <c r="H2288" s="14">
        <v>88.52</v>
      </c>
      <c r="I2288" s="15">
        <v>0.59</v>
      </c>
    </row>
    <row r="2289" spans="1:9" x14ac:dyDescent="0.25">
      <c r="A2289" s="12">
        <v>51</v>
      </c>
      <c r="B2289" s="13">
        <v>45164</v>
      </c>
      <c r="C2289" s="14">
        <v>31.4</v>
      </c>
      <c r="D2289" s="14">
        <v>75</v>
      </c>
      <c r="E2289" s="14">
        <v>727</v>
      </c>
      <c r="F2289" s="14">
        <v>6.1</v>
      </c>
      <c r="G2289" s="14">
        <v>24</v>
      </c>
      <c r="H2289" s="14">
        <v>88.52</v>
      </c>
      <c r="I2289" s="15">
        <v>0.75</v>
      </c>
    </row>
    <row r="2290" spans="1:9" x14ac:dyDescent="0.25">
      <c r="A2290" s="12">
        <v>51</v>
      </c>
      <c r="B2290" s="13">
        <v>45165</v>
      </c>
      <c r="C2290" s="14">
        <v>30.1</v>
      </c>
      <c r="D2290" s="14">
        <v>65</v>
      </c>
      <c r="E2290" s="14">
        <v>762</v>
      </c>
      <c r="F2290" s="14">
        <v>6.6</v>
      </c>
      <c r="G2290" s="14">
        <v>25</v>
      </c>
      <c r="H2290" s="14">
        <v>86.18</v>
      </c>
      <c r="I2290" s="15">
        <v>0.65</v>
      </c>
    </row>
    <row r="2291" spans="1:9" x14ac:dyDescent="0.25">
      <c r="A2291" s="12">
        <v>51</v>
      </c>
      <c r="B2291" s="13">
        <v>45166</v>
      </c>
      <c r="C2291" s="14">
        <v>29.4</v>
      </c>
      <c r="D2291" s="14">
        <v>66</v>
      </c>
      <c r="E2291" s="14">
        <v>668</v>
      </c>
      <c r="F2291" s="14">
        <v>6</v>
      </c>
      <c r="G2291" s="14">
        <v>26</v>
      </c>
      <c r="H2291" s="14">
        <v>84.92</v>
      </c>
      <c r="I2291" s="15">
        <v>0.66</v>
      </c>
    </row>
    <row r="2292" spans="1:9" x14ac:dyDescent="0.25">
      <c r="A2292" s="12">
        <v>51</v>
      </c>
      <c r="B2292" s="13">
        <v>45167</v>
      </c>
      <c r="C2292" s="14">
        <v>28.7</v>
      </c>
      <c r="D2292" s="14">
        <v>62</v>
      </c>
      <c r="E2292" s="14">
        <v>781</v>
      </c>
      <c r="F2292" s="14">
        <v>6.6</v>
      </c>
      <c r="G2292" s="14">
        <v>27</v>
      </c>
      <c r="H2292" s="14">
        <v>83.66</v>
      </c>
      <c r="I2292" s="15">
        <v>0.62</v>
      </c>
    </row>
    <row r="2293" spans="1:9" x14ac:dyDescent="0.25">
      <c r="A2293" s="12">
        <v>51</v>
      </c>
      <c r="B2293" s="13">
        <v>45168</v>
      </c>
      <c r="C2293" s="14">
        <v>29.1</v>
      </c>
      <c r="D2293" s="14">
        <v>58</v>
      </c>
      <c r="E2293" s="14">
        <v>674</v>
      </c>
      <c r="F2293" s="14">
        <v>6.7</v>
      </c>
      <c r="G2293" s="14">
        <v>28</v>
      </c>
      <c r="H2293" s="14">
        <v>84.38</v>
      </c>
      <c r="I2293" s="15">
        <v>0.57999999999999996</v>
      </c>
    </row>
    <row r="2294" spans="1:9" x14ac:dyDescent="0.25">
      <c r="A2294" s="12">
        <v>51</v>
      </c>
      <c r="B2294" s="13">
        <v>45169</v>
      </c>
      <c r="C2294" s="14">
        <v>29.2</v>
      </c>
      <c r="D2294" s="14">
        <v>66</v>
      </c>
      <c r="E2294" s="14">
        <v>418</v>
      </c>
      <c r="F2294" s="14">
        <v>6.4</v>
      </c>
      <c r="G2294" s="14">
        <v>29</v>
      </c>
      <c r="H2294" s="14">
        <v>84.56</v>
      </c>
      <c r="I2294" s="15">
        <v>0.66</v>
      </c>
    </row>
    <row r="2295" spans="1:9" x14ac:dyDescent="0.25">
      <c r="A2295" s="12">
        <v>51</v>
      </c>
      <c r="B2295" s="13">
        <v>45170</v>
      </c>
      <c r="C2295" s="14">
        <v>31.7</v>
      </c>
      <c r="D2295" s="14">
        <v>58</v>
      </c>
      <c r="E2295" s="14">
        <v>762</v>
      </c>
      <c r="F2295" s="14">
        <v>6.5</v>
      </c>
      <c r="G2295" s="14">
        <v>30</v>
      </c>
      <c r="H2295" s="14">
        <v>89.06</v>
      </c>
      <c r="I2295" s="15">
        <v>0.57999999999999996</v>
      </c>
    </row>
    <row r="2296" spans="1:9" x14ac:dyDescent="0.25">
      <c r="A2296" s="12">
        <v>51</v>
      </c>
      <c r="B2296" s="13">
        <v>45171</v>
      </c>
      <c r="C2296" s="14">
        <v>31.7</v>
      </c>
      <c r="D2296" s="14">
        <v>58</v>
      </c>
      <c r="E2296" s="14">
        <v>432</v>
      </c>
      <c r="F2296" s="14">
        <v>6.4</v>
      </c>
      <c r="G2296" s="14">
        <v>31</v>
      </c>
      <c r="H2296" s="14">
        <v>89.06</v>
      </c>
      <c r="I2296" s="15">
        <v>0.57999999999999996</v>
      </c>
    </row>
    <row r="2297" spans="1:9" x14ac:dyDescent="0.25">
      <c r="A2297" s="12">
        <v>51</v>
      </c>
      <c r="B2297" s="13">
        <v>45172</v>
      </c>
      <c r="C2297" s="14">
        <v>31.7</v>
      </c>
      <c r="D2297" s="14">
        <v>62</v>
      </c>
      <c r="E2297" s="14">
        <v>633</v>
      </c>
      <c r="F2297" s="14">
        <v>6.7</v>
      </c>
      <c r="G2297" s="14">
        <v>32</v>
      </c>
      <c r="H2297" s="14">
        <v>89.06</v>
      </c>
      <c r="I2297" s="15">
        <v>0.62</v>
      </c>
    </row>
    <row r="2298" spans="1:9" x14ac:dyDescent="0.25">
      <c r="A2298" s="12">
        <v>51</v>
      </c>
      <c r="B2298" s="13">
        <v>45173</v>
      </c>
      <c r="C2298" s="14">
        <v>31.7</v>
      </c>
      <c r="D2298" s="14">
        <v>69</v>
      </c>
      <c r="E2298" s="14">
        <v>750</v>
      </c>
      <c r="F2298" s="14">
        <v>6.3</v>
      </c>
      <c r="G2298" s="14">
        <v>33</v>
      </c>
      <c r="H2298" s="14">
        <v>89.06</v>
      </c>
      <c r="I2298" s="15">
        <v>0.69</v>
      </c>
    </row>
    <row r="2299" spans="1:9" x14ac:dyDescent="0.25">
      <c r="A2299" s="12">
        <v>51</v>
      </c>
      <c r="B2299" s="13">
        <v>45174</v>
      </c>
      <c r="C2299" s="14">
        <v>32</v>
      </c>
      <c r="D2299" s="14">
        <v>50</v>
      </c>
      <c r="E2299" s="14">
        <v>785</v>
      </c>
      <c r="F2299" s="14">
        <v>6.6</v>
      </c>
      <c r="G2299" s="14">
        <v>34</v>
      </c>
      <c r="H2299" s="14">
        <v>89.6</v>
      </c>
      <c r="I2299" s="15">
        <v>0.5</v>
      </c>
    </row>
    <row r="2300" spans="1:9" x14ac:dyDescent="0.25">
      <c r="A2300" s="12">
        <v>51</v>
      </c>
      <c r="B2300" s="13">
        <v>45175</v>
      </c>
      <c r="C2300" s="14">
        <v>32.1</v>
      </c>
      <c r="D2300" s="14">
        <v>54</v>
      </c>
      <c r="E2300" s="14">
        <v>421</v>
      </c>
      <c r="F2300" s="14">
        <v>6.6</v>
      </c>
      <c r="G2300" s="14">
        <v>35</v>
      </c>
      <c r="H2300" s="14">
        <v>89.78</v>
      </c>
      <c r="I2300" s="15">
        <v>0.54</v>
      </c>
    </row>
    <row r="2301" spans="1:9" x14ac:dyDescent="0.25">
      <c r="A2301" s="12">
        <v>51</v>
      </c>
      <c r="B2301" s="13">
        <v>45176</v>
      </c>
      <c r="C2301" s="14">
        <v>31.5</v>
      </c>
      <c r="D2301" s="14">
        <v>72</v>
      </c>
      <c r="E2301" s="14">
        <v>577</v>
      </c>
      <c r="F2301" s="14">
        <v>6.6</v>
      </c>
      <c r="G2301" s="14">
        <v>36</v>
      </c>
      <c r="H2301" s="14">
        <v>88.7</v>
      </c>
      <c r="I2301" s="15">
        <v>0.72</v>
      </c>
    </row>
    <row r="2302" spans="1:9" x14ac:dyDescent="0.25">
      <c r="A2302" s="12">
        <v>51</v>
      </c>
      <c r="B2302" s="13">
        <v>45177</v>
      </c>
      <c r="C2302" s="14">
        <v>29.8</v>
      </c>
      <c r="D2302" s="14">
        <v>51</v>
      </c>
      <c r="E2302" s="14">
        <v>518</v>
      </c>
      <c r="F2302" s="14">
        <v>6.7</v>
      </c>
      <c r="G2302" s="14">
        <v>37</v>
      </c>
      <c r="H2302" s="14">
        <v>85.64</v>
      </c>
      <c r="I2302" s="15">
        <v>0.51</v>
      </c>
    </row>
    <row r="2303" spans="1:9" x14ac:dyDescent="0.25">
      <c r="A2303" s="12">
        <v>51</v>
      </c>
      <c r="B2303" s="13">
        <v>45178</v>
      </c>
      <c r="C2303" s="14">
        <v>20.100000000000001</v>
      </c>
      <c r="D2303" s="14">
        <v>54</v>
      </c>
      <c r="E2303" s="14">
        <v>457</v>
      </c>
      <c r="F2303" s="14">
        <v>6.4</v>
      </c>
      <c r="G2303" s="14">
        <v>38</v>
      </c>
      <c r="H2303" s="14">
        <v>68.180000000000007</v>
      </c>
      <c r="I2303" s="15">
        <v>0.54</v>
      </c>
    </row>
    <row r="2304" spans="1:9" x14ac:dyDescent="0.25">
      <c r="A2304" s="12">
        <v>51</v>
      </c>
      <c r="B2304" s="13">
        <v>45179</v>
      </c>
      <c r="C2304" s="14">
        <v>31.1</v>
      </c>
      <c r="D2304" s="14">
        <v>68</v>
      </c>
      <c r="E2304" s="14">
        <v>535</v>
      </c>
      <c r="F2304" s="14">
        <v>6.6</v>
      </c>
      <c r="G2304" s="14">
        <v>39</v>
      </c>
      <c r="H2304" s="14">
        <v>87.98</v>
      </c>
      <c r="I2304" s="15">
        <v>0.68</v>
      </c>
    </row>
    <row r="2305" spans="1:9" x14ac:dyDescent="0.25">
      <c r="A2305" s="12">
        <v>51</v>
      </c>
      <c r="B2305" s="13">
        <v>45180</v>
      </c>
      <c r="C2305" s="14">
        <v>31.2</v>
      </c>
      <c r="D2305" s="14">
        <v>71</v>
      </c>
      <c r="E2305" s="14">
        <v>571</v>
      </c>
      <c r="F2305" s="14">
        <v>6.5</v>
      </c>
      <c r="G2305" s="14">
        <v>40</v>
      </c>
      <c r="H2305" s="14">
        <v>88.16</v>
      </c>
      <c r="I2305" s="15">
        <v>0.71</v>
      </c>
    </row>
    <row r="2306" spans="1:9" x14ac:dyDescent="0.25">
      <c r="A2306" s="12">
        <v>51</v>
      </c>
      <c r="B2306" s="13">
        <v>45181</v>
      </c>
      <c r="C2306" s="14">
        <v>31.2</v>
      </c>
      <c r="D2306" s="14">
        <v>50</v>
      </c>
      <c r="E2306" s="14">
        <v>433</v>
      </c>
      <c r="F2306" s="14">
        <v>6.2</v>
      </c>
      <c r="G2306" s="14">
        <v>41</v>
      </c>
      <c r="H2306" s="14">
        <v>88.16</v>
      </c>
      <c r="I2306" s="15">
        <v>0.5</v>
      </c>
    </row>
    <row r="2307" spans="1:9" x14ac:dyDescent="0.25">
      <c r="A2307" s="12">
        <v>51</v>
      </c>
      <c r="B2307" s="13">
        <v>45182</v>
      </c>
      <c r="C2307" s="14">
        <v>30.4</v>
      </c>
      <c r="D2307" s="14">
        <v>54</v>
      </c>
      <c r="E2307" s="14">
        <v>579</v>
      </c>
      <c r="F2307" s="14">
        <v>6.2</v>
      </c>
      <c r="G2307" s="14">
        <v>42</v>
      </c>
      <c r="H2307" s="14">
        <v>86.72</v>
      </c>
      <c r="I2307" s="15">
        <v>0.54</v>
      </c>
    </row>
    <row r="2308" spans="1:9" x14ac:dyDescent="0.25">
      <c r="A2308" s="12">
        <v>51</v>
      </c>
      <c r="B2308" s="13">
        <v>45183</v>
      </c>
      <c r="C2308" s="14">
        <v>29.1</v>
      </c>
      <c r="D2308" s="14">
        <v>55</v>
      </c>
      <c r="E2308" s="14">
        <v>482</v>
      </c>
      <c r="F2308" s="14">
        <v>6.5</v>
      </c>
      <c r="G2308" s="14">
        <v>43</v>
      </c>
      <c r="H2308" s="14">
        <v>84.38</v>
      </c>
      <c r="I2308" s="15">
        <v>0.55000000000000004</v>
      </c>
    </row>
    <row r="2309" spans="1:9" x14ac:dyDescent="0.25">
      <c r="A2309" s="12">
        <v>51</v>
      </c>
      <c r="B2309" s="13">
        <v>45184</v>
      </c>
      <c r="C2309" s="14">
        <v>30.6</v>
      </c>
      <c r="D2309" s="14">
        <v>69</v>
      </c>
      <c r="E2309" s="14">
        <v>740</v>
      </c>
      <c r="F2309" s="14">
        <v>6.4</v>
      </c>
      <c r="G2309" s="14">
        <v>44</v>
      </c>
      <c r="H2309" s="14">
        <v>87.08</v>
      </c>
      <c r="I2309" s="15">
        <v>0.69</v>
      </c>
    </row>
    <row r="2310" spans="1:9" x14ac:dyDescent="0.25">
      <c r="A2310" s="12">
        <v>51</v>
      </c>
      <c r="B2310" s="13">
        <v>45185</v>
      </c>
      <c r="C2310" s="14">
        <v>31.5</v>
      </c>
      <c r="D2310" s="14">
        <v>72</v>
      </c>
      <c r="E2310" s="14">
        <v>575</v>
      </c>
      <c r="F2310" s="14">
        <v>6.2</v>
      </c>
      <c r="G2310" s="14">
        <v>45</v>
      </c>
      <c r="H2310" s="14">
        <v>88.7</v>
      </c>
      <c r="I2310" s="15">
        <v>0.72</v>
      </c>
    </row>
    <row r="2311" spans="1:9" x14ac:dyDescent="0.25">
      <c r="A2311" s="12">
        <v>52</v>
      </c>
      <c r="B2311" s="13">
        <v>45141</v>
      </c>
      <c r="C2311" s="14">
        <v>18.600000000000001</v>
      </c>
      <c r="D2311" s="14">
        <v>53</v>
      </c>
      <c r="E2311" s="14">
        <v>547</v>
      </c>
      <c r="F2311" s="14">
        <v>6.6</v>
      </c>
      <c r="G2311" s="14">
        <v>1</v>
      </c>
      <c r="H2311" s="14">
        <v>65.48</v>
      </c>
      <c r="I2311" s="15">
        <v>0.53</v>
      </c>
    </row>
    <row r="2312" spans="1:9" x14ac:dyDescent="0.25">
      <c r="A2312" s="12">
        <v>52</v>
      </c>
      <c r="B2312" s="13">
        <v>45142</v>
      </c>
      <c r="C2312" s="14">
        <v>22.9</v>
      </c>
      <c r="D2312" s="14">
        <v>62</v>
      </c>
      <c r="E2312" s="14">
        <v>783</v>
      </c>
      <c r="F2312" s="14">
        <v>6.4</v>
      </c>
      <c r="G2312" s="14">
        <v>2</v>
      </c>
      <c r="H2312" s="14">
        <v>73.22</v>
      </c>
      <c r="I2312" s="15">
        <v>0.62</v>
      </c>
    </row>
    <row r="2313" spans="1:9" x14ac:dyDescent="0.25">
      <c r="A2313" s="12">
        <v>52</v>
      </c>
      <c r="B2313" s="13">
        <v>45143</v>
      </c>
      <c r="C2313" s="14">
        <v>24.4</v>
      </c>
      <c r="D2313" s="14">
        <v>67</v>
      </c>
      <c r="E2313" s="14">
        <v>710</v>
      </c>
      <c r="F2313" s="14">
        <v>6</v>
      </c>
      <c r="G2313" s="14">
        <v>3</v>
      </c>
      <c r="H2313" s="14">
        <v>75.92</v>
      </c>
      <c r="I2313" s="15">
        <v>0.67</v>
      </c>
    </row>
    <row r="2314" spans="1:9" x14ac:dyDescent="0.25">
      <c r="A2314" s="12">
        <v>52</v>
      </c>
      <c r="B2314" s="13">
        <v>45144</v>
      </c>
      <c r="C2314" s="14">
        <v>18.7</v>
      </c>
      <c r="D2314" s="14">
        <v>74</v>
      </c>
      <c r="E2314" s="14">
        <v>556</v>
      </c>
      <c r="F2314" s="14">
        <v>6.1</v>
      </c>
      <c r="G2314" s="14">
        <v>4</v>
      </c>
      <c r="H2314" s="14">
        <v>65.66</v>
      </c>
      <c r="I2314" s="15">
        <v>0.74</v>
      </c>
    </row>
    <row r="2315" spans="1:9" x14ac:dyDescent="0.25">
      <c r="A2315" s="12">
        <v>52</v>
      </c>
      <c r="B2315" s="13">
        <v>45145</v>
      </c>
      <c r="C2315" s="14">
        <v>24.3</v>
      </c>
      <c r="D2315" s="14">
        <v>77</v>
      </c>
      <c r="E2315" s="14">
        <v>775</v>
      </c>
      <c r="F2315" s="14">
        <v>6.2</v>
      </c>
      <c r="G2315" s="14">
        <v>5</v>
      </c>
      <c r="H2315" s="14">
        <v>75.739999999999995</v>
      </c>
      <c r="I2315" s="15">
        <v>0.77</v>
      </c>
    </row>
    <row r="2316" spans="1:9" x14ac:dyDescent="0.25">
      <c r="A2316" s="12">
        <v>52</v>
      </c>
      <c r="B2316" s="13">
        <v>45146</v>
      </c>
      <c r="C2316" s="14">
        <v>18.600000000000001</v>
      </c>
      <c r="D2316" s="14">
        <v>73</v>
      </c>
      <c r="E2316" s="14">
        <v>481</v>
      </c>
      <c r="F2316" s="14">
        <v>6.5</v>
      </c>
      <c r="G2316" s="14">
        <v>6</v>
      </c>
      <c r="H2316" s="14">
        <v>65.48</v>
      </c>
      <c r="I2316" s="15">
        <v>0.73</v>
      </c>
    </row>
    <row r="2317" spans="1:9" x14ac:dyDescent="0.25">
      <c r="A2317" s="12">
        <v>52</v>
      </c>
      <c r="B2317" s="13">
        <v>45147</v>
      </c>
      <c r="C2317" s="14">
        <v>22.4</v>
      </c>
      <c r="D2317" s="14">
        <v>68</v>
      </c>
      <c r="E2317" s="14">
        <v>452</v>
      </c>
      <c r="F2317" s="14">
        <v>6.4</v>
      </c>
      <c r="G2317" s="14">
        <v>7</v>
      </c>
      <c r="H2317" s="14">
        <v>72.319999999999993</v>
      </c>
      <c r="I2317" s="15">
        <v>0.68</v>
      </c>
    </row>
    <row r="2318" spans="1:9" x14ac:dyDescent="0.25">
      <c r="A2318" s="12">
        <v>52</v>
      </c>
      <c r="B2318" s="13">
        <v>45148</v>
      </c>
      <c r="C2318" s="14">
        <v>23.4</v>
      </c>
      <c r="D2318" s="14">
        <v>78</v>
      </c>
      <c r="E2318" s="14">
        <v>711</v>
      </c>
      <c r="F2318" s="14">
        <v>6.7</v>
      </c>
      <c r="G2318" s="14">
        <v>8</v>
      </c>
      <c r="H2318" s="14">
        <v>74.12</v>
      </c>
      <c r="I2318" s="15">
        <v>0.78</v>
      </c>
    </row>
    <row r="2319" spans="1:9" x14ac:dyDescent="0.25">
      <c r="A2319" s="12">
        <v>52</v>
      </c>
      <c r="B2319" s="13">
        <v>45149</v>
      </c>
      <c r="C2319" s="14">
        <v>19.100000000000001</v>
      </c>
      <c r="D2319" s="14">
        <v>66</v>
      </c>
      <c r="E2319" s="14">
        <v>730</v>
      </c>
      <c r="F2319" s="14">
        <v>6.3</v>
      </c>
      <c r="G2319" s="14">
        <v>9</v>
      </c>
      <c r="H2319" s="14">
        <v>66.38</v>
      </c>
      <c r="I2319" s="15">
        <v>0.66</v>
      </c>
    </row>
    <row r="2320" spans="1:9" x14ac:dyDescent="0.25">
      <c r="A2320" s="12">
        <v>52</v>
      </c>
      <c r="B2320" s="13">
        <v>45150</v>
      </c>
      <c r="C2320" s="14">
        <v>21.9</v>
      </c>
      <c r="D2320" s="14">
        <v>65</v>
      </c>
      <c r="E2320" s="14">
        <v>431</v>
      </c>
      <c r="F2320" s="14">
        <v>6.4</v>
      </c>
      <c r="G2320" s="14">
        <v>10</v>
      </c>
      <c r="H2320" s="14">
        <v>71.42</v>
      </c>
      <c r="I2320" s="15">
        <v>0.65</v>
      </c>
    </row>
    <row r="2321" spans="1:9" x14ac:dyDescent="0.25">
      <c r="A2321" s="12">
        <v>52</v>
      </c>
      <c r="B2321" s="13">
        <v>45151</v>
      </c>
      <c r="C2321" s="14">
        <v>21.2</v>
      </c>
      <c r="D2321" s="14">
        <v>51</v>
      </c>
      <c r="E2321" s="14">
        <v>520</v>
      </c>
      <c r="F2321" s="14">
        <v>6.4</v>
      </c>
      <c r="G2321" s="14">
        <v>11</v>
      </c>
      <c r="H2321" s="14">
        <v>70.16</v>
      </c>
      <c r="I2321" s="15">
        <v>0.51</v>
      </c>
    </row>
    <row r="2322" spans="1:9" x14ac:dyDescent="0.25">
      <c r="A2322" s="12">
        <v>52</v>
      </c>
      <c r="B2322" s="13">
        <v>45152</v>
      </c>
      <c r="C2322" s="14">
        <v>24.9</v>
      </c>
      <c r="D2322" s="14">
        <v>70</v>
      </c>
      <c r="E2322" s="14">
        <v>797</v>
      </c>
      <c r="F2322" s="14">
        <v>6</v>
      </c>
      <c r="G2322" s="14">
        <v>12</v>
      </c>
      <c r="H2322" s="14">
        <v>76.819999999999993</v>
      </c>
      <c r="I2322" s="15">
        <v>0.7</v>
      </c>
    </row>
    <row r="2323" spans="1:9" x14ac:dyDescent="0.25">
      <c r="A2323" s="12">
        <v>52</v>
      </c>
      <c r="B2323" s="13">
        <v>45153</v>
      </c>
      <c r="C2323" s="14">
        <v>19.100000000000001</v>
      </c>
      <c r="D2323" s="14">
        <v>55</v>
      </c>
      <c r="E2323" s="14">
        <v>441</v>
      </c>
      <c r="F2323" s="14">
        <v>6.1</v>
      </c>
      <c r="G2323" s="14">
        <v>13</v>
      </c>
      <c r="H2323" s="14">
        <v>66.38</v>
      </c>
      <c r="I2323" s="15">
        <v>0.55000000000000004</v>
      </c>
    </row>
    <row r="2324" spans="1:9" x14ac:dyDescent="0.25">
      <c r="A2324" s="12">
        <v>52</v>
      </c>
      <c r="B2324" s="13">
        <v>45154</v>
      </c>
      <c r="C2324" s="14">
        <v>18.399999999999999</v>
      </c>
      <c r="D2324" s="14">
        <v>78</v>
      </c>
      <c r="E2324" s="14">
        <v>710</v>
      </c>
      <c r="F2324" s="14">
        <v>6.3</v>
      </c>
      <c r="G2324" s="14">
        <v>14</v>
      </c>
      <c r="H2324" s="14">
        <v>65.12</v>
      </c>
      <c r="I2324" s="15">
        <v>0.78</v>
      </c>
    </row>
    <row r="2325" spans="1:9" x14ac:dyDescent="0.25">
      <c r="A2325" s="12">
        <v>52</v>
      </c>
      <c r="B2325" s="13">
        <v>45155</v>
      </c>
      <c r="C2325" s="14">
        <v>22.5</v>
      </c>
      <c r="D2325" s="14">
        <v>80</v>
      </c>
      <c r="E2325" s="14">
        <v>408</v>
      </c>
      <c r="F2325" s="14">
        <v>6.1</v>
      </c>
      <c r="G2325" s="14">
        <v>15</v>
      </c>
      <c r="H2325" s="14">
        <v>72.5</v>
      </c>
      <c r="I2325" s="15">
        <v>0.8</v>
      </c>
    </row>
    <row r="2326" spans="1:9" x14ac:dyDescent="0.25">
      <c r="A2326" s="12">
        <v>52</v>
      </c>
      <c r="B2326" s="13">
        <v>45156</v>
      </c>
      <c r="C2326" s="14">
        <v>18.3</v>
      </c>
      <c r="D2326" s="14">
        <v>70</v>
      </c>
      <c r="E2326" s="14">
        <v>510</v>
      </c>
      <c r="F2326" s="14">
        <v>6.6</v>
      </c>
      <c r="G2326" s="14">
        <v>16</v>
      </c>
      <c r="H2326" s="14">
        <v>64.94</v>
      </c>
      <c r="I2326" s="15">
        <v>0.7</v>
      </c>
    </row>
    <row r="2327" spans="1:9" x14ac:dyDescent="0.25">
      <c r="A2327" s="12">
        <v>52</v>
      </c>
      <c r="B2327" s="13">
        <v>45157</v>
      </c>
      <c r="C2327" s="14">
        <v>21</v>
      </c>
      <c r="D2327" s="14">
        <v>72</v>
      </c>
      <c r="E2327" s="14">
        <v>754</v>
      </c>
      <c r="F2327" s="14">
        <v>6.8</v>
      </c>
      <c r="G2327" s="14">
        <v>17</v>
      </c>
      <c r="H2327" s="14">
        <v>69.8</v>
      </c>
      <c r="I2327" s="15">
        <v>0.72</v>
      </c>
    </row>
    <row r="2328" spans="1:9" x14ac:dyDescent="0.25">
      <c r="A2328" s="12">
        <v>52</v>
      </c>
      <c r="B2328" s="13">
        <v>45158</v>
      </c>
      <c r="C2328" s="14">
        <v>18.7</v>
      </c>
      <c r="D2328" s="14">
        <v>68</v>
      </c>
      <c r="E2328" s="14">
        <v>529</v>
      </c>
      <c r="F2328" s="14">
        <v>6.4</v>
      </c>
      <c r="G2328" s="14">
        <v>18</v>
      </c>
      <c r="H2328" s="14">
        <v>65.66</v>
      </c>
      <c r="I2328" s="15">
        <v>0.68</v>
      </c>
    </row>
    <row r="2329" spans="1:9" x14ac:dyDescent="0.25">
      <c r="A2329" s="12">
        <v>52</v>
      </c>
      <c r="B2329" s="13">
        <v>45159</v>
      </c>
      <c r="C2329" s="14">
        <v>23.5</v>
      </c>
      <c r="D2329" s="14">
        <v>67</v>
      </c>
      <c r="E2329" s="14">
        <v>506</v>
      </c>
      <c r="F2329" s="14">
        <v>6.4</v>
      </c>
      <c r="G2329" s="14">
        <v>19</v>
      </c>
      <c r="H2329" s="14">
        <v>74.3</v>
      </c>
      <c r="I2329" s="15">
        <v>0.67</v>
      </c>
    </row>
    <row r="2330" spans="1:9" x14ac:dyDescent="0.25">
      <c r="A2330" s="12">
        <v>52</v>
      </c>
      <c r="B2330" s="13">
        <v>45160</v>
      </c>
      <c r="C2330" s="14">
        <v>18.399999999999999</v>
      </c>
      <c r="D2330" s="14">
        <v>66</v>
      </c>
      <c r="E2330" s="14">
        <v>747</v>
      </c>
      <c r="F2330" s="14">
        <v>6.7</v>
      </c>
      <c r="G2330" s="14">
        <v>20</v>
      </c>
      <c r="H2330" s="14">
        <v>65.12</v>
      </c>
      <c r="I2330" s="15">
        <v>0.66</v>
      </c>
    </row>
    <row r="2331" spans="1:9" x14ac:dyDescent="0.25">
      <c r="A2331" s="12">
        <v>52</v>
      </c>
      <c r="B2331" s="13">
        <v>45161</v>
      </c>
      <c r="C2331" s="14">
        <v>20.8</v>
      </c>
      <c r="D2331" s="14">
        <v>73</v>
      </c>
      <c r="E2331" s="14">
        <v>662</v>
      </c>
      <c r="F2331" s="14">
        <v>6.4</v>
      </c>
      <c r="G2331" s="14">
        <v>21</v>
      </c>
      <c r="H2331" s="14">
        <v>69.44</v>
      </c>
      <c r="I2331" s="15">
        <v>0.73</v>
      </c>
    </row>
    <row r="2332" spans="1:9" x14ac:dyDescent="0.25">
      <c r="A2332" s="12">
        <v>52</v>
      </c>
      <c r="B2332" s="13">
        <v>45162</v>
      </c>
      <c r="C2332" s="14">
        <v>22.6</v>
      </c>
      <c r="D2332" s="14">
        <v>74</v>
      </c>
      <c r="E2332" s="14">
        <v>523</v>
      </c>
      <c r="F2332" s="14">
        <v>6.4</v>
      </c>
      <c r="G2332" s="14">
        <v>22</v>
      </c>
      <c r="H2332" s="14">
        <v>72.680000000000007</v>
      </c>
      <c r="I2332" s="15">
        <v>0.74</v>
      </c>
    </row>
    <row r="2333" spans="1:9" x14ac:dyDescent="0.25">
      <c r="A2333" s="12">
        <v>52</v>
      </c>
      <c r="B2333" s="13">
        <v>45163</v>
      </c>
      <c r="C2333" s="14">
        <v>22.7</v>
      </c>
      <c r="D2333" s="14">
        <v>62</v>
      </c>
      <c r="E2333" s="14">
        <v>666</v>
      </c>
      <c r="F2333" s="14">
        <v>6.5</v>
      </c>
      <c r="G2333" s="14">
        <v>23</v>
      </c>
      <c r="H2333" s="14">
        <v>72.86</v>
      </c>
      <c r="I2333" s="15">
        <v>0.62</v>
      </c>
    </row>
    <row r="2334" spans="1:9" x14ac:dyDescent="0.25">
      <c r="A2334" s="12">
        <v>52</v>
      </c>
      <c r="B2334" s="13">
        <v>45164</v>
      </c>
      <c r="C2334" s="14">
        <v>23.4</v>
      </c>
      <c r="D2334" s="14">
        <v>52</v>
      </c>
      <c r="E2334" s="14">
        <v>672</v>
      </c>
      <c r="F2334" s="14">
        <v>6</v>
      </c>
      <c r="G2334" s="14">
        <v>24</v>
      </c>
      <c r="H2334" s="14">
        <v>74.12</v>
      </c>
      <c r="I2334" s="15">
        <v>0.52</v>
      </c>
    </row>
    <row r="2335" spans="1:9" x14ac:dyDescent="0.25">
      <c r="A2335" s="12">
        <v>52</v>
      </c>
      <c r="B2335" s="13">
        <v>45165</v>
      </c>
      <c r="C2335" s="14">
        <v>19.3</v>
      </c>
      <c r="D2335" s="14">
        <v>69</v>
      </c>
      <c r="E2335" s="14">
        <v>652</v>
      </c>
      <c r="F2335" s="14">
        <v>6.7</v>
      </c>
      <c r="G2335" s="14">
        <v>25</v>
      </c>
      <c r="H2335" s="14">
        <v>66.739999999999995</v>
      </c>
      <c r="I2335" s="15">
        <v>0.69</v>
      </c>
    </row>
    <row r="2336" spans="1:9" x14ac:dyDescent="0.25">
      <c r="A2336" s="12">
        <v>52</v>
      </c>
      <c r="B2336" s="13">
        <v>45166</v>
      </c>
      <c r="C2336" s="14">
        <v>23.6</v>
      </c>
      <c r="D2336" s="14">
        <v>55</v>
      </c>
      <c r="E2336" s="14">
        <v>576</v>
      </c>
      <c r="F2336" s="14">
        <v>6.6</v>
      </c>
      <c r="G2336" s="14">
        <v>26</v>
      </c>
      <c r="H2336" s="14">
        <v>74.48</v>
      </c>
      <c r="I2336" s="15">
        <v>0.55000000000000004</v>
      </c>
    </row>
    <row r="2337" spans="1:9" x14ac:dyDescent="0.25">
      <c r="A2337" s="12">
        <v>52</v>
      </c>
      <c r="B2337" s="13">
        <v>45167</v>
      </c>
      <c r="C2337" s="14">
        <v>19.2</v>
      </c>
      <c r="D2337" s="14">
        <v>51</v>
      </c>
      <c r="E2337" s="14">
        <v>692</v>
      </c>
      <c r="F2337" s="14">
        <v>6.6</v>
      </c>
      <c r="G2337" s="14">
        <v>27</v>
      </c>
      <c r="H2337" s="14">
        <v>66.56</v>
      </c>
      <c r="I2337" s="15">
        <v>0.51</v>
      </c>
    </row>
    <row r="2338" spans="1:9" x14ac:dyDescent="0.25">
      <c r="A2338" s="12">
        <v>52</v>
      </c>
      <c r="B2338" s="13">
        <v>45168</v>
      </c>
      <c r="C2338" s="14">
        <v>21.5</v>
      </c>
      <c r="D2338" s="14">
        <v>63</v>
      </c>
      <c r="E2338" s="14">
        <v>585</v>
      </c>
      <c r="F2338" s="14">
        <v>6.6</v>
      </c>
      <c r="G2338" s="14">
        <v>28</v>
      </c>
      <c r="H2338" s="14">
        <v>70.7</v>
      </c>
      <c r="I2338" s="15">
        <v>0.63</v>
      </c>
    </row>
    <row r="2339" spans="1:9" x14ac:dyDescent="0.25">
      <c r="A2339" s="12">
        <v>52</v>
      </c>
      <c r="B2339" s="13">
        <v>45169</v>
      </c>
      <c r="C2339" s="14">
        <v>24.5</v>
      </c>
      <c r="D2339" s="14">
        <v>50</v>
      </c>
      <c r="E2339" s="14">
        <v>527</v>
      </c>
      <c r="F2339" s="14">
        <v>6.3</v>
      </c>
      <c r="G2339" s="14">
        <v>29</v>
      </c>
      <c r="H2339" s="14">
        <v>76.099999999999994</v>
      </c>
      <c r="I2339" s="15">
        <v>0.5</v>
      </c>
    </row>
    <row r="2340" spans="1:9" x14ac:dyDescent="0.25">
      <c r="A2340" s="12">
        <v>52</v>
      </c>
      <c r="B2340" s="13">
        <v>45170</v>
      </c>
      <c r="C2340" s="14">
        <v>23.7</v>
      </c>
      <c r="D2340" s="14">
        <v>59</v>
      </c>
      <c r="E2340" s="14">
        <v>746</v>
      </c>
      <c r="F2340" s="14">
        <v>6.5</v>
      </c>
      <c r="G2340" s="14">
        <v>30</v>
      </c>
      <c r="H2340" s="14">
        <v>74.66</v>
      </c>
      <c r="I2340" s="15">
        <v>0.59</v>
      </c>
    </row>
    <row r="2341" spans="1:9" x14ac:dyDescent="0.25">
      <c r="A2341" s="12">
        <v>52</v>
      </c>
      <c r="B2341" s="13">
        <v>45171</v>
      </c>
      <c r="C2341" s="14">
        <v>18.100000000000001</v>
      </c>
      <c r="D2341" s="14">
        <v>75</v>
      </c>
      <c r="E2341" s="14">
        <v>535</v>
      </c>
      <c r="F2341" s="14">
        <v>6.3</v>
      </c>
      <c r="G2341" s="14">
        <v>31</v>
      </c>
      <c r="H2341" s="14">
        <v>64.58</v>
      </c>
      <c r="I2341" s="15">
        <v>0.75</v>
      </c>
    </row>
    <row r="2342" spans="1:9" x14ac:dyDescent="0.25">
      <c r="A2342" s="12">
        <v>52</v>
      </c>
      <c r="B2342" s="13">
        <v>45172</v>
      </c>
      <c r="C2342" s="14">
        <v>18</v>
      </c>
      <c r="D2342" s="14">
        <v>54</v>
      </c>
      <c r="E2342" s="14">
        <v>736</v>
      </c>
      <c r="F2342" s="14">
        <v>6.4</v>
      </c>
      <c r="G2342" s="14">
        <v>32</v>
      </c>
      <c r="H2342" s="14">
        <v>64.400000000000006</v>
      </c>
      <c r="I2342" s="15">
        <v>0.54</v>
      </c>
    </row>
    <row r="2343" spans="1:9" x14ac:dyDescent="0.25">
      <c r="A2343" s="12">
        <v>52</v>
      </c>
      <c r="B2343" s="13">
        <v>45173</v>
      </c>
      <c r="C2343" s="14">
        <v>21</v>
      </c>
      <c r="D2343" s="14">
        <v>67</v>
      </c>
      <c r="E2343" s="14">
        <v>619</v>
      </c>
      <c r="F2343" s="14">
        <v>6.4</v>
      </c>
      <c r="G2343" s="14">
        <v>33</v>
      </c>
      <c r="H2343" s="14">
        <v>69.8</v>
      </c>
      <c r="I2343" s="15">
        <v>0.67</v>
      </c>
    </row>
    <row r="2344" spans="1:9" x14ac:dyDescent="0.25">
      <c r="A2344" s="12">
        <v>52</v>
      </c>
      <c r="B2344" s="13">
        <v>45174</v>
      </c>
      <c r="C2344" s="14">
        <v>19.7</v>
      </c>
      <c r="D2344" s="14">
        <v>57</v>
      </c>
      <c r="E2344" s="14">
        <v>762</v>
      </c>
      <c r="F2344" s="14">
        <v>6.4</v>
      </c>
      <c r="G2344" s="14">
        <v>34</v>
      </c>
      <c r="H2344" s="14">
        <v>67.459999999999994</v>
      </c>
      <c r="I2344" s="15">
        <v>0.56999999999999995</v>
      </c>
    </row>
    <row r="2345" spans="1:9" x14ac:dyDescent="0.25">
      <c r="A2345" s="12">
        <v>52</v>
      </c>
      <c r="B2345" s="13">
        <v>45175</v>
      </c>
      <c r="C2345" s="14">
        <v>23.3</v>
      </c>
      <c r="D2345" s="14">
        <v>51</v>
      </c>
      <c r="E2345" s="14">
        <v>495</v>
      </c>
      <c r="F2345" s="14">
        <v>6.1</v>
      </c>
      <c r="G2345" s="14">
        <v>35</v>
      </c>
      <c r="H2345" s="14">
        <v>73.94</v>
      </c>
      <c r="I2345" s="15">
        <v>0.51</v>
      </c>
    </row>
    <row r="2346" spans="1:9" x14ac:dyDescent="0.25">
      <c r="A2346" s="12">
        <v>52</v>
      </c>
      <c r="B2346" s="13">
        <v>45176</v>
      </c>
      <c r="C2346" s="14">
        <v>20.100000000000001</v>
      </c>
      <c r="D2346" s="14">
        <v>66</v>
      </c>
      <c r="E2346" s="14">
        <v>462</v>
      </c>
      <c r="F2346" s="14">
        <v>6.2</v>
      </c>
      <c r="G2346" s="14">
        <v>36</v>
      </c>
      <c r="H2346" s="14">
        <v>68.180000000000007</v>
      </c>
      <c r="I2346" s="15">
        <v>0.66</v>
      </c>
    </row>
    <row r="2347" spans="1:9" x14ac:dyDescent="0.25">
      <c r="A2347" s="12">
        <v>52</v>
      </c>
      <c r="B2347" s="13">
        <v>45177</v>
      </c>
      <c r="C2347" s="14">
        <v>21.4</v>
      </c>
      <c r="D2347" s="14">
        <v>55</v>
      </c>
      <c r="E2347" s="14">
        <v>703</v>
      </c>
      <c r="F2347" s="14">
        <v>6.2</v>
      </c>
      <c r="G2347" s="14">
        <v>37</v>
      </c>
      <c r="H2347" s="14">
        <v>70.52</v>
      </c>
      <c r="I2347" s="15">
        <v>0.55000000000000004</v>
      </c>
    </row>
    <row r="2348" spans="1:9" x14ac:dyDescent="0.25">
      <c r="A2348" s="12">
        <v>52</v>
      </c>
      <c r="B2348" s="13">
        <v>45178</v>
      </c>
      <c r="C2348" s="14">
        <v>19.3</v>
      </c>
      <c r="D2348" s="14">
        <v>52</v>
      </c>
      <c r="E2348" s="14">
        <v>632</v>
      </c>
      <c r="F2348" s="14">
        <v>6.7</v>
      </c>
      <c r="G2348" s="14">
        <v>38</v>
      </c>
      <c r="H2348" s="14">
        <v>66.739999999999995</v>
      </c>
      <c r="I2348" s="15">
        <v>0.52</v>
      </c>
    </row>
    <row r="2349" spans="1:9" x14ac:dyDescent="0.25">
      <c r="A2349" s="12">
        <v>52</v>
      </c>
      <c r="B2349" s="13">
        <v>45179</v>
      </c>
      <c r="C2349" s="14">
        <v>18.600000000000001</v>
      </c>
      <c r="D2349" s="14">
        <v>73</v>
      </c>
      <c r="E2349" s="14">
        <v>739</v>
      </c>
      <c r="F2349" s="14">
        <v>6.6</v>
      </c>
      <c r="G2349" s="14">
        <v>39</v>
      </c>
      <c r="H2349" s="14">
        <v>65.48</v>
      </c>
      <c r="I2349" s="15">
        <v>0.73</v>
      </c>
    </row>
    <row r="2350" spans="1:9" x14ac:dyDescent="0.25">
      <c r="A2350" s="12">
        <v>52</v>
      </c>
      <c r="B2350" s="13">
        <v>45180</v>
      </c>
      <c r="C2350" s="14">
        <v>22.6</v>
      </c>
      <c r="D2350" s="14">
        <v>71</v>
      </c>
      <c r="E2350" s="14">
        <v>626</v>
      </c>
      <c r="F2350" s="14">
        <v>6.6</v>
      </c>
      <c r="G2350" s="14">
        <v>40</v>
      </c>
      <c r="H2350" s="14">
        <v>72.680000000000007</v>
      </c>
      <c r="I2350" s="15">
        <v>0.71</v>
      </c>
    </row>
    <row r="2351" spans="1:9" x14ac:dyDescent="0.25">
      <c r="A2351" s="12">
        <v>52</v>
      </c>
      <c r="B2351" s="13">
        <v>45181</v>
      </c>
      <c r="C2351" s="14">
        <v>21.5</v>
      </c>
      <c r="D2351" s="14">
        <v>76</v>
      </c>
      <c r="E2351" s="14">
        <v>796</v>
      </c>
      <c r="F2351" s="14">
        <v>6.8</v>
      </c>
      <c r="G2351" s="14">
        <v>41</v>
      </c>
      <c r="H2351" s="14">
        <v>70.7</v>
      </c>
      <c r="I2351" s="15">
        <v>0.76</v>
      </c>
    </row>
    <row r="2352" spans="1:9" x14ac:dyDescent="0.25">
      <c r="A2352" s="12">
        <v>52</v>
      </c>
      <c r="B2352" s="13">
        <v>45182</v>
      </c>
      <c r="C2352" s="14">
        <v>21.2</v>
      </c>
      <c r="D2352" s="14">
        <v>63</v>
      </c>
      <c r="E2352" s="14">
        <v>779</v>
      </c>
      <c r="F2352" s="14">
        <v>6.5</v>
      </c>
      <c r="G2352" s="14">
        <v>42</v>
      </c>
      <c r="H2352" s="14">
        <v>70.16</v>
      </c>
      <c r="I2352" s="15">
        <v>0.63</v>
      </c>
    </row>
    <row r="2353" spans="1:9" x14ac:dyDescent="0.25">
      <c r="A2353" s="12">
        <v>52</v>
      </c>
      <c r="B2353" s="13">
        <v>45183</v>
      </c>
      <c r="C2353" s="14">
        <v>23</v>
      </c>
      <c r="D2353" s="14">
        <v>63</v>
      </c>
      <c r="E2353" s="14">
        <v>653</v>
      </c>
      <c r="F2353" s="14">
        <v>6.2</v>
      </c>
      <c r="G2353" s="14">
        <v>43</v>
      </c>
      <c r="H2353" s="14">
        <v>73.400000000000006</v>
      </c>
      <c r="I2353" s="15">
        <v>0.63</v>
      </c>
    </row>
    <row r="2354" spans="1:9" x14ac:dyDescent="0.25">
      <c r="A2354" s="12">
        <v>52</v>
      </c>
      <c r="B2354" s="13">
        <v>45184</v>
      </c>
      <c r="C2354" s="14">
        <v>19.2</v>
      </c>
      <c r="D2354" s="14">
        <v>65</v>
      </c>
      <c r="E2354" s="14">
        <v>560</v>
      </c>
      <c r="F2354" s="14">
        <v>6.1</v>
      </c>
      <c r="G2354" s="14">
        <v>44</v>
      </c>
      <c r="H2354" s="14">
        <v>66.56</v>
      </c>
      <c r="I2354" s="15">
        <v>0.65</v>
      </c>
    </row>
    <row r="2355" spans="1:9" x14ac:dyDescent="0.25">
      <c r="A2355" s="12">
        <v>52</v>
      </c>
      <c r="B2355" s="13">
        <v>45185</v>
      </c>
      <c r="C2355" s="14">
        <v>23.6</v>
      </c>
      <c r="D2355" s="14">
        <v>77</v>
      </c>
      <c r="E2355" s="14">
        <v>728</v>
      </c>
      <c r="F2355" s="14">
        <v>6.6</v>
      </c>
      <c r="G2355" s="14">
        <v>45</v>
      </c>
      <c r="H2355" s="14">
        <v>74.48</v>
      </c>
      <c r="I2355" s="15">
        <v>0.77</v>
      </c>
    </row>
    <row r="2356" spans="1:9" x14ac:dyDescent="0.25">
      <c r="A2356" s="12">
        <v>53</v>
      </c>
      <c r="B2356" s="13">
        <v>45141</v>
      </c>
      <c r="C2356" s="14">
        <v>20</v>
      </c>
      <c r="D2356" s="14">
        <v>79</v>
      </c>
      <c r="E2356" s="14">
        <v>551</v>
      </c>
      <c r="F2356" s="14">
        <v>6.3</v>
      </c>
      <c r="G2356" s="14">
        <v>1</v>
      </c>
      <c r="H2356" s="14">
        <v>68</v>
      </c>
      <c r="I2356" s="15">
        <v>0.79</v>
      </c>
    </row>
    <row r="2357" spans="1:9" x14ac:dyDescent="0.25">
      <c r="A2357" s="12">
        <v>53</v>
      </c>
      <c r="B2357" s="13">
        <v>45142</v>
      </c>
      <c r="C2357" s="14">
        <v>19.100000000000001</v>
      </c>
      <c r="D2357" s="14">
        <v>80</v>
      </c>
      <c r="E2357" s="14">
        <v>702</v>
      </c>
      <c r="F2357" s="14">
        <v>6.7</v>
      </c>
      <c r="G2357" s="14">
        <v>2</v>
      </c>
      <c r="H2357" s="14">
        <v>66.38</v>
      </c>
      <c r="I2357" s="15">
        <v>0.8</v>
      </c>
    </row>
    <row r="2358" spans="1:9" x14ac:dyDescent="0.25">
      <c r="A2358" s="12">
        <v>53</v>
      </c>
      <c r="B2358" s="13">
        <v>45143</v>
      </c>
      <c r="C2358" s="14">
        <v>20</v>
      </c>
      <c r="D2358" s="14">
        <v>69</v>
      </c>
      <c r="E2358" s="14">
        <v>632</v>
      </c>
      <c r="F2358" s="14">
        <v>6.3</v>
      </c>
      <c r="G2358" s="14">
        <v>3</v>
      </c>
      <c r="H2358" s="14">
        <v>68</v>
      </c>
      <c r="I2358" s="15">
        <v>0.69</v>
      </c>
    </row>
    <row r="2359" spans="1:9" x14ac:dyDescent="0.25">
      <c r="A2359" s="12">
        <v>53</v>
      </c>
      <c r="B2359" s="13">
        <v>45144</v>
      </c>
      <c r="C2359" s="14">
        <v>18.2</v>
      </c>
      <c r="D2359" s="14">
        <v>70</v>
      </c>
      <c r="E2359" s="14">
        <v>561</v>
      </c>
      <c r="F2359" s="14">
        <v>6.4</v>
      </c>
      <c r="G2359" s="14">
        <v>4</v>
      </c>
      <c r="H2359" s="14">
        <v>64.760000000000005</v>
      </c>
      <c r="I2359" s="15">
        <v>0.7</v>
      </c>
    </row>
    <row r="2360" spans="1:9" x14ac:dyDescent="0.25">
      <c r="A2360" s="12">
        <v>53</v>
      </c>
      <c r="B2360" s="13">
        <v>45145</v>
      </c>
      <c r="C2360" s="14">
        <v>18.399999999999999</v>
      </c>
      <c r="D2360" s="14">
        <v>57</v>
      </c>
      <c r="E2360" s="14">
        <v>767</v>
      </c>
      <c r="F2360" s="14">
        <v>6</v>
      </c>
      <c r="G2360" s="14">
        <v>5</v>
      </c>
      <c r="H2360" s="14">
        <v>65.12</v>
      </c>
      <c r="I2360" s="15">
        <v>0.56999999999999995</v>
      </c>
    </row>
    <row r="2361" spans="1:9" x14ac:dyDescent="0.25">
      <c r="A2361" s="12">
        <v>53</v>
      </c>
      <c r="B2361" s="13">
        <v>45146</v>
      </c>
      <c r="C2361" s="14">
        <v>22.1</v>
      </c>
      <c r="D2361" s="14">
        <v>61</v>
      </c>
      <c r="E2361" s="14">
        <v>552</v>
      </c>
      <c r="F2361" s="14">
        <v>6.3</v>
      </c>
      <c r="G2361" s="14">
        <v>6</v>
      </c>
      <c r="H2361" s="14">
        <v>71.78</v>
      </c>
      <c r="I2361" s="15">
        <v>0.61</v>
      </c>
    </row>
    <row r="2362" spans="1:9" x14ac:dyDescent="0.25">
      <c r="A2362" s="12">
        <v>53</v>
      </c>
      <c r="B2362" s="13">
        <v>45147</v>
      </c>
      <c r="C2362" s="14">
        <v>21.6</v>
      </c>
      <c r="D2362" s="14">
        <v>50</v>
      </c>
      <c r="E2362" s="14">
        <v>670</v>
      </c>
      <c r="F2362" s="14">
        <v>6.6</v>
      </c>
      <c r="G2362" s="14">
        <v>7</v>
      </c>
      <c r="H2362" s="14">
        <v>70.88</v>
      </c>
      <c r="I2362" s="15">
        <v>0.5</v>
      </c>
    </row>
    <row r="2363" spans="1:9" x14ac:dyDescent="0.25">
      <c r="A2363" s="12">
        <v>53</v>
      </c>
      <c r="B2363" s="13">
        <v>45148</v>
      </c>
      <c r="C2363" s="14">
        <v>23</v>
      </c>
      <c r="D2363" s="14">
        <v>63</v>
      </c>
      <c r="E2363" s="14">
        <v>440</v>
      </c>
      <c r="F2363" s="14">
        <v>6.1</v>
      </c>
      <c r="G2363" s="14">
        <v>8</v>
      </c>
      <c r="H2363" s="14">
        <v>73.400000000000006</v>
      </c>
      <c r="I2363" s="15">
        <v>0.63</v>
      </c>
    </row>
    <row r="2364" spans="1:9" x14ac:dyDescent="0.25">
      <c r="A2364" s="12">
        <v>53</v>
      </c>
      <c r="B2364" s="13">
        <v>45149</v>
      </c>
      <c r="C2364" s="14">
        <v>22.1</v>
      </c>
      <c r="D2364" s="14">
        <v>62</v>
      </c>
      <c r="E2364" s="14">
        <v>432</v>
      </c>
      <c r="F2364" s="14">
        <v>6.3</v>
      </c>
      <c r="G2364" s="14">
        <v>9</v>
      </c>
      <c r="H2364" s="14">
        <v>71.78</v>
      </c>
      <c r="I2364" s="15">
        <v>0.62</v>
      </c>
    </row>
    <row r="2365" spans="1:9" x14ac:dyDescent="0.25">
      <c r="A2365" s="12">
        <v>53</v>
      </c>
      <c r="B2365" s="13">
        <v>45150</v>
      </c>
      <c r="C2365" s="14">
        <v>18.3</v>
      </c>
      <c r="D2365" s="14">
        <v>60</v>
      </c>
      <c r="E2365" s="14">
        <v>493</v>
      </c>
      <c r="F2365" s="14">
        <v>6.6</v>
      </c>
      <c r="G2365" s="14">
        <v>10</v>
      </c>
      <c r="H2365" s="14">
        <v>64.94</v>
      </c>
      <c r="I2365" s="15">
        <v>0.6</v>
      </c>
    </row>
    <row r="2366" spans="1:9" x14ac:dyDescent="0.25">
      <c r="A2366" s="12">
        <v>53</v>
      </c>
      <c r="B2366" s="13">
        <v>45151</v>
      </c>
      <c r="C2366" s="14">
        <v>19.399999999999999</v>
      </c>
      <c r="D2366" s="14">
        <v>57</v>
      </c>
      <c r="E2366" s="14">
        <v>583</v>
      </c>
      <c r="F2366" s="14">
        <v>6.3</v>
      </c>
      <c r="G2366" s="14">
        <v>11</v>
      </c>
      <c r="H2366" s="14">
        <v>66.92</v>
      </c>
      <c r="I2366" s="15">
        <v>0.56999999999999995</v>
      </c>
    </row>
    <row r="2367" spans="1:9" x14ac:dyDescent="0.25">
      <c r="A2367" s="12">
        <v>53</v>
      </c>
      <c r="B2367" s="13">
        <v>45152</v>
      </c>
      <c r="C2367" s="14">
        <v>24.4</v>
      </c>
      <c r="D2367" s="14">
        <v>72</v>
      </c>
      <c r="E2367" s="14">
        <v>527</v>
      </c>
      <c r="F2367" s="14">
        <v>6.4</v>
      </c>
      <c r="G2367" s="14">
        <v>12</v>
      </c>
      <c r="H2367" s="14">
        <v>75.92</v>
      </c>
      <c r="I2367" s="15">
        <v>0.72</v>
      </c>
    </row>
    <row r="2368" spans="1:9" x14ac:dyDescent="0.25">
      <c r="A2368" s="12">
        <v>53</v>
      </c>
      <c r="B2368" s="13">
        <v>45153</v>
      </c>
      <c r="C2368" s="14">
        <v>22.3</v>
      </c>
      <c r="D2368" s="14">
        <v>60</v>
      </c>
      <c r="E2368" s="14">
        <v>745</v>
      </c>
      <c r="F2368" s="14">
        <v>6.4</v>
      </c>
      <c r="G2368" s="14">
        <v>13</v>
      </c>
      <c r="H2368" s="14">
        <v>72.14</v>
      </c>
      <c r="I2368" s="15">
        <v>0.6</v>
      </c>
    </row>
    <row r="2369" spans="1:9" x14ac:dyDescent="0.25">
      <c r="A2369" s="12">
        <v>53</v>
      </c>
      <c r="B2369" s="13">
        <v>45154</v>
      </c>
      <c r="C2369" s="14">
        <v>20</v>
      </c>
      <c r="D2369" s="14">
        <v>52</v>
      </c>
      <c r="E2369" s="14">
        <v>483</v>
      </c>
      <c r="F2369" s="14">
        <v>6.7</v>
      </c>
      <c r="G2369" s="14">
        <v>14</v>
      </c>
      <c r="H2369" s="14">
        <v>68</v>
      </c>
      <c r="I2369" s="15">
        <v>0.52</v>
      </c>
    </row>
    <row r="2370" spans="1:9" x14ac:dyDescent="0.25">
      <c r="A2370" s="12">
        <v>53</v>
      </c>
      <c r="B2370" s="13">
        <v>45155</v>
      </c>
      <c r="C2370" s="14">
        <v>22</v>
      </c>
      <c r="D2370" s="14">
        <v>77</v>
      </c>
      <c r="E2370" s="14">
        <v>646</v>
      </c>
      <c r="F2370" s="14">
        <v>6.7</v>
      </c>
      <c r="G2370" s="14">
        <v>15</v>
      </c>
      <c r="H2370" s="14">
        <v>71.599999999999994</v>
      </c>
      <c r="I2370" s="15">
        <v>0.77</v>
      </c>
    </row>
    <row r="2371" spans="1:9" x14ac:dyDescent="0.25">
      <c r="A2371" s="12">
        <v>53</v>
      </c>
      <c r="B2371" s="13">
        <v>45156</v>
      </c>
      <c r="C2371" s="14">
        <v>24.7</v>
      </c>
      <c r="D2371" s="14">
        <v>71</v>
      </c>
      <c r="E2371" s="14">
        <v>622</v>
      </c>
      <c r="F2371" s="14">
        <v>6.2</v>
      </c>
      <c r="G2371" s="14">
        <v>16</v>
      </c>
      <c r="H2371" s="14">
        <v>76.459999999999994</v>
      </c>
      <c r="I2371" s="15">
        <v>0.71</v>
      </c>
    </row>
    <row r="2372" spans="1:9" x14ac:dyDescent="0.25">
      <c r="A2372" s="12">
        <v>53</v>
      </c>
      <c r="B2372" s="13">
        <v>45157</v>
      </c>
      <c r="C2372" s="14">
        <v>20.5</v>
      </c>
      <c r="D2372" s="14">
        <v>67</v>
      </c>
      <c r="E2372" s="14">
        <v>445</v>
      </c>
      <c r="F2372" s="14">
        <v>6.2</v>
      </c>
      <c r="G2372" s="14">
        <v>17</v>
      </c>
      <c r="H2372" s="14">
        <v>68.900000000000006</v>
      </c>
      <c r="I2372" s="15">
        <v>0.67</v>
      </c>
    </row>
    <row r="2373" spans="1:9" x14ac:dyDescent="0.25">
      <c r="A2373" s="12">
        <v>53</v>
      </c>
      <c r="B2373" s="13">
        <v>45158</v>
      </c>
      <c r="C2373" s="14">
        <v>20.3</v>
      </c>
      <c r="D2373" s="14">
        <v>72</v>
      </c>
      <c r="E2373" s="14">
        <v>660</v>
      </c>
      <c r="F2373" s="14">
        <v>6.8</v>
      </c>
      <c r="G2373" s="14">
        <v>18</v>
      </c>
      <c r="H2373" s="14">
        <v>68.540000000000006</v>
      </c>
      <c r="I2373" s="15">
        <v>0.72</v>
      </c>
    </row>
    <row r="2374" spans="1:9" x14ac:dyDescent="0.25">
      <c r="A2374" s="12">
        <v>53</v>
      </c>
      <c r="B2374" s="13">
        <v>45159</v>
      </c>
      <c r="C2374" s="14">
        <v>23.8</v>
      </c>
      <c r="D2374" s="14">
        <v>65</v>
      </c>
      <c r="E2374" s="14">
        <v>455</v>
      </c>
      <c r="F2374" s="14">
        <v>6.8</v>
      </c>
      <c r="G2374" s="14">
        <v>19</v>
      </c>
      <c r="H2374" s="14">
        <v>74.84</v>
      </c>
      <c r="I2374" s="15">
        <v>0.65</v>
      </c>
    </row>
    <row r="2375" spans="1:9" x14ac:dyDescent="0.25">
      <c r="A2375" s="12">
        <v>53</v>
      </c>
      <c r="B2375" s="13">
        <v>45160</v>
      </c>
      <c r="C2375" s="14">
        <v>18.8</v>
      </c>
      <c r="D2375" s="14">
        <v>70</v>
      </c>
      <c r="E2375" s="14">
        <v>731</v>
      </c>
      <c r="F2375" s="14">
        <v>6.3</v>
      </c>
      <c r="G2375" s="14">
        <v>20</v>
      </c>
      <c r="H2375" s="14">
        <v>65.84</v>
      </c>
      <c r="I2375" s="15">
        <v>0.7</v>
      </c>
    </row>
    <row r="2376" spans="1:9" x14ac:dyDescent="0.25">
      <c r="A2376" s="12">
        <v>53</v>
      </c>
      <c r="B2376" s="13">
        <v>45161</v>
      </c>
      <c r="C2376" s="14">
        <v>20.8</v>
      </c>
      <c r="D2376" s="14">
        <v>50</v>
      </c>
      <c r="E2376" s="14">
        <v>697</v>
      </c>
      <c r="F2376" s="14">
        <v>6.7</v>
      </c>
      <c r="G2376" s="14">
        <v>21</v>
      </c>
      <c r="H2376" s="14">
        <v>69.44</v>
      </c>
      <c r="I2376" s="15">
        <v>0.5</v>
      </c>
    </row>
    <row r="2377" spans="1:9" x14ac:dyDescent="0.25">
      <c r="A2377" s="12">
        <v>53</v>
      </c>
      <c r="B2377" s="13">
        <v>45162</v>
      </c>
      <c r="C2377" s="14">
        <v>24.4</v>
      </c>
      <c r="D2377" s="14">
        <v>73</v>
      </c>
      <c r="E2377" s="14">
        <v>405</v>
      </c>
      <c r="F2377" s="14">
        <v>6.8</v>
      </c>
      <c r="G2377" s="14">
        <v>22</v>
      </c>
      <c r="H2377" s="14">
        <v>75.92</v>
      </c>
      <c r="I2377" s="15">
        <v>0.73</v>
      </c>
    </row>
    <row r="2378" spans="1:9" x14ac:dyDescent="0.25">
      <c r="A2378" s="12">
        <v>53</v>
      </c>
      <c r="B2378" s="13">
        <v>45163</v>
      </c>
      <c r="C2378" s="14">
        <v>24.8</v>
      </c>
      <c r="D2378" s="14">
        <v>66</v>
      </c>
      <c r="E2378" s="14">
        <v>514</v>
      </c>
      <c r="F2378" s="14">
        <v>6.7</v>
      </c>
      <c r="G2378" s="14">
        <v>23</v>
      </c>
      <c r="H2378" s="14">
        <v>76.64</v>
      </c>
      <c r="I2378" s="15">
        <v>0.66</v>
      </c>
    </row>
    <row r="2379" spans="1:9" x14ac:dyDescent="0.25">
      <c r="A2379" s="12">
        <v>53</v>
      </c>
      <c r="B2379" s="13">
        <v>45164</v>
      </c>
      <c r="C2379" s="14">
        <v>19.100000000000001</v>
      </c>
      <c r="D2379" s="14">
        <v>59</v>
      </c>
      <c r="E2379" s="14">
        <v>502</v>
      </c>
      <c r="F2379" s="14">
        <v>6.6</v>
      </c>
      <c r="G2379" s="14">
        <v>24</v>
      </c>
      <c r="H2379" s="14">
        <v>66.38</v>
      </c>
      <c r="I2379" s="15">
        <v>0.59</v>
      </c>
    </row>
    <row r="2380" spans="1:9" x14ac:dyDescent="0.25">
      <c r="A2380" s="12">
        <v>53</v>
      </c>
      <c r="B2380" s="13">
        <v>45165</v>
      </c>
      <c r="C2380" s="14">
        <v>22.3</v>
      </c>
      <c r="D2380" s="14">
        <v>79</v>
      </c>
      <c r="E2380" s="14">
        <v>445</v>
      </c>
      <c r="F2380" s="14">
        <v>6.8</v>
      </c>
      <c r="G2380" s="14">
        <v>25</v>
      </c>
      <c r="H2380" s="14">
        <v>72.14</v>
      </c>
      <c r="I2380" s="15">
        <v>0.79</v>
      </c>
    </row>
    <row r="2381" spans="1:9" x14ac:dyDescent="0.25">
      <c r="A2381" s="12">
        <v>53</v>
      </c>
      <c r="B2381" s="13">
        <v>45166</v>
      </c>
      <c r="C2381" s="14">
        <v>23.8</v>
      </c>
      <c r="D2381" s="14">
        <v>55</v>
      </c>
      <c r="E2381" s="14">
        <v>522</v>
      </c>
      <c r="F2381" s="14">
        <v>6.5</v>
      </c>
      <c r="G2381" s="14">
        <v>26</v>
      </c>
      <c r="H2381" s="14">
        <v>74.84</v>
      </c>
      <c r="I2381" s="15">
        <v>0.55000000000000004</v>
      </c>
    </row>
    <row r="2382" spans="1:9" x14ac:dyDescent="0.25">
      <c r="A2382" s="12">
        <v>53</v>
      </c>
      <c r="B2382" s="13">
        <v>45167</v>
      </c>
      <c r="C2382" s="14">
        <v>23.5</v>
      </c>
      <c r="D2382" s="14">
        <v>54</v>
      </c>
      <c r="E2382" s="14">
        <v>595</v>
      </c>
      <c r="F2382" s="14">
        <v>6.3</v>
      </c>
      <c r="G2382" s="14">
        <v>27</v>
      </c>
      <c r="H2382" s="14">
        <v>74.3</v>
      </c>
      <c r="I2382" s="15">
        <v>0.54</v>
      </c>
    </row>
    <row r="2383" spans="1:9" x14ac:dyDescent="0.25">
      <c r="A2383" s="12">
        <v>53</v>
      </c>
      <c r="B2383" s="13">
        <v>45168</v>
      </c>
      <c r="C2383" s="14">
        <v>22.4</v>
      </c>
      <c r="D2383" s="14">
        <v>54</v>
      </c>
      <c r="E2383" s="14">
        <v>466</v>
      </c>
      <c r="F2383" s="14">
        <v>6.2</v>
      </c>
      <c r="G2383" s="14">
        <v>28</v>
      </c>
      <c r="H2383" s="14">
        <v>72.319999999999993</v>
      </c>
      <c r="I2383" s="15">
        <v>0.54</v>
      </c>
    </row>
    <row r="2384" spans="1:9" x14ac:dyDescent="0.25">
      <c r="A2384" s="12">
        <v>53</v>
      </c>
      <c r="B2384" s="13">
        <v>45169</v>
      </c>
      <c r="C2384" s="14">
        <v>19.100000000000001</v>
      </c>
      <c r="D2384" s="14">
        <v>50</v>
      </c>
      <c r="E2384" s="14">
        <v>715</v>
      </c>
      <c r="F2384" s="14">
        <v>6.1</v>
      </c>
      <c r="G2384" s="14">
        <v>29</v>
      </c>
      <c r="H2384" s="14">
        <v>66.38</v>
      </c>
      <c r="I2384" s="15">
        <v>0.5</v>
      </c>
    </row>
    <row r="2385" spans="1:9" x14ac:dyDescent="0.25">
      <c r="A2385" s="12">
        <v>53</v>
      </c>
      <c r="B2385" s="13">
        <v>45170</v>
      </c>
      <c r="C2385" s="14">
        <v>23.5</v>
      </c>
      <c r="D2385" s="14">
        <v>75</v>
      </c>
      <c r="E2385" s="14">
        <v>494</v>
      </c>
      <c r="F2385" s="14">
        <v>6.7</v>
      </c>
      <c r="G2385" s="14">
        <v>30</v>
      </c>
      <c r="H2385" s="14">
        <v>74.3</v>
      </c>
      <c r="I2385" s="15">
        <v>0.75</v>
      </c>
    </row>
    <row r="2386" spans="1:9" x14ac:dyDescent="0.25">
      <c r="A2386" s="12">
        <v>53</v>
      </c>
      <c r="B2386" s="13">
        <v>45171</v>
      </c>
      <c r="C2386" s="14">
        <v>24.7</v>
      </c>
      <c r="D2386" s="14">
        <v>53</v>
      </c>
      <c r="E2386" s="14">
        <v>534</v>
      </c>
      <c r="F2386" s="14">
        <v>6.2</v>
      </c>
      <c r="G2386" s="14">
        <v>31</v>
      </c>
      <c r="H2386" s="14">
        <v>76.459999999999994</v>
      </c>
      <c r="I2386" s="15">
        <v>0.53</v>
      </c>
    </row>
    <row r="2387" spans="1:9" x14ac:dyDescent="0.25">
      <c r="A2387" s="12">
        <v>53</v>
      </c>
      <c r="B2387" s="13">
        <v>45172</v>
      </c>
      <c r="C2387" s="14">
        <v>23.8</v>
      </c>
      <c r="D2387" s="14">
        <v>50</v>
      </c>
      <c r="E2387" s="14">
        <v>565</v>
      </c>
      <c r="F2387" s="14">
        <v>6.2</v>
      </c>
      <c r="G2387" s="14">
        <v>32</v>
      </c>
      <c r="H2387" s="14">
        <v>74.84</v>
      </c>
      <c r="I2387" s="15">
        <v>0.5</v>
      </c>
    </row>
    <row r="2388" spans="1:9" x14ac:dyDescent="0.25">
      <c r="A2388" s="12">
        <v>53</v>
      </c>
      <c r="B2388" s="13">
        <v>45173</v>
      </c>
      <c r="C2388" s="14">
        <v>23</v>
      </c>
      <c r="D2388" s="14">
        <v>70</v>
      </c>
      <c r="E2388" s="14">
        <v>484</v>
      </c>
      <c r="F2388" s="14">
        <v>6.2</v>
      </c>
      <c r="G2388" s="14">
        <v>33</v>
      </c>
      <c r="H2388" s="14">
        <v>73.400000000000006</v>
      </c>
      <c r="I2388" s="15">
        <v>0.7</v>
      </c>
    </row>
    <row r="2389" spans="1:9" x14ac:dyDescent="0.25">
      <c r="A2389" s="12">
        <v>53</v>
      </c>
      <c r="B2389" s="13">
        <v>45174</v>
      </c>
      <c r="C2389" s="14">
        <v>23.9</v>
      </c>
      <c r="D2389" s="14">
        <v>79</v>
      </c>
      <c r="E2389" s="14">
        <v>785</v>
      </c>
      <c r="F2389" s="14">
        <v>6.4</v>
      </c>
      <c r="G2389" s="14">
        <v>34</v>
      </c>
      <c r="H2389" s="14">
        <v>75.02</v>
      </c>
      <c r="I2389" s="15">
        <v>0.79</v>
      </c>
    </row>
    <row r="2390" spans="1:9" x14ac:dyDescent="0.25">
      <c r="A2390" s="12">
        <v>53</v>
      </c>
      <c r="B2390" s="13">
        <v>45175</v>
      </c>
      <c r="C2390" s="14">
        <v>20.100000000000001</v>
      </c>
      <c r="D2390" s="14">
        <v>79</v>
      </c>
      <c r="E2390" s="14">
        <v>573</v>
      </c>
      <c r="F2390" s="14">
        <v>6.7</v>
      </c>
      <c r="G2390" s="14">
        <v>35</v>
      </c>
      <c r="H2390" s="14">
        <v>68.180000000000007</v>
      </c>
      <c r="I2390" s="15">
        <v>0.79</v>
      </c>
    </row>
    <row r="2391" spans="1:9" x14ac:dyDescent="0.25">
      <c r="A2391" s="12">
        <v>53</v>
      </c>
      <c r="B2391" s="13">
        <v>45176</v>
      </c>
      <c r="C2391" s="14">
        <v>24.7</v>
      </c>
      <c r="D2391" s="14">
        <v>60</v>
      </c>
      <c r="E2391" s="14">
        <v>571</v>
      </c>
      <c r="F2391" s="14">
        <v>6</v>
      </c>
      <c r="G2391" s="14">
        <v>36</v>
      </c>
      <c r="H2391" s="14">
        <v>76.459999999999994</v>
      </c>
      <c r="I2391" s="15">
        <v>0.6</v>
      </c>
    </row>
    <row r="2392" spans="1:9" x14ac:dyDescent="0.25">
      <c r="A2392" s="12">
        <v>53</v>
      </c>
      <c r="B2392" s="13">
        <v>45177</v>
      </c>
      <c r="C2392" s="14">
        <v>20.100000000000001</v>
      </c>
      <c r="D2392" s="14">
        <v>71</v>
      </c>
      <c r="E2392" s="14">
        <v>512</v>
      </c>
      <c r="F2392" s="14">
        <v>6.5</v>
      </c>
      <c r="G2392" s="14">
        <v>37</v>
      </c>
      <c r="H2392" s="14">
        <v>68.180000000000007</v>
      </c>
      <c r="I2392" s="15">
        <v>0.71</v>
      </c>
    </row>
    <row r="2393" spans="1:9" x14ac:dyDescent="0.25">
      <c r="A2393" s="12">
        <v>53</v>
      </c>
      <c r="B2393" s="13">
        <v>45178</v>
      </c>
      <c r="C2393" s="14">
        <v>18.7</v>
      </c>
      <c r="D2393" s="14">
        <v>52</v>
      </c>
      <c r="E2393" s="14">
        <v>669</v>
      </c>
      <c r="F2393" s="14">
        <v>6.7</v>
      </c>
      <c r="G2393" s="14">
        <v>38</v>
      </c>
      <c r="H2393" s="14">
        <v>65.66</v>
      </c>
      <c r="I2393" s="15">
        <v>0.52</v>
      </c>
    </row>
    <row r="2394" spans="1:9" x14ac:dyDescent="0.25">
      <c r="A2394" s="12">
        <v>53</v>
      </c>
      <c r="B2394" s="13">
        <v>45179</v>
      </c>
      <c r="C2394" s="14">
        <v>20.9</v>
      </c>
      <c r="D2394" s="14">
        <v>53</v>
      </c>
      <c r="E2394" s="14">
        <v>587</v>
      </c>
      <c r="F2394" s="14">
        <v>6.4</v>
      </c>
      <c r="G2394" s="14">
        <v>39</v>
      </c>
      <c r="H2394" s="14">
        <v>69.62</v>
      </c>
      <c r="I2394" s="15">
        <v>0.53</v>
      </c>
    </row>
    <row r="2395" spans="1:9" x14ac:dyDescent="0.25">
      <c r="A2395" s="12">
        <v>53</v>
      </c>
      <c r="B2395" s="13">
        <v>45180</v>
      </c>
      <c r="C2395" s="14">
        <v>24.6</v>
      </c>
      <c r="D2395" s="14">
        <v>51</v>
      </c>
      <c r="E2395" s="14">
        <v>413</v>
      </c>
      <c r="F2395" s="14">
        <v>6.5</v>
      </c>
      <c r="G2395" s="14">
        <v>40</v>
      </c>
      <c r="H2395" s="14">
        <v>76.28</v>
      </c>
      <c r="I2395" s="15">
        <v>0.51</v>
      </c>
    </row>
    <row r="2396" spans="1:9" x14ac:dyDescent="0.25">
      <c r="A2396" s="12">
        <v>53</v>
      </c>
      <c r="B2396" s="13">
        <v>45181</v>
      </c>
      <c r="C2396" s="14">
        <v>23.7</v>
      </c>
      <c r="D2396" s="14">
        <v>59</v>
      </c>
      <c r="E2396" s="14">
        <v>714</v>
      </c>
      <c r="F2396" s="14">
        <v>6.2</v>
      </c>
      <c r="G2396" s="14">
        <v>41</v>
      </c>
      <c r="H2396" s="14">
        <v>74.66</v>
      </c>
      <c r="I2396" s="15">
        <v>0.59</v>
      </c>
    </row>
    <row r="2397" spans="1:9" x14ac:dyDescent="0.25">
      <c r="A2397" s="12">
        <v>53</v>
      </c>
      <c r="B2397" s="13">
        <v>45182</v>
      </c>
      <c r="C2397" s="14">
        <v>20.399999999999999</v>
      </c>
      <c r="D2397" s="14">
        <v>56</v>
      </c>
      <c r="E2397" s="14">
        <v>787</v>
      </c>
      <c r="F2397" s="14">
        <v>6.1</v>
      </c>
      <c r="G2397" s="14">
        <v>42</v>
      </c>
      <c r="H2397" s="14">
        <v>68.72</v>
      </c>
      <c r="I2397" s="15">
        <v>0.56000000000000005</v>
      </c>
    </row>
    <row r="2398" spans="1:9" x14ac:dyDescent="0.25">
      <c r="A2398" s="12">
        <v>53</v>
      </c>
      <c r="B2398" s="13">
        <v>45183</v>
      </c>
      <c r="C2398" s="14">
        <v>24.6</v>
      </c>
      <c r="D2398" s="14">
        <v>76</v>
      </c>
      <c r="E2398" s="14">
        <v>625</v>
      </c>
      <c r="F2398" s="14">
        <v>6.1</v>
      </c>
      <c r="G2398" s="14">
        <v>43</v>
      </c>
      <c r="H2398" s="14">
        <v>76.28</v>
      </c>
      <c r="I2398" s="15">
        <v>0.76</v>
      </c>
    </row>
    <row r="2399" spans="1:9" x14ac:dyDescent="0.25">
      <c r="A2399" s="12">
        <v>53</v>
      </c>
      <c r="B2399" s="13">
        <v>45184</v>
      </c>
      <c r="C2399" s="14">
        <v>24.5</v>
      </c>
      <c r="D2399" s="14">
        <v>75</v>
      </c>
      <c r="E2399" s="14">
        <v>519</v>
      </c>
      <c r="F2399" s="14">
        <v>6.2</v>
      </c>
      <c r="G2399" s="14">
        <v>44</v>
      </c>
      <c r="H2399" s="14">
        <v>76.099999999999994</v>
      </c>
      <c r="I2399" s="15">
        <v>0.75</v>
      </c>
    </row>
    <row r="2400" spans="1:9" x14ac:dyDescent="0.25">
      <c r="A2400" s="12">
        <v>53</v>
      </c>
      <c r="B2400" s="13">
        <v>45185</v>
      </c>
      <c r="C2400" s="14">
        <v>19.3</v>
      </c>
      <c r="D2400" s="14">
        <v>78</v>
      </c>
      <c r="E2400" s="14">
        <v>687</v>
      </c>
      <c r="F2400" s="14">
        <v>6.1</v>
      </c>
      <c r="G2400" s="14">
        <v>45</v>
      </c>
      <c r="H2400" s="14">
        <v>66.739999999999995</v>
      </c>
      <c r="I2400" s="15">
        <v>0.78</v>
      </c>
    </row>
    <row r="2401" spans="1:9" x14ac:dyDescent="0.25">
      <c r="A2401" s="12">
        <v>54</v>
      </c>
      <c r="B2401" s="13">
        <v>45141</v>
      </c>
      <c r="C2401" s="14">
        <v>23.7</v>
      </c>
      <c r="D2401" s="14">
        <v>65</v>
      </c>
      <c r="E2401" s="14">
        <v>564</v>
      </c>
      <c r="F2401" s="14">
        <v>6.6</v>
      </c>
      <c r="G2401" s="14">
        <v>1</v>
      </c>
      <c r="H2401" s="14">
        <v>74.66</v>
      </c>
      <c r="I2401" s="15">
        <v>0.65</v>
      </c>
    </row>
    <row r="2402" spans="1:9" x14ac:dyDescent="0.25">
      <c r="A2402" s="12">
        <v>54</v>
      </c>
      <c r="B2402" s="13">
        <v>45142</v>
      </c>
      <c r="C2402" s="14">
        <v>19.2</v>
      </c>
      <c r="D2402" s="14">
        <v>58</v>
      </c>
      <c r="E2402" s="14">
        <v>766</v>
      </c>
      <c r="F2402" s="14">
        <v>6.4</v>
      </c>
      <c r="G2402" s="14">
        <v>2</v>
      </c>
      <c r="H2402" s="14">
        <v>66.56</v>
      </c>
      <c r="I2402" s="15">
        <v>0.57999999999999996</v>
      </c>
    </row>
    <row r="2403" spans="1:9" x14ac:dyDescent="0.25">
      <c r="A2403" s="12">
        <v>54</v>
      </c>
      <c r="B2403" s="13">
        <v>45143</v>
      </c>
      <c r="C2403" s="14">
        <v>21.2</v>
      </c>
      <c r="D2403" s="14">
        <v>78</v>
      </c>
      <c r="E2403" s="14">
        <v>580</v>
      </c>
      <c r="F2403" s="14">
        <v>6.4</v>
      </c>
      <c r="G2403" s="14">
        <v>3</v>
      </c>
      <c r="H2403" s="14">
        <v>70.16</v>
      </c>
      <c r="I2403" s="15">
        <v>0.78</v>
      </c>
    </row>
    <row r="2404" spans="1:9" x14ac:dyDescent="0.25">
      <c r="A2404" s="12">
        <v>54</v>
      </c>
      <c r="B2404" s="13">
        <v>45144</v>
      </c>
      <c r="C2404" s="14">
        <v>18</v>
      </c>
      <c r="D2404" s="14">
        <v>58</v>
      </c>
      <c r="E2404" s="14">
        <v>717</v>
      </c>
      <c r="F2404" s="14">
        <v>6</v>
      </c>
      <c r="G2404" s="14">
        <v>4</v>
      </c>
      <c r="H2404" s="14">
        <v>64.400000000000006</v>
      </c>
      <c r="I2404" s="15">
        <v>0.57999999999999996</v>
      </c>
    </row>
    <row r="2405" spans="1:9" x14ac:dyDescent="0.25">
      <c r="A2405" s="12">
        <v>54</v>
      </c>
      <c r="B2405" s="13">
        <v>45145</v>
      </c>
      <c r="C2405" s="14">
        <v>24.9</v>
      </c>
      <c r="D2405" s="14">
        <v>50</v>
      </c>
      <c r="E2405" s="14">
        <v>645</v>
      </c>
      <c r="F2405" s="14">
        <v>6.6</v>
      </c>
      <c r="G2405" s="14">
        <v>5</v>
      </c>
      <c r="H2405" s="14">
        <v>76.819999999999993</v>
      </c>
      <c r="I2405" s="15">
        <v>0.5</v>
      </c>
    </row>
    <row r="2406" spans="1:9" x14ac:dyDescent="0.25">
      <c r="A2406" s="12">
        <v>54</v>
      </c>
      <c r="B2406" s="13">
        <v>45146</v>
      </c>
      <c r="C2406" s="14">
        <v>19.399999999999999</v>
      </c>
      <c r="D2406" s="14">
        <v>74</v>
      </c>
      <c r="E2406" s="14">
        <v>527</v>
      </c>
      <c r="F2406" s="14">
        <v>6</v>
      </c>
      <c r="G2406" s="14">
        <v>6</v>
      </c>
      <c r="H2406" s="14">
        <v>66.92</v>
      </c>
      <c r="I2406" s="15">
        <v>0.74</v>
      </c>
    </row>
    <row r="2407" spans="1:9" x14ac:dyDescent="0.25">
      <c r="A2407" s="12">
        <v>54</v>
      </c>
      <c r="B2407" s="13">
        <v>45147</v>
      </c>
      <c r="C2407" s="14">
        <v>21</v>
      </c>
      <c r="D2407" s="14">
        <v>53</v>
      </c>
      <c r="E2407" s="14">
        <v>478</v>
      </c>
      <c r="F2407" s="14">
        <v>6.5</v>
      </c>
      <c r="G2407" s="14">
        <v>7</v>
      </c>
      <c r="H2407" s="14">
        <v>69.8</v>
      </c>
      <c r="I2407" s="15">
        <v>0.53</v>
      </c>
    </row>
    <row r="2408" spans="1:9" x14ac:dyDescent="0.25">
      <c r="A2408" s="12">
        <v>54</v>
      </c>
      <c r="B2408" s="13">
        <v>45148</v>
      </c>
      <c r="C2408" s="14">
        <v>20.8</v>
      </c>
      <c r="D2408" s="14">
        <v>62</v>
      </c>
      <c r="E2408" s="14">
        <v>503</v>
      </c>
      <c r="F2408" s="14">
        <v>6.1</v>
      </c>
      <c r="G2408" s="14">
        <v>8</v>
      </c>
      <c r="H2408" s="14">
        <v>69.44</v>
      </c>
      <c r="I2408" s="15">
        <v>0.62</v>
      </c>
    </row>
    <row r="2409" spans="1:9" x14ac:dyDescent="0.25">
      <c r="A2409" s="12">
        <v>54</v>
      </c>
      <c r="B2409" s="13">
        <v>45149</v>
      </c>
      <c r="C2409" s="14">
        <v>18.399999999999999</v>
      </c>
      <c r="D2409" s="14">
        <v>60</v>
      </c>
      <c r="E2409" s="14">
        <v>622</v>
      </c>
      <c r="F2409" s="14">
        <v>6.8</v>
      </c>
      <c r="G2409" s="14">
        <v>9</v>
      </c>
      <c r="H2409" s="14">
        <v>65.12</v>
      </c>
      <c r="I2409" s="15">
        <v>0.6</v>
      </c>
    </row>
    <row r="2410" spans="1:9" x14ac:dyDescent="0.25">
      <c r="A2410" s="12">
        <v>54</v>
      </c>
      <c r="B2410" s="13">
        <v>45150</v>
      </c>
      <c r="C2410" s="14">
        <v>24.2</v>
      </c>
      <c r="D2410" s="14">
        <v>66</v>
      </c>
      <c r="E2410" s="14">
        <v>416</v>
      </c>
      <c r="F2410" s="14">
        <v>6.6</v>
      </c>
      <c r="G2410" s="14">
        <v>10</v>
      </c>
      <c r="H2410" s="14">
        <v>75.56</v>
      </c>
      <c r="I2410" s="15">
        <v>0.66</v>
      </c>
    </row>
    <row r="2411" spans="1:9" x14ac:dyDescent="0.25">
      <c r="A2411" s="12">
        <v>54</v>
      </c>
      <c r="B2411" s="13">
        <v>45151</v>
      </c>
      <c r="C2411" s="14">
        <v>21.4</v>
      </c>
      <c r="D2411" s="14">
        <v>54</v>
      </c>
      <c r="E2411" s="14">
        <v>780</v>
      </c>
      <c r="F2411" s="14">
        <v>6.6</v>
      </c>
      <c r="G2411" s="14">
        <v>11</v>
      </c>
      <c r="H2411" s="14">
        <v>70.52</v>
      </c>
      <c r="I2411" s="15">
        <v>0.54</v>
      </c>
    </row>
    <row r="2412" spans="1:9" x14ac:dyDescent="0.25">
      <c r="A2412" s="12">
        <v>54</v>
      </c>
      <c r="B2412" s="13">
        <v>45152</v>
      </c>
      <c r="C2412" s="14">
        <v>19.8</v>
      </c>
      <c r="D2412" s="14">
        <v>66</v>
      </c>
      <c r="E2412" s="14">
        <v>465</v>
      </c>
      <c r="F2412" s="14">
        <v>6.4</v>
      </c>
      <c r="G2412" s="14">
        <v>12</v>
      </c>
      <c r="H2412" s="14">
        <v>67.64</v>
      </c>
      <c r="I2412" s="15">
        <v>0.66</v>
      </c>
    </row>
    <row r="2413" spans="1:9" x14ac:dyDescent="0.25">
      <c r="A2413" s="12">
        <v>54</v>
      </c>
      <c r="B2413" s="13">
        <v>45153</v>
      </c>
      <c r="C2413" s="14">
        <v>24.3</v>
      </c>
      <c r="D2413" s="14">
        <v>64</v>
      </c>
      <c r="E2413" s="14">
        <v>728</v>
      </c>
      <c r="F2413" s="14">
        <v>6.8</v>
      </c>
      <c r="G2413" s="14">
        <v>13</v>
      </c>
      <c r="H2413" s="14">
        <v>75.739999999999995</v>
      </c>
      <c r="I2413" s="15">
        <v>0.64</v>
      </c>
    </row>
    <row r="2414" spans="1:9" x14ac:dyDescent="0.25">
      <c r="A2414" s="12">
        <v>54</v>
      </c>
      <c r="B2414" s="13">
        <v>45154</v>
      </c>
      <c r="C2414" s="14">
        <v>22.4</v>
      </c>
      <c r="D2414" s="14">
        <v>61</v>
      </c>
      <c r="E2414" s="14">
        <v>525</v>
      </c>
      <c r="F2414" s="14">
        <v>6.7</v>
      </c>
      <c r="G2414" s="14">
        <v>14</v>
      </c>
      <c r="H2414" s="14">
        <v>72.319999999999993</v>
      </c>
      <c r="I2414" s="15">
        <v>0.61</v>
      </c>
    </row>
    <row r="2415" spans="1:9" x14ac:dyDescent="0.25">
      <c r="A2415" s="12">
        <v>54</v>
      </c>
      <c r="B2415" s="13">
        <v>45155</v>
      </c>
      <c r="C2415" s="14">
        <v>19.399999999999999</v>
      </c>
      <c r="D2415" s="14">
        <v>75</v>
      </c>
      <c r="E2415" s="14">
        <v>452</v>
      </c>
      <c r="F2415" s="14">
        <v>6</v>
      </c>
      <c r="G2415" s="14">
        <v>15</v>
      </c>
      <c r="H2415" s="14">
        <v>66.92</v>
      </c>
      <c r="I2415" s="15">
        <v>0.75</v>
      </c>
    </row>
    <row r="2416" spans="1:9" x14ac:dyDescent="0.25">
      <c r="A2416" s="12">
        <v>54</v>
      </c>
      <c r="B2416" s="13">
        <v>45156</v>
      </c>
      <c r="C2416" s="14">
        <v>24.2</v>
      </c>
      <c r="D2416" s="14">
        <v>74</v>
      </c>
      <c r="E2416" s="14">
        <v>728</v>
      </c>
      <c r="F2416" s="14">
        <v>6.1</v>
      </c>
      <c r="G2416" s="14">
        <v>16</v>
      </c>
      <c r="H2416" s="14">
        <v>75.56</v>
      </c>
      <c r="I2416" s="15">
        <v>0.74</v>
      </c>
    </row>
    <row r="2417" spans="1:9" x14ac:dyDescent="0.25">
      <c r="A2417" s="12">
        <v>54</v>
      </c>
      <c r="B2417" s="13">
        <v>45157</v>
      </c>
      <c r="C2417" s="14">
        <v>20.5</v>
      </c>
      <c r="D2417" s="14">
        <v>69</v>
      </c>
      <c r="E2417" s="14">
        <v>710</v>
      </c>
      <c r="F2417" s="14">
        <v>6.8</v>
      </c>
      <c r="G2417" s="14">
        <v>17</v>
      </c>
      <c r="H2417" s="14">
        <v>68.900000000000006</v>
      </c>
      <c r="I2417" s="15">
        <v>0.69</v>
      </c>
    </row>
    <row r="2418" spans="1:9" x14ac:dyDescent="0.25">
      <c r="A2418" s="12">
        <v>54</v>
      </c>
      <c r="B2418" s="13">
        <v>45158</v>
      </c>
      <c r="C2418" s="14">
        <v>22.5</v>
      </c>
      <c r="D2418" s="14">
        <v>60</v>
      </c>
      <c r="E2418" s="14">
        <v>401</v>
      </c>
      <c r="F2418" s="14">
        <v>6.5</v>
      </c>
      <c r="G2418" s="14">
        <v>18</v>
      </c>
      <c r="H2418" s="14">
        <v>72.5</v>
      </c>
      <c r="I2418" s="15">
        <v>0.6</v>
      </c>
    </row>
    <row r="2419" spans="1:9" x14ac:dyDescent="0.25">
      <c r="A2419" s="12">
        <v>54</v>
      </c>
      <c r="B2419" s="13">
        <v>45159</v>
      </c>
      <c r="C2419" s="14">
        <v>18.100000000000001</v>
      </c>
      <c r="D2419" s="14">
        <v>57</v>
      </c>
      <c r="E2419" s="14">
        <v>690</v>
      </c>
      <c r="F2419" s="14">
        <v>6.5</v>
      </c>
      <c r="G2419" s="14">
        <v>19</v>
      </c>
      <c r="H2419" s="14">
        <v>64.58</v>
      </c>
      <c r="I2419" s="15">
        <v>0.56999999999999995</v>
      </c>
    </row>
    <row r="2420" spans="1:9" x14ac:dyDescent="0.25">
      <c r="A2420" s="12">
        <v>54</v>
      </c>
      <c r="B2420" s="13">
        <v>45160</v>
      </c>
      <c r="C2420" s="14">
        <v>18.2</v>
      </c>
      <c r="D2420" s="14">
        <v>54</v>
      </c>
      <c r="E2420" s="14">
        <v>550</v>
      </c>
      <c r="F2420" s="14">
        <v>6.1</v>
      </c>
      <c r="G2420" s="14">
        <v>20</v>
      </c>
      <c r="H2420" s="14">
        <v>64.760000000000005</v>
      </c>
      <c r="I2420" s="15">
        <v>0.54</v>
      </c>
    </row>
    <row r="2421" spans="1:9" x14ac:dyDescent="0.25">
      <c r="A2421" s="12">
        <v>54</v>
      </c>
      <c r="B2421" s="13">
        <v>45161</v>
      </c>
      <c r="C2421" s="14">
        <v>21.4</v>
      </c>
      <c r="D2421" s="14">
        <v>57</v>
      </c>
      <c r="E2421" s="14">
        <v>679</v>
      </c>
      <c r="F2421" s="14">
        <v>6.1</v>
      </c>
      <c r="G2421" s="14">
        <v>21</v>
      </c>
      <c r="H2421" s="14">
        <v>70.52</v>
      </c>
      <c r="I2421" s="15">
        <v>0.56999999999999995</v>
      </c>
    </row>
    <row r="2422" spans="1:9" x14ac:dyDescent="0.25">
      <c r="A2422" s="12">
        <v>54</v>
      </c>
      <c r="B2422" s="13">
        <v>45162</v>
      </c>
      <c r="C2422" s="14">
        <v>19.2</v>
      </c>
      <c r="D2422" s="14">
        <v>80</v>
      </c>
      <c r="E2422" s="14">
        <v>568</v>
      </c>
      <c r="F2422" s="14">
        <v>6</v>
      </c>
      <c r="G2422" s="14">
        <v>22</v>
      </c>
      <c r="H2422" s="14">
        <v>66.56</v>
      </c>
      <c r="I2422" s="15">
        <v>0.8</v>
      </c>
    </row>
    <row r="2423" spans="1:9" x14ac:dyDescent="0.25">
      <c r="A2423" s="12">
        <v>54</v>
      </c>
      <c r="B2423" s="13">
        <v>45163</v>
      </c>
      <c r="C2423" s="14">
        <v>19.7</v>
      </c>
      <c r="D2423" s="14">
        <v>54</v>
      </c>
      <c r="E2423" s="14">
        <v>705</v>
      </c>
      <c r="F2423" s="14">
        <v>6.5</v>
      </c>
      <c r="G2423" s="14">
        <v>23</v>
      </c>
      <c r="H2423" s="14">
        <v>67.459999999999994</v>
      </c>
      <c r="I2423" s="15">
        <v>0.54</v>
      </c>
    </row>
    <row r="2424" spans="1:9" x14ac:dyDescent="0.25">
      <c r="A2424" s="12">
        <v>54</v>
      </c>
      <c r="B2424" s="13">
        <v>45164</v>
      </c>
      <c r="C2424" s="14">
        <v>21.7</v>
      </c>
      <c r="D2424" s="14">
        <v>66</v>
      </c>
      <c r="E2424" s="14">
        <v>604</v>
      </c>
      <c r="F2424" s="14">
        <v>6.2</v>
      </c>
      <c r="G2424" s="14">
        <v>24</v>
      </c>
      <c r="H2424" s="14">
        <v>71.06</v>
      </c>
      <c r="I2424" s="15">
        <v>0.66</v>
      </c>
    </row>
    <row r="2425" spans="1:9" x14ac:dyDescent="0.25">
      <c r="A2425" s="12">
        <v>54</v>
      </c>
      <c r="B2425" s="13">
        <v>45165</v>
      </c>
      <c r="C2425" s="14">
        <v>19.600000000000001</v>
      </c>
      <c r="D2425" s="14">
        <v>75</v>
      </c>
      <c r="E2425" s="14">
        <v>651</v>
      </c>
      <c r="F2425" s="14">
        <v>6.7</v>
      </c>
      <c r="G2425" s="14">
        <v>25</v>
      </c>
      <c r="H2425" s="14">
        <v>67.28</v>
      </c>
      <c r="I2425" s="15">
        <v>0.75</v>
      </c>
    </row>
    <row r="2426" spans="1:9" x14ac:dyDescent="0.25">
      <c r="A2426" s="12">
        <v>54</v>
      </c>
      <c r="B2426" s="13">
        <v>45166</v>
      </c>
      <c r="C2426" s="14">
        <v>24.4</v>
      </c>
      <c r="D2426" s="14">
        <v>54</v>
      </c>
      <c r="E2426" s="14">
        <v>551</v>
      </c>
      <c r="F2426" s="14">
        <v>6.5</v>
      </c>
      <c r="G2426" s="14">
        <v>26</v>
      </c>
      <c r="H2426" s="14">
        <v>75.92</v>
      </c>
      <c r="I2426" s="15">
        <v>0.54</v>
      </c>
    </row>
    <row r="2427" spans="1:9" x14ac:dyDescent="0.25">
      <c r="A2427" s="12">
        <v>54</v>
      </c>
      <c r="B2427" s="13">
        <v>45167</v>
      </c>
      <c r="C2427" s="14">
        <v>19</v>
      </c>
      <c r="D2427" s="14">
        <v>59</v>
      </c>
      <c r="E2427" s="14">
        <v>677</v>
      </c>
      <c r="F2427" s="14">
        <v>6.5</v>
      </c>
      <c r="G2427" s="14">
        <v>27</v>
      </c>
      <c r="H2427" s="14">
        <v>66.2</v>
      </c>
      <c r="I2427" s="15">
        <v>0.59</v>
      </c>
    </row>
    <row r="2428" spans="1:9" x14ac:dyDescent="0.25">
      <c r="A2428" s="12">
        <v>54</v>
      </c>
      <c r="B2428" s="13">
        <v>45168</v>
      </c>
      <c r="C2428" s="14">
        <v>24.6</v>
      </c>
      <c r="D2428" s="14">
        <v>65</v>
      </c>
      <c r="E2428" s="14">
        <v>776</v>
      </c>
      <c r="F2428" s="14">
        <v>6.5</v>
      </c>
      <c r="G2428" s="14">
        <v>28</v>
      </c>
      <c r="H2428" s="14">
        <v>76.28</v>
      </c>
      <c r="I2428" s="15">
        <v>0.65</v>
      </c>
    </row>
    <row r="2429" spans="1:9" x14ac:dyDescent="0.25">
      <c r="A2429" s="12">
        <v>54</v>
      </c>
      <c r="B2429" s="13">
        <v>45169</v>
      </c>
      <c r="C2429" s="14">
        <v>18.5</v>
      </c>
      <c r="D2429" s="14">
        <v>67</v>
      </c>
      <c r="E2429" s="14">
        <v>786</v>
      </c>
      <c r="F2429" s="14">
        <v>6.7</v>
      </c>
      <c r="G2429" s="14">
        <v>29</v>
      </c>
      <c r="H2429" s="14">
        <v>65.3</v>
      </c>
      <c r="I2429" s="15">
        <v>0.67</v>
      </c>
    </row>
    <row r="2430" spans="1:9" x14ac:dyDescent="0.25">
      <c r="A2430" s="12">
        <v>54</v>
      </c>
      <c r="B2430" s="13">
        <v>45170</v>
      </c>
      <c r="C2430" s="14">
        <v>19.399999999999999</v>
      </c>
      <c r="D2430" s="14">
        <v>50</v>
      </c>
      <c r="E2430" s="14">
        <v>555</v>
      </c>
      <c r="F2430" s="14">
        <v>6.5</v>
      </c>
      <c r="G2430" s="14">
        <v>30</v>
      </c>
      <c r="H2430" s="14">
        <v>66.92</v>
      </c>
      <c r="I2430" s="15">
        <v>0.5</v>
      </c>
    </row>
    <row r="2431" spans="1:9" x14ac:dyDescent="0.25">
      <c r="A2431" s="12">
        <v>54</v>
      </c>
      <c r="B2431" s="13">
        <v>45171</v>
      </c>
      <c r="C2431" s="14">
        <v>20.8</v>
      </c>
      <c r="D2431" s="14">
        <v>53</v>
      </c>
      <c r="E2431" s="14">
        <v>574</v>
      </c>
      <c r="F2431" s="14">
        <v>6</v>
      </c>
      <c r="G2431" s="14">
        <v>31</v>
      </c>
      <c r="H2431" s="14">
        <v>69.44</v>
      </c>
      <c r="I2431" s="15">
        <v>0.53</v>
      </c>
    </row>
    <row r="2432" spans="1:9" x14ac:dyDescent="0.25">
      <c r="A2432" s="12">
        <v>54</v>
      </c>
      <c r="B2432" s="13">
        <v>45172</v>
      </c>
      <c r="C2432" s="14">
        <v>24.3</v>
      </c>
      <c r="D2432" s="14">
        <v>61</v>
      </c>
      <c r="E2432" s="14">
        <v>557</v>
      </c>
      <c r="F2432" s="14">
        <v>6.5</v>
      </c>
      <c r="G2432" s="14">
        <v>32</v>
      </c>
      <c r="H2432" s="14">
        <v>75.739999999999995</v>
      </c>
      <c r="I2432" s="15">
        <v>0.61</v>
      </c>
    </row>
    <row r="2433" spans="1:9" x14ac:dyDescent="0.25">
      <c r="A2433" s="12">
        <v>54</v>
      </c>
      <c r="B2433" s="13">
        <v>45173</v>
      </c>
      <c r="C2433" s="14">
        <v>19.399999999999999</v>
      </c>
      <c r="D2433" s="14">
        <v>77</v>
      </c>
      <c r="E2433" s="14">
        <v>486</v>
      </c>
      <c r="F2433" s="14">
        <v>6.3</v>
      </c>
      <c r="G2433" s="14">
        <v>33</v>
      </c>
      <c r="H2433" s="14">
        <v>66.92</v>
      </c>
      <c r="I2433" s="15">
        <v>0.77</v>
      </c>
    </row>
    <row r="2434" spans="1:9" x14ac:dyDescent="0.25">
      <c r="A2434" s="12">
        <v>54</v>
      </c>
      <c r="B2434" s="13">
        <v>45174</v>
      </c>
      <c r="C2434" s="14">
        <v>23.9</v>
      </c>
      <c r="D2434" s="14">
        <v>57</v>
      </c>
      <c r="E2434" s="14">
        <v>724</v>
      </c>
      <c r="F2434" s="14">
        <v>6.3</v>
      </c>
      <c r="G2434" s="14">
        <v>34</v>
      </c>
      <c r="H2434" s="14">
        <v>75.02</v>
      </c>
      <c r="I2434" s="15">
        <v>0.56999999999999995</v>
      </c>
    </row>
    <row r="2435" spans="1:9" x14ac:dyDescent="0.25">
      <c r="A2435" s="12">
        <v>54</v>
      </c>
      <c r="B2435" s="13">
        <v>45175</v>
      </c>
      <c r="C2435" s="14">
        <v>21.7</v>
      </c>
      <c r="D2435" s="14">
        <v>64</v>
      </c>
      <c r="E2435" s="14">
        <v>679</v>
      </c>
      <c r="F2435" s="14">
        <v>6.4</v>
      </c>
      <c r="G2435" s="14">
        <v>35</v>
      </c>
      <c r="H2435" s="14">
        <v>71.06</v>
      </c>
      <c r="I2435" s="15">
        <v>0.64</v>
      </c>
    </row>
    <row r="2436" spans="1:9" x14ac:dyDescent="0.25">
      <c r="A2436" s="12">
        <v>54</v>
      </c>
      <c r="B2436" s="13">
        <v>45176</v>
      </c>
      <c r="C2436" s="14">
        <v>18.8</v>
      </c>
      <c r="D2436" s="14">
        <v>80</v>
      </c>
      <c r="E2436" s="14">
        <v>575</v>
      </c>
      <c r="F2436" s="14">
        <v>6.8</v>
      </c>
      <c r="G2436" s="14">
        <v>36</v>
      </c>
      <c r="H2436" s="14">
        <v>65.84</v>
      </c>
      <c r="I2436" s="15">
        <v>0.8</v>
      </c>
    </row>
    <row r="2437" spans="1:9" x14ac:dyDescent="0.25">
      <c r="A2437" s="12">
        <v>54</v>
      </c>
      <c r="B2437" s="13">
        <v>45177</v>
      </c>
      <c r="C2437" s="14">
        <v>21.3</v>
      </c>
      <c r="D2437" s="14">
        <v>57</v>
      </c>
      <c r="E2437" s="14">
        <v>442</v>
      </c>
      <c r="F2437" s="14">
        <v>6.3</v>
      </c>
      <c r="G2437" s="14">
        <v>37</v>
      </c>
      <c r="H2437" s="14">
        <v>70.34</v>
      </c>
      <c r="I2437" s="15">
        <v>0.56999999999999995</v>
      </c>
    </row>
    <row r="2438" spans="1:9" x14ac:dyDescent="0.25">
      <c r="A2438" s="12">
        <v>54</v>
      </c>
      <c r="B2438" s="13">
        <v>45178</v>
      </c>
      <c r="C2438" s="14">
        <v>20.2</v>
      </c>
      <c r="D2438" s="14">
        <v>68</v>
      </c>
      <c r="E2438" s="14">
        <v>588</v>
      </c>
      <c r="F2438" s="14">
        <v>6.5</v>
      </c>
      <c r="G2438" s="14">
        <v>38</v>
      </c>
      <c r="H2438" s="14">
        <v>68.36</v>
      </c>
      <c r="I2438" s="15">
        <v>0.68</v>
      </c>
    </row>
    <row r="2439" spans="1:9" x14ac:dyDescent="0.25">
      <c r="A2439" s="12">
        <v>54</v>
      </c>
      <c r="B2439" s="13">
        <v>45179</v>
      </c>
      <c r="C2439" s="14">
        <v>21.9</v>
      </c>
      <c r="D2439" s="14">
        <v>75</v>
      </c>
      <c r="E2439" s="14">
        <v>745</v>
      </c>
      <c r="F2439" s="14">
        <v>6.1</v>
      </c>
      <c r="G2439" s="14">
        <v>39</v>
      </c>
      <c r="H2439" s="14">
        <v>71.42</v>
      </c>
      <c r="I2439" s="15">
        <v>0.75</v>
      </c>
    </row>
    <row r="2440" spans="1:9" x14ac:dyDescent="0.25">
      <c r="A2440" s="12">
        <v>54</v>
      </c>
      <c r="B2440" s="13">
        <v>45180</v>
      </c>
      <c r="C2440" s="14">
        <v>23.7</v>
      </c>
      <c r="D2440" s="14">
        <v>51</v>
      </c>
      <c r="E2440" s="14">
        <v>636</v>
      </c>
      <c r="F2440" s="14">
        <v>6.7</v>
      </c>
      <c r="G2440" s="14">
        <v>40</v>
      </c>
      <c r="H2440" s="14">
        <v>74.66</v>
      </c>
      <c r="I2440" s="15">
        <v>0.51</v>
      </c>
    </row>
    <row r="2441" spans="1:9" x14ac:dyDescent="0.25">
      <c r="A2441" s="12">
        <v>54</v>
      </c>
      <c r="B2441" s="13">
        <v>45181</v>
      </c>
      <c r="C2441" s="14">
        <v>19.5</v>
      </c>
      <c r="D2441" s="14">
        <v>55</v>
      </c>
      <c r="E2441" s="14">
        <v>414</v>
      </c>
      <c r="F2441" s="14">
        <v>6.3</v>
      </c>
      <c r="G2441" s="14">
        <v>41</v>
      </c>
      <c r="H2441" s="14">
        <v>67.099999999999994</v>
      </c>
      <c r="I2441" s="15">
        <v>0.55000000000000004</v>
      </c>
    </row>
    <row r="2442" spans="1:9" x14ac:dyDescent="0.25">
      <c r="A2442" s="12">
        <v>54</v>
      </c>
      <c r="B2442" s="13">
        <v>45182</v>
      </c>
      <c r="C2442" s="14">
        <v>18.600000000000001</v>
      </c>
      <c r="D2442" s="14">
        <v>57</v>
      </c>
      <c r="E2442" s="14">
        <v>443</v>
      </c>
      <c r="F2442" s="14">
        <v>6.3</v>
      </c>
      <c r="G2442" s="14">
        <v>42</v>
      </c>
      <c r="H2442" s="14">
        <v>65.48</v>
      </c>
      <c r="I2442" s="15">
        <v>0.56999999999999995</v>
      </c>
    </row>
    <row r="2443" spans="1:9" x14ac:dyDescent="0.25">
      <c r="A2443" s="12">
        <v>54</v>
      </c>
      <c r="B2443" s="13">
        <v>45183</v>
      </c>
      <c r="C2443" s="14">
        <v>21.8</v>
      </c>
      <c r="D2443" s="14">
        <v>58</v>
      </c>
      <c r="E2443" s="14">
        <v>792</v>
      </c>
      <c r="F2443" s="14">
        <v>6.4</v>
      </c>
      <c r="G2443" s="14">
        <v>43</v>
      </c>
      <c r="H2443" s="14">
        <v>71.239999999999995</v>
      </c>
      <c r="I2443" s="15">
        <v>0.57999999999999996</v>
      </c>
    </row>
    <row r="2444" spans="1:9" x14ac:dyDescent="0.25">
      <c r="A2444" s="12">
        <v>54</v>
      </c>
      <c r="B2444" s="13">
        <v>45184</v>
      </c>
      <c r="C2444" s="14">
        <v>23.2</v>
      </c>
      <c r="D2444" s="14">
        <v>51</v>
      </c>
      <c r="E2444" s="14">
        <v>458</v>
      </c>
      <c r="F2444" s="14">
        <v>6.6</v>
      </c>
      <c r="G2444" s="14">
        <v>44</v>
      </c>
      <c r="H2444" s="14">
        <v>73.760000000000005</v>
      </c>
      <c r="I2444" s="15">
        <v>0.51</v>
      </c>
    </row>
    <row r="2445" spans="1:9" x14ac:dyDescent="0.25">
      <c r="A2445" s="12">
        <v>54</v>
      </c>
      <c r="B2445" s="13">
        <v>45185</v>
      </c>
      <c r="C2445" s="14">
        <v>22.9</v>
      </c>
      <c r="D2445" s="14">
        <v>69</v>
      </c>
      <c r="E2445" s="14">
        <v>418</v>
      </c>
      <c r="F2445" s="14">
        <v>6.6</v>
      </c>
      <c r="G2445" s="14">
        <v>45</v>
      </c>
      <c r="H2445" s="14">
        <v>73.22</v>
      </c>
      <c r="I2445" s="15">
        <v>0.69</v>
      </c>
    </row>
    <row r="2446" spans="1:9" x14ac:dyDescent="0.25">
      <c r="A2446" s="12">
        <v>55</v>
      </c>
      <c r="B2446" s="13">
        <v>45141</v>
      </c>
      <c r="C2446" s="14">
        <v>18.7</v>
      </c>
      <c r="D2446" s="14">
        <v>65</v>
      </c>
      <c r="E2446" s="14">
        <v>603</v>
      </c>
      <c r="F2446" s="14">
        <v>6.3</v>
      </c>
      <c r="G2446" s="14">
        <v>1</v>
      </c>
      <c r="H2446" s="14">
        <v>65.66</v>
      </c>
      <c r="I2446" s="15">
        <v>0.65</v>
      </c>
    </row>
    <row r="2447" spans="1:9" x14ac:dyDescent="0.25">
      <c r="A2447" s="12">
        <v>55</v>
      </c>
      <c r="B2447" s="13">
        <v>45142</v>
      </c>
      <c r="C2447" s="14">
        <v>22.8</v>
      </c>
      <c r="D2447" s="14">
        <v>74</v>
      </c>
      <c r="E2447" s="14">
        <v>635</v>
      </c>
      <c r="F2447" s="14">
        <v>6.6</v>
      </c>
      <c r="G2447" s="14">
        <v>2</v>
      </c>
      <c r="H2447" s="14">
        <v>73.040000000000006</v>
      </c>
      <c r="I2447" s="15">
        <v>0.74</v>
      </c>
    </row>
    <row r="2448" spans="1:9" x14ac:dyDescent="0.25">
      <c r="A2448" s="12">
        <v>55</v>
      </c>
      <c r="B2448" s="13">
        <v>45143</v>
      </c>
      <c r="C2448" s="14">
        <v>22.9</v>
      </c>
      <c r="D2448" s="14">
        <v>80</v>
      </c>
      <c r="E2448" s="14">
        <v>451</v>
      </c>
      <c r="F2448" s="14">
        <v>6.5</v>
      </c>
      <c r="G2448" s="14">
        <v>3</v>
      </c>
      <c r="H2448" s="14">
        <v>73.22</v>
      </c>
      <c r="I2448" s="15">
        <v>0.8</v>
      </c>
    </row>
    <row r="2449" spans="1:9" x14ac:dyDescent="0.25">
      <c r="A2449" s="12">
        <v>55</v>
      </c>
      <c r="B2449" s="13">
        <v>45144</v>
      </c>
      <c r="C2449" s="14">
        <v>24.5</v>
      </c>
      <c r="D2449" s="14">
        <v>50</v>
      </c>
      <c r="E2449" s="14">
        <v>674</v>
      </c>
      <c r="F2449" s="14">
        <v>6.4</v>
      </c>
      <c r="G2449" s="14">
        <v>4</v>
      </c>
      <c r="H2449" s="14">
        <v>76.099999999999994</v>
      </c>
      <c r="I2449" s="15">
        <v>0.5</v>
      </c>
    </row>
    <row r="2450" spans="1:9" x14ac:dyDescent="0.25">
      <c r="A2450" s="12">
        <v>55</v>
      </c>
      <c r="B2450" s="13">
        <v>45145</v>
      </c>
      <c r="C2450" s="14">
        <v>19.2</v>
      </c>
      <c r="D2450" s="14">
        <v>53</v>
      </c>
      <c r="E2450" s="14">
        <v>565</v>
      </c>
      <c r="F2450" s="14">
        <v>6.2</v>
      </c>
      <c r="G2450" s="14">
        <v>5</v>
      </c>
      <c r="H2450" s="14">
        <v>66.56</v>
      </c>
      <c r="I2450" s="15">
        <v>0.53</v>
      </c>
    </row>
    <row r="2451" spans="1:9" x14ac:dyDescent="0.25">
      <c r="A2451" s="12">
        <v>55</v>
      </c>
      <c r="B2451" s="13">
        <v>45146</v>
      </c>
      <c r="C2451" s="14">
        <v>18.8</v>
      </c>
      <c r="D2451" s="14">
        <v>64</v>
      </c>
      <c r="E2451" s="14">
        <v>656</v>
      </c>
      <c r="F2451" s="14">
        <v>6.5</v>
      </c>
      <c r="G2451" s="14">
        <v>6</v>
      </c>
      <c r="H2451" s="14">
        <v>65.84</v>
      </c>
      <c r="I2451" s="15">
        <v>0.64</v>
      </c>
    </row>
    <row r="2452" spans="1:9" x14ac:dyDescent="0.25">
      <c r="A2452" s="12">
        <v>55</v>
      </c>
      <c r="B2452" s="13">
        <v>45147</v>
      </c>
      <c r="C2452" s="14">
        <v>24.2</v>
      </c>
      <c r="D2452" s="14">
        <v>56</v>
      </c>
      <c r="E2452" s="14">
        <v>424</v>
      </c>
      <c r="F2452" s="14">
        <v>6.8</v>
      </c>
      <c r="G2452" s="14">
        <v>7</v>
      </c>
      <c r="H2452" s="14">
        <v>75.56</v>
      </c>
      <c r="I2452" s="15">
        <v>0.56000000000000005</v>
      </c>
    </row>
    <row r="2453" spans="1:9" x14ac:dyDescent="0.25">
      <c r="A2453" s="12">
        <v>55</v>
      </c>
      <c r="B2453" s="13">
        <v>45148</v>
      </c>
      <c r="C2453" s="14">
        <v>21.6</v>
      </c>
      <c r="D2453" s="14">
        <v>70</v>
      </c>
      <c r="E2453" s="14">
        <v>652</v>
      </c>
      <c r="F2453" s="14">
        <v>6.7</v>
      </c>
      <c r="G2453" s="14">
        <v>8</v>
      </c>
      <c r="H2453" s="14">
        <v>70.88</v>
      </c>
      <c r="I2453" s="15">
        <v>0.7</v>
      </c>
    </row>
    <row r="2454" spans="1:9" x14ac:dyDescent="0.25">
      <c r="A2454" s="12">
        <v>55</v>
      </c>
      <c r="B2454" s="13">
        <v>45149</v>
      </c>
      <c r="C2454" s="14">
        <v>18.7</v>
      </c>
      <c r="D2454" s="14">
        <v>79</v>
      </c>
      <c r="E2454" s="14">
        <v>681</v>
      </c>
      <c r="F2454" s="14">
        <v>6</v>
      </c>
      <c r="G2454" s="14">
        <v>9</v>
      </c>
      <c r="H2454" s="14">
        <v>65.66</v>
      </c>
      <c r="I2454" s="15">
        <v>0.79</v>
      </c>
    </row>
    <row r="2455" spans="1:9" x14ac:dyDescent="0.25">
      <c r="A2455" s="12">
        <v>55</v>
      </c>
      <c r="B2455" s="13">
        <v>45150</v>
      </c>
      <c r="C2455" s="14">
        <v>20.7</v>
      </c>
      <c r="D2455" s="14">
        <v>53</v>
      </c>
      <c r="E2455" s="14">
        <v>597</v>
      </c>
      <c r="F2455" s="14">
        <v>6.6</v>
      </c>
      <c r="G2455" s="14">
        <v>10</v>
      </c>
      <c r="H2455" s="14">
        <v>69.260000000000005</v>
      </c>
      <c r="I2455" s="15">
        <v>0.53</v>
      </c>
    </row>
    <row r="2456" spans="1:9" x14ac:dyDescent="0.25">
      <c r="A2456" s="12">
        <v>55</v>
      </c>
      <c r="B2456" s="13">
        <v>45151</v>
      </c>
      <c r="C2456" s="14">
        <v>22.2</v>
      </c>
      <c r="D2456" s="14">
        <v>63</v>
      </c>
      <c r="E2456" s="14">
        <v>697</v>
      </c>
      <c r="F2456" s="14">
        <v>6.1</v>
      </c>
      <c r="G2456" s="14">
        <v>11</v>
      </c>
      <c r="H2456" s="14">
        <v>71.959999999999994</v>
      </c>
      <c r="I2456" s="15">
        <v>0.63</v>
      </c>
    </row>
    <row r="2457" spans="1:9" x14ac:dyDescent="0.25">
      <c r="A2457" s="12">
        <v>55</v>
      </c>
      <c r="B2457" s="13">
        <v>45152</v>
      </c>
      <c r="C2457" s="14">
        <v>19.5</v>
      </c>
      <c r="D2457" s="14">
        <v>61</v>
      </c>
      <c r="E2457" s="14">
        <v>561</v>
      </c>
      <c r="F2457" s="14">
        <v>6.7</v>
      </c>
      <c r="G2457" s="14">
        <v>12</v>
      </c>
      <c r="H2457" s="14">
        <v>67.099999999999994</v>
      </c>
      <c r="I2457" s="15">
        <v>0.61</v>
      </c>
    </row>
    <row r="2458" spans="1:9" x14ac:dyDescent="0.25">
      <c r="A2458" s="12">
        <v>55</v>
      </c>
      <c r="B2458" s="13">
        <v>45153</v>
      </c>
      <c r="C2458" s="14">
        <v>18</v>
      </c>
      <c r="D2458" s="14">
        <v>53</v>
      </c>
      <c r="E2458" s="14">
        <v>443</v>
      </c>
      <c r="F2458" s="14">
        <v>6.5</v>
      </c>
      <c r="G2458" s="14">
        <v>13</v>
      </c>
      <c r="H2458" s="14">
        <v>64.400000000000006</v>
      </c>
      <c r="I2458" s="15">
        <v>0.53</v>
      </c>
    </row>
    <row r="2459" spans="1:9" x14ac:dyDescent="0.25">
      <c r="A2459" s="12">
        <v>55</v>
      </c>
      <c r="B2459" s="13">
        <v>45154</v>
      </c>
      <c r="C2459" s="14">
        <v>21.2</v>
      </c>
      <c r="D2459" s="14">
        <v>76</v>
      </c>
      <c r="E2459" s="14">
        <v>728</v>
      </c>
      <c r="F2459" s="14">
        <v>6.5</v>
      </c>
      <c r="G2459" s="14">
        <v>14</v>
      </c>
      <c r="H2459" s="14">
        <v>70.16</v>
      </c>
      <c r="I2459" s="15">
        <v>0.76</v>
      </c>
    </row>
    <row r="2460" spans="1:9" x14ac:dyDescent="0.25">
      <c r="A2460" s="12">
        <v>55</v>
      </c>
      <c r="B2460" s="13">
        <v>45155</v>
      </c>
      <c r="C2460" s="14">
        <v>22.2</v>
      </c>
      <c r="D2460" s="14">
        <v>69</v>
      </c>
      <c r="E2460" s="14">
        <v>455</v>
      </c>
      <c r="F2460" s="14">
        <v>6.2</v>
      </c>
      <c r="G2460" s="14">
        <v>15</v>
      </c>
      <c r="H2460" s="14">
        <v>71.959999999999994</v>
      </c>
      <c r="I2460" s="15">
        <v>0.69</v>
      </c>
    </row>
    <row r="2461" spans="1:9" x14ac:dyDescent="0.25">
      <c r="A2461" s="12">
        <v>55</v>
      </c>
      <c r="B2461" s="13">
        <v>45156</v>
      </c>
      <c r="C2461" s="14">
        <v>24.1</v>
      </c>
      <c r="D2461" s="14">
        <v>71</v>
      </c>
      <c r="E2461" s="14">
        <v>416</v>
      </c>
      <c r="F2461" s="14">
        <v>6.7</v>
      </c>
      <c r="G2461" s="14">
        <v>16</v>
      </c>
      <c r="H2461" s="14">
        <v>75.38</v>
      </c>
      <c r="I2461" s="15">
        <v>0.71</v>
      </c>
    </row>
    <row r="2462" spans="1:9" x14ac:dyDescent="0.25">
      <c r="A2462" s="12">
        <v>55</v>
      </c>
      <c r="B2462" s="13">
        <v>45157</v>
      </c>
      <c r="C2462" s="14">
        <v>21.5</v>
      </c>
      <c r="D2462" s="14">
        <v>51</v>
      </c>
      <c r="E2462" s="14">
        <v>472</v>
      </c>
      <c r="F2462" s="14">
        <v>6.5</v>
      </c>
      <c r="G2462" s="14">
        <v>17</v>
      </c>
      <c r="H2462" s="14">
        <v>70.7</v>
      </c>
      <c r="I2462" s="15">
        <v>0.51</v>
      </c>
    </row>
    <row r="2463" spans="1:9" x14ac:dyDescent="0.25">
      <c r="A2463" s="12">
        <v>55</v>
      </c>
      <c r="B2463" s="13">
        <v>45158</v>
      </c>
      <c r="C2463" s="14">
        <v>24.9</v>
      </c>
      <c r="D2463" s="14">
        <v>63</v>
      </c>
      <c r="E2463" s="14">
        <v>474</v>
      </c>
      <c r="F2463" s="14">
        <v>6.6</v>
      </c>
      <c r="G2463" s="14">
        <v>18</v>
      </c>
      <c r="H2463" s="14">
        <v>76.819999999999993</v>
      </c>
      <c r="I2463" s="15">
        <v>0.63</v>
      </c>
    </row>
    <row r="2464" spans="1:9" x14ac:dyDescent="0.25">
      <c r="A2464" s="12">
        <v>55</v>
      </c>
      <c r="B2464" s="13">
        <v>45159</v>
      </c>
      <c r="C2464" s="14">
        <v>22</v>
      </c>
      <c r="D2464" s="14">
        <v>50</v>
      </c>
      <c r="E2464" s="14">
        <v>625</v>
      </c>
      <c r="F2464" s="14">
        <v>6.1</v>
      </c>
      <c r="G2464" s="14">
        <v>19</v>
      </c>
      <c r="H2464" s="14">
        <v>71.599999999999994</v>
      </c>
      <c r="I2464" s="15">
        <v>0.5</v>
      </c>
    </row>
    <row r="2465" spans="1:9" x14ac:dyDescent="0.25">
      <c r="A2465" s="12">
        <v>55</v>
      </c>
      <c r="B2465" s="13">
        <v>45160</v>
      </c>
      <c r="C2465" s="14">
        <v>24.7</v>
      </c>
      <c r="D2465" s="14">
        <v>56</v>
      </c>
      <c r="E2465" s="14">
        <v>701</v>
      </c>
      <c r="F2465" s="14">
        <v>6.7</v>
      </c>
      <c r="G2465" s="14">
        <v>20</v>
      </c>
      <c r="H2465" s="14">
        <v>76.459999999999994</v>
      </c>
      <c r="I2465" s="15">
        <v>0.56000000000000005</v>
      </c>
    </row>
    <row r="2466" spans="1:9" x14ac:dyDescent="0.25">
      <c r="A2466" s="12">
        <v>55</v>
      </c>
      <c r="B2466" s="13">
        <v>45161</v>
      </c>
      <c r="C2466" s="14">
        <v>19</v>
      </c>
      <c r="D2466" s="14">
        <v>66</v>
      </c>
      <c r="E2466" s="14">
        <v>665</v>
      </c>
      <c r="F2466" s="14">
        <v>6.2</v>
      </c>
      <c r="G2466" s="14">
        <v>21</v>
      </c>
      <c r="H2466" s="14">
        <v>66.2</v>
      </c>
      <c r="I2466" s="15">
        <v>0.66</v>
      </c>
    </row>
    <row r="2467" spans="1:9" x14ac:dyDescent="0.25">
      <c r="A2467" s="12">
        <v>55</v>
      </c>
      <c r="B2467" s="13">
        <v>45162</v>
      </c>
      <c r="C2467" s="14">
        <v>22.2</v>
      </c>
      <c r="D2467" s="14">
        <v>70</v>
      </c>
      <c r="E2467" s="14">
        <v>510</v>
      </c>
      <c r="F2467" s="14">
        <v>6</v>
      </c>
      <c r="G2467" s="14">
        <v>22</v>
      </c>
      <c r="H2467" s="14">
        <v>71.959999999999994</v>
      </c>
      <c r="I2467" s="15">
        <v>0.7</v>
      </c>
    </row>
    <row r="2468" spans="1:9" x14ac:dyDescent="0.25">
      <c r="A2468" s="12">
        <v>55</v>
      </c>
      <c r="B2468" s="13">
        <v>45163</v>
      </c>
      <c r="C2468" s="14">
        <v>19.600000000000001</v>
      </c>
      <c r="D2468" s="14">
        <v>76</v>
      </c>
      <c r="E2468" s="14">
        <v>665</v>
      </c>
      <c r="F2468" s="14">
        <v>6.1</v>
      </c>
      <c r="G2468" s="14">
        <v>23</v>
      </c>
      <c r="H2468" s="14">
        <v>67.28</v>
      </c>
      <c r="I2468" s="15">
        <v>0.76</v>
      </c>
    </row>
    <row r="2469" spans="1:9" x14ac:dyDescent="0.25">
      <c r="A2469" s="12">
        <v>55</v>
      </c>
      <c r="B2469" s="13">
        <v>45164</v>
      </c>
      <c r="C2469" s="14">
        <v>22</v>
      </c>
      <c r="D2469" s="14">
        <v>77</v>
      </c>
      <c r="E2469" s="14">
        <v>702</v>
      </c>
      <c r="F2469" s="14">
        <v>6.6</v>
      </c>
      <c r="G2469" s="14">
        <v>24</v>
      </c>
      <c r="H2469" s="14">
        <v>71.599999999999994</v>
      </c>
      <c r="I2469" s="15">
        <v>0.77</v>
      </c>
    </row>
    <row r="2470" spans="1:9" x14ac:dyDescent="0.25">
      <c r="A2470" s="12">
        <v>55</v>
      </c>
      <c r="B2470" s="13">
        <v>45165</v>
      </c>
      <c r="C2470" s="14">
        <v>22.3</v>
      </c>
      <c r="D2470" s="14">
        <v>58</v>
      </c>
      <c r="E2470" s="14">
        <v>520</v>
      </c>
      <c r="F2470" s="14">
        <v>6.4</v>
      </c>
      <c r="G2470" s="14">
        <v>25</v>
      </c>
      <c r="H2470" s="14">
        <v>72.14</v>
      </c>
      <c r="I2470" s="15">
        <v>0.57999999999999996</v>
      </c>
    </row>
    <row r="2471" spans="1:9" x14ac:dyDescent="0.25">
      <c r="A2471" s="12">
        <v>55</v>
      </c>
      <c r="B2471" s="13">
        <v>45166</v>
      </c>
      <c r="C2471" s="14">
        <v>19</v>
      </c>
      <c r="D2471" s="14">
        <v>64</v>
      </c>
      <c r="E2471" s="14">
        <v>474</v>
      </c>
      <c r="F2471" s="14">
        <v>6.4</v>
      </c>
      <c r="G2471" s="14">
        <v>26</v>
      </c>
      <c r="H2471" s="14">
        <v>66.2</v>
      </c>
      <c r="I2471" s="15">
        <v>0.64</v>
      </c>
    </row>
    <row r="2472" spans="1:9" x14ac:dyDescent="0.25">
      <c r="A2472" s="12">
        <v>55</v>
      </c>
      <c r="B2472" s="13">
        <v>45167</v>
      </c>
      <c r="C2472" s="14">
        <v>19.100000000000001</v>
      </c>
      <c r="D2472" s="14">
        <v>68</v>
      </c>
      <c r="E2472" s="14">
        <v>474</v>
      </c>
      <c r="F2472" s="14">
        <v>6.4</v>
      </c>
      <c r="G2472" s="14">
        <v>27</v>
      </c>
      <c r="H2472" s="14">
        <v>66.38</v>
      </c>
      <c r="I2472" s="15">
        <v>0.68</v>
      </c>
    </row>
    <row r="2473" spans="1:9" x14ac:dyDescent="0.25">
      <c r="A2473" s="12">
        <v>55</v>
      </c>
      <c r="B2473" s="13">
        <v>45168</v>
      </c>
      <c r="C2473" s="14">
        <v>20.8</v>
      </c>
      <c r="D2473" s="14">
        <v>59</v>
      </c>
      <c r="E2473" s="14">
        <v>447</v>
      </c>
      <c r="F2473" s="14">
        <v>6.3</v>
      </c>
      <c r="G2473" s="14">
        <v>28</v>
      </c>
      <c r="H2473" s="14">
        <v>69.44</v>
      </c>
      <c r="I2473" s="15">
        <v>0.59</v>
      </c>
    </row>
    <row r="2474" spans="1:9" x14ac:dyDescent="0.25">
      <c r="A2474" s="12">
        <v>55</v>
      </c>
      <c r="B2474" s="13">
        <v>45169</v>
      </c>
      <c r="C2474" s="14">
        <v>18.5</v>
      </c>
      <c r="D2474" s="14">
        <v>54</v>
      </c>
      <c r="E2474" s="14">
        <v>596</v>
      </c>
      <c r="F2474" s="14">
        <v>6</v>
      </c>
      <c r="G2474" s="14">
        <v>29</v>
      </c>
      <c r="H2474" s="14">
        <v>65.3</v>
      </c>
      <c r="I2474" s="15">
        <v>0.54</v>
      </c>
    </row>
    <row r="2475" spans="1:9" x14ac:dyDescent="0.25">
      <c r="A2475" s="12">
        <v>55</v>
      </c>
      <c r="B2475" s="13">
        <v>45170</v>
      </c>
      <c r="C2475" s="14">
        <v>24.6</v>
      </c>
      <c r="D2475" s="14">
        <v>75</v>
      </c>
      <c r="E2475" s="14">
        <v>592</v>
      </c>
      <c r="F2475" s="14">
        <v>6.4</v>
      </c>
      <c r="G2475" s="14">
        <v>30</v>
      </c>
      <c r="H2475" s="14">
        <v>76.28</v>
      </c>
      <c r="I2475" s="15">
        <v>0.75</v>
      </c>
    </row>
    <row r="2476" spans="1:9" x14ac:dyDescent="0.25">
      <c r="A2476" s="12">
        <v>55</v>
      </c>
      <c r="B2476" s="13">
        <v>45171</v>
      </c>
      <c r="C2476" s="14">
        <v>18</v>
      </c>
      <c r="D2476" s="14">
        <v>62</v>
      </c>
      <c r="E2476" s="14">
        <v>465</v>
      </c>
      <c r="F2476" s="14">
        <v>6.2</v>
      </c>
      <c r="G2476" s="14">
        <v>31</v>
      </c>
      <c r="H2476" s="14">
        <v>64.400000000000006</v>
      </c>
      <c r="I2476" s="15">
        <v>0.62</v>
      </c>
    </row>
    <row r="2477" spans="1:9" x14ac:dyDescent="0.25">
      <c r="A2477" s="12">
        <v>55</v>
      </c>
      <c r="B2477" s="13">
        <v>45172</v>
      </c>
      <c r="C2477" s="14">
        <v>20.6</v>
      </c>
      <c r="D2477" s="14">
        <v>55</v>
      </c>
      <c r="E2477" s="14">
        <v>766</v>
      </c>
      <c r="F2477" s="14">
        <v>6.3</v>
      </c>
      <c r="G2477" s="14">
        <v>32</v>
      </c>
      <c r="H2477" s="14">
        <v>69.08</v>
      </c>
      <c r="I2477" s="15">
        <v>0.55000000000000004</v>
      </c>
    </row>
    <row r="2478" spans="1:9" x14ac:dyDescent="0.25">
      <c r="A2478" s="12">
        <v>55</v>
      </c>
      <c r="B2478" s="13">
        <v>45173</v>
      </c>
      <c r="C2478" s="14">
        <v>19.8</v>
      </c>
      <c r="D2478" s="14">
        <v>63</v>
      </c>
      <c r="E2478" s="14">
        <v>795</v>
      </c>
      <c r="F2478" s="14">
        <v>6.7</v>
      </c>
      <c r="G2478" s="14">
        <v>33</v>
      </c>
      <c r="H2478" s="14">
        <v>67.64</v>
      </c>
      <c r="I2478" s="15">
        <v>0.63</v>
      </c>
    </row>
    <row r="2479" spans="1:9" x14ac:dyDescent="0.25">
      <c r="A2479" s="12">
        <v>55</v>
      </c>
      <c r="B2479" s="13">
        <v>45174</v>
      </c>
      <c r="C2479" s="14">
        <v>22.9</v>
      </c>
      <c r="D2479" s="14">
        <v>69</v>
      </c>
      <c r="E2479" s="14">
        <v>432</v>
      </c>
      <c r="F2479" s="14">
        <v>6.5</v>
      </c>
      <c r="G2479" s="14">
        <v>34</v>
      </c>
      <c r="H2479" s="14">
        <v>73.22</v>
      </c>
      <c r="I2479" s="15">
        <v>0.69</v>
      </c>
    </row>
    <row r="2480" spans="1:9" x14ac:dyDescent="0.25">
      <c r="A2480" s="12">
        <v>55</v>
      </c>
      <c r="B2480" s="13">
        <v>45175</v>
      </c>
      <c r="C2480" s="14">
        <v>21.3</v>
      </c>
      <c r="D2480" s="14">
        <v>53</v>
      </c>
      <c r="E2480" s="14">
        <v>686</v>
      </c>
      <c r="F2480" s="14">
        <v>6</v>
      </c>
      <c r="G2480" s="14">
        <v>35</v>
      </c>
      <c r="H2480" s="14">
        <v>70.34</v>
      </c>
      <c r="I2480" s="15">
        <v>0.53</v>
      </c>
    </row>
    <row r="2481" spans="1:9" x14ac:dyDescent="0.25">
      <c r="A2481" s="12">
        <v>55</v>
      </c>
      <c r="B2481" s="13">
        <v>45176</v>
      </c>
      <c r="C2481" s="14">
        <v>24.5</v>
      </c>
      <c r="D2481" s="14">
        <v>55</v>
      </c>
      <c r="E2481" s="14">
        <v>733</v>
      </c>
      <c r="F2481" s="14">
        <v>6.1</v>
      </c>
      <c r="G2481" s="14">
        <v>36</v>
      </c>
      <c r="H2481" s="14">
        <v>76.099999999999994</v>
      </c>
      <c r="I2481" s="15">
        <v>0.55000000000000004</v>
      </c>
    </row>
    <row r="2482" spans="1:9" x14ac:dyDescent="0.25">
      <c r="A2482" s="12">
        <v>55</v>
      </c>
      <c r="B2482" s="13">
        <v>45177</v>
      </c>
      <c r="C2482" s="14">
        <v>19.600000000000001</v>
      </c>
      <c r="D2482" s="14">
        <v>66</v>
      </c>
      <c r="E2482" s="14">
        <v>458</v>
      </c>
      <c r="F2482" s="14">
        <v>6.5</v>
      </c>
      <c r="G2482" s="14">
        <v>37</v>
      </c>
      <c r="H2482" s="14">
        <v>67.28</v>
      </c>
      <c r="I2482" s="15">
        <v>0.66</v>
      </c>
    </row>
    <row r="2483" spans="1:9" x14ac:dyDescent="0.25">
      <c r="A2483" s="12">
        <v>55</v>
      </c>
      <c r="B2483" s="13">
        <v>45178</v>
      </c>
      <c r="C2483" s="14">
        <v>21.8</v>
      </c>
      <c r="D2483" s="14">
        <v>67</v>
      </c>
      <c r="E2483" s="14">
        <v>407</v>
      </c>
      <c r="F2483" s="14">
        <v>6.3</v>
      </c>
      <c r="G2483" s="14">
        <v>38</v>
      </c>
      <c r="H2483" s="14">
        <v>71.239999999999995</v>
      </c>
      <c r="I2483" s="15">
        <v>0.67</v>
      </c>
    </row>
    <row r="2484" spans="1:9" x14ac:dyDescent="0.25">
      <c r="A2484" s="12">
        <v>55</v>
      </c>
      <c r="B2484" s="13">
        <v>45179</v>
      </c>
      <c r="C2484" s="14">
        <v>19.399999999999999</v>
      </c>
      <c r="D2484" s="14">
        <v>72</v>
      </c>
      <c r="E2484" s="14">
        <v>422</v>
      </c>
      <c r="F2484" s="14">
        <v>6.1</v>
      </c>
      <c r="G2484" s="14">
        <v>39</v>
      </c>
      <c r="H2484" s="14">
        <v>66.92</v>
      </c>
      <c r="I2484" s="15">
        <v>0.72</v>
      </c>
    </row>
    <row r="2485" spans="1:9" x14ac:dyDescent="0.25">
      <c r="A2485" s="12">
        <v>55</v>
      </c>
      <c r="B2485" s="13">
        <v>45180</v>
      </c>
      <c r="C2485" s="14">
        <v>23.2</v>
      </c>
      <c r="D2485" s="14">
        <v>75</v>
      </c>
      <c r="E2485" s="14">
        <v>748</v>
      </c>
      <c r="F2485" s="14">
        <v>6.1</v>
      </c>
      <c r="G2485" s="14">
        <v>40</v>
      </c>
      <c r="H2485" s="14">
        <v>73.760000000000005</v>
      </c>
      <c r="I2485" s="15">
        <v>0.75</v>
      </c>
    </row>
    <row r="2486" spans="1:9" x14ac:dyDescent="0.25">
      <c r="A2486" s="12">
        <v>55</v>
      </c>
      <c r="B2486" s="13">
        <v>45181</v>
      </c>
      <c r="C2486" s="14">
        <v>24.8</v>
      </c>
      <c r="D2486" s="14">
        <v>73</v>
      </c>
      <c r="E2486" s="14">
        <v>479</v>
      </c>
      <c r="F2486" s="14">
        <v>6.4</v>
      </c>
      <c r="G2486" s="14">
        <v>41</v>
      </c>
      <c r="H2486" s="14">
        <v>76.64</v>
      </c>
      <c r="I2486" s="15">
        <v>0.73</v>
      </c>
    </row>
    <row r="2487" spans="1:9" x14ac:dyDescent="0.25">
      <c r="A2487" s="12">
        <v>55</v>
      </c>
      <c r="B2487" s="13">
        <v>45182</v>
      </c>
      <c r="C2487" s="14">
        <v>19.399999999999999</v>
      </c>
      <c r="D2487" s="14">
        <v>57</v>
      </c>
      <c r="E2487" s="14">
        <v>724</v>
      </c>
      <c r="F2487" s="14">
        <v>6.5</v>
      </c>
      <c r="G2487" s="14">
        <v>42</v>
      </c>
      <c r="H2487" s="14">
        <v>66.92</v>
      </c>
      <c r="I2487" s="15">
        <v>0.56999999999999995</v>
      </c>
    </row>
    <row r="2488" spans="1:9" x14ac:dyDescent="0.25">
      <c r="A2488" s="12">
        <v>55</v>
      </c>
      <c r="B2488" s="13">
        <v>45183</v>
      </c>
      <c r="C2488" s="14">
        <v>18.100000000000001</v>
      </c>
      <c r="D2488" s="14">
        <v>76</v>
      </c>
      <c r="E2488" s="14">
        <v>712</v>
      </c>
      <c r="F2488" s="14">
        <v>6.7</v>
      </c>
      <c r="G2488" s="14">
        <v>43</v>
      </c>
      <c r="H2488" s="14">
        <v>64.58</v>
      </c>
      <c r="I2488" s="15">
        <v>0.76</v>
      </c>
    </row>
    <row r="2489" spans="1:9" x14ac:dyDescent="0.25">
      <c r="A2489" s="12">
        <v>55</v>
      </c>
      <c r="B2489" s="13">
        <v>45184</v>
      </c>
      <c r="C2489" s="14">
        <v>18.899999999999999</v>
      </c>
      <c r="D2489" s="14">
        <v>53</v>
      </c>
      <c r="E2489" s="14">
        <v>629</v>
      </c>
      <c r="F2489" s="14">
        <v>6.1</v>
      </c>
      <c r="G2489" s="14">
        <v>44</v>
      </c>
      <c r="H2489" s="14">
        <v>66.02</v>
      </c>
      <c r="I2489" s="15">
        <v>0.53</v>
      </c>
    </row>
    <row r="2490" spans="1:9" x14ac:dyDescent="0.25">
      <c r="A2490" s="12">
        <v>55</v>
      </c>
      <c r="B2490" s="13">
        <v>45185</v>
      </c>
      <c r="C2490" s="14">
        <v>23</v>
      </c>
      <c r="D2490" s="14">
        <v>53</v>
      </c>
      <c r="E2490" s="14">
        <v>670</v>
      </c>
      <c r="F2490" s="14">
        <v>6.6</v>
      </c>
      <c r="G2490" s="14">
        <v>45</v>
      </c>
      <c r="H2490" s="14">
        <v>73.400000000000006</v>
      </c>
      <c r="I2490" s="15">
        <v>0.53</v>
      </c>
    </row>
    <row r="2491" spans="1:9" x14ac:dyDescent="0.25">
      <c r="A2491" s="12">
        <v>55</v>
      </c>
      <c r="B2491" s="13">
        <v>45186</v>
      </c>
      <c r="C2491" s="14">
        <v>31.6</v>
      </c>
      <c r="D2491" s="14">
        <v>69</v>
      </c>
      <c r="E2491" s="14">
        <v>539</v>
      </c>
      <c r="F2491" s="14">
        <v>6.6</v>
      </c>
      <c r="G2491" s="14">
        <v>46</v>
      </c>
      <c r="H2491" s="14">
        <v>88.88</v>
      </c>
      <c r="I2491" s="15">
        <v>0.69</v>
      </c>
    </row>
    <row r="2492" spans="1:9" x14ac:dyDescent="0.25">
      <c r="A2492" s="12">
        <v>55</v>
      </c>
      <c r="B2492" s="13">
        <v>45187</v>
      </c>
      <c r="C2492" s="14">
        <v>29.4</v>
      </c>
      <c r="D2492" s="14">
        <v>55</v>
      </c>
      <c r="E2492" s="14">
        <v>554</v>
      </c>
      <c r="F2492" s="14">
        <v>6.6</v>
      </c>
      <c r="G2492" s="14">
        <v>47</v>
      </c>
      <c r="H2492" s="14">
        <v>84.92</v>
      </c>
      <c r="I2492" s="15">
        <v>0.55000000000000004</v>
      </c>
    </row>
    <row r="2493" spans="1:9" x14ac:dyDescent="0.25">
      <c r="A2493" s="12">
        <v>55</v>
      </c>
      <c r="B2493" s="13">
        <v>45188</v>
      </c>
      <c r="C2493" s="14">
        <v>31.5</v>
      </c>
      <c r="D2493" s="14">
        <v>51</v>
      </c>
      <c r="E2493" s="14">
        <v>527</v>
      </c>
      <c r="F2493" s="14">
        <v>6.2</v>
      </c>
      <c r="G2493" s="14">
        <v>48</v>
      </c>
      <c r="H2493" s="14">
        <v>88.7</v>
      </c>
      <c r="I2493" s="15">
        <v>0.51</v>
      </c>
    </row>
    <row r="2494" spans="1:9" x14ac:dyDescent="0.25">
      <c r="A2494" s="12">
        <v>56</v>
      </c>
      <c r="B2494" s="13">
        <v>45141</v>
      </c>
      <c r="C2494" s="14">
        <v>24.9</v>
      </c>
      <c r="D2494" s="14">
        <v>73</v>
      </c>
      <c r="E2494" s="14">
        <v>728</v>
      </c>
      <c r="F2494" s="14">
        <v>6.7</v>
      </c>
      <c r="G2494" s="14">
        <v>1</v>
      </c>
      <c r="H2494" s="14">
        <v>76.819999999999993</v>
      </c>
      <c r="I2494" s="15">
        <v>0.73</v>
      </c>
    </row>
    <row r="2495" spans="1:9" x14ac:dyDescent="0.25">
      <c r="A2495" s="12">
        <v>56</v>
      </c>
      <c r="B2495" s="13">
        <v>45142</v>
      </c>
      <c r="C2495" s="14">
        <v>20.100000000000001</v>
      </c>
      <c r="D2495" s="14">
        <v>53</v>
      </c>
      <c r="E2495" s="14">
        <v>524</v>
      </c>
      <c r="F2495" s="14">
        <v>6.7</v>
      </c>
      <c r="G2495" s="14">
        <v>2</v>
      </c>
      <c r="H2495" s="14">
        <v>68.180000000000007</v>
      </c>
      <c r="I2495" s="15">
        <v>0.53</v>
      </c>
    </row>
    <row r="2496" spans="1:9" x14ac:dyDescent="0.25">
      <c r="A2496" s="12">
        <v>56</v>
      </c>
      <c r="B2496" s="13">
        <v>45143</v>
      </c>
      <c r="C2496" s="14">
        <v>18.600000000000001</v>
      </c>
      <c r="D2496" s="14">
        <v>55</v>
      </c>
      <c r="E2496" s="14">
        <v>553</v>
      </c>
      <c r="F2496" s="14">
        <v>6.2</v>
      </c>
      <c r="G2496" s="14">
        <v>3</v>
      </c>
      <c r="H2496" s="14">
        <v>65.48</v>
      </c>
      <c r="I2496" s="15">
        <v>0.55000000000000004</v>
      </c>
    </row>
    <row r="2497" spans="1:9" x14ac:dyDescent="0.25">
      <c r="A2497" s="12">
        <v>56</v>
      </c>
      <c r="B2497" s="13">
        <v>45144</v>
      </c>
      <c r="C2497" s="14">
        <v>19</v>
      </c>
      <c r="D2497" s="14">
        <v>60</v>
      </c>
      <c r="E2497" s="14">
        <v>576</v>
      </c>
      <c r="F2497" s="14">
        <v>6.6</v>
      </c>
      <c r="G2497" s="14">
        <v>4</v>
      </c>
      <c r="H2497" s="14">
        <v>66.2</v>
      </c>
      <c r="I2497" s="15">
        <v>0.6</v>
      </c>
    </row>
    <row r="2498" spans="1:9" x14ac:dyDescent="0.25">
      <c r="A2498" s="12">
        <v>56</v>
      </c>
      <c r="B2498" s="13">
        <v>45145</v>
      </c>
      <c r="C2498" s="14">
        <v>24.2</v>
      </c>
      <c r="D2498" s="14">
        <v>54</v>
      </c>
      <c r="E2498" s="14">
        <v>420</v>
      </c>
      <c r="F2498" s="14">
        <v>6.8</v>
      </c>
      <c r="G2498" s="14">
        <v>5</v>
      </c>
      <c r="H2498" s="14">
        <v>75.56</v>
      </c>
      <c r="I2498" s="15">
        <v>0.54</v>
      </c>
    </row>
    <row r="2499" spans="1:9" x14ac:dyDescent="0.25">
      <c r="A2499" s="12">
        <v>56</v>
      </c>
      <c r="B2499" s="13">
        <v>45146</v>
      </c>
      <c r="C2499" s="14">
        <v>24.4</v>
      </c>
      <c r="D2499" s="14">
        <v>56</v>
      </c>
      <c r="E2499" s="14">
        <v>775</v>
      </c>
      <c r="F2499" s="14">
        <v>6.7</v>
      </c>
      <c r="G2499" s="14">
        <v>6</v>
      </c>
      <c r="H2499" s="14">
        <v>75.92</v>
      </c>
      <c r="I2499" s="15">
        <v>0.56000000000000005</v>
      </c>
    </row>
    <row r="2500" spans="1:9" x14ac:dyDescent="0.25">
      <c r="A2500" s="12">
        <v>56</v>
      </c>
      <c r="B2500" s="13">
        <v>45147</v>
      </c>
      <c r="C2500" s="14">
        <v>23.8</v>
      </c>
      <c r="D2500" s="14">
        <v>65</v>
      </c>
      <c r="E2500" s="14">
        <v>538</v>
      </c>
      <c r="F2500" s="14">
        <v>6.5</v>
      </c>
      <c r="G2500" s="14">
        <v>7</v>
      </c>
      <c r="H2500" s="14">
        <v>74.84</v>
      </c>
      <c r="I2500" s="15">
        <v>0.65</v>
      </c>
    </row>
    <row r="2501" spans="1:9" x14ac:dyDescent="0.25">
      <c r="A2501" s="12">
        <v>56</v>
      </c>
      <c r="B2501" s="13">
        <v>45148</v>
      </c>
      <c r="C2501" s="14">
        <v>21.2</v>
      </c>
      <c r="D2501" s="14">
        <v>75</v>
      </c>
      <c r="E2501" s="14">
        <v>484</v>
      </c>
      <c r="F2501" s="14">
        <v>6.2</v>
      </c>
      <c r="G2501" s="14">
        <v>8</v>
      </c>
      <c r="H2501" s="14">
        <v>70.16</v>
      </c>
      <c r="I2501" s="15">
        <v>0.75</v>
      </c>
    </row>
    <row r="2502" spans="1:9" x14ac:dyDescent="0.25">
      <c r="A2502" s="12">
        <v>56</v>
      </c>
      <c r="B2502" s="13">
        <v>45149</v>
      </c>
      <c r="C2502" s="14">
        <v>24.8</v>
      </c>
      <c r="D2502" s="14">
        <v>50</v>
      </c>
      <c r="E2502" s="14">
        <v>683</v>
      </c>
      <c r="F2502" s="14">
        <v>6</v>
      </c>
      <c r="G2502" s="14">
        <v>9</v>
      </c>
      <c r="H2502" s="14">
        <v>76.64</v>
      </c>
      <c r="I2502" s="15">
        <v>0.5</v>
      </c>
    </row>
    <row r="2503" spans="1:9" x14ac:dyDescent="0.25">
      <c r="A2503" s="12">
        <v>56</v>
      </c>
      <c r="B2503" s="13">
        <v>45150</v>
      </c>
      <c r="C2503" s="14">
        <v>19.399999999999999</v>
      </c>
      <c r="D2503" s="14">
        <v>55</v>
      </c>
      <c r="E2503" s="14">
        <v>769</v>
      </c>
      <c r="F2503" s="14">
        <v>6.6</v>
      </c>
      <c r="G2503" s="14">
        <v>10</v>
      </c>
      <c r="H2503" s="14">
        <v>66.92</v>
      </c>
      <c r="I2503" s="15">
        <v>0.55000000000000004</v>
      </c>
    </row>
    <row r="2504" spans="1:9" x14ac:dyDescent="0.25">
      <c r="A2504" s="12">
        <v>56</v>
      </c>
      <c r="B2504" s="13">
        <v>45151</v>
      </c>
      <c r="C2504" s="14">
        <v>23.7</v>
      </c>
      <c r="D2504" s="14">
        <v>54</v>
      </c>
      <c r="E2504" s="14">
        <v>428</v>
      </c>
      <c r="F2504" s="14">
        <v>6.4</v>
      </c>
      <c r="G2504" s="14">
        <v>11</v>
      </c>
      <c r="H2504" s="14">
        <v>74.66</v>
      </c>
      <c r="I2504" s="15">
        <v>0.54</v>
      </c>
    </row>
    <row r="2505" spans="1:9" x14ac:dyDescent="0.25">
      <c r="A2505" s="12">
        <v>56</v>
      </c>
      <c r="B2505" s="13">
        <v>45152</v>
      </c>
      <c r="C2505" s="14">
        <v>20.9</v>
      </c>
      <c r="D2505" s="14">
        <v>74</v>
      </c>
      <c r="E2505" s="14">
        <v>652</v>
      </c>
      <c r="F2505" s="14">
        <v>6.3</v>
      </c>
      <c r="G2505" s="14">
        <v>12</v>
      </c>
      <c r="H2505" s="14">
        <v>69.62</v>
      </c>
      <c r="I2505" s="15">
        <v>0.74</v>
      </c>
    </row>
    <row r="2506" spans="1:9" x14ac:dyDescent="0.25">
      <c r="A2506" s="12">
        <v>56</v>
      </c>
      <c r="B2506" s="13">
        <v>45153</v>
      </c>
      <c r="C2506" s="14">
        <v>20.2</v>
      </c>
      <c r="D2506" s="14">
        <v>66</v>
      </c>
      <c r="E2506" s="14">
        <v>696</v>
      </c>
      <c r="F2506" s="14">
        <v>6.6</v>
      </c>
      <c r="G2506" s="14">
        <v>13</v>
      </c>
      <c r="H2506" s="14">
        <v>68.36</v>
      </c>
      <c r="I2506" s="15">
        <v>0.66</v>
      </c>
    </row>
    <row r="2507" spans="1:9" x14ac:dyDescent="0.25">
      <c r="A2507" s="12">
        <v>56</v>
      </c>
      <c r="B2507" s="13">
        <v>45154</v>
      </c>
      <c r="C2507" s="14">
        <v>19.399999999999999</v>
      </c>
      <c r="D2507" s="14">
        <v>65</v>
      </c>
      <c r="E2507" s="14">
        <v>739</v>
      </c>
      <c r="F2507" s="14">
        <v>6.7</v>
      </c>
      <c r="G2507" s="14">
        <v>14</v>
      </c>
      <c r="H2507" s="14">
        <v>66.92</v>
      </c>
      <c r="I2507" s="15">
        <v>0.65</v>
      </c>
    </row>
    <row r="2508" spans="1:9" x14ac:dyDescent="0.25">
      <c r="A2508" s="12">
        <v>56</v>
      </c>
      <c r="B2508" s="13">
        <v>45155</v>
      </c>
      <c r="C2508" s="14">
        <v>20</v>
      </c>
      <c r="D2508" s="14">
        <v>78</v>
      </c>
      <c r="E2508" s="14">
        <v>501</v>
      </c>
      <c r="F2508" s="14">
        <v>6.2</v>
      </c>
      <c r="G2508" s="14">
        <v>15</v>
      </c>
      <c r="H2508" s="14">
        <v>68</v>
      </c>
      <c r="I2508" s="15">
        <v>0.78</v>
      </c>
    </row>
    <row r="2509" spans="1:9" x14ac:dyDescent="0.25">
      <c r="A2509" s="12">
        <v>56</v>
      </c>
      <c r="B2509" s="13">
        <v>45156</v>
      </c>
      <c r="C2509" s="14">
        <v>23.4</v>
      </c>
      <c r="D2509" s="14">
        <v>58</v>
      </c>
      <c r="E2509" s="14">
        <v>578</v>
      </c>
      <c r="F2509" s="14">
        <v>6.6</v>
      </c>
      <c r="G2509" s="14">
        <v>16</v>
      </c>
      <c r="H2509" s="14">
        <v>74.12</v>
      </c>
      <c r="I2509" s="15">
        <v>0.57999999999999996</v>
      </c>
    </row>
    <row r="2510" spans="1:9" x14ac:dyDescent="0.25">
      <c r="A2510" s="12">
        <v>56</v>
      </c>
      <c r="B2510" s="13">
        <v>45157</v>
      </c>
      <c r="C2510" s="14">
        <v>22.3</v>
      </c>
      <c r="D2510" s="14">
        <v>69</v>
      </c>
      <c r="E2510" s="14">
        <v>457</v>
      </c>
      <c r="F2510" s="14">
        <v>6.5</v>
      </c>
      <c r="G2510" s="14">
        <v>17</v>
      </c>
      <c r="H2510" s="14">
        <v>72.14</v>
      </c>
      <c r="I2510" s="15">
        <v>0.69</v>
      </c>
    </row>
    <row r="2511" spans="1:9" x14ac:dyDescent="0.25">
      <c r="A2511" s="12">
        <v>56</v>
      </c>
      <c r="B2511" s="13">
        <v>45158</v>
      </c>
      <c r="C2511" s="14">
        <v>23.2</v>
      </c>
      <c r="D2511" s="14">
        <v>64</v>
      </c>
      <c r="E2511" s="14">
        <v>585</v>
      </c>
      <c r="F2511" s="14">
        <v>6.5</v>
      </c>
      <c r="G2511" s="14">
        <v>18</v>
      </c>
      <c r="H2511" s="14">
        <v>73.760000000000005</v>
      </c>
      <c r="I2511" s="15">
        <v>0.64</v>
      </c>
    </row>
    <row r="2512" spans="1:9" x14ac:dyDescent="0.25">
      <c r="A2512" s="12">
        <v>56</v>
      </c>
      <c r="B2512" s="13">
        <v>45159</v>
      </c>
      <c r="C2512" s="14">
        <v>21.9</v>
      </c>
      <c r="D2512" s="14">
        <v>66</v>
      </c>
      <c r="E2512" s="14">
        <v>701</v>
      </c>
      <c r="F2512" s="14">
        <v>6.4</v>
      </c>
      <c r="G2512" s="14">
        <v>19</v>
      </c>
      <c r="H2512" s="14">
        <v>71.42</v>
      </c>
      <c r="I2512" s="15">
        <v>0.66</v>
      </c>
    </row>
    <row r="2513" spans="1:9" x14ac:dyDescent="0.25">
      <c r="A2513" s="12">
        <v>56</v>
      </c>
      <c r="B2513" s="13">
        <v>45160</v>
      </c>
      <c r="C2513" s="14">
        <v>23.7</v>
      </c>
      <c r="D2513" s="14">
        <v>54</v>
      </c>
      <c r="E2513" s="14">
        <v>755</v>
      </c>
      <c r="F2513" s="14">
        <v>6.1</v>
      </c>
      <c r="G2513" s="14">
        <v>20</v>
      </c>
      <c r="H2513" s="14">
        <v>74.66</v>
      </c>
      <c r="I2513" s="15">
        <v>0.54</v>
      </c>
    </row>
    <row r="2514" spans="1:9" x14ac:dyDescent="0.25">
      <c r="A2514" s="12">
        <v>56</v>
      </c>
      <c r="B2514" s="13">
        <v>45161</v>
      </c>
      <c r="C2514" s="14">
        <v>19.899999999999999</v>
      </c>
      <c r="D2514" s="14">
        <v>70</v>
      </c>
      <c r="E2514" s="14">
        <v>741</v>
      </c>
      <c r="F2514" s="14">
        <v>6.5</v>
      </c>
      <c r="G2514" s="14">
        <v>21</v>
      </c>
      <c r="H2514" s="14">
        <v>67.819999999999993</v>
      </c>
      <c r="I2514" s="15">
        <v>0.7</v>
      </c>
    </row>
    <row r="2515" spans="1:9" x14ac:dyDescent="0.25">
      <c r="A2515" s="12">
        <v>56</v>
      </c>
      <c r="B2515" s="13">
        <v>45162</v>
      </c>
      <c r="C2515" s="14">
        <v>22.7</v>
      </c>
      <c r="D2515" s="14">
        <v>53</v>
      </c>
      <c r="E2515" s="14">
        <v>432</v>
      </c>
      <c r="F2515" s="14">
        <v>6.2</v>
      </c>
      <c r="G2515" s="14">
        <v>22</v>
      </c>
      <c r="H2515" s="14">
        <v>72.86</v>
      </c>
      <c r="I2515" s="15">
        <v>0.53</v>
      </c>
    </row>
    <row r="2516" spans="1:9" x14ac:dyDescent="0.25">
      <c r="A2516" s="12">
        <v>56</v>
      </c>
      <c r="B2516" s="13">
        <v>45163</v>
      </c>
      <c r="C2516" s="14">
        <v>23.9</v>
      </c>
      <c r="D2516" s="14">
        <v>65</v>
      </c>
      <c r="E2516" s="14">
        <v>467</v>
      </c>
      <c r="F2516" s="14">
        <v>6.2</v>
      </c>
      <c r="G2516" s="14">
        <v>23</v>
      </c>
      <c r="H2516" s="14">
        <v>75.02</v>
      </c>
      <c r="I2516" s="15">
        <v>0.65</v>
      </c>
    </row>
    <row r="2517" spans="1:9" x14ac:dyDescent="0.25">
      <c r="A2517" s="12">
        <v>56</v>
      </c>
      <c r="B2517" s="13">
        <v>45164</v>
      </c>
      <c r="C2517" s="14">
        <v>22</v>
      </c>
      <c r="D2517" s="14">
        <v>67</v>
      </c>
      <c r="E2517" s="14">
        <v>735</v>
      </c>
      <c r="F2517" s="14">
        <v>6</v>
      </c>
      <c r="G2517" s="14">
        <v>24</v>
      </c>
      <c r="H2517" s="14">
        <v>71.599999999999994</v>
      </c>
      <c r="I2517" s="15">
        <v>0.67</v>
      </c>
    </row>
    <row r="2518" spans="1:9" x14ac:dyDescent="0.25">
      <c r="A2518" s="12">
        <v>56</v>
      </c>
      <c r="B2518" s="13">
        <v>45165</v>
      </c>
      <c r="C2518" s="14">
        <v>20.399999999999999</v>
      </c>
      <c r="D2518" s="14">
        <v>57</v>
      </c>
      <c r="E2518" s="14">
        <v>767</v>
      </c>
      <c r="F2518" s="14">
        <v>6.2</v>
      </c>
      <c r="G2518" s="14">
        <v>25</v>
      </c>
      <c r="H2518" s="14">
        <v>68.72</v>
      </c>
      <c r="I2518" s="15">
        <v>0.56999999999999995</v>
      </c>
    </row>
    <row r="2519" spans="1:9" x14ac:dyDescent="0.25">
      <c r="A2519" s="12">
        <v>56</v>
      </c>
      <c r="B2519" s="13">
        <v>45166</v>
      </c>
      <c r="C2519" s="14">
        <v>18.100000000000001</v>
      </c>
      <c r="D2519" s="14">
        <v>58</v>
      </c>
      <c r="E2519" s="14">
        <v>695</v>
      </c>
      <c r="F2519" s="14">
        <v>6</v>
      </c>
      <c r="G2519" s="14">
        <v>26</v>
      </c>
      <c r="H2519" s="14">
        <v>64.58</v>
      </c>
      <c r="I2519" s="15">
        <v>0.57999999999999996</v>
      </c>
    </row>
    <row r="2520" spans="1:9" x14ac:dyDescent="0.25">
      <c r="A2520" s="12">
        <v>56</v>
      </c>
      <c r="B2520" s="13">
        <v>45167</v>
      </c>
      <c r="C2520" s="14">
        <v>20</v>
      </c>
      <c r="D2520" s="14">
        <v>60</v>
      </c>
      <c r="E2520" s="14">
        <v>671</v>
      </c>
      <c r="F2520" s="14">
        <v>6.5</v>
      </c>
      <c r="G2520" s="14">
        <v>27</v>
      </c>
      <c r="H2520" s="14">
        <v>68</v>
      </c>
      <c r="I2520" s="15">
        <v>0.6</v>
      </c>
    </row>
    <row r="2521" spans="1:9" x14ac:dyDescent="0.25">
      <c r="A2521" s="12">
        <v>56</v>
      </c>
      <c r="B2521" s="13">
        <v>45168</v>
      </c>
      <c r="C2521" s="14">
        <v>19.2</v>
      </c>
      <c r="D2521" s="14">
        <v>72</v>
      </c>
      <c r="E2521" s="14">
        <v>509</v>
      </c>
      <c r="F2521" s="14">
        <v>6.4</v>
      </c>
      <c r="G2521" s="14">
        <v>28</v>
      </c>
      <c r="H2521" s="14">
        <v>66.56</v>
      </c>
      <c r="I2521" s="15">
        <v>0.72</v>
      </c>
    </row>
    <row r="2522" spans="1:9" x14ac:dyDescent="0.25">
      <c r="A2522" s="12">
        <v>56</v>
      </c>
      <c r="B2522" s="13">
        <v>45169</v>
      </c>
      <c r="C2522" s="14">
        <v>24.4</v>
      </c>
      <c r="D2522" s="14">
        <v>67</v>
      </c>
      <c r="E2522" s="14">
        <v>425</v>
      </c>
      <c r="F2522" s="14">
        <v>6.7</v>
      </c>
      <c r="G2522" s="14">
        <v>29</v>
      </c>
      <c r="H2522" s="14">
        <v>75.92</v>
      </c>
      <c r="I2522" s="15">
        <v>0.67</v>
      </c>
    </row>
    <row r="2523" spans="1:9" x14ac:dyDescent="0.25">
      <c r="A2523" s="12">
        <v>56</v>
      </c>
      <c r="B2523" s="13">
        <v>45170</v>
      </c>
      <c r="C2523" s="14">
        <v>24.6</v>
      </c>
      <c r="D2523" s="14">
        <v>68</v>
      </c>
      <c r="E2523" s="14">
        <v>769</v>
      </c>
      <c r="F2523" s="14">
        <v>6.2</v>
      </c>
      <c r="G2523" s="14">
        <v>30</v>
      </c>
      <c r="H2523" s="14">
        <v>76.28</v>
      </c>
      <c r="I2523" s="15">
        <v>0.68</v>
      </c>
    </row>
    <row r="2524" spans="1:9" x14ac:dyDescent="0.25">
      <c r="A2524" s="12">
        <v>56</v>
      </c>
      <c r="B2524" s="13">
        <v>45171</v>
      </c>
      <c r="C2524" s="14">
        <v>23.9</v>
      </c>
      <c r="D2524" s="14">
        <v>78</v>
      </c>
      <c r="E2524" s="14">
        <v>672</v>
      </c>
      <c r="F2524" s="14">
        <v>6</v>
      </c>
      <c r="G2524" s="14">
        <v>31</v>
      </c>
      <c r="H2524" s="14">
        <v>75.02</v>
      </c>
      <c r="I2524" s="15">
        <v>0.78</v>
      </c>
    </row>
    <row r="2525" spans="1:9" x14ac:dyDescent="0.25">
      <c r="A2525" s="12">
        <v>56</v>
      </c>
      <c r="B2525" s="13">
        <v>45172</v>
      </c>
      <c r="C2525" s="14">
        <v>21.5</v>
      </c>
      <c r="D2525" s="14">
        <v>63</v>
      </c>
      <c r="E2525" s="14">
        <v>671</v>
      </c>
      <c r="F2525" s="14">
        <v>6.8</v>
      </c>
      <c r="G2525" s="14">
        <v>32</v>
      </c>
      <c r="H2525" s="14">
        <v>70.7</v>
      </c>
      <c r="I2525" s="15">
        <v>0.63</v>
      </c>
    </row>
    <row r="2526" spans="1:9" x14ac:dyDescent="0.25">
      <c r="A2526" s="12">
        <v>56</v>
      </c>
      <c r="B2526" s="13">
        <v>45173</v>
      </c>
      <c r="C2526" s="14">
        <v>22.8</v>
      </c>
      <c r="D2526" s="14">
        <v>68</v>
      </c>
      <c r="E2526" s="14">
        <v>460</v>
      </c>
      <c r="F2526" s="14">
        <v>6.6</v>
      </c>
      <c r="G2526" s="14">
        <v>33</v>
      </c>
      <c r="H2526" s="14">
        <v>73.040000000000006</v>
      </c>
      <c r="I2526" s="15">
        <v>0.68</v>
      </c>
    </row>
    <row r="2527" spans="1:9" x14ac:dyDescent="0.25">
      <c r="A2527" s="12">
        <v>56</v>
      </c>
      <c r="B2527" s="13">
        <v>45174</v>
      </c>
      <c r="C2527" s="14">
        <v>24.1</v>
      </c>
      <c r="D2527" s="14">
        <v>58</v>
      </c>
      <c r="E2527" s="14">
        <v>536</v>
      </c>
      <c r="F2527" s="14">
        <v>6.5</v>
      </c>
      <c r="G2527" s="14">
        <v>34</v>
      </c>
      <c r="H2527" s="14">
        <v>75.38</v>
      </c>
      <c r="I2527" s="15">
        <v>0.57999999999999996</v>
      </c>
    </row>
    <row r="2528" spans="1:9" x14ac:dyDescent="0.25">
      <c r="A2528" s="12">
        <v>56</v>
      </c>
      <c r="B2528" s="13">
        <v>45175</v>
      </c>
      <c r="C2528" s="14">
        <v>22.8</v>
      </c>
      <c r="D2528" s="14">
        <v>79</v>
      </c>
      <c r="E2528" s="14">
        <v>503</v>
      </c>
      <c r="F2528" s="14">
        <v>6.4</v>
      </c>
      <c r="G2528" s="14">
        <v>35</v>
      </c>
      <c r="H2528" s="14">
        <v>73.040000000000006</v>
      </c>
      <c r="I2528" s="15">
        <v>0.79</v>
      </c>
    </row>
    <row r="2529" spans="1:9" x14ac:dyDescent="0.25">
      <c r="A2529" s="12">
        <v>56</v>
      </c>
      <c r="B2529" s="13">
        <v>45176</v>
      </c>
      <c r="C2529" s="14">
        <v>18.5</v>
      </c>
      <c r="D2529" s="14">
        <v>51</v>
      </c>
      <c r="E2529" s="14">
        <v>777</v>
      </c>
      <c r="F2529" s="14">
        <v>6.1</v>
      </c>
      <c r="G2529" s="14">
        <v>36</v>
      </c>
      <c r="H2529" s="14">
        <v>65.3</v>
      </c>
      <c r="I2529" s="15">
        <v>0.51</v>
      </c>
    </row>
    <row r="2530" spans="1:9" x14ac:dyDescent="0.25">
      <c r="A2530" s="12">
        <v>56</v>
      </c>
      <c r="B2530" s="13">
        <v>45177</v>
      </c>
      <c r="C2530" s="14">
        <v>18.5</v>
      </c>
      <c r="D2530" s="14">
        <v>75</v>
      </c>
      <c r="E2530" s="14">
        <v>777</v>
      </c>
      <c r="F2530" s="14">
        <v>6.1</v>
      </c>
      <c r="G2530" s="14">
        <v>37</v>
      </c>
      <c r="H2530" s="14">
        <v>65.3</v>
      </c>
      <c r="I2530" s="15">
        <v>0.75</v>
      </c>
    </row>
    <row r="2531" spans="1:9" x14ac:dyDescent="0.25">
      <c r="A2531" s="12">
        <v>56</v>
      </c>
      <c r="B2531" s="13">
        <v>45178</v>
      </c>
      <c r="C2531" s="14">
        <v>21.6</v>
      </c>
      <c r="D2531" s="14">
        <v>55</v>
      </c>
      <c r="E2531" s="14">
        <v>404</v>
      </c>
      <c r="F2531" s="14">
        <v>6.4</v>
      </c>
      <c r="G2531" s="14">
        <v>38</v>
      </c>
      <c r="H2531" s="14">
        <v>70.88</v>
      </c>
      <c r="I2531" s="15">
        <v>0.55000000000000004</v>
      </c>
    </row>
    <row r="2532" spans="1:9" x14ac:dyDescent="0.25">
      <c r="A2532" s="12">
        <v>56</v>
      </c>
      <c r="B2532" s="13">
        <v>45179</v>
      </c>
      <c r="C2532" s="14">
        <v>23.6</v>
      </c>
      <c r="D2532" s="14">
        <v>71</v>
      </c>
      <c r="E2532" s="14">
        <v>569</v>
      </c>
      <c r="F2532" s="14">
        <v>6.2</v>
      </c>
      <c r="G2532" s="14">
        <v>39</v>
      </c>
      <c r="H2532" s="14">
        <v>74.48</v>
      </c>
      <c r="I2532" s="15">
        <v>0.71</v>
      </c>
    </row>
    <row r="2533" spans="1:9" x14ac:dyDescent="0.25">
      <c r="A2533" s="12">
        <v>56</v>
      </c>
      <c r="B2533" s="13">
        <v>45180</v>
      </c>
      <c r="C2533" s="14">
        <v>23.6</v>
      </c>
      <c r="D2533" s="14">
        <v>52</v>
      </c>
      <c r="E2533" s="14">
        <v>693</v>
      </c>
      <c r="F2533" s="14">
        <v>6.5</v>
      </c>
      <c r="G2533" s="14">
        <v>40</v>
      </c>
      <c r="H2533" s="14">
        <v>74.48</v>
      </c>
      <c r="I2533" s="15">
        <v>0.52</v>
      </c>
    </row>
    <row r="2534" spans="1:9" x14ac:dyDescent="0.25">
      <c r="A2534" s="12">
        <v>56</v>
      </c>
      <c r="B2534" s="13">
        <v>45181</v>
      </c>
      <c r="C2534" s="14">
        <v>18.100000000000001</v>
      </c>
      <c r="D2534" s="14">
        <v>64</v>
      </c>
      <c r="E2534" s="14">
        <v>676</v>
      </c>
      <c r="F2534" s="14">
        <v>6.4</v>
      </c>
      <c r="G2534" s="14">
        <v>41</v>
      </c>
      <c r="H2534" s="14">
        <v>64.58</v>
      </c>
      <c r="I2534" s="15">
        <v>0.64</v>
      </c>
    </row>
    <row r="2535" spans="1:9" x14ac:dyDescent="0.25">
      <c r="A2535" s="12">
        <v>56</v>
      </c>
      <c r="B2535" s="13">
        <v>45182</v>
      </c>
      <c r="C2535" s="14">
        <v>21.5</v>
      </c>
      <c r="D2535" s="14">
        <v>61</v>
      </c>
      <c r="E2535" s="14">
        <v>407</v>
      </c>
      <c r="F2535" s="14">
        <v>6.2</v>
      </c>
      <c r="G2535" s="14">
        <v>42</v>
      </c>
      <c r="H2535" s="14">
        <v>70.7</v>
      </c>
      <c r="I2535" s="15">
        <v>0.61</v>
      </c>
    </row>
    <row r="2536" spans="1:9" x14ac:dyDescent="0.25">
      <c r="A2536" s="12">
        <v>56</v>
      </c>
      <c r="B2536" s="13">
        <v>45183</v>
      </c>
      <c r="C2536" s="14">
        <v>22.5</v>
      </c>
      <c r="D2536" s="14">
        <v>62</v>
      </c>
      <c r="E2536" s="14">
        <v>439</v>
      </c>
      <c r="F2536" s="14">
        <v>6.1</v>
      </c>
      <c r="G2536" s="14">
        <v>43</v>
      </c>
      <c r="H2536" s="14">
        <v>72.5</v>
      </c>
      <c r="I2536" s="15">
        <v>0.62</v>
      </c>
    </row>
    <row r="2537" spans="1:9" x14ac:dyDescent="0.25">
      <c r="A2537" s="12">
        <v>56</v>
      </c>
      <c r="B2537" s="13">
        <v>45184</v>
      </c>
      <c r="C2537" s="14">
        <v>22.6</v>
      </c>
      <c r="D2537" s="14">
        <v>57</v>
      </c>
      <c r="E2537" s="14">
        <v>501</v>
      </c>
      <c r="F2537" s="14">
        <v>6.5</v>
      </c>
      <c r="G2537" s="14">
        <v>44</v>
      </c>
      <c r="H2537" s="14">
        <v>72.680000000000007</v>
      </c>
      <c r="I2537" s="15">
        <v>0.56999999999999995</v>
      </c>
    </row>
    <row r="2538" spans="1:9" x14ac:dyDescent="0.25">
      <c r="A2538" s="12">
        <v>56</v>
      </c>
      <c r="B2538" s="13">
        <v>45185</v>
      </c>
      <c r="C2538" s="14">
        <v>20.6</v>
      </c>
      <c r="D2538" s="14">
        <v>56</v>
      </c>
      <c r="E2538" s="14">
        <v>673</v>
      </c>
      <c r="F2538" s="14">
        <v>6.5</v>
      </c>
      <c r="G2538" s="14">
        <v>45</v>
      </c>
      <c r="H2538" s="14">
        <v>69.08</v>
      </c>
      <c r="I2538" s="15">
        <v>0.56000000000000005</v>
      </c>
    </row>
    <row r="2539" spans="1:9" x14ac:dyDescent="0.25">
      <c r="A2539" s="12">
        <v>57</v>
      </c>
      <c r="B2539" s="13">
        <v>45141</v>
      </c>
      <c r="C2539" s="14">
        <v>19.5</v>
      </c>
      <c r="D2539" s="14">
        <v>56</v>
      </c>
      <c r="E2539" s="14">
        <v>733</v>
      </c>
      <c r="F2539" s="14">
        <v>6.4</v>
      </c>
      <c r="G2539" s="14">
        <v>1</v>
      </c>
      <c r="H2539" s="14">
        <v>67.099999999999994</v>
      </c>
      <c r="I2539" s="15">
        <v>0.56000000000000005</v>
      </c>
    </row>
    <row r="2540" spans="1:9" x14ac:dyDescent="0.25">
      <c r="A2540" s="12">
        <v>57</v>
      </c>
      <c r="B2540" s="13">
        <v>45142</v>
      </c>
      <c r="C2540" s="14">
        <v>20.6</v>
      </c>
      <c r="D2540" s="14">
        <v>65</v>
      </c>
      <c r="E2540" s="14">
        <v>732</v>
      </c>
      <c r="F2540" s="14">
        <v>6.6</v>
      </c>
      <c r="G2540" s="14">
        <v>2</v>
      </c>
      <c r="H2540" s="14">
        <v>69.08</v>
      </c>
      <c r="I2540" s="15">
        <v>0.65</v>
      </c>
    </row>
    <row r="2541" spans="1:9" x14ac:dyDescent="0.25">
      <c r="A2541" s="12">
        <v>57</v>
      </c>
      <c r="B2541" s="13">
        <v>45143</v>
      </c>
      <c r="C2541" s="14">
        <v>24.1</v>
      </c>
      <c r="D2541" s="14">
        <v>60</v>
      </c>
      <c r="E2541" s="14">
        <v>716</v>
      </c>
      <c r="F2541" s="14">
        <v>6.7</v>
      </c>
      <c r="G2541" s="14">
        <v>3</v>
      </c>
      <c r="H2541" s="14">
        <v>75.38</v>
      </c>
      <c r="I2541" s="15">
        <v>0.6</v>
      </c>
    </row>
    <row r="2542" spans="1:9" x14ac:dyDescent="0.25">
      <c r="A2542" s="12">
        <v>57</v>
      </c>
      <c r="B2542" s="13">
        <v>45144</v>
      </c>
      <c r="C2542" s="14">
        <v>20.6</v>
      </c>
      <c r="D2542" s="14">
        <v>59</v>
      </c>
      <c r="E2542" s="14">
        <v>429</v>
      </c>
      <c r="F2542" s="14">
        <v>6.3</v>
      </c>
      <c r="G2542" s="14">
        <v>4</v>
      </c>
      <c r="H2542" s="14">
        <v>69.08</v>
      </c>
      <c r="I2542" s="15">
        <v>0.59</v>
      </c>
    </row>
    <row r="2543" spans="1:9" x14ac:dyDescent="0.25">
      <c r="A2543" s="12">
        <v>57</v>
      </c>
      <c r="B2543" s="13">
        <v>45145</v>
      </c>
      <c r="C2543" s="14">
        <v>19.8</v>
      </c>
      <c r="D2543" s="14">
        <v>55</v>
      </c>
      <c r="E2543" s="14">
        <v>400</v>
      </c>
      <c r="F2543" s="14">
        <v>6.5</v>
      </c>
      <c r="G2543" s="14">
        <v>5</v>
      </c>
      <c r="H2543" s="14">
        <v>67.64</v>
      </c>
      <c r="I2543" s="15">
        <v>0.55000000000000004</v>
      </c>
    </row>
    <row r="2544" spans="1:9" x14ac:dyDescent="0.25">
      <c r="A2544" s="12">
        <v>57</v>
      </c>
      <c r="B2544" s="13">
        <v>45146</v>
      </c>
      <c r="C2544" s="14">
        <v>20.7</v>
      </c>
      <c r="D2544" s="14">
        <v>72</v>
      </c>
      <c r="E2544" s="14">
        <v>493</v>
      </c>
      <c r="F2544" s="14">
        <v>6.2</v>
      </c>
      <c r="G2544" s="14">
        <v>6</v>
      </c>
      <c r="H2544" s="14">
        <v>69.260000000000005</v>
      </c>
      <c r="I2544" s="15">
        <v>0.72</v>
      </c>
    </row>
    <row r="2545" spans="1:9" x14ac:dyDescent="0.25">
      <c r="A2545" s="12">
        <v>57</v>
      </c>
      <c r="B2545" s="13">
        <v>45147</v>
      </c>
      <c r="C2545" s="14">
        <v>20.8</v>
      </c>
      <c r="D2545" s="14">
        <v>56</v>
      </c>
      <c r="E2545" s="14">
        <v>626</v>
      </c>
      <c r="F2545" s="14">
        <v>6.2</v>
      </c>
      <c r="G2545" s="14">
        <v>7</v>
      </c>
      <c r="H2545" s="14">
        <v>69.44</v>
      </c>
      <c r="I2545" s="15">
        <v>0.56000000000000005</v>
      </c>
    </row>
    <row r="2546" spans="1:9" x14ac:dyDescent="0.25">
      <c r="A2546" s="12">
        <v>57</v>
      </c>
      <c r="B2546" s="13">
        <v>45148</v>
      </c>
      <c r="C2546" s="14">
        <v>22.7</v>
      </c>
      <c r="D2546" s="14">
        <v>75</v>
      </c>
      <c r="E2546" s="14">
        <v>689</v>
      </c>
      <c r="F2546" s="14">
        <v>6.3</v>
      </c>
      <c r="G2546" s="14">
        <v>8</v>
      </c>
      <c r="H2546" s="14">
        <v>72.86</v>
      </c>
      <c r="I2546" s="15">
        <v>0.75</v>
      </c>
    </row>
    <row r="2547" spans="1:9" x14ac:dyDescent="0.25">
      <c r="A2547" s="12">
        <v>57</v>
      </c>
      <c r="B2547" s="13">
        <v>45149</v>
      </c>
      <c r="C2547" s="14">
        <v>18.2</v>
      </c>
      <c r="D2547" s="14">
        <v>65</v>
      </c>
      <c r="E2547" s="14">
        <v>798</v>
      </c>
      <c r="F2547" s="14">
        <v>6.4</v>
      </c>
      <c r="G2547" s="14">
        <v>9</v>
      </c>
      <c r="H2547" s="14">
        <v>64.760000000000005</v>
      </c>
      <c r="I2547" s="15">
        <v>0.65</v>
      </c>
    </row>
    <row r="2548" spans="1:9" x14ac:dyDescent="0.25">
      <c r="A2548" s="12">
        <v>57</v>
      </c>
      <c r="B2548" s="13">
        <v>45150</v>
      </c>
      <c r="C2548" s="14">
        <v>19.8</v>
      </c>
      <c r="D2548" s="14">
        <v>57</v>
      </c>
      <c r="E2548" s="14">
        <v>678</v>
      </c>
      <c r="F2548" s="14">
        <v>6.2</v>
      </c>
      <c r="G2548" s="14">
        <v>10</v>
      </c>
      <c r="H2548" s="14">
        <v>67.64</v>
      </c>
      <c r="I2548" s="15">
        <v>0.56999999999999995</v>
      </c>
    </row>
    <row r="2549" spans="1:9" x14ac:dyDescent="0.25">
      <c r="A2549" s="12">
        <v>57</v>
      </c>
      <c r="B2549" s="13">
        <v>45151</v>
      </c>
      <c r="C2549" s="14">
        <v>19.100000000000001</v>
      </c>
      <c r="D2549" s="14">
        <v>50</v>
      </c>
      <c r="E2549" s="14">
        <v>686</v>
      </c>
      <c r="F2549" s="14">
        <v>6.2</v>
      </c>
      <c r="G2549" s="14">
        <v>11</v>
      </c>
      <c r="H2549" s="14">
        <v>66.38</v>
      </c>
      <c r="I2549" s="15">
        <v>0.5</v>
      </c>
    </row>
    <row r="2550" spans="1:9" x14ac:dyDescent="0.25">
      <c r="A2550" s="12">
        <v>57</v>
      </c>
      <c r="B2550" s="13">
        <v>45152</v>
      </c>
      <c r="C2550" s="14">
        <v>23.1</v>
      </c>
      <c r="D2550" s="14">
        <v>50</v>
      </c>
      <c r="E2550" s="14">
        <v>638</v>
      </c>
      <c r="F2550" s="14">
        <v>6</v>
      </c>
      <c r="G2550" s="14">
        <v>12</v>
      </c>
      <c r="H2550" s="14">
        <v>73.58</v>
      </c>
      <c r="I2550" s="15">
        <v>0.5</v>
      </c>
    </row>
    <row r="2551" spans="1:9" x14ac:dyDescent="0.25">
      <c r="A2551" s="12">
        <v>57</v>
      </c>
      <c r="B2551" s="13">
        <v>45153</v>
      </c>
      <c r="C2551" s="14">
        <v>22.8</v>
      </c>
      <c r="D2551" s="14">
        <v>70</v>
      </c>
      <c r="E2551" s="14">
        <v>658</v>
      </c>
      <c r="F2551" s="14">
        <v>6.3</v>
      </c>
      <c r="G2551" s="14">
        <v>13</v>
      </c>
      <c r="H2551" s="14">
        <v>73.040000000000006</v>
      </c>
      <c r="I2551" s="15">
        <v>0.7</v>
      </c>
    </row>
    <row r="2552" spans="1:9" x14ac:dyDescent="0.25">
      <c r="A2552" s="12">
        <v>57</v>
      </c>
      <c r="B2552" s="13">
        <v>45154</v>
      </c>
      <c r="C2552" s="14">
        <v>20.399999999999999</v>
      </c>
      <c r="D2552" s="14">
        <v>71</v>
      </c>
      <c r="E2552" s="14">
        <v>674</v>
      </c>
      <c r="F2552" s="14">
        <v>6.7</v>
      </c>
      <c r="G2552" s="14">
        <v>14</v>
      </c>
      <c r="H2552" s="14">
        <v>68.72</v>
      </c>
      <c r="I2552" s="15">
        <v>0.71</v>
      </c>
    </row>
    <row r="2553" spans="1:9" x14ac:dyDescent="0.25">
      <c r="A2553" s="12">
        <v>57</v>
      </c>
      <c r="B2553" s="13">
        <v>45155</v>
      </c>
      <c r="C2553" s="14">
        <v>21.1</v>
      </c>
      <c r="D2553" s="14">
        <v>56</v>
      </c>
      <c r="E2553" s="14">
        <v>625</v>
      </c>
      <c r="F2553" s="14">
        <v>6.7</v>
      </c>
      <c r="G2553" s="14">
        <v>15</v>
      </c>
      <c r="H2553" s="14">
        <v>69.98</v>
      </c>
      <c r="I2553" s="15">
        <v>0.56000000000000005</v>
      </c>
    </row>
    <row r="2554" spans="1:9" x14ac:dyDescent="0.25">
      <c r="A2554" s="12">
        <v>57</v>
      </c>
      <c r="B2554" s="13">
        <v>45156</v>
      </c>
      <c r="C2554" s="14">
        <v>21.6</v>
      </c>
      <c r="D2554" s="14">
        <v>52</v>
      </c>
      <c r="E2554" s="14">
        <v>699</v>
      </c>
      <c r="F2554" s="14">
        <v>6.3</v>
      </c>
      <c r="G2554" s="14">
        <v>16</v>
      </c>
      <c r="H2554" s="14">
        <v>70.88</v>
      </c>
      <c r="I2554" s="15">
        <v>0.52</v>
      </c>
    </row>
    <row r="2555" spans="1:9" x14ac:dyDescent="0.25">
      <c r="A2555" s="12">
        <v>57</v>
      </c>
      <c r="B2555" s="13">
        <v>45157</v>
      </c>
      <c r="C2555" s="14">
        <v>20</v>
      </c>
      <c r="D2555" s="14">
        <v>80</v>
      </c>
      <c r="E2555" s="14">
        <v>423</v>
      </c>
      <c r="F2555" s="14">
        <v>6.5</v>
      </c>
      <c r="G2555" s="14">
        <v>17</v>
      </c>
      <c r="H2555" s="14">
        <v>68</v>
      </c>
      <c r="I2555" s="15">
        <v>0.8</v>
      </c>
    </row>
    <row r="2556" spans="1:9" x14ac:dyDescent="0.25">
      <c r="A2556" s="12">
        <v>57</v>
      </c>
      <c r="B2556" s="13">
        <v>45158</v>
      </c>
      <c r="C2556" s="14">
        <v>24.5</v>
      </c>
      <c r="D2556" s="14">
        <v>72</v>
      </c>
      <c r="E2556" s="14">
        <v>627</v>
      </c>
      <c r="F2556" s="14">
        <v>6.1</v>
      </c>
      <c r="G2556" s="14">
        <v>18</v>
      </c>
      <c r="H2556" s="14">
        <v>76.099999999999994</v>
      </c>
      <c r="I2556" s="15">
        <v>0.72</v>
      </c>
    </row>
    <row r="2557" spans="1:9" x14ac:dyDescent="0.25">
      <c r="A2557" s="12">
        <v>57</v>
      </c>
      <c r="B2557" s="13">
        <v>45159</v>
      </c>
      <c r="C2557" s="14">
        <v>20.3</v>
      </c>
      <c r="D2557" s="14">
        <v>79</v>
      </c>
      <c r="E2557" s="14">
        <v>578</v>
      </c>
      <c r="F2557" s="14">
        <v>6.3</v>
      </c>
      <c r="G2557" s="14">
        <v>19</v>
      </c>
      <c r="H2557" s="14">
        <v>68.540000000000006</v>
      </c>
      <c r="I2557" s="15">
        <v>0.79</v>
      </c>
    </row>
    <row r="2558" spans="1:9" x14ac:dyDescent="0.25">
      <c r="A2558" s="12">
        <v>57</v>
      </c>
      <c r="B2558" s="13">
        <v>45160</v>
      </c>
      <c r="C2558" s="14">
        <v>19.8</v>
      </c>
      <c r="D2558" s="14">
        <v>55</v>
      </c>
      <c r="E2558" s="14">
        <v>718</v>
      </c>
      <c r="F2558" s="14">
        <v>6.3</v>
      </c>
      <c r="G2558" s="14">
        <v>20</v>
      </c>
      <c r="H2558" s="14">
        <v>67.64</v>
      </c>
      <c r="I2558" s="15">
        <v>0.55000000000000004</v>
      </c>
    </row>
    <row r="2559" spans="1:9" x14ac:dyDescent="0.25">
      <c r="A2559" s="12">
        <v>57</v>
      </c>
      <c r="B2559" s="13">
        <v>45161</v>
      </c>
      <c r="C2559" s="14">
        <v>23.2</v>
      </c>
      <c r="D2559" s="14">
        <v>68</v>
      </c>
      <c r="E2559" s="14">
        <v>688</v>
      </c>
      <c r="F2559" s="14">
        <v>6.7</v>
      </c>
      <c r="G2559" s="14">
        <v>21</v>
      </c>
      <c r="H2559" s="14">
        <v>73.760000000000005</v>
      </c>
      <c r="I2559" s="15">
        <v>0.68</v>
      </c>
    </row>
    <row r="2560" spans="1:9" x14ac:dyDescent="0.25">
      <c r="A2560" s="12">
        <v>57</v>
      </c>
      <c r="B2560" s="13">
        <v>45162</v>
      </c>
      <c r="C2560" s="14">
        <v>18.100000000000001</v>
      </c>
      <c r="D2560" s="14">
        <v>50</v>
      </c>
      <c r="E2560" s="14">
        <v>408</v>
      </c>
      <c r="F2560" s="14">
        <v>6.6</v>
      </c>
      <c r="G2560" s="14">
        <v>22</v>
      </c>
      <c r="H2560" s="14">
        <v>64.58</v>
      </c>
      <c r="I2560" s="15">
        <v>0.5</v>
      </c>
    </row>
    <row r="2561" spans="1:9" x14ac:dyDescent="0.25">
      <c r="A2561" s="12">
        <v>57</v>
      </c>
      <c r="B2561" s="13">
        <v>45163</v>
      </c>
      <c r="C2561" s="14">
        <v>21.7</v>
      </c>
      <c r="D2561" s="14">
        <v>55</v>
      </c>
      <c r="E2561" s="14">
        <v>760</v>
      </c>
      <c r="F2561" s="14">
        <v>6.1</v>
      </c>
      <c r="G2561" s="14">
        <v>23</v>
      </c>
      <c r="H2561" s="14">
        <v>71.06</v>
      </c>
      <c r="I2561" s="15">
        <v>0.55000000000000004</v>
      </c>
    </row>
    <row r="2562" spans="1:9" x14ac:dyDescent="0.25">
      <c r="A2562" s="12">
        <v>57</v>
      </c>
      <c r="B2562" s="13">
        <v>45164</v>
      </c>
      <c r="C2562" s="14">
        <v>23.3</v>
      </c>
      <c r="D2562" s="14">
        <v>60</v>
      </c>
      <c r="E2562" s="14">
        <v>690</v>
      </c>
      <c r="F2562" s="14">
        <v>6.5</v>
      </c>
      <c r="G2562" s="14">
        <v>24</v>
      </c>
      <c r="H2562" s="14">
        <v>73.94</v>
      </c>
      <c r="I2562" s="15">
        <v>0.6</v>
      </c>
    </row>
    <row r="2563" spans="1:9" x14ac:dyDescent="0.25">
      <c r="A2563" s="12">
        <v>57</v>
      </c>
      <c r="B2563" s="13">
        <v>45165</v>
      </c>
      <c r="C2563" s="14">
        <v>22</v>
      </c>
      <c r="D2563" s="14">
        <v>78</v>
      </c>
      <c r="E2563" s="14">
        <v>702</v>
      </c>
      <c r="F2563" s="14">
        <v>6.1</v>
      </c>
      <c r="G2563" s="14">
        <v>25</v>
      </c>
      <c r="H2563" s="14">
        <v>71.599999999999994</v>
      </c>
      <c r="I2563" s="15">
        <v>0.78</v>
      </c>
    </row>
    <row r="2564" spans="1:9" x14ac:dyDescent="0.25">
      <c r="A2564" s="12">
        <v>57</v>
      </c>
      <c r="B2564" s="13">
        <v>45166</v>
      </c>
      <c r="C2564" s="14">
        <v>18.8</v>
      </c>
      <c r="D2564" s="14">
        <v>55</v>
      </c>
      <c r="E2564" s="14">
        <v>542</v>
      </c>
      <c r="F2564" s="14">
        <v>6.2</v>
      </c>
      <c r="G2564" s="14">
        <v>26</v>
      </c>
      <c r="H2564" s="14">
        <v>65.84</v>
      </c>
      <c r="I2564" s="15">
        <v>0.55000000000000004</v>
      </c>
    </row>
    <row r="2565" spans="1:9" x14ac:dyDescent="0.25">
      <c r="A2565" s="12">
        <v>57</v>
      </c>
      <c r="B2565" s="13">
        <v>45167</v>
      </c>
      <c r="C2565" s="14">
        <v>24.8</v>
      </c>
      <c r="D2565" s="14">
        <v>66</v>
      </c>
      <c r="E2565" s="14">
        <v>796</v>
      </c>
      <c r="F2565" s="14">
        <v>6.1</v>
      </c>
      <c r="G2565" s="14">
        <v>27</v>
      </c>
      <c r="H2565" s="14">
        <v>76.64</v>
      </c>
      <c r="I2565" s="15">
        <v>0.66</v>
      </c>
    </row>
    <row r="2566" spans="1:9" x14ac:dyDescent="0.25">
      <c r="A2566" s="12">
        <v>57</v>
      </c>
      <c r="B2566" s="13">
        <v>45168</v>
      </c>
      <c r="C2566" s="14">
        <v>20.6</v>
      </c>
      <c r="D2566" s="14">
        <v>64</v>
      </c>
      <c r="E2566" s="14">
        <v>674</v>
      </c>
      <c r="F2566" s="14">
        <v>6.4</v>
      </c>
      <c r="G2566" s="14">
        <v>28</v>
      </c>
      <c r="H2566" s="14">
        <v>69.08</v>
      </c>
      <c r="I2566" s="15">
        <v>0.64</v>
      </c>
    </row>
    <row r="2567" spans="1:9" x14ac:dyDescent="0.25">
      <c r="A2567" s="12">
        <v>57</v>
      </c>
      <c r="B2567" s="13">
        <v>45169</v>
      </c>
      <c r="C2567" s="14">
        <v>20.8</v>
      </c>
      <c r="D2567" s="14">
        <v>57</v>
      </c>
      <c r="E2567" s="14">
        <v>732</v>
      </c>
      <c r="F2567" s="14">
        <v>6.3</v>
      </c>
      <c r="G2567" s="14">
        <v>29</v>
      </c>
      <c r="H2567" s="14">
        <v>69.44</v>
      </c>
      <c r="I2567" s="15">
        <v>0.56999999999999995</v>
      </c>
    </row>
    <row r="2568" spans="1:9" x14ac:dyDescent="0.25">
      <c r="A2568" s="12">
        <v>57</v>
      </c>
      <c r="B2568" s="13">
        <v>45170</v>
      </c>
      <c r="C2568" s="14">
        <v>23.3</v>
      </c>
      <c r="D2568" s="14">
        <v>51</v>
      </c>
      <c r="E2568" s="14">
        <v>494</v>
      </c>
      <c r="F2568" s="14">
        <v>6</v>
      </c>
      <c r="G2568" s="14">
        <v>30</v>
      </c>
      <c r="H2568" s="14">
        <v>73.94</v>
      </c>
      <c r="I2568" s="15">
        <v>0.51</v>
      </c>
    </row>
    <row r="2569" spans="1:9" x14ac:dyDescent="0.25">
      <c r="A2569" s="12">
        <v>57</v>
      </c>
      <c r="B2569" s="13">
        <v>45171</v>
      </c>
      <c r="C2569" s="14">
        <v>18.8</v>
      </c>
      <c r="D2569" s="14">
        <v>53</v>
      </c>
      <c r="E2569" s="14">
        <v>584</v>
      </c>
      <c r="F2569" s="14">
        <v>6.7</v>
      </c>
      <c r="G2569" s="14">
        <v>31</v>
      </c>
      <c r="H2569" s="14">
        <v>65.84</v>
      </c>
      <c r="I2569" s="15">
        <v>0.53</v>
      </c>
    </row>
    <row r="2570" spans="1:9" x14ac:dyDescent="0.25">
      <c r="A2570" s="12">
        <v>57</v>
      </c>
      <c r="B2570" s="13">
        <v>45172</v>
      </c>
      <c r="C2570" s="14">
        <v>21.1</v>
      </c>
      <c r="D2570" s="14">
        <v>71</v>
      </c>
      <c r="E2570" s="14">
        <v>596</v>
      </c>
      <c r="F2570" s="14">
        <v>6.1</v>
      </c>
      <c r="G2570" s="14">
        <v>32</v>
      </c>
      <c r="H2570" s="14">
        <v>69.98</v>
      </c>
      <c r="I2570" s="15">
        <v>0.71</v>
      </c>
    </row>
    <row r="2571" spans="1:9" x14ac:dyDescent="0.25">
      <c r="A2571" s="12">
        <v>57</v>
      </c>
      <c r="B2571" s="13">
        <v>45173</v>
      </c>
      <c r="C2571" s="14">
        <v>23.9</v>
      </c>
      <c r="D2571" s="14">
        <v>65</v>
      </c>
      <c r="E2571" s="14">
        <v>473</v>
      </c>
      <c r="F2571" s="14">
        <v>6</v>
      </c>
      <c r="G2571" s="14">
        <v>33</v>
      </c>
      <c r="H2571" s="14">
        <v>75.02</v>
      </c>
      <c r="I2571" s="15">
        <v>0.65</v>
      </c>
    </row>
    <row r="2572" spans="1:9" x14ac:dyDescent="0.25">
      <c r="A2572" s="12">
        <v>57</v>
      </c>
      <c r="B2572" s="13">
        <v>45174</v>
      </c>
      <c r="C2572" s="14">
        <v>19.2</v>
      </c>
      <c r="D2572" s="14">
        <v>61</v>
      </c>
      <c r="E2572" s="14">
        <v>772</v>
      </c>
      <c r="F2572" s="14">
        <v>6.7</v>
      </c>
      <c r="G2572" s="14">
        <v>34</v>
      </c>
      <c r="H2572" s="14">
        <v>66.56</v>
      </c>
      <c r="I2572" s="15">
        <v>0.61</v>
      </c>
    </row>
    <row r="2573" spans="1:9" x14ac:dyDescent="0.25">
      <c r="A2573" s="12">
        <v>57</v>
      </c>
      <c r="B2573" s="13">
        <v>45175</v>
      </c>
      <c r="C2573" s="14">
        <v>19.899999999999999</v>
      </c>
      <c r="D2573" s="14">
        <v>80</v>
      </c>
      <c r="E2573" s="14">
        <v>660</v>
      </c>
      <c r="F2573" s="14">
        <v>6.7</v>
      </c>
      <c r="G2573" s="14">
        <v>35</v>
      </c>
      <c r="H2573" s="14">
        <v>67.819999999999993</v>
      </c>
      <c r="I2573" s="15">
        <v>0.8</v>
      </c>
    </row>
    <row r="2574" spans="1:9" x14ac:dyDescent="0.25">
      <c r="A2574" s="12">
        <v>57</v>
      </c>
      <c r="B2574" s="13">
        <v>45176</v>
      </c>
      <c r="C2574" s="14">
        <v>21.8</v>
      </c>
      <c r="D2574" s="14">
        <v>76</v>
      </c>
      <c r="E2574" s="14">
        <v>560</v>
      </c>
      <c r="F2574" s="14">
        <v>6.7</v>
      </c>
      <c r="G2574" s="14">
        <v>36</v>
      </c>
      <c r="H2574" s="14">
        <v>71.239999999999995</v>
      </c>
      <c r="I2574" s="15">
        <v>0.76</v>
      </c>
    </row>
    <row r="2575" spans="1:9" x14ac:dyDescent="0.25">
      <c r="A2575" s="12">
        <v>57</v>
      </c>
      <c r="B2575" s="13">
        <v>45177</v>
      </c>
      <c r="C2575" s="14">
        <v>19.899999999999999</v>
      </c>
      <c r="D2575" s="14">
        <v>74</v>
      </c>
      <c r="E2575" s="14">
        <v>497</v>
      </c>
      <c r="F2575" s="14">
        <v>6.3</v>
      </c>
      <c r="G2575" s="14">
        <v>37</v>
      </c>
      <c r="H2575" s="14">
        <v>67.819999999999993</v>
      </c>
      <c r="I2575" s="15">
        <v>0.74</v>
      </c>
    </row>
    <row r="2576" spans="1:9" x14ac:dyDescent="0.25">
      <c r="A2576" s="12">
        <v>57</v>
      </c>
      <c r="B2576" s="13">
        <v>45178</v>
      </c>
      <c r="C2576" s="14">
        <v>18.399999999999999</v>
      </c>
      <c r="D2576" s="14">
        <v>79</v>
      </c>
      <c r="E2576" s="14">
        <v>716</v>
      </c>
      <c r="F2576" s="14">
        <v>6.6</v>
      </c>
      <c r="G2576" s="14">
        <v>38</v>
      </c>
      <c r="H2576" s="14">
        <v>65.12</v>
      </c>
      <c r="I2576" s="15">
        <v>0.79</v>
      </c>
    </row>
    <row r="2577" spans="1:9" x14ac:dyDescent="0.25">
      <c r="A2577" s="12">
        <v>57</v>
      </c>
      <c r="B2577" s="13">
        <v>45179</v>
      </c>
      <c r="C2577" s="14">
        <v>23.6</v>
      </c>
      <c r="D2577" s="14">
        <v>50</v>
      </c>
      <c r="E2577" s="14">
        <v>672</v>
      </c>
      <c r="F2577" s="14">
        <v>6.8</v>
      </c>
      <c r="G2577" s="14">
        <v>39</v>
      </c>
      <c r="H2577" s="14">
        <v>74.48</v>
      </c>
      <c r="I2577" s="15">
        <v>0.5</v>
      </c>
    </row>
    <row r="2578" spans="1:9" x14ac:dyDescent="0.25">
      <c r="A2578" s="12">
        <v>57</v>
      </c>
      <c r="B2578" s="13">
        <v>45180</v>
      </c>
      <c r="C2578" s="14">
        <v>22.4</v>
      </c>
      <c r="D2578" s="14">
        <v>59</v>
      </c>
      <c r="E2578" s="14">
        <v>683</v>
      </c>
      <c r="F2578" s="14">
        <v>6.8</v>
      </c>
      <c r="G2578" s="14">
        <v>40</v>
      </c>
      <c r="H2578" s="14">
        <v>72.319999999999993</v>
      </c>
      <c r="I2578" s="15">
        <v>0.59</v>
      </c>
    </row>
    <row r="2579" spans="1:9" x14ac:dyDescent="0.25">
      <c r="A2579" s="12">
        <v>57</v>
      </c>
      <c r="B2579" s="13">
        <v>45181</v>
      </c>
      <c r="C2579" s="14">
        <v>21.2</v>
      </c>
      <c r="D2579" s="14">
        <v>56</v>
      </c>
      <c r="E2579" s="14">
        <v>595</v>
      </c>
      <c r="F2579" s="14">
        <v>6.3</v>
      </c>
      <c r="G2579" s="14">
        <v>41</v>
      </c>
      <c r="H2579" s="14">
        <v>70.16</v>
      </c>
      <c r="I2579" s="15">
        <v>0.56000000000000005</v>
      </c>
    </row>
    <row r="2580" spans="1:9" x14ac:dyDescent="0.25">
      <c r="A2580" s="12">
        <v>57</v>
      </c>
      <c r="B2580" s="13">
        <v>45182</v>
      </c>
      <c r="C2580" s="14">
        <v>20.6</v>
      </c>
      <c r="D2580" s="14">
        <v>65</v>
      </c>
      <c r="E2580" s="14">
        <v>800</v>
      </c>
      <c r="F2580" s="14">
        <v>6.7</v>
      </c>
      <c r="G2580" s="14">
        <v>42</v>
      </c>
      <c r="H2580" s="14">
        <v>69.08</v>
      </c>
      <c r="I2580" s="15">
        <v>0.65</v>
      </c>
    </row>
    <row r="2581" spans="1:9" x14ac:dyDescent="0.25">
      <c r="A2581" s="12">
        <v>57</v>
      </c>
      <c r="B2581" s="13">
        <v>45183</v>
      </c>
      <c r="C2581" s="14">
        <v>18.2</v>
      </c>
      <c r="D2581" s="14">
        <v>61</v>
      </c>
      <c r="E2581" s="14">
        <v>431</v>
      </c>
      <c r="F2581" s="14">
        <v>6.4</v>
      </c>
      <c r="G2581" s="14">
        <v>43</v>
      </c>
      <c r="H2581" s="14">
        <v>64.760000000000005</v>
      </c>
      <c r="I2581" s="15">
        <v>0.61</v>
      </c>
    </row>
    <row r="2582" spans="1:9" x14ac:dyDescent="0.25">
      <c r="A2582" s="12">
        <v>57</v>
      </c>
      <c r="B2582" s="13">
        <v>45184</v>
      </c>
      <c r="C2582" s="14">
        <v>19.600000000000001</v>
      </c>
      <c r="D2582" s="14">
        <v>65</v>
      </c>
      <c r="E2582" s="14">
        <v>432</v>
      </c>
      <c r="F2582" s="14">
        <v>6.6</v>
      </c>
      <c r="G2582" s="14">
        <v>44</v>
      </c>
      <c r="H2582" s="14">
        <v>67.28</v>
      </c>
      <c r="I2582" s="15">
        <v>0.65</v>
      </c>
    </row>
    <row r="2583" spans="1:9" x14ac:dyDescent="0.25">
      <c r="A2583" s="12">
        <v>57</v>
      </c>
      <c r="B2583" s="13">
        <v>45185</v>
      </c>
      <c r="C2583" s="14">
        <v>21.6</v>
      </c>
      <c r="D2583" s="14">
        <v>59</v>
      </c>
      <c r="E2583" s="14">
        <v>773</v>
      </c>
      <c r="F2583" s="14">
        <v>6.1</v>
      </c>
      <c r="G2583" s="14">
        <v>45</v>
      </c>
      <c r="H2583" s="14">
        <v>70.88</v>
      </c>
      <c r="I2583" s="15">
        <v>0.59</v>
      </c>
    </row>
    <row r="2584" spans="1:9" x14ac:dyDescent="0.25">
      <c r="A2584" s="12">
        <v>57</v>
      </c>
      <c r="B2584" s="13">
        <v>45186</v>
      </c>
      <c r="C2584" s="14">
        <v>22.9</v>
      </c>
      <c r="D2584" s="14">
        <v>75</v>
      </c>
      <c r="E2584" s="14">
        <v>547</v>
      </c>
      <c r="F2584" s="14">
        <v>6.7</v>
      </c>
      <c r="G2584" s="14">
        <v>46</v>
      </c>
      <c r="H2584" s="14">
        <v>73.22</v>
      </c>
      <c r="I2584" s="15">
        <v>0.75</v>
      </c>
    </row>
    <row r="2585" spans="1:9" x14ac:dyDescent="0.25">
      <c r="A2585" s="12">
        <v>58</v>
      </c>
      <c r="B2585" s="13">
        <v>45141</v>
      </c>
      <c r="C2585" s="14">
        <v>18.7</v>
      </c>
      <c r="D2585" s="14">
        <v>56</v>
      </c>
      <c r="E2585" s="14">
        <v>681</v>
      </c>
      <c r="F2585" s="14">
        <v>6.7</v>
      </c>
      <c r="G2585" s="14">
        <v>1</v>
      </c>
      <c r="H2585" s="14">
        <v>65.66</v>
      </c>
      <c r="I2585" s="15">
        <v>0.56000000000000005</v>
      </c>
    </row>
    <row r="2586" spans="1:9" x14ac:dyDescent="0.25">
      <c r="A2586" s="12">
        <v>58</v>
      </c>
      <c r="B2586" s="13">
        <v>45142</v>
      </c>
      <c r="C2586" s="14">
        <v>22.3</v>
      </c>
      <c r="D2586" s="14">
        <v>54</v>
      </c>
      <c r="E2586" s="14">
        <v>511</v>
      </c>
      <c r="F2586" s="14">
        <v>6.6</v>
      </c>
      <c r="G2586" s="14">
        <v>2</v>
      </c>
      <c r="H2586" s="14">
        <v>72.14</v>
      </c>
      <c r="I2586" s="15">
        <v>0.54</v>
      </c>
    </row>
    <row r="2587" spans="1:9" x14ac:dyDescent="0.25">
      <c r="A2587" s="12">
        <v>58</v>
      </c>
      <c r="B2587" s="13">
        <v>45143</v>
      </c>
      <c r="C2587" s="14">
        <v>20.5</v>
      </c>
      <c r="D2587" s="14">
        <v>50</v>
      </c>
      <c r="E2587" s="14">
        <v>471</v>
      </c>
      <c r="F2587" s="14">
        <v>6.6</v>
      </c>
      <c r="G2587" s="14">
        <v>3</v>
      </c>
      <c r="H2587" s="14">
        <v>68.900000000000006</v>
      </c>
      <c r="I2587" s="15">
        <v>0.5</v>
      </c>
    </row>
    <row r="2588" spans="1:9" x14ac:dyDescent="0.25">
      <c r="A2588" s="12">
        <v>58</v>
      </c>
      <c r="B2588" s="13">
        <v>45144</v>
      </c>
      <c r="C2588" s="14">
        <v>24.2</v>
      </c>
      <c r="D2588" s="14">
        <v>52</v>
      </c>
      <c r="E2588" s="14">
        <v>647</v>
      </c>
      <c r="F2588" s="14">
        <v>6.4</v>
      </c>
      <c r="G2588" s="14">
        <v>4</v>
      </c>
      <c r="H2588" s="14">
        <v>75.56</v>
      </c>
      <c r="I2588" s="15">
        <v>0.52</v>
      </c>
    </row>
    <row r="2589" spans="1:9" x14ac:dyDescent="0.25">
      <c r="A2589" s="12">
        <v>58</v>
      </c>
      <c r="B2589" s="13">
        <v>45145</v>
      </c>
      <c r="C2589" s="14">
        <v>22.3</v>
      </c>
      <c r="D2589" s="14">
        <v>72</v>
      </c>
      <c r="E2589" s="14">
        <v>519</v>
      </c>
      <c r="F2589" s="14">
        <v>6.1</v>
      </c>
      <c r="G2589" s="14">
        <v>5</v>
      </c>
      <c r="H2589" s="14">
        <v>72.14</v>
      </c>
      <c r="I2589" s="15">
        <v>0.72</v>
      </c>
    </row>
    <row r="2590" spans="1:9" x14ac:dyDescent="0.25">
      <c r="A2590" s="12">
        <v>58</v>
      </c>
      <c r="B2590" s="13">
        <v>45146</v>
      </c>
      <c r="C2590" s="14">
        <v>24.4</v>
      </c>
      <c r="D2590" s="14">
        <v>55</v>
      </c>
      <c r="E2590" s="14">
        <v>404</v>
      </c>
      <c r="F2590" s="14">
        <v>6.4</v>
      </c>
      <c r="G2590" s="14">
        <v>6</v>
      </c>
      <c r="H2590" s="14">
        <v>75.92</v>
      </c>
      <c r="I2590" s="15">
        <v>0.55000000000000004</v>
      </c>
    </row>
    <row r="2591" spans="1:9" x14ac:dyDescent="0.25">
      <c r="A2591" s="12">
        <v>58</v>
      </c>
      <c r="B2591" s="13">
        <v>45147</v>
      </c>
      <c r="C2591" s="14">
        <v>19.5</v>
      </c>
      <c r="D2591" s="14">
        <v>63</v>
      </c>
      <c r="E2591" s="14">
        <v>704</v>
      </c>
      <c r="F2591" s="14">
        <v>6.7</v>
      </c>
      <c r="G2591" s="14">
        <v>7</v>
      </c>
      <c r="H2591" s="14">
        <v>67.099999999999994</v>
      </c>
      <c r="I2591" s="15">
        <v>0.63</v>
      </c>
    </row>
    <row r="2592" spans="1:9" x14ac:dyDescent="0.25">
      <c r="A2592" s="12">
        <v>58</v>
      </c>
      <c r="B2592" s="13">
        <v>45148</v>
      </c>
      <c r="C2592" s="14">
        <v>20.5</v>
      </c>
      <c r="D2592" s="14">
        <v>74</v>
      </c>
      <c r="E2592" s="14">
        <v>487</v>
      </c>
      <c r="F2592" s="14">
        <v>6</v>
      </c>
      <c r="G2592" s="14">
        <v>8</v>
      </c>
      <c r="H2592" s="14">
        <v>68.900000000000006</v>
      </c>
      <c r="I2592" s="15">
        <v>0.74</v>
      </c>
    </row>
    <row r="2593" spans="1:9" x14ac:dyDescent="0.25">
      <c r="A2593" s="12">
        <v>58</v>
      </c>
      <c r="B2593" s="13">
        <v>45149</v>
      </c>
      <c r="C2593" s="14">
        <v>18.8</v>
      </c>
      <c r="D2593" s="14">
        <v>76</v>
      </c>
      <c r="E2593" s="14">
        <v>672</v>
      </c>
      <c r="F2593" s="14">
        <v>6.7</v>
      </c>
      <c r="G2593" s="14">
        <v>9</v>
      </c>
      <c r="H2593" s="14">
        <v>65.84</v>
      </c>
      <c r="I2593" s="15">
        <v>0.76</v>
      </c>
    </row>
    <row r="2594" spans="1:9" x14ac:dyDescent="0.25">
      <c r="A2594" s="12">
        <v>58</v>
      </c>
      <c r="B2594" s="13">
        <v>45150</v>
      </c>
      <c r="C2594" s="14">
        <v>19.899999999999999</v>
      </c>
      <c r="D2594" s="14">
        <v>66</v>
      </c>
      <c r="E2594" s="14">
        <v>548</v>
      </c>
      <c r="F2594" s="14">
        <v>6.7</v>
      </c>
      <c r="G2594" s="14">
        <v>10</v>
      </c>
      <c r="H2594" s="14">
        <v>67.819999999999993</v>
      </c>
      <c r="I2594" s="15">
        <v>0.66</v>
      </c>
    </row>
    <row r="2595" spans="1:9" x14ac:dyDescent="0.25">
      <c r="A2595" s="12">
        <v>58</v>
      </c>
      <c r="B2595" s="13">
        <v>45151</v>
      </c>
      <c r="C2595" s="14">
        <v>19.3</v>
      </c>
      <c r="D2595" s="14">
        <v>61</v>
      </c>
      <c r="E2595" s="14">
        <v>408</v>
      </c>
      <c r="F2595" s="14">
        <v>6.7</v>
      </c>
      <c r="G2595" s="14">
        <v>11</v>
      </c>
      <c r="H2595" s="14">
        <v>66.739999999999995</v>
      </c>
      <c r="I2595" s="15">
        <v>0.61</v>
      </c>
    </row>
    <row r="2596" spans="1:9" x14ac:dyDescent="0.25">
      <c r="A2596" s="12">
        <v>58</v>
      </c>
      <c r="B2596" s="13">
        <v>45152</v>
      </c>
      <c r="C2596" s="14">
        <v>18.7</v>
      </c>
      <c r="D2596" s="14">
        <v>77</v>
      </c>
      <c r="E2596" s="14">
        <v>550</v>
      </c>
      <c r="F2596" s="14">
        <v>6.1</v>
      </c>
      <c r="G2596" s="14">
        <v>12</v>
      </c>
      <c r="H2596" s="14">
        <v>65.66</v>
      </c>
      <c r="I2596" s="15">
        <v>0.77</v>
      </c>
    </row>
    <row r="2597" spans="1:9" x14ac:dyDescent="0.25">
      <c r="A2597" s="12">
        <v>58</v>
      </c>
      <c r="B2597" s="13">
        <v>45153</v>
      </c>
      <c r="C2597" s="14">
        <v>23.6</v>
      </c>
      <c r="D2597" s="14">
        <v>53</v>
      </c>
      <c r="E2597" s="14">
        <v>581</v>
      </c>
      <c r="F2597" s="14">
        <v>6.5</v>
      </c>
      <c r="G2597" s="14">
        <v>13</v>
      </c>
      <c r="H2597" s="14">
        <v>74.48</v>
      </c>
      <c r="I2597" s="15">
        <v>0.53</v>
      </c>
    </row>
    <row r="2598" spans="1:9" x14ac:dyDescent="0.25">
      <c r="A2598" s="12">
        <v>58</v>
      </c>
      <c r="B2598" s="13">
        <v>45154</v>
      </c>
      <c r="C2598" s="14">
        <v>24.6</v>
      </c>
      <c r="D2598" s="14">
        <v>58</v>
      </c>
      <c r="E2598" s="14">
        <v>494</v>
      </c>
      <c r="F2598" s="14">
        <v>6</v>
      </c>
      <c r="G2598" s="14">
        <v>14</v>
      </c>
      <c r="H2598" s="14">
        <v>76.28</v>
      </c>
      <c r="I2598" s="15">
        <v>0.57999999999999996</v>
      </c>
    </row>
    <row r="2599" spans="1:9" x14ac:dyDescent="0.25">
      <c r="A2599" s="12">
        <v>58</v>
      </c>
      <c r="B2599" s="13">
        <v>45155</v>
      </c>
      <c r="C2599" s="14">
        <v>22.7</v>
      </c>
      <c r="D2599" s="14">
        <v>66</v>
      </c>
      <c r="E2599" s="14">
        <v>503</v>
      </c>
      <c r="F2599" s="14">
        <v>6.3</v>
      </c>
      <c r="G2599" s="14">
        <v>15</v>
      </c>
      <c r="H2599" s="14">
        <v>72.86</v>
      </c>
      <c r="I2599" s="15">
        <v>0.66</v>
      </c>
    </row>
    <row r="2600" spans="1:9" x14ac:dyDescent="0.25">
      <c r="A2600" s="12">
        <v>58</v>
      </c>
      <c r="B2600" s="13">
        <v>45156</v>
      </c>
      <c r="C2600" s="14">
        <v>21</v>
      </c>
      <c r="D2600" s="14">
        <v>59</v>
      </c>
      <c r="E2600" s="14">
        <v>766</v>
      </c>
      <c r="F2600" s="14">
        <v>6.1</v>
      </c>
      <c r="G2600" s="14">
        <v>16</v>
      </c>
      <c r="H2600" s="14">
        <v>69.8</v>
      </c>
      <c r="I2600" s="15">
        <v>0.59</v>
      </c>
    </row>
    <row r="2601" spans="1:9" x14ac:dyDescent="0.25">
      <c r="A2601" s="12">
        <v>58</v>
      </c>
      <c r="B2601" s="13">
        <v>45157</v>
      </c>
      <c r="C2601" s="14">
        <v>21.3</v>
      </c>
      <c r="D2601" s="14">
        <v>51</v>
      </c>
      <c r="E2601" s="14">
        <v>728</v>
      </c>
      <c r="F2601" s="14">
        <v>6.1</v>
      </c>
      <c r="G2601" s="14">
        <v>17</v>
      </c>
      <c r="H2601" s="14">
        <v>70.34</v>
      </c>
      <c r="I2601" s="15">
        <v>0.51</v>
      </c>
    </row>
    <row r="2602" spans="1:9" x14ac:dyDescent="0.25">
      <c r="A2602" s="12">
        <v>58</v>
      </c>
      <c r="B2602" s="13">
        <v>45158</v>
      </c>
      <c r="C2602" s="14">
        <v>22.8</v>
      </c>
      <c r="D2602" s="14">
        <v>57</v>
      </c>
      <c r="E2602" s="14">
        <v>671</v>
      </c>
      <c r="F2602" s="14">
        <v>6.4</v>
      </c>
      <c r="G2602" s="14">
        <v>18</v>
      </c>
      <c r="H2602" s="14">
        <v>73.040000000000006</v>
      </c>
      <c r="I2602" s="15">
        <v>0.56999999999999995</v>
      </c>
    </row>
    <row r="2603" spans="1:9" x14ac:dyDescent="0.25">
      <c r="A2603" s="12">
        <v>58</v>
      </c>
      <c r="B2603" s="13">
        <v>45159</v>
      </c>
      <c r="C2603" s="14">
        <v>24.2</v>
      </c>
      <c r="D2603" s="14">
        <v>71</v>
      </c>
      <c r="E2603" s="14">
        <v>438</v>
      </c>
      <c r="F2603" s="14">
        <v>6.6</v>
      </c>
      <c r="G2603" s="14">
        <v>19</v>
      </c>
      <c r="H2603" s="14">
        <v>75.56</v>
      </c>
      <c r="I2603" s="15">
        <v>0.71</v>
      </c>
    </row>
    <row r="2604" spans="1:9" x14ac:dyDescent="0.25">
      <c r="A2604" s="12">
        <v>58</v>
      </c>
      <c r="B2604" s="13">
        <v>45160</v>
      </c>
      <c r="C2604" s="14">
        <v>21.3</v>
      </c>
      <c r="D2604" s="14">
        <v>80</v>
      </c>
      <c r="E2604" s="14">
        <v>703</v>
      </c>
      <c r="F2604" s="14">
        <v>6.8</v>
      </c>
      <c r="G2604" s="14">
        <v>20</v>
      </c>
      <c r="H2604" s="14">
        <v>70.34</v>
      </c>
      <c r="I2604" s="15">
        <v>0.8</v>
      </c>
    </row>
    <row r="2605" spans="1:9" x14ac:dyDescent="0.25">
      <c r="A2605" s="12">
        <v>58</v>
      </c>
      <c r="B2605" s="13">
        <v>45161</v>
      </c>
      <c r="C2605" s="14">
        <v>20.399999999999999</v>
      </c>
      <c r="D2605" s="14">
        <v>70</v>
      </c>
      <c r="E2605" s="14">
        <v>547</v>
      </c>
      <c r="F2605" s="14">
        <v>6.3</v>
      </c>
      <c r="G2605" s="14">
        <v>21</v>
      </c>
      <c r="H2605" s="14">
        <v>68.72</v>
      </c>
      <c r="I2605" s="15">
        <v>0.7</v>
      </c>
    </row>
    <row r="2606" spans="1:9" x14ac:dyDescent="0.25">
      <c r="A2606" s="12">
        <v>58</v>
      </c>
      <c r="B2606" s="13">
        <v>45162</v>
      </c>
      <c r="C2606" s="14">
        <v>24.2</v>
      </c>
      <c r="D2606" s="14">
        <v>76</v>
      </c>
      <c r="E2606" s="14">
        <v>524</v>
      </c>
      <c r="F2606" s="14">
        <v>6</v>
      </c>
      <c r="G2606" s="14">
        <v>22</v>
      </c>
      <c r="H2606" s="14">
        <v>75.56</v>
      </c>
      <c r="I2606" s="15">
        <v>0.76</v>
      </c>
    </row>
    <row r="2607" spans="1:9" x14ac:dyDescent="0.25">
      <c r="A2607" s="12">
        <v>58</v>
      </c>
      <c r="B2607" s="13">
        <v>45163</v>
      </c>
      <c r="C2607" s="14">
        <v>23.6</v>
      </c>
      <c r="D2607" s="14">
        <v>61</v>
      </c>
      <c r="E2607" s="14">
        <v>686</v>
      </c>
      <c r="F2607" s="14">
        <v>6.4</v>
      </c>
      <c r="G2607" s="14">
        <v>23</v>
      </c>
      <c r="H2607" s="14">
        <v>74.48</v>
      </c>
      <c r="I2607" s="15">
        <v>0.61</v>
      </c>
    </row>
    <row r="2608" spans="1:9" x14ac:dyDescent="0.25">
      <c r="A2608" s="12">
        <v>58</v>
      </c>
      <c r="B2608" s="13">
        <v>45164</v>
      </c>
      <c r="C2608" s="14">
        <v>21.4</v>
      </c>
      <c r="D2608" s="14">
        <v>69</v>
      </c>
      <c r="E2608" s="14">
        <v>525</v>
      </c>
      <c r="F2608" s="14">
        <v>6.3</v>
      </c>
      <c r="G2608" s="14">
        <v>24</v>
      </c>
      <c r="H2608" s="14">
        <v>70.52</v>
      </c>
      <c r="I2608" s="15">
        <v>0.69</v>
      </c>
    </row>
    <row r="2609" spans="1:9" x14ac:dyDescent="0.25">
      <c r="A2609" s="12">
        <v>58</v>
      </c>
      <c r="B2609" s="13">
        <v>45165</v>
      </c>
      <c r="C2609" s="14">
        <v>23.7</v>
      </c>
      <c r="D2609" s="14">
        <v>56</v>
      </c>
      <c r="E2609" s="14">
        <v>575</v>
      </c>
      <c r="F2609" s="14">
        <v>6.7</v>
      </c>
      <c r="G2609" s="14">
        <v>25</v>
      </c>
      <c r="H2609" s="14">
        <v>74.66</v>
      </c>
      <c r="I2609" s="15">
        <v>0.56000000000000005</v>
      </c>
    </row>
    <row r="2610" spans="1:9" x14ac:dyDescent="0.25">
      <c r="A2610" s="12">
        <v>58</v>
      </c>
      <c r="B2610" s="13">
        <v>45166</v>
      </c>
      <c r="C2610" s="14">
        <v>19.3</v>
      </c>
      <c r="D2610" s="14">
        <v>55</v>
      </c>
      <c r="E2610" s="14">
        <v>642</v>
      </c>
      <c r="F2610" s="14">
        <v>6.8</v>
      </c>
      <c r="G2610" s="14">
        <v>26</v>
      </c>
      <c r="H2610" s="14">
        <v>66.739999999999995</v>
      </c>
      <c r="I2610" s="15">
        <v>0.55000000000000004</v>
      </c>
    </row>
    <row r="2611" spans="1:9" x14ac:dyDescent="0.25">
      <c r="A2611" s="12">
        <v>58</v>
      </c>
      <c r="B2611" s="13">
        <v>45167</v>
      </c>
      <c r="C2611" s="14">
        <v>19</v>
      </c>
      <c r="D2611" s="14">
        <v>79</v>
      </c>
      <c r="E2611" s="14">
        <v>448</v>
      </c>
      <c r="F2611" s="14">
        <v>6.2</v>
      </c>
      <c r="G2611" s="14">
        <v>27</v>
      </c>
      <c r="H2611" s="14">
        <v>66.2</v>
      </c>
      <c r="I2611" s="15">
        <v>0.79</v>
      </c>
    </row>
    <row r="2612" spans="1:9" x14ac:dyDescent="0.25">
      <c r="A2612" s="12">
        <v>58</v>
      </c>
      <c r="B2612" s="13">
        <v>45168</v>
      </c>
      <c r="C2612" s="14">
        <v>24.7</v>
      </c>
      <c r="D2612" s="14">
        <v>52</v>
      </c>
      <c r="E2612" s="14">
        <v>584</v>
      </c>
      <c r="F2612" s="14">
        <v>6.1</v>
      </c>
      <c r="G2612" s="14">
        <v>28</v>
      </c>
      <c r="H2612" s="14">
        <v>76.459999999999994</v>
      </c>
      <c r="I2612" s="15">
        <v>0.52</v>
      </c>
    </row>
    <row r="2613" spans="1:9" x14ac:dyDescent="0.25">
      <c r="A2613" s="12">
        <v>58</v>
      </c>
      <c r="B2613" s="13">
        <v>45169</v>
      </c>
      <c r="C2613" s="14">
        <v>18</v>
      </c>
      <c r="D2613" s="14">
        <v>59</v>
      </c>
      <c r="E2613" s="14">
        <v>467</v>
      </c>
      <c r="F2613" s="14">
        <v>6.1</v>
      </c>
      <c r="G2613" s="14">
        <v>29</v>
      </c>
      <c r="H2613" s="14">
        <v>64.400000000000006</v>
      </c>
      <c r="I2613" s="15">
        <v>0.59</v>
      </c>
    </row>
    <row r="2614" spans="1:9" x14ac:dyDescent="0.25">
      <c r="A2614" s="12">
        <v>58</v>
      </c>
      <c r="B2614" s="13">
        <v>45170</v>
      </c>
      <c r="C2614" s="14">
        <v>24.9</v>
      </c>
      <c r="D2614" s="14">
        <v>80</v>
      </c>
      <c r="E2614" s="14">
        <v>755</v>
      </c>
      <c r="F2614" s="14">
        <v>6.4</v>
      </c>
      <c r="G2614" s="14">
        <v>30</v>
      </c>
      <c r="H2614" s="14">
        <v>76.819999999999993</v>
      </c>
      <c r="I2614" s="15">
        <v>0.8</v>
      </c>
    </row>
    <row r="2615" spans="1:9" x14ac:dyDescent="0.25">
      <c r="A2615" s="12">
        <v>58</v>
      </c>
      <c r="B2615" s="13">
        <v>45171</v>
      </c>
      <c r="C2615" s="14">
        <v>20.9</v>
      </c>
      <c r="D2615" s="14">
        <v>54</v>
      </c>
      <c r="E2615" s="14">
        <v>608</v>
      </c>
      <c r="F2615" s="14">
        <v>6.7</v>
      </c>
      <c r="G2615" s="14">
        <v>31</v>
      </c>
      <c r="H2615" s="14">
        <v>69.62</v>
      </c>
      <c r="I2615" s="15">
        <v>0.54</v>
      </c>
    </row>
    <row r="2616" spans="1:9" x14ac:dyDescent="0.25">
      <c r="A2616" s="12">
        <v>58</v>
      </c>
      <c r="B2616" s="13">
        <v>45172</v>
      </c>
      <c r="C2616" s="14">
        <v>21</v>
      </c>
      <c r="D2616" s="14">
        <v>58</v>
      </c>
      <c r="E2616" s="14">
        <v>641</v>
      </c>
      <c r="F2616" s="14">
        <v>6.6</v>
      </c>
      <c r="G2616" s="14">
        <v>32</v>
      </c>
      <c r="H2616" s="14">
        <v>69.8</v>
      </c>
      <c r="I2616" s="15">
        <v>0.57999999999999996</v>
      </c>
    </row>
    <row r="2617" spans="1:9" x14ac:dyDescent="0.25">
      <c r="A2617" s="12">
        <v>58</v>
      </c>
      <c r="B2617" s="13">
        <v>45173</v>
      </c>
      <c r="C2617" s="14">
        <v>18.399999999999999</v>
      </c>
      <c r="D2617" s="14">
        <v>65</v>
      </c>
      <c r="E2617" s="14">
        <v>730</v>
      </c>
      <c r="F2617" s="14">
        <v>6.2</v>
      </c>
      <c r="G2617" s="14">
        <v>33</v>
      </c>
      <c r="H2617" s="14">
        <v>65.12</v>
      </c>
      <c r="I2617" s="15">
        <v>0.65</v>
      </c>
    </row>
    <row r="2618" spans="1:9" x14ac:dyDescent="0.25">
      <c r="A2618" s="12">
        <v>58</v>
      </c>
      <c r="B2618" s="13">
        <v>45174</v>
      </c>
      <c r="C2618" s="14">
        <v>22.3</v>
      </c>
      <c r="D2618" s="14">
        <v>79</v>
      </c>
      <c r="E2618" s="14">
        <v>711</v>
      </c>
      <c r="F2618" s="14">
        <v>6.7</v>
      </c>
      <c r="G2618" s="14">
        <v>34</v>
      </c>
      <c r="H2618" s="14">
        <v>72.14</v>
      </c>
      <c r="I2618" s="15">
        <v>0.79</v>
      </c>
    </row>
    <row r="2619" spans="1:9" x14ac:dyDescent="0.25">
      <c r="A2619" s="12">
        <v>58</v>
      </c>
      <c r="B2619" s="13">
        <v>45175</v>
      </c>
      <c r="C2619" s="14">
        <v>19.600000000000001</v>
      </c>
      <c r="D2619" s="14">
        <v>63</v>
      </c>
      <c r="E2619" s="14">
        <v>679</v>
      </c>
      <c r="F2619" s="14">
        <v>6.4</v>
      </c>
      <c r="G2619" s="14">
        <v>35</v>
      </c>
      <c r="H2619" s="14">
        <v>67.28</v>
      </c>
      <c r="I2619" s="15">
        <v>0.63</v>
      </c>
    </row>
    <row r="2620" spans="1:9" x14ac:dyDescent="0.25">
      <c r="A2620" s="12">
        <v>58</v>
      </c>
      <c r="B2620" s="13">
        <v>45176</v>
      </c>
      <c r="C2620" s="14">
        <v>18.399999999999999</v>
      </c>
      <c r="D2620" s="14">
        <v>60</v>
      </c>
      <c r="E2620" s="14">
        <v>420</v>
      </c>
      <c r="F2620" s="14">
        <v>6.2</v>
      </c>
      <c r="G2620" s="14">
        <v>36</v>
      </c>
      <c r="H2620" s="14">
        <v>65.12</v>
      </c>
      <c r="I2620" s="15">
        <v>0.6</v>
      </c>
    </row>
    <row r="2621" spans="1:9" x14ac:dyDescent="0.25">
      <c r="A2621" s="12">
        <v>58</v>
      </c>
      <c r="B2621" s="13">
        <v>45177</v>
      </c>
      <c r="C2621" s="14">
        <v>20</v>
      </c>
      <c r="D2621" s="14">
        <v>77</v>
      </c>
      <c r="E2621" s="14">
        <v>581</v>
      </c>
      <c r="F2621" s="14">
        <v>6.3</v>
      </c>
      <c r="G2621" s="14">
        <v>37</v>
      </c>
      <c r="H2621" s="14">
        <v>68</v>
      </c>
      <c r="I2621" s="15">
        <v>0.77</v>
      </c>
    </row>
    <row r="2622" spans="1:9" x14ac:dyDescent="0.25">
      <c r="A2622" s="12">
        <v>58</v>
      </c>
      <c r="B2622" s="13">
        <v>45178</v>
      </c>
      <c r="C2622" s="14">
        <v>20.7</v>
      </c>
      <c r="D2622" s="14">
        <v>57</v>
      </c>
      <c r="E2622" s="14">
        <v>491</v>
      </c>
      <c r="F2622" s="14">
        <v>6.4</v>
      </c>
      <c r="G2622" s="14">
        <v>38</v>
      </c>
      <c r="H2622" s="14">
        <v>69.260000000000005</v>
      </c>
      <c r="I2622" s="15">
        <v>0.56999999999999995</v>
      </c>
    </row>
    <row r="2623" spans="1:9" x14ac:dyDescent="0.25">
      <c r="A2623" s="12">
        <v>58</v>
      </c>
      <c r="B2623" s="13">
        <v>45179</v>
      </c>
      <c r="C2623" s="14">
        <v>20</v>
      </c>
      <c r="D2623" s="14">
        <v>55</v>
      </c>
      <c r="E2623" s="14">
        <v>416</v>
      </c>
      <c r="F2623" s="14">
        <v>6.8</v>
      </c>
      <c r="G2623" s="14">
        <v>39</v>
      </c>
      <c r="H2623" s="14">
        <v>68</v>
      </c>
      <c r="I2623" s="15">
        <v>0.55000000000000004</v>
      </c>
    </row>
    <row r="2624" spans="1:9" x14ac:dyDescent="0.25">
      <c r="A2624" s="12">
        <v>58</v>
      </c>
      <c r="B2624" s="13">
        <v>45180</v>
      </c>
      <c r="C2624" s="14">
        <v>21.7</v>
      </c>
      <c r="D2624" s="14">
        <v>51</v>
      </c>
      <c r="E2624" s="14">
        <v>720</v>
      </c>
      <c r="F2624" s="14">
        <v>6.6</v>
      </c>
      <c r="G2624" s="14">
        <v>40</v>
      </c>
      <c r="H2624" s="14">
        <v>71.06</v>
      </c>
      <c r="I2624" s="15">
        <v>0.51</v>
      </c>
    </row>
    <row r="2625" spans="1:9" x14ac:dyDescent="0.25">
      <c r="A2625" s="12">
        <v>58</v>
      </c>
      <c r="B2625" s="13">
        <v>45181</v>
      </c>
      <c r="C2625" s="14">
        <v>20.6</v>
      </c>
      <c r="D2625" s="14">
        <v>70</v>
      </c>
      <c r="E2625" s="14">
        <v>571</v>
      </c>
      <c r="F2625" s="14">
        <v>6.4</v>
      </c>
      <c r="G2625" s="14">
        <v>41</v>
      </c>
      <c r="H2625" s="14">
        <v>69.08</v>
      </c>
      <c r="I2625" s="15">
        <v>0.7</v>
      </c>
    </row>
    <row r="2626" spans="1:9" x14ac:dyDescent="0.25">
      <c r="A2626" s="12">
        <v>58</v>
      </c>
      <c r="B2626" s="13">
        <v>45182</v>
      </c>
      <c r="C2626" s="14">
        <v>23.4</v>
      </c>
      <c r="D2626" s="14">
        <v>70</v>
      </c>
      <c r="E2626" s="14">
        <v>403</v>
      </c>
      <c r="F2626" s="14">
        <v>6.2</v>
      </c>
      <c r="G2626" s="14">
        <v>42</v>
      </c>
      <c r="H2626" s="14">
        <v>74.12</v>
      </c>
      <c r="I2626" s="15">
        <v>0.7</v>
      </c>
    </row>
    <row r="2627" spans="1:9" x14ac:dyDescent="0.25">
      <c r="A2627" s="12">
        <v>58</v>
      </c>
      <c r="B2627" s="13">
        <v>45183</v>
      </c>
      <c r="C2627" s="14">
        <v>19.399999999999999</v>
      </c>
      <c r="D2627" s="14">
        <v>63</v>
      </c>
      <c r="E2627" s="14">
        <v>467</v>
      </c>
      <c r="F2627" s="14">
        <v>6.5</v>
      </c>
      <c r="G2627" s="14">
        <v>43</v>
      </c>
      <c r="H2627" s="14">
        <v>66.92</v>
      </c>
      <c r="I2627" s="15">
        <v>0.63</v>
      </c>
    </row>
    <row r="2628" spans="1:9" x14ac:dyDescent="0.25">
      <c r="A2628" s="12">
        <v>58</v>
      </c>
      <c r="B2628" s="13">
        <v>45184</v>
      </c>
      <c r="C2628" s="14">
        <v>24.7</v>
      </c>
      <c r="D2628" s="14">
        <v>63</v>
      </c>
      <c r="E2628" s="14">
        <v>760</v>
      </c>
      <c r="F2628" s="14">
        <v>6.6</v>
      </c>
      <c r="G2628" s="14">
        <v>44</v>
      </c>
      <c r="H2628" s="14">
        <v>76.459999999999994</v>
      </c>
      <c r="I2628" s="15">
        <v>0.63</v>
      </c>
    </row>
    <row r="2629" spans="1:9" x14ac:dyDescent="0.25">
      <c r="A2629" s="12">
        <v>58</v>
      </c>
      <c r="B2629" s="13">
        <v>45185</v>
      </c>
      <c r="C2629" s="14">
        <v>23.3</v>
      </c>
      <c r="D2629" s="14">
        <v>50</v>
      </c>
      <c r="E2629" s="14">
        <v>704</v>
      </c>
      <c r="F2629" s="14">
        <v>6.3</v>
      </c>
      <c r="G2629" s="14">
        <v>45</v>
      </c>
      <c r="H2629" s="14">
        <v>73.94</v>
      </c>
      <c r="I2629" s="15">
        <v>0.5</v>
      </c>
    </row>
    <row r="2630" spans="1:9" x14ac:dyDescent="0.25">
      <c r="A2630" s="12">
        <v>59</v>
      </c>
      <c r="B2630" s="13">
        <v>45141</v>
      </c>
      <c r="C2630" s="14">
        <v>22.8</v>
      </c>
      <c r="D2630" s="14">
        <v>63</v>
      </c>
      <c r="E2630" s="14">
        <v>743</v>
      </c>
      <c r="F2630" s="14">
        <v>6.3</v>
      </c>
      <c r="G2630" s="14">
        <v>1</v>
      </c>
      <c r="H2630" s="14">
        <v>73.040000000000006</v>
      </c>
      <c r="I2630" s="15">
        <v>0.63</v>
      </c>
    </row>
    <row r="2631" spans="1:9" x14ac:dyDescent="0.25">
      <c r="A2631" s="12">
        <v>59</v>
      </c>
      <c r="B2631" s="13">
        <v>45142</v>
      </c>
      <c r="C2631" s="14">
        <v>24</v>
      </c>
      <c r="D2631" s="14">
        <v>62</v>
      </c>
      <c r="E2631" s="14">
        <v>643</v>
      </c>
      <c r="F2631" s="14">
        <v>6.5</v>
      </c>
      <c r="G2631" s="14">
        <v>2</v>
      </c>
      <c r="H2631" s="14">
        <v>75.2</v>
      </c>
      <c r="I2631" s="15">
        <v>0.62</v>
      </c>
    </row>
    <row r="2632" spans="1:9" x14ac:dyDescent="0.25">
      <c r="A2632" s="12">
        <v>59</v>
      </c>
      <c r="B2632" s="13">
        <v>45143</v>
      </c>
      <c r="C2632" s="14">
        <v>20.2</v>
      </c>
      <c r="D2632" s="14">
        <v>64</v>
      </c>
      <c r="E2632" s="14">
        <v>495</v>
      </c>
      <c r="F2632" s="14">
        <v>6.4</v>
      </c>
      <c r="G2632" s="14">
        <v>3</v>
      </c>
      <c r="H2632" s="14">
        <v>68.36</v>
      </c>
      <c r="I2632" s="15">
        <v>0.64</v>
      </c>
    </row>
    <row r="2633" spans="1:9" x14ac:dyDescent="0.25">
      <c r="A2633" s="12">
        <v>59</v>
      </c>
      <c r="B2633" s="13">
        <v>45144</v>
      </c>
      <c r="C2633" s="14">
        <v>19.5</v>
      </c>
      <c r="D2633" s="14">
        <v>74</v>
      </c>
      <c r="E2633" s="14">
        <v>571</v>
      </c>
      <c r="F2633" s="14">
        <v>6.1</v>
      </c>
      <c r="G2633" s="14">
        <v>4</v>
      </c>
      <c r="H2633" s="14">
        <v>67.099999999999994</v>
      </c>
      <c r="I2633" s="15">
        <v>0.74</v>
      </c>
    </row>
    <row r="2634" spans="1:9" x14ac:dyDescent="0.25">
      <c r="A2634" s="12">
        <v>59</v>
      </c>
      <c r="B2634" s="13">
        <v>45145</v>
      </c>
      <c r="C2634" s="14">
        <v>24.5</v>
      </c>
      <c r="D2634" s="14">
        <v>74</v>
      </c>
      <c r="E2634" s="14">
        <v>756</v>
      </c>
      <c r="F2634" s="14">
        <v>6.1</v>
      </c>
      <c r="G2634" s="14">
        <v>5</v>
      </c>
      <c r="H2634" s="14">
        <v>76.099999999999994</v>
      </c>
      <c r="I2634" s="15">
        <v>0.74</v>
      </c>
    </row>
    <row r="2635" spans="1:9" x14ac:dyDescent="0.25">
      <c r="A2635" s="12">
        <v>59</v>
      </c>
      <c r="B2635" s="13">
        <v>45146</v>
      </c>
      <c r="C2635" s="14">
        <v>20.5</v>
      </c>
      <c r="D2635" s="14">
        <v>65</v>
      </c>
      <c r="E2635" s="14">
        <v>412</v>
      </c>
      <c r="F2635" s="14">
        <v>6.2</v>
      </c>
      <c r="G2635" s="14">
        <v>6</v>
      </c>
      <c r="H2635" s="14">
        <v>68.900000000000006</v>
      </c>
      <c r="I2635" s="15">
        <v>0.65</v>
      </c>
    </row>
    <row r="2636" spans="1:9" x14ac:dyDescent="0.25">
      <c r="A2636" s="12">
        <v>59</v>
      </c>
      <c r="B2636" s="13">
        <v>45147</v>
      </c>
      <c r="C2636" s="14">
        <v>18.3</v>
      </c>
      <c r="D2636" s="14">
        <v>61</v>
      </c>
      <c r="E2636" s="14">
        <v>512</v>
      </c>
      <c r="F2636" s="14">
        <v>6.3</v>
      </c>
      <c r="G2636" s="14">
        <v>7</v>
      </c>
      <c r="H2636" s="14">
        <v>64.94</v>
      </c>
      <c r="I2636" s="15">
        <v>0.61</v>
      </c>
    </row>
    <row r="2637" spans="1:9" x14ac:dyDescent="0.25">
      <c r="A2637" s="12">
        <v>59</v>
      </c>
      <c r="B2637" s="13">
        <v>45148</v>
      </c>
      <c r="C2637" s="14">
        <v>18.5</v>
      </c>
      <c r="D2637" s="14">
        <v>65</v>
      </c>
      <c r="E2637" s="14">
        <v>620</v>
      </c>
      <c r="F2637" s="14">
        <v>6.1</v>
      </c>
      <c r="G2637" s="14">
        <v>8</v>
      </c>
      <c r="H2637" s="14">
        <v>65.3</v>
      </c>
      <c r="I2637" s="15">
        <v>0.65</v>
      </c>
    </row>
    <row r="2638" spans="1:9" x14ac:dyDescent="0.25">
      <c r="A2638" s="12">
        <v>59</v>
      </c>
      <c r="B2638" s="13">
        <v>45149</v>
      </c>
      <c r="C2638" s="14">
        <v>23.5</v>
      </c>
      <c r="D2638" s="14">
        <v>79</v>
      </c>
      <c r="E2638" s="14">
        <v>641</v>
      </c>
      <c r="F2638" s="14">
        <v>6.4</v>
      </c>
      <c r="G2638" s="14">
        <v>9</v>
      </c>
      <c r="H2638" s="14">
        <v>74.3</v>
      </c>
      <c r="I2638" s="15">
        <v>0.79</v>
      </c>
    </row>
    <row r="2639" spans="1:9" x14ac:dyDescent="0.25">
      <c r="A2639" s="12">
        <v>59</v>
      </c>
      <c r="B2639" s="13">
        <v>45150</v>
      </c>
      <c r="C2639" s="14">
        <v>18.899999999999999</v>
      </c>
      <c r="D2639" s="14">
        <v>71</v>
      </c>
      <c r="E2639" s="14">
        <v>768</v>
      </c>
      <c r="F2639" s="14">
        <v>6.4</v>
      </c>
      <c r="G2639" s="14">
        <v>10</v>
      </c>
      <c r="H2639" s="14">
        <v>66.02</v>
      </c>
      <c r="I2639" s="15">
        <v>0.71</v>
      </c>
    </row>
    <row r="2640" spans="1:9" x14ac:dyDescent="0.25">
      <c r="A2640" s="12">
        <v>59</v>
      </c>
      <c r="B2640" s="13">
        <v>45151</v>
      </c>
      <c r="C2640" s="14">
        <v>24.1</v>
      </c>
      <c r="D2640" s="14">
        <v>76</v>
      </c>
      <c r="E2640" s="14">
        <v>612</v>
      </c>
      <c r="F2640" s="14">
        <v>6.7</v>
      </c>
      <c r="G2640" s="14">
        <v>11</v>
      </c>
      <c r="H2640" s="14">
        <v>75.38</v>
      </c>
      <c r="I2640" s="15">
        <v>0.76</v>
      </c>
    </row>
    <row r="2641" spans="1:9" x14ac:dyDescent="0.25">
      <c r="A2641" s="12">
        <v>59</v>
      </c>
      <c r="B2641" s="13">
        <v>45152</v>
      </c>
      <c r="C2641" s="14">
        <v>24.7</v>
      </c>
      <c r="D2641" s="14">
        <v>71</v>
      </c>
      <c r="E2641" s="14">
        <v>473</v>
      </c>
      <c r="F2641" s="14">
        <v>6.3</v>
      </c>
      <c r="G2641" s="14">
        <v>12</v>
      </c>
      <c r="H2641" s="14">
        <v>76.459999999999994</v>
      </c>
      <c r="I2641" s="15">
        <v>0.71</v>
      </c>
    </row>
    <row r="2642" spans="1:9" x14ac:dyDescent="0.25">
      <c r="A2642" s="12">
        <v>59</v>
      </c>
      <c r="B2642" s="13">
        <v>45153</v>
      </c>
      <c r="C2642" s="14">
        <v>22.3</v>
      </c>
      <c r="D2642" s="14">
        <v>52</v>
      </c>
      <c r="E2642" s="14">
        <v>791</v>
      </c>
      <c r="F2642" s="14">
        <v>6.6</v>
      </c>
      <c r="G2642" s="14">
        <v>13</v>
      </c>
      <c r="H2642" s="14">
        <v>72.14</v>
      </c>
      <c r="I2642" s="15">
        <v>0.52</v>
      </c>
    </row>
    <row r="2643" spans="1:9" x14ac:dyDescent="0.25">
      <c r="A2643" s="12">
        <v>59</v>
      </c>
      <c r="B2643" s="13">
        <v>45154</v>
      </c>
      <c r="C2643" s="14">
        <v>23.3</v>
      </c>
      <c r="D2643" s="14">
        <v>56</v>
      </c>
      <c r="E2643" s="14">
        <v>759</v>
      </c>
      <c r="F2643" s="14">
        <v>6.1</v>
      </c>
      <c r="G2643" s="14">
        <v>14</v>
      </c>
      <c r="H2643" s="14">
        <v>73.94</v>
      </c>
      <c r="I2643" s="15">
        <v>0.56000000000000005</v>
      </c>
    </row>
    <row r="2644" spans="1:9" x14ac:dyDescent="0.25">
      <c r="A2644" s="12">
        <v>59</v>
      </c>
      <c r="B2644" s="13">
        <v>45155</v>
      </c>
      <c r="C2644" s="14">
        <v>19.899999999999999</v>
      </c>
      <c r="D2644" s="14">
        <v>59</v>
      </c>
      <c r="E2644" s="14">
        <v>446</v>
      </c>
      <c r="F2644" s="14">
        <v>6.5</v>
      </c>
      <c r="G2644" s="14">
        <v>15</v>
      </c>
      <c r="H2644" s="14">
        <v>67.819999999999993</v>
      </c>
      <c r="I2644" s="15">
        <v>0.59</v>
      </c>
    </row>
    <row r="2645" spans="1:9" x14ac:dyDescent="0.25">
      <c r="A2645" s="12">
        <v>59</v>
      </c>
      <c r="B2645" s="13">
        <v>45156</v>
      </c>
      <c r="C2645" s="14">
        <v>19.600000000000001</v>
      </c>
      <c r="D2645" s="14">
        <v>70</v>
      </c>
      <c r="E2645" s="14">
        <v>525</v>
      </c>
      <c r="F2645" s="14">
        <v>6</v>
      </c>
      <c r="G2645" s="14">
        <v>16</v>
      </c>
      <c r="H2645" s="14">
        <v>67.28</v>
      </c>
      <c r="I2645" s="15">
        <v>0.7</v>
      </c>
    </row>
    <row r="2646" spans="1:9" x14ac:dyDescent="0.25">
      <c r="A2646" s="12">
        <v>59</v>
      </c>
      <c r="B2646" s="13">
        <v>45157</v>
      </c>
      <c r="C2646" s="14">
        <v>23.5</v>
      </c>
      <c r="D2646" s="14">
        <v>78</v>
      </c>
      <c r="E2646" s="14">
        <v>588</v>
      </c>
      <c r="F2646" s="14">
        <v>6.7</v>
      </c>
      <c r="G2646" s="14">
        <v>17</v>
      </c>
      <c r="H2646" s="14">
        <v>74.3</v>
      </c>
      <c r="I2646" s="15">
        <v>0.78</v>
      </c>
    </row>
    <row r="2647" spans="1:9" x14ac:dyDescent="0.25">
      <c r="A2647" s="12">
        <v>59</v>
      </c>
      <c r="B2647" s="13">
        <v>45158</v>
      </c>
      <c r="C2647" s="14">
        <v>20.100000000000001</v>
      </c>
      <c r="D2647" s="14">
        <v>66</v>
      </c>
      <c r="E2647" s="14">
        <v>629</v>
      </c>
      <c r="F2647" s="14">
        <v>6.2</v>
      </c>
      <c r="G2647" s="14">
        <v>18</v>
      </c>
      <c r="H2647" s="14">
        <v>68.180000000000007</v>
      </c>
      <c r="I2647" s="15">
        <v>0.66</v>
      </c>
    </row>
    <row r="2648" spans="1:9" x14ac:dyDescent="0.25">
      <c r="A2648" s="12">
        <v>59</v>
      </c>
      <c r="B2648" s="13">
        <v>45159</v>
      </c>
      <c r="C2648" s="14">
        <v>20.9</v>
      </c>
      <c r="D2648" s="14">
        <v>55</v>
      </c>
      <c r="E2648" s="14">
        <v>422</v>
      </c>
      <c r="F2648" s="14">
        <v>6.3</v>
      </c>
      <c r="G2648" s="14">
        <v>19</v>
      </c>
      <c r="H2648" s="14">
        <v>69.62</v>
      </c>
      <c r="I2648" s="15">
        <v>0.55000000000000004</v>
      </c>
    </row>
    <row r="2649" spans="1:9" x14ac:dyDescent="0.25">
      <c r="A2649" s="12">
        <v>59</v>
      </c>
      <c r="B2649" s="13">
        <v>45160</v>
      </c>
      <c r="C2649" s="14">
        <v>22.8</v>
      </c>
      <c r="D2649" s="14">
        <v>64</v>
      </c>
      <c r="E2649" s="14">
        <v>798</v>
      </c>
      <c r="F2649" s="14">
        <v>6.2</v>
      </c>
      <c r="G2649" s="14">
        <v>20</v>
      </c>
      <c r="H2649" s="14">
        <v>73.040000000000006</v>
      </c>
      <c r="I2649" s="15">
        <v>0.64</v>
      </c>
    </row>
    <row r="2650" spans="1:9" x14ac:dyDescent="0.25">
      <c r="A2650" s="12">
        <v>59</v>
      </c>
      <c r="B2650" s="13">
        <v>45161</v>
      </c>
      <c r="C2650" s="14">
        <v>22.8</v>
      </c>
      <c r="D2650" s="14">
        <v>73</v>
      </c>
      <c r="E2650" s="14">
        <v>500</v>
      </c>
      <c r="F2650" s="14">
        <v>6.2</v>
      </c>
      <c r="G2650" s="14">
        <v>21</v>
      </c>
      <c r="H2650" s="14">
        <v>73.040000000000006</v>
      </c>
      <c r="I2650" s="15">
        <v>0.73</v>
      </c>
    </row>
    <row r="2651" spans="1:9" x14ac:dyDescent="0.25">
      <c r="A2651" s="12">
        <v>59</v>
      </c>
      <c r="B2651" s="13">
        <v>45162</v>
      </c>
      <c r="C2651" s="14">
        <v>24.2</v>
      </c>
      <c r="D2651" s="14">
        <v>58</v>
      </c>
      <c r="E2651" s="14">
        <v>599</v>
      </c>
      <c r="F2651" s="14">
        <v>6.4</v>
      </c>
      <c r="G2651" s="14">
        <v>22</v>
      </c>
      <c r="H2651" s="14">
        <v>75.56</v>
      </c>
      <c r="I2651" s="15">
        <v>0.57999999999999996</v>
      </c>
    </row>
    <row r="2652" spans="1:9" x14ac:dyDescent="0.25">
      <c r="A2652" s="12">
        <v>59</v>
      </c>
      <c r="B2652" s="13">
        <v>45163</v>
      </c>
      <c r="C2652" s="14">
        <v>20.9</v>
      </c>
      <c r="D2652" s="14">
        <v>75</v>
      </c>
      <c r="E2652" s="14">
        <v>434</v>
      </c>
      <c r="F2652" s="14">
        <v>6.7</v>
      </c>
      <c r="G2652" s="14">
        <v>23</v>
      </c>
      <c r="H2652" s="14">
        <v>69.62</v>
      </c>
      <c r="I2652" s="15">
        <v>0.75</v>
      </c>
    </row>
    <row r="2653" spans="1:9" x14ac:dyDescent="0.25">
      <c r="A2653" s="12">
        <v>59</v>
      </c>
      <c r="B2653" s="13">
        <v>45164</v>
      </c>
      <c r="C2653" s="14">
        <v>21.9</v>
      </c>
      <c r="D2653" s="14">
        <v>57</v>
      </c>
      <c r="E2653" s="14">
        <v>791</v>
      </c>
      <c r="F2653" s="14">
        <v>6.1</v>
      </c>
      <c r="G2653" s="14">
        <v>24</v>
      </c>
      <c r="H2653" s="14">
        <v>71.42</v>
      </c>
      <c r="I2653" s="15">
        <v>0.56999999999999995</v>
      </c>
    </row>
    <row r="2654" spans="1:9" x14ac:dyDescent="0.25">
      <c r="A2654" s="12">
        <v>59</v>
      </c>
      <c r="B2654" s="13">
        <v>45165</v>
      </c>
      <c r="C2654" s="14">
        <v>20.8</v>
      </c>
      <c r="D2654" s="14">
        <v>65</v>
      </c>
      <c r="E2654" s="14">
        <v>437</v>
      </c>
      <c r="F2654" s="14">
        <v>6.1</v>
      </c>
      <c r="G2654" s="14">
        <v>25</v>
      </c>
      <c r="H2654" s="14">
        <v>69.44</v>
      </c>
      <c r="I2654" s="15">
        <v>0.65</v>
      </c>
    </row>
    <row r="2655" spans="1:9" x14ac:dyDescent="0.25">
      <c r="A2655" s="12">
        <v>59</v>
      </c>
      <c r="B2655" s="13">
        <v>45166</v>
      </c>
      <c r="C2655" s="14">
        <v>19.600000000000001</v>
      </c>
      <c r="D2655" s="14">
        <v>73</v>
      </c>
      <c r="E2655" s="14">
        <v>403</v>
      </c>
      <c r="F2655" s="14">
        <v>6.2</v>
      </c>
      <c r="G2655" s="14">
        <v>26</v>
      </c>
      <c r="H2655" s="14">
        <v>67.28</v>
      </c>
      <c r="I2655" s="15">
        <v>0.73</v>
      </c>
    </row>
    <row r="2656" spans="1:9" x14ac:dyDescent="0.25">
      <c r="A2656" s="12">
        <v>59</v>
      </c>
      <c r="B2656" s="13">
        <v>45167</v>
      </c>
      <c r="C2656" s="14">
        <v>23.5</v>
      </c>
      <c r="D2656" s="14">
        <v>65</v>
      </c>
      <c r="E2656" s="14">
        <v>523</v>
      </c>
      <c r="F2656" s="14">
        <v>6.7</v>
      </c>
      <c r="G2656" s="14">
        <v>27</v>
      </c>
      <c r="H2656" s="14">
        <v>74.3</v>
      </c>
      <c r="I2656" s="15">
        <v>0.65</v>
      </c>
    </row>
    <row r="2657" spans="1:9" x14ac:dyDescent="0.25">
      <c r="A2657" s="12">
        <v>59</v>
      </c>
      <c r="B2657" s="13">
        <v>45168</v>
      </c>
      <c r="C2657" s="14">
        <v>23.8</v>
      </c>
      <c r="D2657" s="14">
        <v>53</v>
      </c>
      <c r="E2657" s="14">
        <v>688</v>
      </c>
      <c r="F2657" s="14">
        <v>6.1</v>
      </c>
      <c r="G2657" s="14">
        <v>28</v>
      </c>
      <c r="H2657" s="14">
        <v>74.84</v>
      </c>
      <c r="I2657" s="15">
        <v>0.53</v>
      </c>
    </row>
    <row r="2658" spans="1:9" x14ac:dyDescent="0.25">
      <c r="A2658" s="12">
        <v>59</v>
      </c>
      <c r="B2658" s="13">
        <v>45169</v>
      </c>
      <c r="C2658" s="14">
        <v>24.9</v>
      </c>
      <c r="D2658" s="14">
        <v>61</v>
      </c>
      <c r="E2658" s="14">
        <v>582</v>
      </c>
      <c r="F2658" s="14">
        <v>6.3</v>
      </c>
      <c r="G2658" s="14">
        <v>29</v>
      </c>
      <c r="H2658" s="14">
        <v>76.819999999999993</v>
      </c>
      <c r="I2658" s="15">
        <v>0.61</v>
      </c>
    </row>
    <row r="2659" spans="1:9" x14ac:dyDescent="0.25">
      <c r="A2659" s="12">
        <v>59</v>
      </c>
      <c r="B2659" s="13">
        <v>45170</v>
      </c>
      <c r="C2659" s="14">
        <v>19.100000000000001</v>
      </c>
      <c r="D2659" s="14">
        <v>50</v>
      </c>
      <c r="E2659" s="14">
        <v>490</v>
      </c>
      <c r="F2659" s="14">
        <v>6.5</v>
      </c>
      <c r="G2659" s="14">
        <v>30</v>
      </c>
      <c r="H2659" s="14">
        <v>66.38</v>
      </c>
      <c r="I2659" s="15">
        <v>0.5</v>
      </c>
    </row>
    <row r="2660" spans="1:9" x14ac:dyDescent="0.25">
      <c r="A2660" s="12">
        <v>59</v>
      </c>
      <c r="B2660" s="13">
        <v>45171</v>
      </c>
      <c r="C2660" s="14">
        <v>21.8</v>
      </c>
      <c r="D2660" s="14">
        <v>73</v>
      </c>
      <c r="E2660" s="14">
        <v>800</v>
      </c>
      <c r="F2660" s="14">
        <v>6.7</v>
      </c>
      <c r="G2660" s="14">
        <v>31</v>
      </c>
      <c r="H2660" s="14">
        <v>71.239999999999995</v>
      </c>
      <c r="I2660" s="15">
        <v>0.73</v>
      </c>
    </row>
    <row r="2661" spans="1:9" x14ac:dyDescent="0.25">
      <c r="A2661" s="12">
        <v>59</v>
      </c>
      <c r="B2661" s="13">
        <v>45172</v>
      </c>
      <c r="C2661" s="14">
        <v>24.8</v>
      </c>
      <c r="D2661" s="14">
        <v>69</v>
      </c>
      <c r="E2661" s="14">
        <v>611</v>
      </c>
      <c r="F2661" s="14">
        <v>6</v>
      </c>
      <c r="G2661" s="14">
        <v>32</v>
      </c>
      <c r="H2661" s="14">
        <v>76.64</v>
      </c>
      <c r="I2661" s="15">
        <v>0.69</v>
      </c>
    </row>
    <row r="2662" spans="1:9" x14ac:dyDescent="0.25">
      <c r="A2662" s="12">
        <v>59</v>
      </c>
      <c r="B2662" s="13">
        <v>45173</v>
      </c>
      <c r="C2662" s="14">
        <v>22</v>
      </c>
      <c r="D2662" s="14">
        <v>69</v>
      </c>
      <c r="E2662" s="14">
        <v>543</v>
      </c>
      <c r="F2662" s="14">
        <v>6.1</v>
      </c>
      <c r="G2662" s="14">
        <v>33</v>
      </c>
      <c r="H2662" s="14">
        <v>71.599999999999994</v>
      </c>
      <c r="I2662" s="15">
        <v>0.69</v>
      </c>
    </row>
    <row r="2663" spans="1:9" x14ac:dyDescent="0.25">
      <c r="A2663" s="12">
        <v>59</v>
      </c>
      <c r="B2663" s="13">
        <v>45174</v>
      </c>
      <c r="C2663" s="14">
        <v>21.2</v>
      </c>
      <c r="D2663" s="14">
        <v>77</v>
      </c>
      <c r="E2663" s="14">
        <v>630</v>
      </c>
      <c r="F2663" s="14">
        <v>6.2</v>
      </c>
      <c r="G2663" s="14">
        <v>34</v>
      </c>
      <c r="H2663" s="14">
        <v>70.16</v>
      </c>
      <c r="I2663" s="15">
        <v>0.77</v>
      </c>
    </row>
    <row r="2664" spans="1:9" x14ac:dyDescent="0.25">
      <c r="A2664" s="12">
        <v>59</v>
      </c>
      <c r="B2664" s="13">
        <v>45175</v>
      </c>
      <c r="C2664" s="14">
        <v>23.8</v>
      </c>
      <c r="D2664" s="14">
        <v>80</v>
      </c>
      <c r="E2664" s="14">
        <v>786</v>
      </c>
      <c r="F2664" s="14">
        <v>6.2</v>
      </c>
      <c r="G2664" s="14">
        <v>35</v>
      </c>
      <c r="H2664" s="14">
        <v>74.84</v>
      </c>
      <c r="I2664" s="15">
        <v>0.8</v>
      </c>
    </row>
    <row r="2665" spans="1:9" x14ac:dyDescent="0.25">
      <c r="A2665" s="12">
        <v>59</v>
      </c>
      <c r="B2665" s="13">
        <v>45176</v>
      </c>
      <c r="C2665" s="14">
        <v>18</v>
      </c>
      <c r="D2665" s="14">
        <v>57</v>
      </c>
      <c r="E2665" s="14">
        <v>682</v>
      </c>
      <c r="F2665" s="14">
        <v>6.2</v>
      </c>
      <c r="G2665" s="14">
        <v>36</v>
      </c>
      <c r="H2665" s="14">
        <v>64.400000000000006</v>
      </c>
      <c r="I2665" s="15">
        <v>0.56999999999999995</v>
      </c>
    </row>
    <row r="2666" spans="1:9" x14ac:dyDescent="0.25">
      <c r="A2666" s="12">
        <v>59</v>
      </c>
      <c r="B2666" s="13">
        <v>45177</v>
      </c>
      <c r="C2666" s="14">
        <v>23.2</v>
      </c>
      <c r="D2666" s="14">
        <v>63</v>
      </c>
      <c r="E2666" s="14">
        <v>641</v>
      </c>
      <c r="F2666" s="14">
        <v>6.1</v>
      </c>
      <c r="G2666" s="14">
        <v>37</v>
      </c>
      <c r="H2666" s="14">
        <v>73.760000000000005</v>
      </c>
      <c r="I2666" s="15">
        <v>0.63</v>
      </c>
    </row>
    <row r="2667" spans="1:9" x14ac:dyDescent="0.25">
      <c r="A2667" s="12">
        <v>59</v>
      </c>
      <c r="B2667" s="13">
        <v>45178</v>
      </c>
      <c r="C2667" s="14">
        <v>24.9</v>
      </c>
      <c r="D2667" s="14">
        <v>61</v>
      </c>
      <c r="E2667" s="14">
        <v>419</v>
      </c>
      <c r="F2667" s="14">
        <v>6.6</v>
      </c>
      <c r="G2667" s="14">
        <v>38</v>
      </c>
      <c r="H2667" s="14">
        <v>76.819999999999993</v>
      </c>
      <c r="I2667" s="15">
        <v>0.61</v>
      </c>
    </row>
    <row r="2668" spans="1:9" x14ac:dyDescent="0.25">
      <c r="A2668" s="12">
        <v>59</v>
      </c>
      <c r="B2668" s="13">
        <v>45179</v>
      </c>
      <c r="C2668" s="14">
        <v>18.899999999999999</v>
      </c>
      <c r="D2668" s="14">
        <v>61</v>
      </c>
      <c r="E2668" s="14">
        <v>460</v>
      </c>
      <c r="F2668" s="14">
        <v>6.6</v>
      </c>
      <c r="G2668" s="14">
        <v>39</v>
      </c>
      <c r="H2668" s="14">
        <v>66.02</v>
      </c>
      <c r="I2668" s="15">
        <v>0.61</v>
      </c>
    </row>
    <row r="2669" spans="1:9" x14ac:dyDescent="0.25">
      <c r="A2669" s="12">
        <v>59</v>
      </c>
      <c r="B2669" s="13">
        <v>45180</v>
      </c>
      <c r="C2669" s="14">
        <v>24.4</v>
      </c>
      <c r="D2669" s="14">
        <v>68</v>
      </c>
      <c r="E2669" s="14">
        <v>520</v>
      </c>
      <c r="F2669" s="14">
        <v>6.5</v>
      </c>
      <c r="G2669" s="14">
        <v>40</v>
      </c>
      <c r="H2669" s="14">
        <v>75.92</v>
      </c>
      <c r="I2669" s="15">
        <v>0.68</v>
      </c>
    </row>
    <row r="2670" spans="1:9" x14ac:dyDescent="0.25">
      <c r="A2670" s="12">
        <v>59</v>
      </c>
      <c r="B2670" s="13">
        <v>45181</v>
      </c>
      <c r="C2670" s="14">
        <v>24.3</v>
      </c>
      <c r="D2670" s="14">
        <v>71</v>
      </c>
      <c r="E2670" s="14">
        <v>495</v>
      </c>
      <c r="F2670" s="14">
        <v>6.6</v>
      </c>
      <c r="G2670" s="14">
        <v>41</v>
      </c>
      <c r="H2670" s="14">
        <v>75.739999999999995</v>
      </c>
      <c r="I2670" s="15">
        <v>0.71</v>
      </c>
    </row>
    <row r="2671" spans="1:9" x14ac:dyDescent="0.25">
      <c r="A2671" s="12">
        <v>59</v>
      </c>
      <c r="B2671" s="13">
        <v>45182</v>
      </c>
      <c r="C2671" s="14">
        <v>21</v>
      </c>
      <c r="D2671" s="14">
        <v>80</v>
      </c>
      <c r="E2671" s="14">
        <v>741</v>
      </c>
      <c r="F2671" s="14">
        <v>6.4</v>
      </c>
      <c r="G2671" s="14">
        <v>42</v>
      </c>
      <c r="H2671" s="14">
        <v>69.8</v>
      </c>
      <c r="I2671" s="15">
        <v>0.8</v>
      </c>
    </row>
    <row r="2672" spans="1:9" x14ac:dyDescent="0.25">
      <c r="A2672" s="12">
        <v>59</v>
      </c>
      <c r="B2672" s="13">
        <v>45183</v>
      </c>
      <c r="C2672" s="14">
        <v>22.8</v>
      </c>
      <c r="D2672" s="14">
        <v>69</v>
      </c>
      <c r="E2672" s="14">
        <v>625</v>
      </c>
      <c r="F2672" s="14">
        <v>6.5</v>
      </c>
      <c r="G2672" s="14">
        <v>43</v>
      </c>
      <c r="H2672" s="14">
        <v>73.040000000000006</v>
      </c>
      <c r="I2672" s="15">
        <v>0.69</v>
      </c>
    </row>
    <row r="2673" spans="1:9" x14ac:dyDescent="0.25">
      <c r="A2673" s="12">
        <v>59</v>
      </c>
      <c r="B2673" s="13">
        <v>45184</v>
      </c>
      <c r="C2673" s="14">
        <v>21.8</v>
      </c>
      <c r="D2673" s="14">
        <v>69</v>
      </c>
      <c r="E2673" s="14">
        <v>783</v>
      </c>
      <c r="F2673" s="14">
        <v>6.3</v>
      </c>
      <c r="G2673" s="14">
        <v>44</v>
      </c>
      <c r="H2673" s="14">
        <v>71.239999999999995</v>
      </c>
      <c r="I2673" s="15">
        <v>0.69</v>
      </c>
    </row>
    <row r="2674" spans="1:9" x14ac:dyDescent="0.25">
      <c r="A2674" s="12">
        <v>59</v>
      </c>
      <c r="B2674" s="13">
        <v>45185</v>
      </c>
      <c r="C2674" s="14">
        <v>19.3</v>
      </c>
      <c r="D2674" s="14">
        <v>74</v>
      </c>
      <c r="E2674" s="14">
        <v>422</v>
      </c>
      <c r="F2674" s="14">
        <v>6.2</v>
      </c>
      <c r="G2674" s="14">
        <v>45</v>
      </c>
      <c r="H2674" s="14">
        <v>66.739999999999995</v>
      </c>
      <c r="I2674" s="15">
        <v>0.74</v>
      </c>
    </row>
    <row r="2675" spans="1:9" x14ac:dyDescent="0.25">
      <c r="A2675" s="12">
        <v>60</v>
      </c>
      <c r="B2675" s="13">
        <v>45141</v>
      </c>
      <c r="C2675" s="14">
        <v>20.2</v>
      </c>
      <c r="D2675" s="14">
        <v>65</v>
      </c>
      <c r="E2675" s="14">
        <v>527</v>
      </c>
      <c r="F2675" s="14">
        <v>6.5</v>
      </c>
      <c r="G2675" s="14">
        <v>1</v>
      </c>
      <c r="H2675" s="14">
        <v>68.36</v>
      </c>
      <c r="I2675" s="15">
        <v>0.65</v>
      </c>
    </row>
    <row r="2676" spans="1:9" x14ac:dyDescent="0.25">
      <c r="A2676" s="12">
        <v>60</v>
      </c>
      <c r="B2676" s="13">
        <v>45142</v>
      </c>
      <c r="C2676" s="14">
        <v>21.8</v>
      </c>
      <c r="D2676" s="14">
        <v>62</v>
      </c>
      <c r="E2676" s="14">
        <v>678</v>
      </c>
      <c r="F2676" s="14">
        <v>6.1</v>
      </c>
      <c r="G2676" s="14">
        <v>2</v>
      </c>
      <c r="H2676" s="14">
        <v>71.239999999999995</v>
      </c>
      <c r="I2676" s="15">
        <v>0.62</v>
      </c>
    </row>
    <row r="2677" spans="1:9" x14ac:dyDescent="0.25">
      <c r="A2677" s="12">
        <v>60</v>
      </c>
      <c r="B2677" s="13">
        <v>45143</v>
      </c>
      <c r="C2677" s="14">
        <v>18</v>
      </c>
      <c r="D2677" s="14">
        <v>74</v>
      </c>
      <c r="E2677" s="14">
        <v>747</v>
      </c>
      <c r="F2677" s="14">
        <v>6.1</v>
      </c>
      <c r="G2677" s="14">
        <v>3</v>
      </c>
      <c r="H2677" s="14">
        <v>64.400000000000006</v>
      </c>
      <c r="I2677" s="15">
        <v>0.74</v>
      </c>
    </row>
    <row r="2678" spans="1:9" x14ac:dyDescent="0.25">
      <c r="A2678" s="12">
        <v>60</v>
      </c>
      <c r="B2678" s="13">
        <v>45144</v>
      </c>
      <c r="C2678" s="14">
        <v>23.6</v>
      </c>
      <c r="D2678" s="14">
        <v>79</v>
      </c>
      <c r="E2678" s="14">
        <v>574</v>
      </c>
      <c r="F2678" s="14">
        <v>6.4</v>
      </c>
      <c r="G2678" s="14">
        <v>4</v>
      </c>
      <c r="H2678" s="14">
        <v>74.48</v>
      </c>
      <c r="I2678" s="15">
        <v>0.79</v>
      </c>
    </row>
    <row r="2679" spans="1:9" x14ac:dyDescent="0.25">
      <c r="A2679" s="12">
        <v>60</v>
      </c>
      <c r="B2679" s="13">
        <v>45145</v>
      </c>
      <c r="C2679" s="14">
        <v>20.100000000000001</v>
      </c>
      <c r="D2679" s="14">
        <v>77</v>
      </c>
      <c r="E2679" s="14">
        <v>761</v>
      </c>
      <c r="F2679" s="14">
        <v>6.3</v>
      </c>
      <c r="G2679" s="14">
        <v>5</v>
      </c>
      <c r="H2679" s="14">
        <v>68.180000000000007</v>
      </c>
      <c r="I2679" s="15">
        <v>0.77</v>
      </c>
    </row>
    <row r="2680" spans="1:9" x14ac:dyDescent="0.25">
      <c r="A2680" s="12">
        <v>60</v>
      </c>
      <c r="B2680" s="13">
        <v>45146</v>
      </c>
      <c r="C2680" s="14">
        <v>23.8</v>
      </c>
      <c r="D2680" s="14">
        <v>66</v>
      </c>
      <c r="E2680" s="14">
        <v>511</v>
      </c>
      <c r="F2680" s="14">
        <v>6.6</v>
      </c>
      <c r="G2680" s="14">
        <v>6</v>
      </c>
      <c r="H2680" s="14">
        <v>74.84</v>
      </c>
      <c r="I2680" s="15">
        <v>0.66</v>
      </c>
    </row>
    <row r="2681" spans="1:9" x14ac:dyDescent="0.25">
      <c r="A2681" s="12">
        <v>60</v>
      </c>
      <c r="B2681" s="13">
        <v>45147</v>
      </c>
      <c r="C2681" s="14">
        <v>19</v>
      </c>
      <c r="D2681" s="14">
        <v>74</v>
      </c>
      <c r="E2681" s="14">
        <v>425</v>
      </c>
      <c r="F2681" s="14">
        <v>6.4</v>
      </c>
      <c r="G2681" s="14">
        <v>7</v>
      </c>
      <c r="H2681" s="14">
        <v>66.2</v>
      </c>
      <c r="I2681" s="15">
        <v>0.74</v>
      </c>
    </row>
    <row r="2682" spans="1:9" x14ac:dyDescent="0.25">
      <c r="A2682" s="12">
        <v>60</v>
      </c>
      <c r="B2682" s="13">
        <v>45148</v>
      </c>
      <c r="C2682" s="14">
        <v>23.3</v>
      </c>
      <c r="D2682" s="14">
        <v>72</v>
      </c>
      <c r="E2682" s="14">
        <v>666</v>
      </c>
      <c r="F2682" s="14">
        <v>6.3</v>
      </c>
      <c r="G2682" s="14">
        <v>8</v>
      </c>
      <c r="H2682" s="14">
        <v>73.94</v>
      </c>
      <c r="I2682" s="15">
        <v>0.72</v>
      </c>
    </row>
    <row r="2683" spans="1:9" x14ac:dyDescent="0.25">
      <c r="A2683" s="12">
        <v>60</v>
      </c>
      <c r="B2683" s="13">
        <v>45149</v>
      </c>
      <c r="C2683" s="14">
        <v>19.399999999999999</v>
      </c>
      <c r="D2683" s="14">
        <v>76</v>
      </c>
      <c r="E2683" s="14">
        <v>744</v>
      </c>
      <c r="F2683" s="14">
        <v>6.1</v>
      </c>
      <c r="G2683" s="14">
        <v>9</v>
      </c>
      <c r="H2683" s="14">
        <v>66.92</v>
      </c>
      <c r="I2683" s="15">
        <v>0.76</v>
      </c>
    </row>
    <row r="2684" spans="1:9" x14ac:dyDescent="0.25">
      <c r="A2684" s="12">
        <v>60</v>
      </c>
      <c r="B2684" s="13">
        <v>45150</v>
      </c>
      <c r="C2684" s="14">
        <v>23.7</v>
      </c>
      <c r="D2684" s="14">
        <v>51</v>
      </c>
      <c r="E2684" s="14">
        <v>511</v>
      </c>
      <c r="F2684" s="14">
        <v>6.6</v>
      </c>
      <c r="G2684" s="14">
        <v>10</v>
      </c>
      <c r="H2684" s="14">
        <v>74.66</v>
      </c>
      <c r="I2684" s="15">
        <v>0.51</v>
      </c>
    </row>
    <row r="2685" spans="1:9" x14ac:dyDescent="0.25">
      <c r="A2685" s="12">
        <v>60</v>
      </c>
      <c r="B2685" s="13">
        <v>45151</v>
      </c>
      <c r="C2685" s="14">
        <v>20.9</v>
      </c>
      <c r="D2685" s="14">
        <v>65</v>
      </c>
      <c r="E2685" s="14">
        <v>784</v>
      </c>
      <c r="F2685" s="14">
        <v>6.5</v>
      </c>
      <c r="G2685" s="14">
        <v>11</v>
      </c>
      <c r="H2685" s="14">
        <v>69.62</v>
      </c>
      <c r="I2685" s="15">
        <v>0.65</v>
      </c>
    </row>
    <row r="2686" spans="1:9" x14ac:dyDescent="0.25">
      <c r="A2686" s="12">
        <v>60</v>
      </c>
      <c r="B2686" s="13">
        <v>45152</v>
      </c>
      <c r="C2686" s="14">
        <v>21.2</v>
      </c>
      <c r="D2686" s="14">
        <v>57</v>
      </c>
      <c r="E2686" s="14">
        <v>754</v>
      </c>
      <c r="F2686" s="14">
        <v>6.1</v>
      </c>
      <c r="G2686" s="14">
        <v>12</v>
      </c>
      <c r="H2686" s="14">
        <v>70.16</v>
      </c>
      <c r="I2686" s="15">
        <v>0.56999999999999995</v>
      </c>
    </row>
    <row r="2687" spans="1:9" x14ac:dyDescent="0.25">
      <c r="A2687" s="12">
        <v>60</v>
      </c>
      <c r="B2687" s="13">
        <v>45153</v>
      </c>
      <c r="C2687" s="14">
        <v>21.9</v>
      </c>
      <c r="D2687" s="14">
        <v>74</v>
      </c>
      <c r="E2687" s="14">
        <v>465</v>
      </c>
      <c r="F2687" s="14">
        <v>6.8</v>
      </c>
      <c r="G2687" s="14">
        <v>13</v>
      </c>
      <c r="H2687" s="14">
        <v>71.42</v>
      </c>
      <c r="I2687" s="15">
        <v>0.74</v>
      </c>
    </row>
    <row r="2688" spans="1:9" x14ac:dyDescent="0.25">
      <c r="A2688" s="12">
        <v>60</v>
      </c>
      <c r="B2688" s="13">
        <v>45154</v>
      </c>
      <c r="C2688" s="14">
        <v>18.399999999999999</v>
      </c>
      <c r="D2688" s="14">
        <v>63</v>
      </c>
      <c r="E2688" s="14">
        <v>468</v>
      </c>
      <c r="F2688" s="14">
        <v>6.5</v>
      </c>
      <c r="G2688" s="14">
        <v>14</v>
      </c>
      <c r="H2688" s="14">
        <v>65.12</v>
      </c>
      <c r="I2688" s="15">
        <v>0.63</v>
      </c>
    </row>
    <row r="2689" spans="1:9" x14ac:dyDescent="0.25">
      <c r="A2689" s="12">
        <v>60</v>
      </c>
      <c r="B2689" s="13">
        <v>45155</v>
      </c>
      <c r="C2689" s="14">
        <v>22.4</v>
      </c>
      <c r="D2689" s="14">
        <v>65</v>
      </c>
      <c r="E2689" s="14">
        <v>800</v>
      </c>
      <c r="F2689" s="14">
        <v>6.1</v>
      </c>
      <c r="G2689" s="14">
        <v>15</v>
      </c>
      <c r="H2689" s="14">
        <v>72.319999999999993</v>
      </c>
      <c r="I2689" s="15">
        <v>0.65</v>
      </c>
    </row>
    <row r="2690" spans="1:9" x14ac:dyDescent="0.25">
      <c r="A2690" s="12">
        <v>60</v>
      </c>
      <c r="B2690" s="13">
        <v>45156</v>
      </c>
      <c r="C2690" s="14">
        <v>18.899999999999999</v>
      </c>
      <c r="D2690" s="14">
        <v>62</v>
      </c>
      <c r="E2690" s="14">
        <v>656</v>
      </c>
      <c r="F2690" s="14">
        <v>6.7</v>
      </c>
      <c r="G2690" s="14">
        <v>16</v>
      </c>
      <c r="H2690" s="14">
        <v>66.02</v>
      </c>
      <c r="I2690" s="15">
        <v>0.62</v>
      </c>
    </row>
    <row r="2691" spans="1:9" x14ac:dyDescent="0.25">
      <c r="A2691" s="12">
        <v>60</v>
      </c>
      <c r="B2691" s="13">
        <v>45157</v>
      </c>
      <c r="C2691" s="14">
        <v>18.100000000000001</v>
      </c>
      <c r="D2691" s="14">
        <v>62</v>
      </c>
      <c r="E2691" s="14">
        <v>618</v>
      </c>
      <c r="F2691" s="14">
        <v>6.6</v>
      </c>
      <c r="G2691" s="14">
        <v>17</v>
      </c>
      <c r="H2691" s="14">
        <v>64.58</v>
      </c>
      <c r="I2691" s="15">
        <v>0.62</v>
      </c>
    </row>
    <row r="2692" spans="1:9" x14ac:dyDescent="0.25">
      <c r="A2692" s="12">
        <v>60</v>
      </c>
      <c r="B2692" s="13">
        <v>45158</v>
      </c>
      <c r="C2692" s="14">
        <v>23.6</v>
      </c>
      <c r="D2692" s="14">
        <v>71</v>
      </c>
      <c r="E2692" s="14">
        <v>471</v>
      </c>
      <c r="F2692" s="14">
        <v>6.6</v>
      </c>
      <c r="G2692" s="14">
        <v>18</v>
      </c>
      <c r="H2692" s="14">
        <v>74.48</v>
      </c>
      <c r="I2692" s="15">
        <v>0.71</v>
      </c>
    </row>
    <row r="2693" spans="1:9" x14ac:dyDescent="0.25">
      <c r="A2693" s="12">
        <v>60</v>
      </c>
      <c r="B2693" s="13">
        <v>45159</v>
      </c>
      <c r="C2693" s="14">
        <v>21.6</v>
      </c>
      <c r="D2693" s="14">
        <v>73</v>
      </c>
      <c r="E2693" s="14">
        <v>557</v>
      </c>
      <c r="F2693" s="14">
        <v>6.7</v>
      </c>
      <c r="G2693" s="14">
        <v>19</v>
      </c>
      <c r="H2693" s="14">
        <v>70.88</v>
      </c>
      <c r="I2693" s="15">
        <v>0.73</v>
      </c>
    </row>
    <row r="2694" spans="1:9" x14ac:dyDescent="0.25">
      <c r="A2694" s="12">
        <v>60</v>
      </c>
      <c r="B2694" s="13">
        <v>45160</v>
      </c>
      <c r="C2694" s="14">
        <v>22.6</v>
      </c>
      <c r="D2694" s="14">
        <v>69</v>
      </c>
      <c r="E2694" s="14">
        <v>722</v>
      </c>
      <c r="F2694" s="14">
        <v>6.1</v>
      </c>
      <c r="G2694" s="14">
        <v>20</v>
      </c>
      <c r="H2694" s="14">
        <v>72.680000000000007</v>
      </c>
      <c r="I2694" s="15">
        <v>0.69</v>
      </c>
    </row>
    <row r="2695" spans="1:9" x14ac:dyDescent="0.25">
      <c r="A2695" s="12">
        <v>60</v>
      </c>
      <c r="B2695" s="13">
        <v>45161</v>
      </c>
      <c r="C2695" s="14">
        <v>24.2</v>
      </c>
      <c r="D2695" s="14">
        <v>66</v>
      </c>
      <c r="E2695" s="14">
        <v>684</v>
      </c>
      <c r="F2695" s="14">
        <v>6.2</v>
      </c>
      <c r="G2695" s="14">
        <v>21</v>
      </c>
      <c r="H2695" s="14">
        <v>75.56</v>
      </c>
      <c r="I2695" s="15">
        <v>0.66</v>
      </c>
    </row>
    <row r="2696" spans="1:9" x14ac:dyDescent="0.25">
      <c r="A2696" s="12">
        <v>60</v>
      </c>
      <c r="B2696" s="13">
        <v>45162</v>
      </c>
      <c r="C2696" s="14">
        <v>22.2</v>
      </c>
      <c r="D2696" s="14">
        <v>55</v>
      </c>
      <c r="E2696" s="14">
        <v>713</v>
      </c>
      <c r="F2696" s="14">
        <v>6.4</v>
      </c>
      <c r="G2696" s="14">
        <v>22</v>
      </c>
      <c r="H2696" s="14">
        <v>71.959999999999994</v>
      </c>
      <c r="I2696" s="15">
        <v>0.55000000000000004</v>
      </c>
    </row>
    <row r="2697" spans="1:9" x14ac:dyDescent="0.25">
      <c r="A2697" s="12">
        <v>60</v>
      </c>
      <c r="B2697" s="13">
        <v>45163</v>
      </c>
      <c r="C2697" s="14">
        <v>24.9</v>
      </c>
      <c r="D2697" s="14">
        <v>73</v>
      </c>
      <c r="E2697" s="14">
        <v>678</v>
      </c>
      <c r="F2697" s="14">
        <v>6.4</v>
      </c>
      <c r="G2697" s="14">
        <v>23</v>
      </c>
      <c r="H2697" s="14">
        <v>76.819999999999993</v>
      </c>
      <c r="I2697" s="15">
        <v>0.73</v>
      </c>
    </row>
    <row r="2698" spans="1:9" x14ac:dyDescent="0.25">
      <c r="A2698" s="12">
        <v>60</v>
      </c>
      <c r="B2698" s="13">
        <v>45164</v>
      </c>
      <c r="C2698" s="14">
        <v>18.5</v>
      </c>
      <c r="D2698" s="14">
        <v>56</v>
      </c>
      <c r="E2698" s="14">
        <v>671</v>
      </c>
      <c r="F2698" s="14">
        <v>6</v>
      </c>
      <c r="G2698" s="14">
        <v>24</v>
      </c>
      <c r="H2698" s="14">
        <v>65.3</v>
      </c>
      <c r="I2698" s="15">
        <v>0.56000000000000005</v>
      </c>
    </row>
    <row r="2699" spans="1:9" x14ac:dyDescent="0.25">
      <c r="A2699" s="12">
        <v>60</v>
      </c>
      <c r="B2699" s="13">
        <v>45165</v>
      </c>
      <c r="C2699" s="14">
        <v>21.2</v>
      </c>
      <c r="D2699" s="14">
        <v>80</v>
      </c>
      <c r="E2699" s="14">
        <v>467</v>
      </c>
      <c r="F2699" s="14">
        <v>6.3</v>
      </c>
      <c r="G2699" s="14">
        <v>25</v>
      </c>
      <c r="H2699" s="14">
        <v>70.16</v>
      </c>
      <c r="I2699" s="15">
        <v>0.8</v>
      </c>
    </row>
    <row r="2700" spans="1:9" x14ac:dyDescent="0.25">
      <c r="A2700" s="12">
        <v>60</v>
      </c>
      <c r="B2700" s="13">
        <v>45166</v>
      </c>
      <c r="C2700" s="14">
        <v>18.8</v>
      </c>
      <c r="D2700" s="14">
        <v>58</v>
      </c>
      <c r="E2700" s="14">
        <v>408</v>
      </c>
      <c r="F2700" s="14">
        <v>6.7</v>
      </c>
      <c r="G2700" s="14">
        <v>26</v>
      </c>
      <c r="H2700" s="14">
        <v>65.84</v>
      </c>
      <c r="I2700" s="15">
        <v>0.57999999999999996</v>
      </c>
    </row>
    <row r="2701" spans="1:9" x14ac:dyDescent="0.25">
      <c r="A2701" s="12">
        <v>60</v>
      </c>
      <c r="B2701" s="13">
        <v>45167</v>
      </c>
      <c r="C2701" s="14">
        <v>18.8</v>
      </c>
      <c r="D2701" s="14">
        <v>61</v>
      </c>
      <c r="E2701" s="14">
        <v>624</v>
      </c>
      <c r="F2701" s="14">
        <v>6.6</v>
      </c>
      <c r="G2701" s="14">
        <v>27</v>
      </c>
      <c r="H2701" s="14">
        <v>65.84</v>
      </c>
      <c r="I2701" s="15">
        <v>0.61</v>
      </c>
    </row>
    <row r="2702" spans="1:9" x14ac:dyDescent="0.25">
      <c r="A2702" s="12">
        <v>60</v>
      </c>
      <c r="B2702" s="13">
        <v>45168</v>
      </c>
      <c r="C2702" s="14">
        <v>23.8</v>
      </c>
      <c r="D2702" s="14">
        <v>73</v>
      </c>
      <c r="E2702" s="14">
        <v>489</v>
      </c>
      <c r="F2702" s="14">
        <v>6.1</v>
      </c>
      <c r="G2702" s="14">
        <v>28</v>
      </c>
      <c r="H2702" s="14">
        <v>74.84</v>
      </c>
      <c r="I2702" s="15">
        <v>0.73</v>
      </c>
    </row>
    <row r="2703" spans="1:9" x14ac:dyDescent="0.25">
      <c r="A2703" s="12">
        <v>60</v>
      </c>
      <c r="B2703" s="13">
        <v>45169</v>
      </c>
      <c r="C2703" s="14">
        <v>19.899999999999999</v>
      </c>
      <c r="D2703" s="14">
        <v>79</v>
      </c>
      <c r="E2703" s="14">
        <v>439</v>
      </c>
      <c r="F2703" s="14">
        <v>6.1</v>
      </c>
      <c r="G2703" s="14">
        <v>29</v>
      </c>
      <c r="H2703" s="14">
        <v>67.819999999999993</v>
      </c>
      <c r="I2703" s="15">
        <v>0.79</v>
      </c>
    </row>
    <row r="2704" spans="1:9" x14ac:dyDescent="0.25">
      <c r="A2704" s="12">
        <v>60</v>
      </c>
      <c r="B2704" s="13">
        <v>45170</v>
      </c>
      <c r="C2704" s="14">
        <v>20.5</v>
      </c>
      <c r="D2704" s="14">
        <v>57</v>
      </c>
      <c r="E2704" s="14">
        <v>424</v>
      </c>
      <c r="F2704" s="14">
        <v>6.7</v>
      </c>
      <c r="G2704" s="14">
        <v>30</v>
      </c>
      <c r="H2704" s="14">
        <v>68.900000000000006</v>
      </c>
      <c r="I2704" s="15">
        <v>0.56999999999999995</v>
      </c>
    </row>
    <row r="2705" spans="1:9" x14ac:dyDescent="0.25">
      <c r="A2705" s="12">
        <v>60</v>
      </c>
      <c r="B2705" s="13">
        <v>45171</v>
      </c>
      <c r="C2705" s="14">
        <v>23.1</v>
      </c>
      <c r="D2705" s="14">
        <v>57</v>
      </c>
      <c r="E2705" s="14">
        <v>734</v>
      </c>
      <c r="F2705" s="14">
        <v>6.4</v>
      </c>
      <c r="G2705" s="14">
        <v>31</v>
      </c>
      <c r="H2705" s="14">
        <v>73.58</v>
      </c>
      <c r="I2705" s="15">
        <v>0.56999999999999995</v>
      </c>
    </row>
    <row r="2706" spans="1:9" x14ac:dyDescent="0.25">
      <c r="A2706" s="12">
        <v>60</v>
      </c>
      <c r="B2706" s="13">
        <v>45172</v>
      </c>
      <c r="C2706" s="14">
        <v>21.8</v>
      </c>
      <c r="D2706" s="14">
        <v>55</v>
      </c>
      <c r="E2706" s="14">
        <v>754</v>
      </c>
      <c r="F2706" s="14">
        <v>6.2</v>
      </c>
      <c r="G2706" s="14">
        <v>32</v>
      </c>
      <c r="H2706" s="14">
        <v>71.239999999999995</v>
      </c>
      <c r="I2706" s="15">
        <v>0.55000000000000004</v>
      </c>
    </row>
    <row r="2707" spans="1:9" x14ac:dyDescent="0.25">
      <c r="A2707" s="12">
        <v>60</v>
      </c>
      <c r="B2707" s="13">
        <v>45173</v>
      </c>
      <c r="C2707" s="14">
        <v>19.8</v>
      </c>
      <c r="D2707" s="14">
        <v>77</v>
      </c>
      <c r="E2707" s="14">
        <v>735</v>
      </c>
      <c r="F2707" s="14">
        <v>6.1</v>
      </c>
      <c r="G2707" s="14">
        <v>33</v>
      </c>
      <c r="H2707" s="14">
        <v>67.64</v>
      </c>
      <c r="I2707" s="15">
        <v>0.77</v>
      </c>
    </row>
    <row r="2708" spans="1:9" x14ac:dyDescent="0.25">
      <c r="A2708" s="12">
        <v>60</v>
      </c>
      <c r="B2708" s="13">
        <v>45174</v>
      </c>
      <c r="C2708" s="14">
        <v>24.5</v>
      </c>
      <c r="D2708" s="14">
        <v>54</v>
      </c>
      <c r="E2708" s="14">
        <v>587</v>
      </c>
      <c r="F2708" s="14">
        <v>6.4</v>
      </c>
      <c r="G2708" s="14">
        <v>34</v>
      </c>
      <c r="H2708" s="14">
        <v>76.099999999999994</v>
      </c>
      <c r="I2708" s="15">
        <v>0.54</v>
      </c>
    </row>
    <row r="2709" spans="1:9" x14ac:dyDescent="0.25">
      <c r="A2709" s="12">
        <v>60</v>
      </c>
      <c r="B2709" s="13">
        <v>45175</v>
      </c>
      <c r="C2709" s="14">
        <v>20.6</v>
      </c>
      <c r="D2709" s="14">
        <v>70</v>
      </c>
      <c r="E2709" s="14">
        <v>439</v>
      </c>
      <c r="F2709" s="14">
        <v>6.4</v>
      </c>
      <c r="G2709" s="14">
        <v>35</v>
      </c>
      <c r="H2709" s="14">
        <v>69.08</v>
      </c>
      <c r="I2709" s="15">
        <v>0.7</v>
      </c>
    </row>
    <row r="2710" spans="1:9" x14ac:dyDescent="0.25">
      <c r="A2710" s="12">
        <v>60</v>
      </c>
      <c r="B2710" s="13">
        <v>45176</v>
      </c>
      <c r="C2710" s="14">
        <v>20.9</v>
      </c>
      <c r="D2710" s="14">
        <v>77</v>
      </c>
      <c r="E2710" s="14">
        <v>568</v>
      </c>
      <c r="F2710" s="14">
        <v>6.7</v>
      </c>
      <c r="G2710" s="14">
        <v>36</v>
      </c>
      <c r="H2710" s="14">
        <v>69.62</v>
      </c>
      <c r="I2710" s="15">
        <v>0.77</v>
      </c>
    </row>
    <row r="2711" spans="1:9" x14ac:dyDescent="0.25">
      <c r="A2711" s="12">
        <v>60</v>
      </c>
      <c r="B2711" s="13">
        <v>45177</v>
      </c>
      <c r="C2711" s="14">
        <v>21.6</v>
      </c>
      <c r="D2711" s="14">
        <v>76</v>
      </c>
      <c r="E2711" s="14">
        <v>536</v>
      </c>
      <c r="F2711" s="14">
        <v>6.6</v>
      </c>
      <c r="G2711" s="14">
        <v>37</v>
      </c>
      <c r="H2711" s="14">
        <v>70.88</v>
      </c>
      <c r="I2711" s="15">
        <v>0.76</v>
      </c>
    </row>
    <row r="2712" spans="1:9" x14ac:dyDescent="0.25">
      <c r="A2712" s="12">
        <v>60</v>
      </c>
      <c r="B2712" s="13">
        <v>45178</v>
      </c>
      <c r="C2712" s="14">
        <v>18</v>
      </c>
      <c r="D2712" s="14">
        <v>78</v>
      </c>
      <c r="E2712" s="14">
        <v>600</v>
      </c>
      <c r="F2712" s="14">
        <v>6.4</v>
      </c>
      <c r="G2712" s="14">
        <v>38</v>
      </c>
      <c r="H2712" s="14">
        <v>64.400000000000006</v>
      </c>
      <c r="I2712" s="15">
        <v>0.78</v>
      </c>
    </row>
    <row r="2713" spans="1:9" x14ac:dyDescent="0.25">
      <c r="A2713" s="12">
        <v>60</v>
      </c>
      <c r="B2713" s="13">
        <v>45179</v>
      </c>
      <c r="C2713" s="14">
        <v>20.5</v>
      </c>
      <c r="D2713" s="14">
        <v>62</v>
      </c>
      <c r="E2713" s="14">
        <v>660</v>
      </c>
      <c r="F2713" s="14">
        <v>6.6</v>
      </c>
      <c r="G2713" s="14">
        <v>39</v>
      </c>
      <c r="H2713" s="14">
        <v>68.900000000000006</v>
      </c>
      <c r="I2713" s="15">
        <v>0.62</v>
      </c>
    </row>
    <row r="2714" spans="1:9" x14ac:dyDescent="0.25">
      <c r="A2714" s="12">
        <v>60</v>
      </c>
      <c r="B2714" s="13">
        <v>45180</v>
      </c>
      <c r="C2714" s="14">
        <v>18.8</v>
      </c>
      <c r="D2714" s="14">
        <v>67</v>
      </c>
      <c r="E2714" s="14">
        <v>674</v>
      </c>
      <c r="F2714" s="14">
        <v>6.3</v>
      </c>
      <c r="G2714" s="14">
        <v>40</v>
      </c>
      <c r="H2714" s="14">
        <v>65.84</v>
      </c>
      <c r="I2714" s="15">
        <v>0.67</v>
      </c>
    </row>
    <row r="2715" spans="1:9" x14ac:dyDescent="0.25">
      <c r="A2715" s="12">
        <v>60</v>
      </c>
      <c r="B2715" s="13">
        <v>45181</v>
      </c>
      <c r="C2715" s="14">
        <v>23.6</v>
      </c>
      <c r="D2715" s="14">
        <v>55</v>
      </c>
      <c r="E2715" s="14">
        <v>459</v>
      </c>
      <c r="F2715" s="14">
        <v>6.7</v>
      </c>
      <c r="G2715" s="14">
        <v>41</v>
      </c>
      <c r="H2715" s="14">
        <v>74.48</v>
      </c>
      <c r="I2715" s="15">
        <v>0.55000000000000004</v>
      </c>
    </row>
    <row r="2716" spans="1:9" x14ac:dyDescent="0.25">
      <c r="A2716" s="12">
        <v>60</v>
      </c>
      <c r="B2716" s="13">
        <v>45182</v>
      </c>
      <c r="C2716" s="14">
        <v>25</v>
      </c>
      <c r="D2716" s="14">
        <v>79</v>
      </c>
      <c r="E2716" s="14">
        <v>693</v>
      </c>
      <c r="F2716" s="14">
        <v>6.2</v>
      </c>
      <c r="G2716" s="14">
        <v>42</v>
      </c>
      <c r="H2716" s="14">
        <v>77</v>
      </c>
      <c r="I2716" s="15">
        <v>0.79</v>
      </c>
    </row>
    <row r="2717" spans="1:9" x14ac:dyDescent="0.25">
      <c r="A2717" s="12">
        <v>60</v>
      </c>
      <c r="B2717" s="13">
        <v>45183</v>
      </c>
      <c r="C2717" s="14">
        <v>20.8</v>
      </c>
      <c r="D2717" s="14">
        <v>67</v>
      </c>
      <c r="E2717" s="14">
        <v>595</v>
      </c>
      <c r="F2717" s="14">
        <v>6</v>
      </c>
      <c r="G2717" s="14">
        <v>43</v>
      </c>
      <c r="H2717" s="14">
        <v>69.44</v>
      </c>
      <c r="I2717" s="15">
        <v>0.67</v>
      </c>
    </row>
    <row r="2718" spans="1:9" x14ac:dyDescent="0.25">
      <c r="A2718" s="12">
        <v>60</v>
      </c>
      <c r="B2718" s="13">
        <v>45184</v>
      </c>
      <c r="C2718" s="14">
        <v>22</v>
      </c>
      <c r="D2718" s="14">
        <v>74</v>
      </c>
      <c r="E2718" s="14">
        <v>753</v>
      </c>
      <c r="F2718" s="14">
        <v>6.7</v>
      </c>
      <c r="G2718" s="14">
        <v>44</v>
      </c>
      <c r="H2718" s="14">
        <v>71.599999999999994</v>
      </c>
      <c r="I2718" s="15">
        <v>0.74</v>
      </c>
    </row>
    <row r="2719" spans="1:9" x14ac:dyDescent="0.25">
      <c r="A2719" s="12">
        <v>60</v>
      </c>
      <c r="B2719" s="13">
        <v>45185</v>
      </c>
      <c r="C2719" s="14">
        <v>23.5</v>
      </c>
      <c r="D2719" s="14">
        <v>73</v>
      </c>
      <c r="E2719" s="14">
        <v>507</v>
      </c>
      <c r="F2719" s="14">
        <v>6.2</v>
      </c>
      <c r="G2719" s="14">
        <v>45</v>
      </c>
      <c r="H2719" s="14">
        <v>74.3</v>
      </c>
      <c r="I2719" s="15">
        <v>0.73</v>
      </c>
    </row>
    <row r="2720" spans="1:9" x14ac:dyDescent="0.25">
      <c r="A2720" s="12">
        <v>61</v>
      </c>
      <c r="B2720" s="13">
        <v>45141</v>
      </c>
      <c r="C2720" s="14">
        <v>23.1</v>
      </c>
      <c r="D2720" s="14">
        <v>59</v>
      </c>
      <c r="E2720" s="14">
        <v>702</v>
      </c>
      <c r="F2720" s="14">
        <v>6.5</v>
      </c>
      <c r="G2720" s="14">
        <v>1</v>
      </c>
      <c r="H2720" s="14">
        <v>73.58</v>
      </c>
      <c r="I2720" s="15">
        <v>0.59</v>
      </c>
    </row>
    <row r="2721" spans="1:9" x14ac:dyDescent="0.25">
      <c r="A2721" s="12">
        <v>61</v>
      </c>
      <c r="B2721" s="13">
        <v>45142</v>
      </c>
      <c r="C2721" s="14">
        <v>18.3</v>
      </c>
      <c r="D2721" s="14">
        <v>52</v>
      </c>
      <c r="E2721" s="14">
        <v>486</v>
      </c>
      <c r="F2721" s="14">
        <v>6.3</v>
      </c>
      <c r="G2721" s="14">
        <v>2</v>
      </c>
      <c r="H2721" s="14">
        <v>64.94</v>
      </c>
      <c r="I2721" s="15">
        <v>0.52</v>
      </c>
    </row>
    <row r="2722" spans="1:9" x14ac:dyDescent="0.25">
      <c r="A2722" s="12">
        <v>61</v>
      </c>
      <c r="B2722" s="13">
        <v>45143</v>
      </c>
      <c r="C2722" s="14">
        <v>18.7</v>
      </c>
      <c r="D2722" s="14">
        <v>56</v>
      </c>
      <c r="E2722" s="14">
        <v>556</v>
      </c>
      <c r="F2722" s="14">
        <v>6.2</v>
      </c>
      <c r="G2722" s="14">
        <v>3</v>
      </c>
      <c r="H2722" s="14">
        <v>65.66</v>
      </c>
      <c r="I2722" s="15">
        <v>0.56000000000000005</v>
      </c>
    </row>
    <row r="2723" spans="1:9" x14ac:dyDescent="0.25">
      <c r="A2723" s="12">
        <v>61</v>
      </c>
      <c r="B2723" s="13">
        <v>45144</v>
      </c>
      <c r="C2723" s="14">
        <v>18.2</v>
      </c>
      <c r="D2723" s="14">
        <v>69</v>
      </c>
      <c r="E2723" s="14">
        <v>530</v>
      </c>
      <c r="F2723" s="14">
        <v>6.5</v>
      </c>
      <c r="G2723" s="14">
        <v>4</v>
      </c>
      <c r="H2723" s="14">
        <v>64.760000000000005</v>
      </c>
      <c r="I2723" s="15">
        <v>0.69</v>
      </c>
    </row>
    <row r="2724" spans="1:9" x14ac:dyDescent="0.25">
      <c r="A2724" s="12">
        <v>61</v>
      </c>
      <c r="B2724" s="13">
        <v>45145</v>
      </c>
      <c r="C2724" s="14">
        <v>20.8</v>
      </c>
      <c r="D2724" s="14">
        <v>54</v>
      </c>
      <c r="E2724" s="14">
        <v>527</v>
      </c>
      <c r="F2724" s="14">
        <v>6.5</v>
      </c>
      <c r="G2724" s="14">
        <v>5</v>
      </c>
      <c r="H2724" s="14">
        <v>69.44</v>
      </c>
      <c r="I2724" s="15">
        <v>0.54</v>
      </c>
    </row>
    <row r="2725" spans="1:9" x14ac:dyDescent="0.25">
      <c r="A2725" s="12">
        <v>61</v>
      </c>
      <c r="B2725" s="13">
        <v>45146</v>
      </c>
      <c r="C2725" s="14">
        <v>19.2</v>
      </c>
      <c r="D2725" s="14">
        <v>68</v>
      </c>
      <c r="E2725" s="14">
        <v>701</v>
      </c>
      <c r="F2725" s="14">
        <v>6.4</v>
      </c>
      <c r="G2725" s="14">
        <v>6</v>
      </c>
      <c r="H2725" s="14">
        <v>66.56</v>
      </c>
      <c r="I2725" s="15">
        <v>0.68</v>
      </c>
    </row>
    <row r="2726" spans="1:9" x14ac:dyDescent="0.25">
      <c r="A2726" s="12">
        <v>61</v>
      </c>
      <c r="B2726" s="13">
        <v>45147</v>
      </c>
      <c r="C2726" s="14">
        <v>22.5</v>
      </c>
      <c r="D2726" s="14">
        <v>61</v>
      </c>
      <c r="E2726" s="14">
        <v>556</v>
      </c>
      <c r="F2726" s="14">
        <v>6.4</v>
      </c>
      <c r="G2726" s="14">
        <v>7</v>
      </c>
      <c r="H2726" s="14">
        <v>72.5</v>
      </c>
      <c r="I2726" s="15">
        <v>0.61</v>
      </c>
    </row>
    <row r="2727" spans="1:9" x14ac:dyDescent="0.25">
      <c r="A2727" s="12">
        <v>61</v>
      </c>
      <c r="B2727" s="13">
        <v>45148</v>
      </c>
      <c r="C2727" s="14">
        <v>18.7</v>
      </c>
      <c r="D2727" s="14">
        <v>78</v>
      </c>
      <c r="E2727" s="14">
        <v>786</v>
      </c>
      <c r="F2727" s="14">
        <v>6.3</v>
      </c>
      <c r="G2727" s="14">
        <v>8</v>
      </c>
      <c r="H2727" s="14">
        <v>65.66</v>
      </c>
      <c r="I2727" s="15">
        <v>0.78</v>
      </c>
    </row>
    <row r="2728" spans="1:9" x14ac:dyDescent="0.25">
      <c r="A2728" s="12">
        <v>61</v>
      </c>
      <c r="B2728" s="13">
        <v>45149</v>
      </c>
      <c r="C2728" s="14">
        <v>22.3</v>
      </c>
      <c r="D2728" s="14">
        <v>78</v>
      </c>
      <c r="E2728" s="14">
        <v>452</v>
      </c>
      <c r="F2728" s="14">
        <v>6.4</v>
      </c>
      <c r="G2728" s="14">
        <v>9</v>
      </c>
      <c r="H2728" s="14">
        <v>72.14</v>
      </c>
      <c r="I2728" s="15">
        <v>0.78</v>
      </c>
    </row>
    <row r="2729" spans="1:9" x14ac:dyDescent="0.25">
      <c r="A2729" s="12">
        <v>61</v>
      </c>
      <c r="B2729" s="13">
        <v>45150</v>
      </c>
      <c r="C2729" s="14">
        <v>22.6</v>
      </c>
      <c r="D2729" s="14">
        <v>58</v>
      </c>
      <c r="E2729" s="14">
        <v>644</v>
      </c>
      <c r="F2729" s="14">
        <v>6.4</v>
      </c>
      <c r="G2729" s="14">
        <v>10</v>
      </c>
      <c r="H2729" s="14">
        <v>72.680000000000007</v>
      </c>
      <c r="I2729" s="15">
        <v>0.57999999999999996</v>
      </c>
    </row>
    <row r="2730" spans="1:9" x14ac:dyDescent="0.25">
      <c r="A2730" s="12">
        <v>61</v>
      </c>
      <c r="B2730" s="13">
        <v>45151</v>
      </c>
      <c r="C2730" s="14">
        <v>18.8</v>
      </c>
      <c r="D2730" s="14">
        <v>67</v>
      </c>
      <c r="E2730" s="14">
        <v>423</v>
      </c>
      <c r="F2730" s="14">
        <v>6.8</v>
      </c>
      <c r="G2730" s="14">
        <v>11</v>
      </c>
      <c r="H2730" s="14">
        <v>65.84</v>
      </c>
      <c r="I2730" s="15">
        <v>0.67</v>
      </c>
    </row>
    <row r="2731" spans="1:9" x14ac:dyDescent="0.25">
      <c r="A2731" s="12">
        <v>61</v>
      </c>
      <c r="B2731" s="13">
        <v>45152</v>
      </c>
      <c r="C2731" s="14">
        <v>19.5</v>
      </c>
      <c r="D2731" s="14">
        <v>64</v>
      </c>
      <c r="E2731" s="14">
        <v>657</v>
      </c>
      <c r="F2731" s="14">
        <v>6.1</v>
      </c>
      <c r="G2731" s="14">
        <v>12</v>
      </c>
      <c r="H2731" s="14">
        <v>67.099999999999994</v>
      </c>
      <c r="I2731" s="15">
        <v>0.64</v>
      </c>
    </row>
    <row r="2732" spans="1:9" x14ac:dyDescent="0.25">
      <c r="A2732" s="12">
        <v>61</v>
      </c>
      <c r="B2732" s="13">
        <v>45153</v>
      </c>
      <c r="C2732" s="14">
        <v>22.2</v>
      </c>
      <c r="D2732" s="14">
        <v>69</v>
      </c>
      <c r="E2732" s="14">
        <v>705</v>
      </c>
      <c r="F2732" s="14">
        <v>6.7</v>
      </c>
      <c r="G2732" s="14">
        <v>13</v>
      </c>
      <c r="H2732" s="14">
        <v>71.959999999999994</v>
      </c>
      <c r="I2732" s="15">
        <v>0.69</v>
      </c>
    </row>
    <row r="2733" spans="1:9" x14ac:dyDescent="0.25">
      <c r="A2733" s="12">
        <v>61</v>
      </c>
      <c r="B2733" s="13">
        <v>45154</v>
      </c>
      <c r="C2733" s="14">
        <v>24.3</v>
      </c>
      <c r="D2733" s="14">
        <v>61</v>
      </c>
      <c r="E2733" s="14">
        <v>670</v>
      </c>
      <c r="F2733" s="14">
        <v>6.1</v>
      </c>
      <c r="G2733" s="14">
        <v>14</v>
      </c>
      <c r="H2733" s="14">
        <v>75.739999999999995</v>
      </c>
      <c r="I2733" s="15">
        <v>0.61</v>
      </c>
    </row>
    <row r="2734" spans="1:9" x14ac:dyDescent="0.25">
      <c r="A2734" s="12">
        <v>61</v>
      </c>
      <c r="B2734" s="13">
        <v>45155</v>
      </c>
      <c r="C2734" s="14">
        <v>18.399999999999999</v>
      </c>
      <c r="D2734" s="14">
        <v>80</v>
      </c>
      <c r="E2734" s="14">
        <v>494</v>
      </c>
      <c r="F2734" s="14">
        <v>6.5</v>
      </c>
      <c r="G2734" s="14">
        <v>15</v>
      </c>
      <c r="H2734" s="14">
        <v>65.12</v>
      </c>
      <c r="I2734" s="15">
        <v>0.8</v>
      </c>
    </row>
    <row r="2735" spans="1:9" x14ac:dyDescent="0.25">
      <c r="A2735" s="12">
        <v>61</v>
      </c>
      <c r="B2735" s="13">
        <v>45156</v>
      </c>
      <c r="C2735" s="14">
        <v>23.4</v>
      </c>
      <c r="D2735" s="14">
        <v>77</v>
      </c>
      <c r="E2735" s="14">
        <v>620</v>
      </c>
      <c r="F2735" s="14">
        <v>6.8</v>
      </c>
      <c r="G2735" s="14">
        <v>16</v>
      </c>
      <c r="H2735" s="14">
        <v>74.12</v>
      </c>
      <c r="I2735" s="15">
        <v>0.77</v>
      </c>
    </row>
    <row r="2736" spans="1:9" x14ac:dyDescent="0.25">
      <c r="A2736" s="12">
        <v>61</v>
      </c>
      <c r="B2736" s="13">
        <v>45157</v>
      </c>
      <c r="C2736" s="14">
        <v>22.7</v>
      </c>
      <c r="D2736" s="14">
        <v>70</v>
      </c>
      <c r="E2736" s="14">
        <v>485</v>
      </c>
      <c r="F2736" s="14">
        <v>6</v>
      </c>
      <c r="G2736" s="14">
        <v>17</v>
      </c>
      <c r="H2736" s="14">
        <v>72.86</v>
      </c>
      <c r="I2736" s="15">
        <v>0.7</v>
      </c>
    </row>
    <row r="2737" spans="1:9" x14ac:dyDescent="0.25">
      <c r="A2737" s="12">
        <v>61</v>
      </c>
      <c r="B2737" s="13">
        <v>45158</v>
      </c>
      <c r="C2737" s="14">
        <v>24.4</v>
      </c>
      <c r="D2737" s="14">
        <v>51</v>
      </c>
      <c r="E2737" s="14">
        <v>679</v>
      </c>
      <c r="F2737" s="14">
        <v>6.6</v>
      </c>
      <c r="G2737" s="14">
        <v>18</v>
      </c>
      <c r="H2737" s="14">
        <v>75.92</v>
      </c>
      <c r="I2737" s="15">
        <v>0.51</v>
      </c>
    </row>
    <row r="2738" spans="1:9" x14ac:dyDescent="0.25">
      <c r="A2738" s="12">
        <v>61</v>
      </c>
      <c r="B2738" s="13">
        <v>45159</v>
      </c>
      <c r="C2738" s="14">
        <v>23</v>
      </c>
      <c r="D2738" s="14">
        <v>71</v>
      </c>
      <c r="E2738" s="14">
        <v>537</v>
      </c>
      <c r="F2738" s="14">
        <v>6.2</v>
      </c>
      <c r="G2738" s="14">
        <v>19</v>
      </c>
      <c r="H2738" s="14">
        <v>73.400000000000006</v>
      </c>
      <c r="I2738" s="15">
        <v>0.71</v>
      </c>
    </row>
    <row r="2739" spans="1:9" x14ac:dyDescent="0.25">
      <c r="A2739" s="12">
        <v>61</v>
      </c>
      <c r="B2739" s="13">
        <v>45160</v>
      </c>
      <c r="C2739" s="14">
        <v>20.9</v>
      </c>
      <c r="D2739" s="14">
        <v>59</v>
      </c>
      <c r="E2739" s="14">
        <v>724</v>
      </c>
      <c r="F2739" s="14">
        <v>6.4</v>
      </c>
      <c r="G2739" s="14">
        <v>20</v>
      </c>
      <c r="H2739" s="14">
        <v>69.62</v>
      </c>
      <c r="I2739" s="15">
        <v>0.59</v>
      </c>
    </row>
    <row r="2740" spans="1:9" x14ac:dyDescent="0.25">
      <c r="A2740" s="12">
        <v>61</v>
      </c>
      <c r="B2740" s="13">
        <v>45161</v>
      </c>
      <c r="C2740" s="14">
        <v>23</v>
      </c>
      <c r="D2740" s="14">
        <v>66</v>
      </c>
      <c r="E2740" s="14">
        <v>541</v>
      </c>
      <c r="F2740" s="14">
        <v>6.3</v>
      </c>
      <c r="G2740" s="14">
        <v>21</v>
      </c>
      <c r="H2740" s="14">
        <v>73.400000000000006</v>
      </c>
      <c r="I2740" s="15">
        <v>0.66</v>
      </c>
    </row>
    <row r="2741" spans="1:9" x14ac:dyDescent="0.25">
      <c r="A2741" s="12">
        <v>61</v>
      </c>
      <c r="B2741" s="13">
        <v>45162</v>
      </c>
      <c r="C2741" s="14">
        <v>18.899999999999999</v>
      </c>
      <c r="D2741" s="14">
        <v>55</v>
      </c>
      <c r="E2741" s="14">
        <v>728</v>
      </c>
      <c r="F2741" s="14">
        <v>6.3</v>
      </c>
      <c r="G2741" s="14">
        <v>22</v>
      </c>
      <c r="H2741" s="14">
        <v>66.02</v>
      </c>
      <c r="I2741" s="15">
        <v>0.55000000000000004</v>
      </c>
    </row>
    <row r="2742" spans="1:9" x14ac:dyDescent="0.25">
      <c r="A2742" s="12">
        <v>61</v>
      </c>
      <c r="B2742" s="13">
        <v>45163</v>
      </c>
      <c r="C2742" s="14">
        <v>22</v>
      </c>
      <c r="D2742" s="14">
        <v>57</v>
      </c>
      <c r="E2742" s="14">
        <v>702</v>
      </c>
      <c r="F2742" s="14">
        <v>6.7</v>
      </c>
      <c r="G2742" s="14">
        <v>23</v>
      </c>
      <c r="H2742" s="14">
        <v>71.599999999999994</v>
      </c>
      <c r="I2742" s="15">
        <v>0.56999999999999995</v>
      </c>
    </row>
    <row r="2743" spans="1:9" x14ac:dyDescent="0.25">
      <c r="A2743" s="12">
        <v>61</v>
      </c>
      <c r="B2743" s="13">
        <v>45164</v>
      </c>
      <c r="C2743" s="14">
        <v>23.4</v>
      </c>
      <c r="D2743" s="14">
        <v>54</v>
      </c>
      <c r="E2743" s="14">
        <v>522</v>
      </c>
      <c r="F2743" s="14">
        <v>6.6</v>
      </c>
      <c r="G2743" s="14">
        <v>24</v>
      </c>
      <c r="H2743" s="14">
        <v>74.12</v>
      </c>
      <c r="I2743" s="15">
        <v>0.54</v>
      </c>
    </row>
    <row r="2744" spans="1:9" x14ac:dyDescent="0.25">
      <c r="A2744" s="12">
        <v>61</v>
      </c>
      <c r="B2744" s="13">
        <v>45165</v>
      </c>
      <c r="C2744" s="14">
        <v>18.399999999999999</v>
      </c>
      <c r="D2744" s="14">
        <v>58</v>
      </c>
      <c r="E2744" s="14">
        <v>557</v>
      </c>
      <c r="F2744" s="14">
        <v>6.4</v>
      </c>
      <c r="G2744" s="14">
        <v>25</v>
      </c>
      <c r="H2744" s="14">
        <v>65.12</v>
      </c>
      <c r="I2744" s="15">
        <v>0.57999999999999996</v>
      </c>
    </row>
    <row r="2745" spans="1:9" x14ac:dyDescent="0.25">
      <c r="A2745" s="12">
        <v>61</v>
      </c>
      <c r="B2745" s="13">
        <v>45166</v>
      </c>
      <c r="C2745" s="14">
        <v>19.8</v>
      </c>
      <c r="D2745" s="14">
        <v>51</v>
      </c>
      <c r="E2745" s="14">
        <v>653</v>
      </c>
      <c r="F2745" s="14">
        <v>6.6</v>
      </c>
      <c r="G2745" s="14">
        <v>26</v>
      </c>
      <c r="H2745" s="14">
        <v>67.64</v>
      </c>
      <c r="I2745" s="15">
        <v>0.51</v>
      </c>
    </row>
    <row r="2746" spans="1:9" x14ac:dyDescent="0.25">
      <c r="A2746" s="12">
        <v>61</v>
      </c>
      <c r="B2746" s="13">
        <v>45167</v>
      </c>
      <c r="C2746" s="14">
        <v>18.8</v>
      </c>
      <c r="D2746" s="14">
        <v>65</v>
      </c>
      <c r="E2746" s="14">
        <v>770</v>
      </c>
      <c r="F2746" s="14">
        <v>6.6</v>
      </c>
      <c r="G2746" s="14">
        <v>27</v>
      </c>
      <c r="H2746" s="14">
        <v>65.84</v>
      </c>
      <c r="I2746" s="15">
        <v>0.65</v>
      </c>
    </row>
    <row r="2747" spans="1:9" x14ac:dyDescent="0.25">
      <c r="A2747" s="12">
        <v>61</v>
      </c>
      <c r="B2747" s="13">
        <v>45168</v>
      </c>
      <c r="C2747" s="14">
        <v>23.1</v>
      </c>
      <c r="D2747" s="14">
        <v>77</v>
      </c>
      <c r="E2747" s="14">
        <v>450</v>
      </c>
      <c r="F2747" s="14">
        <v>6.4</v>
      </c>
      <c r="G2747" s="14">
        <v>28</v>
      </c>
      <c r="H2747" s="14">
        <v>73.58</v>
      </c>
      <c r="I2747" s="15">
        <v>0.77</v>
      </c>
    </row>
    <row r="2748" spans="1:9" x14ac:dyDescent="0.25">
      <c r="A2748" s="12">
        <v>61</v>
      </c>
      <c r="B2748" s="13">
        <v>45169</v>
      </c>
      <c r="C2748" s="14">
        <v>22.4</v>
      </c>
      <c r="D2748" s="14">
        <v>80</v>
      </c>
      <c r="E2748" s="14">
        <v>773</v>
      </c>
      <c r="F2748" s="14">
        <v>6.6</v>
      </c>
      <c r="G2748" s="14">
        <v>29</v>
      </c>
      <c r="H2748" s="14">
        <v>72.319999999999993</v>
      </c>
      <c r="I2748" s="15">
        <v>0.8</v>
      </c>
    </row>
    <row r="2749" spans="1:9" x14ac:dyDescent="0.25">
      <c r="A2749" s="12">
        <v>61</v>
      </c>
      <c r="B2749" s="13">
        <v>45170</v>
      </c>
      <c r="C2749" s="14">
        <v>24.7</v>
      </c>
      <c r="D2749" s="14">
        <v>52</v>
      </c>
      <c r="E2749" s="14">
        <v>737</v>
      </c>
      <c r="F2749" s="14">
        <v>6.7</v>
      </c>
      <c r="G2749" s="14">
        <v>30</v>
      </c>
      <c r="H2749" s="14">
        <v>76.459999999999994</v>
      </c>
      <c r="I2749" s="15">
        <v>0.52</v>
      </c>
    </row>
    <row r="2750" spans="1:9" x14ac:dyDescent="0.25">
      <c r="A2750" s="12">
        <v>61</v>
      </c>
      <c r="B2750" s="13">
        <v>45171</v>
      </c>
      <c r="C2750" s="14">
        <v>24.8</v>
      </c>
      <c r="D2750" s="14">
        <v>53</v>
      </c>
      <c r="E2750" s="14">
        <v>701</v>
      </c>
      <c r="F2750" s="14">
        <v>6.1</v>
      </c>
      <c r="G2750" s="14">
        <v>31</v>
      </c>
      <c r="H2750" s="14">
        <v>76.64</v>
      </c>
      <c r="I2750" s="15">
        <v>0.53</v>
      </c>
    </row>
    <row r="2751" spans="1:9" x14ac:dyDescent="0.25">
      <c r="A2751" s="12">
        <v>61</v>
      </c>
      <c r="B2751" s="13">
        <v>45172</v>
      </c>
      <c r="C2751" s="14">
        <v>21</v>
      </c>
      <c r="D2751" s="14">
        <v>53</v>
      </c>
      <c r="E2751" s="14">
        <v>511</v>
      </c>
      <c r="F2751" s="14">
        <v>6.6</v>
      </c>
      <c r="G2751" s="14">
        <v>32</v>
      </c>
      <c r="H2751" s="14">
        <v>69.8</v>
      </c>
      <c r="I2751" s="15">
        <v>0.53</v>
      </c>
    </row>
    <row r="2752" spans="1:9" x14ac:dyDescent="0.25">
      <c r="A2752" s="12">
        <v>61</v>
      </c>
      <c r="B2752" s="13">
        <v>45173</v>
      </c>
      <c r="C2752" s="14">
        <v>19.3</v>
      </c>
      <c r="D2752" s="14">
        <v>60</v>
      </c>
      <c r="E2752" s="14">
        <v>496</v>
      </c>
      <c r="F2752" s="14">
        <v>6.4</v>
      </c>
      <c r="G2752" s="14">
        <v>33</v>
      </c>
      <c r="H2752" s="14">
        <v>66.739999999999995</v>
      </c>
      <c r="I2752" s="15">
        <v>0.6</v>
      </c>
    </row>
    <row r="2753" spans="1:9" x14ac:dyDescent="0.25">
      <c r="A2753" s="12">
        <v>61</v>
      </c>
      <c r="B2753" s="13">
        <v>45174</v>
      </c>
      <c r="C2753" s="14">
        <v>21.2</v>
      </c>
      <c r="D2753" s="14">
        <v>70</v>
      </c>
      <c r="E2753" s="14">
        <v>658</v>
      </c>
      <c r="F2753" s="14">
        <v>6.1</v>
      </c>
      <c r="G2753" s="14">
        <v>34</v>
      </c>
      <c r="H2753" s="14">
        <v>70.16</v>
      </c>
      <c r="I2753" s="15">
        <v>0.7</v>
      </c>
    </row>
    <row r="2754" spans="1:9" x14ac:dyDescent="0.25">
      <c r="A2754" s="12">
        <v>61</v>
      </c>
      <c r="B2754" s="13">
        <v>45175</v>
      </c>
      <c r="C2754" s="14">
        <v>21.3</v>
      </c>
      <c r="D2754" s="14">
        <v>75</v>
      </c>
      <c r="E2754" s="14">
        <v>525</v>
      </c>
      <c r="F2754" s="14">
        <v>6.7</v>
      </c>
      <c r="G2754" s="14">
        <v>35</v>
      </c>
      <c r="H2754" s="14">
        <v>70.34</v>
      </c>
      <c r="I2754" s="15">
        <v>0.75</v>
      </c>
    </row>
    <row r="2755" spans="1:9" x14ac:dyDescent="0.25">
      <c r="A2755" s="12">
        <v>61</v>
      </c>
      <c r="B2755" s="13">
        <v>45176</v>
      </c>
      <c r="C2755" s="14">
        <v>19</v>
      </c>
      <c r="D2755" s="14">
        <v>65</v>
      </c>
      <c r="E2755" s="14">
        <v>502</v>
      </c>
      <c r="F2755" s="14">
        <v>6.2</v>
      </c>
      <c r="G2755" s="14">
        <v>36</v>
      </c>
      <c r="H2755" s="14">
        <v>66.2</v>
      </c>
      <c r="I2755" s="15">
        <v>0.65</v>
      </c>
    </row>
    <row r="2756" spans="1:9" x14ac:dyDescent="0.25">
      <c r="A2756" s="12">
        <v>61</v>
      </c>
      <c r="B2756" s="13">
        <v>45177</v>
      </c>
      <c r="C2756" s="14">
        <v>18.399999999999999</v>
      </c>
      <c r="D2756" s="14">
        <v>73</v>
      </c>
      <c r="E2756" s="14">
        <v>645</v>
      </c>
      <c r="F2756" s="14">
        <v>6.2</v>
      </c>
      <c r="G2756" s="14">
        <v>37</v>
      </c>
      <c r="H2756" s="14">
        <v>65.12</v>
      </c>
      <c r="I2756" s="15">
        <v>0.73</v>
      </c>
    </row>
    <row r="2757" spans="1:9" x14ac:dyDescent="0.25">
      <c r="A2757" s="12">
        <v>61</v>
      </c>
      <c r="B2757" s="13">
        <v>45178</v>
      </c>
      <c r="C2757" s="14">
        <v>18.2</v>
      </c>
      <c r="D2757" s="14">
        <v>66</v>
      </c>
      <c r="E2757" s="14">
        <v>486</v>
      </c>
      <c r="F2757" s="14">
        <v>6.7</v>
      </c>
      <c r="G2757" s="14">
        <v>38</v>
      </c>
      <c r="H2757" s="14">
        <v>64.760000000000005</v>
      </c>
      <c r="I2757" s="15">
        <v>0.66</v>
      </c>
    </row>
    <row r="2758" spans="1:9" x14ac:dyDescent="0.25">
      <c r="A2758" s="12">
        <v>61</v>
      </c>
      <c r="B2758" s="13">
        <v>45179</v>
      </c>
      <c r="C2758" s="14">
        <v>19.7</v>
      </c>
      <c r="D2758" s="14">
        <v>68</v>
      </c>
      <c r="E2758" s="14">
        <v>437</v>
      </c>
      <c r="F2758" s="14">
        <v>6.5</v>
      </c>
      <c r="G2758" s="14">
        <v>39</v>
      </c>
      <c r="H2758" s="14">
        <v>67.459999999999994</v>
      </c>
      <c r="I2758" s="15">
        <v>0.68</v>
      </c>
    </row>
    <row r="2759" spans="1:9" x14ac:dyDescent="0.25">
      <c r="A2759" s="12">
        <v>61</v>
      </c>
      <c r="B2759" s="13">
        <v>45180</v>
      </c>
      <c r="C2759" s="14">
        <v>18.7</v>
      </c>
      <c r="D2759" s="14">
        <v>62</v>
      </c>
      <c r="E2759" s="14">
        <v>677</v>
      </c>
      <c r="F2759" s="14">
        <v>6.1</v>
      </c>
      <c r="G2759" s="14">
        <v>40</v>
      </c>
      <c r="H2759" s="14">
        <v>65.66</v>
      </c>
      <c r="I2759" s="15">
        <v>0.62</v>
      </c>
    </row>
    <row r="2760" spans="1:9" x14ac:dyDescent="0.25">
      <c r="A2760" s="12">
        <v>61</v>
      </c>
      <c r="B2760" s="13">
        <v>45181</v>
      </c>
      <c r="C2760" s="14">
        <v>20.9</v>
      </c>
      <c r="D2760" s="14">
        <v>65</v>
      </c>
      <c r="E2760" s="14">
        <v>661</v>
      </c>
      <c r="F2760" s="14">
        <v>6</v>
      </c>
      <c r="G2760" s="14">
        <v>41</v>
      </c>
      <c r="H2760" s="14">
        <v>69.62</v>
      </c>
      <c r="I2760" s="15">
        <v>0.65</v>
      </c>
    </row>
    <row r="2761" spans="1:9" x14ac:dyDescent="0.25">
      <c r="A2761" s="12">
        <v>61</v>
      </c>
      <c r="B2761" s="13">
        <v>45182</v>
      </c>
      <c r="C2761" s="14">
        <v>21.9</v>
      </c>
      <c r="D2761" s="14">
        <v>64</v>
      </c>
      <c r="E2761" s="14">
        <v>719</v>
      </c>
      <c r="F2761" s="14">
        <v>6.1</v>
      </c>
      <c r="G2761" s="14">
        <v>42</v>
      </c>
      <c r="H2761" s="14">
        <v>71.42</v>
      </c>
      <c r="I2761" s="15">
        <v>0.64</v>
      </c>
    </row>
    <row r="2762" spans="1:9" x14ac:dyDescent="0.25">
      <c r="A2762" s="12">
        <v>61</v>
      </c>
      <c r="B2762" s="13">
        <v>45183</v>
      </c>
      <c r="C2762" s="14">
        <v>18.100000000000001</v>
      </c>
      <c r="D2762" s="14">
        <v>58</v>
      </c>
      <c r="E2762" s="14">
        <v>795</v>
      </c>
      <c r="F2762" s="14">
        <v>6.2</v>
      </c>
      <c r="G2762" s="14">
        <v>43</v>
      </c>
      <c r="H2762" s="14">
        <v>64.58</v>
      </c>
      <c r="I2762" s="15">
        <v>0.57999999999999996</v>
      </c>
    </row>
    <row r="2763" spans="1:9" x14ac:dyDescent="0.25">
      <c r="A2763" s="12">
        <v>61</v>
      </c>
      <c r="B2763" s="13">
        <v>45184</v>
      </c>
      <c r="C2763" s="14">
        <v>24</v>
      </c>
      <c r="D2763" s="14">
        <v>52</v>
      </c>
      <c r="E2763" s="14">
        <v>605</v>
      </c>
      <c r="F2763" s="14">
        <v>6.7</v>
      </c>
      <c r="G2763" s="14">
        <v>44</v>
      </c>
      <c r="H2763" s="14">
        <v>75.2</v>
      </c>
      <c r="I2763" s="15">
        <v>0.52</v>
      </c>
    </row>
    <row r="2764" spans="1:9" x14ac:dyDescent="0.25">
      <c r="A2764" s="12">
        <v>61</v>
      </c>
      <c r="B2764" s="13">
        <v>45185</v>
      </c>
      <c r="C2764" s="14">
        <v>23.6</v>
      </c>
      <c r="D2764" s="14">
        <v>73</v>
      </c>
      <c r="E2764" s="14">
        <v>638</v>
      </c>
      <c r="F2764" s="14">
        <v>6</v>
      </c>
      <c r="G2764" s="14">
        <v>45</v>
      </c>
      <c r="H2764" s="14">
        <v>74.48</v>
      </c>
      <c r="I2764" s="15">
        <v>0.73</v>
      </c>
    </row>
    <row r="2765" spans="1:9" x14ac:dyDescent="0.25">
      <c r="A2765" s="12">
        <v>62</v>
      </c>
      <c r="B2765" s="13">
        <v>45141</v>
      </c>
      <c r="C2765" s="14">
        <v>19.3</v>
      </c>
      <c r="D2765" s="14">
        <v>61</v>
      </c>
      <c r="E2765" s="14">
        <v>483</v>
      </c>
      <c r="F2765" s="14">
        <v>6.7</v>
      </c>
      <c r="G2765" s="14">
        <v>1</v>
      </c>
      <c r="H2765" s="14">
        <v>66.739999999999995</v>
      </c>
      <c r="I2765" s="15">
        <v>0.61</v>
      </c>
    </row>
    <row r="2766" spans="1:9" x14ac:dyDescent="0.25">
      <c r="A2766" s="12">
        <v>62</v>
      </c>
      <c r="B2766" s="13">
        <v>45142</v>
      </c>
      <c r="C2766" s="14">
        <v>23.2</v>
      </c>
      <c r="D2766" s="14">
        <v>75</v>
      </c>
      <c r="E2766" s="14">
        <v>653</v>
      </c>
      <c r="F2766" s="14">
        <v>6.2</v>
      </c>
      <c r="G2766" s="14">
        <v>2</v>
      </c>
      <c r="H2766" s="14">
        <v>73.760000000000005</v>
      </c>
      <c r="I2766" s="15">
        <v>0.75</v>
      </c>
    </row>
    <row r="2767" spans="1:9" x14ac:dyDescent="0.25">
      <c r="A2767" s="12">
        <v>62</v>
      </c>
      <c r="B2767" s="13">
        <v>45143</v>
      </c>
      <c r="C2767" s="14">
        <v>20.5</v>
      </c>
      <c r="D2767" s="14">
        <v>78</v>
      </c>
      <c r="E2767" s="14">
        <v>555</v>
      </c>
      <c r="F2767" s="14">
        <v>6</v>
      </c>
      <c r="G2767" s="14">
        <v>3</v>
      </c>
      <c r="H2767" s="14">
        <v>68.900000000000006</v>
      </c>
      <c r="I2767" s="15">
        <v>0.78</v>
      </c>
    </row>
    <row r="2768" spans="1:9" x14ac:dyDescent="0.25">
      <c r="A2768" s="12">
        <v>62</v>
      </c>
      <c r="B2768" s="13">
        <v>45144</v>
      </c>
      <c r="C2768" s="14">
        <v>18.5</v>
      </c>
      <c r="D2768" s="14">
        <v>67</v>
      </c>
      <c r="E2768" s="14">
        <v>666</v>
      </c>
      <c r="F2768" s="14">
        <v>6.8</v>
      </c>
      <c r="G2768" s="14">
        <v>4</v>
      </c>
      <c r="H2768" s="14">
        <v>65.3</v>
      </c>
      <c r="I2768" s="15">
        <v>0.67</v>
      </c>
    </row>
    <row r="2769" spans="1:9" x14ac:dyDescent="0.25">
      <c r="A2769" s="12">
        <v>62</v>
      </c>
      <c r="B2769" s="13">
        <v>45145</v>
      </c>
      <c r="C2769" s="14">
        <v>24.1</v>
      </c>
      <c r="D2769" s="14">
        <v>53</v>
      </c>
      <c r="E2769" s="14">
        <v>590</v>
      </c>
      <c r="F2769" s="14">
        <v>6.1</v>
      </c>
      <c r="G2769" s="14">
        <v>5</v>
      </c>
      <c r="H2769" s="14">
        <v>75.38</v>
      </c>
      <c r="I2769" s="15">
        <v>0.53</v>
      </c>
    </row>
    <row r="2770" spans="1:9" x14ac:dyDescent="0.25">
      <c r="A2770" s="12">
        <v>62</v>
      </c>
      <c r="B2770" s="13">
        <v>45146</v>
      </c>
      <c r="C2770" s="14">
        <v>21.6</v>
      </c>
      <c r="D2770" s="14">
        <v>67</v>
      </c>
      <c r="E2770" s="14">
        <v>712</v>
      </c>
      <c r="F2770" s="14">
        <v>6.4</v>
      </c>
      <c r="G2770" s="14">
        <v>6</v>
      </c>
      <c r="H2770" s="14">
        <v>70.88</v>
      </c>
      <c r="I2770" s="15">
        <v>0.67</v>
      </c>
    </row>
    <row r="2771" spans="1:9" x14ac:dyDescent="0.25">
      <c r="A2771" s="12">
        <v>62</v>
      </c>
      <c r="B2771" s="13">
        <v>45147</v>
      </c>
      <c r="C2771" s="14">
        <v>19</v>
      </c>
      <c r="D2771" s="14">
        <v>72</v>
      </c>
      <c r="E2771" s="14">
        <v>751</v>
      </c>
      <c r="F2771" s="14">
        <v>6.2</v>
      </c>
      <c r="G2771" s="14">
        <v>7</v>
      </c>
      <c r="H2771" s="14">
        <v>66.2</v>
      </c>
      <c r="I2771" s="15">
        <v>0.72</v>
      </c>
    </row>
    <row r="2772" spans="1:9" x14ac:dyDescent="0.25">
      <c r="A2772" s="12">
        <v>62</v>
      </c>
      <c r="B2772" s="13">
        <v>45148</v>
      </c>
      <c r="C2772" s="14">
        <v>23.9</v>
      </c>
      <c r="D2772" s="14">
        <v>76</v>
      </c>
      <c r="E2772" s="14">
        <v>734</v>
      </c>
      <c r="F2772" s="14">
        <v>6.2</v>
      </c>
      <c r="G2772" s="14">
        <v>8</v>
      </c>
      <c r="H2772" s="14">
        <v>75.02</v>
      </c>
      <c r="I2772" s="15">
        <v>0.76</v>
      </c>
    </row>
    <row r="2773" spans="1:9" x14ac:dyDescent="0.25">
      <c r="A2773" s="12">
        <v>62</v>
      </c>
      <c r="B2773" s="13">
        <v>45149</v>
      </c>
      <c r="C2773" s="14">
        <v>20.399999999999999</v>
      </c>
      <c r="D2773" s="14">
        <v>62</v>
      </c>
      <c r="E2773" s="14">
        <v>503</v>
      </c>
      <c r="F2773" s="14">
        <v>6.2</v>
      </c>
      <c r="G2773" s="14">
        <v>9</v>
      </c>
      <c r="H2773" s="14">
        <v>68.72</v>
      </c>
      <c r="I2773" s="15">
        <v>0.62</v>
      </c>
    </row>
    <row r="2774" spans="1:9" x14ac:dyDescent="0.25">
      <c r="A2774" s="12">
        <v>62</v>
      </c>
      <c r="B2774" s="13">
        <v>45150</v>
      </c>
      <c r="C2774" s="14">
        <v>22</v>
      </c>
      <c r="D2774" s="14">
        <v>54</v>
      </c>
      <c r="E2774" s="14">
        <v>431</v>
      </c>
      <c r="F2774" s="14">
        <v>6.1</v>
      </c>
      <c r="G2774" s="14">
        <v>10</v>
      </c>
      <c r="H2774" s="14">
        <v>71.599999999999994</v>
      </c>
      <c r="I2774" s="15">
        <v>0.54</v>
      </c>
    </row>
    <row r="2775" spans="1:9" x14ac:dyDescent="0.25">
      <c r="A2775" s="12">
        <v>62</v>
      </c>
      <c r="B2775" s="13">
        <v>45151</v>
      </c>
      <c r="C2775" s="14">
        <v>18.3</v>
      </c>
      <c r="D2775" s="14">
        <v>61</v>
      </c>
      <c r="E2775" s="14">
        <v>739</v>
      </c>
      <c r="F2775" s="14">
        <v>6.7</v>
      </c>
      <c r="G2775" s="14">
        <v>11</v>
      </c>
      <c r="H2775" s="14">
        <v>64.94</v>
      </c>
      <c r="I2775" s="15">
        <v>0.61</v>
      </c>
    </row>
    <row r="2776" spans="1:9" x14ac:dyDescent="0.25">
      <c r="A2776" s="12">
        <v>62</v>
      </c>
      <c r="B2776" s="13">
        <v>45152</v>
      </c>
      <c r="C2776" s="14">
        <v>21.3</v>
      </c>
      <c r="D2776" s="14">
        <v>55</v>
      </c>
      <c r="E2776" s="14">
        <v>512</v>
      </c>
      <c r="F2776" s="14">
        <v>6.7</v>
      </c>
      <c r="G2776" s="14">
        <v>12</v>
      </c>
      <c r="H2776" s="14">
        <v>70.34</v>
      </c>
      <c r="I2776" s="15">
        <v>0.55000000000000004</v>
      </c>
    </row>
    <row r="2777" spans="1:9" x14ac:dyDescent="0.25">
      <c r="A2777" s="12">
        <v>62</v>
      </c>
      <c r="B2777" s="13">
        <v>45153</v>
      </c>
      <c r="C2777" s="14">
        <v>24.9</v>
      </c>
      <c r="D2777" s="14">
        <v>56</v>
      </c>
      <c r="E2777" s="14">
        <v>548</v>
      </c>
      <c r="F2777" s="14">
        <v>6.5</v>
      </c>
      <c r="G2777" s="14">
        <v>13</v>
      </c>
      <c r="H2777" s="14">
        <v>76.819999999999993</v>
      </c>
      <c r="I2777" s="15">
        <v>0.56000000000000005</v>
      </c>
    </row>
    <row r="2778" spans="1:9" x14ac:dyDescent="0.25">
      <c r="A2778" s="12">
        <v>62</v>
      </c>
      <c r="B2778" s="13">
        <v>45154</v>
      </c>
      <c r="C2778" s="14">
        <v>20.3</v>
      </c>
      <c r="D2778" s="14">
        <v>52</v>
      </c>
      <c r="E2778" s="14">
        <v>797</v>
      </c>
      <c r="F2778" s="14">
        <v>6.6</v>
      </c>
      <c r="G2778" s="14">
        <v>14</v>
      </c>
      <c r="H2778" s="14">
        <v>68.540000000000006</v>
      </c>
      <c r="I2778" s="15">
        <v>0.52</v>
      </c>
    </row>
    <row r="2779" spans="1:9" x14ac:dyDescent="0.25">
      <c r="A2779" s="12">
        <v>62</v>
      </c>
      <c r="B2779" s="13">
        <v>45155</v>
      </c>
      <c r="C2779" s="14">
        <v>24</v>
      </c>
      <c r="D2779" s="14">
        <v>51</v>
      </c>
      <c r="E2779" s="14">
        <v>570</v>
      </c>
      <c r="F2779" s="14">
        <v>6.3</v>
      </c>
      <c r="G2779" s="14">
        <v>15</v>
      </c>
      <c r="H2779" s="14">
        <v>75.2</v>
      </c>
      <c r="I2779" s="15">
        <v>0.51</v>
      </c>
    </row>
    <row r="2780" spans="1:9" x14ac:dyDescent="0.25">
      <c r="A2780" s="12">
        <v>62</v>
      </c>
      <c r="B2780" s="13">
        <v>45156</v>
      </c>
      <c r="C2780" s="14">
        <v>20.8</v>
      </c>
      <c r="D2780" s="14">
        <v>56</v>
      </c>
      <c r="E2780" s="14">
        <v>436</v>
      </c>
      <c r="F2780" s="14">
        <v>6.7</v>
      </c>
      <c r="G2780" s="14">
        <v>16</v>
      </c>
      <c r="H2780" s="14">
        <v>69.44</v>
      </c>
      <c r="I2780" s="15">
        <v>0.56000000000000005</v>
      </c>
    </row>
    <row r="2781" spans="1:9" x14ac:dyDescent="0.25">
      <c r="A2781" s="12">
        <v>62</v>
      </c>
      <c r="B2781" s="13">
        <v>45157</v>
      </c>
      <c r="C2781" s="14">
        <v>18.3</v>
      </c>
      <c r="D2781" s="14">
        <v>72</v>
      </c>
      <c r="E2781" s="14">
        <v>494</v>
      </c>
      <c r="F2781" s="14">
        <v>6.4</v>
      </c>
      <c r="G2781" s="14">
        <v>17</v>
      </c>
      <c r="H2781" s="14">
        <v>64.94</v>
      </c>
      <c r="I2781" s="15">
        <v>0.72</v>
      </c>
    </row>
    <row r="2782" spans="1:9" x14ac:dyDescent="0.25">
      <c r="A2782" s="12">
        <v>62</v>
      </c>
      <c r="B2782" s="13">
        <v>45158</v>
      </c>
      <c r="C2782" s="14">
        <v>21.8</v>
      </c>
      <c r="D2782" s="14">
        <v>55</v>
      </c>
      <c r="E2782" s="14">
        <v>470</v>
      </c>
      <c r="F2782" s="14">
        <v>6</v>
      </c>
      <c r="G2782" s="14">
        <v>18</v>
      </c>
      <c r="H2782" s="14">
        <v>71.239999999999995</v>
      </c>
      <c r="I2782" s="15">
        <v>0.55000000000000004</v>
      </c>
    </row>
    <row r="2783" spans="1:9" x14ac:dyDescent="0.25">
      <c r="A2783" s="12">
        <v>62</v>
      </c>
      <c r="B2783" s="13">
        <v>45159</v>
      </c>
      <c r="C2783" s="14">
        <v>23.9</v>
      </c>
      <c r="D2783" s="14">
        <v>55</v>
      </c>
      <c r="E2783" s="14">
        <v>525</v>
      </c>
      <c r="F2783" s="14">
        <v>6.8</v>
      </c>
      <c r="G2783" s="14">
        <v>19</v>
      </c>
      <c r="H2783" s="14">
        <v>75.02</v>
      </c>
      <c r="I2783" s="15">
        <v>0.55000000000000004</v>
      </c>
    </row>
    <row r="2784" spans="1:9" x14ac:dyDescent="0.25">
      <c r="A2784" s="12">
        <v>62</v>
      </c>
      <c r="B2784" s="13">
        <v>45160</v>
      </c>
      <c r="C2784" s="14">
        <v>23.2</v>
      </c>
      <c r="D2784" s="14">
        <v>73</v>
      </c>
      <c r="E2784" s="14">
        <v>783</v>
      </c>
      <c r="F2784" s="14">
        <v>6.2</v>
      </c>
      <c r="G2784" s="14">
        <v>20</v>
      </c>
      <c r="H2784" s="14">
        <v>73.760000000000005</v>
      </c>
      <c r="I2784" s="15">
        <v>0.73</v>
      </c>
    </row>
    <row r="2785" spans="1:9" x14ac:dyDescent="0.25">
      <c r="A2785" s="12">
        <v>62</v>
      </c>
      <c r="B2785" s="13">
        <v>45161</v>
      </c>
      <c r="C2785" s="14">
        <v>20.3</v>
      </c>
      <c r="D2785" s="14">
        <v>60</v>
      </c>
      <c r="E2785" s="14">
        <v>431</v>
      </c>
      <c r="F2785" s="14">
        <v>6.3</v>
      </c>
      <c r="G2785" s="14">
        <v>21</v>
      </c>
      <c r="H2785" s="14">
        <v>68.540000000000006</v>
      </c>
      <c r="I2785" s="15">
        <v>0.6</v>
      </c>
    </row>
    <row r="2786" spans="1:9" x14ac:dyDescent="0.25">
      <c r="A2786" s="12">
        <v>62</v>
      </c>
      <c r="B2786" s="13">
        <v>45162</v>
      </c>
      <c r="C2786" s="14">
        <v>22.5</v>
      </c>
      <c r="D2786" s="14">
        <v>56</v>
      </c>
      <c r="E2786" s="14">
        <v>737</v>
      </c>
      <c r="F2786" s="14">
        <v>6.5</v>
      </c>
      <c r="G2786" s="14">
        <v>22</v>
      </c>
      <c r="H2786" s="14">
        <v>72.5</v>
      </c>
      <c r="I2786" s="15">
        <v>0.56000000000000005</v>
      </c>
    </row>
    <row r="2787" spans="1:9" x14ac:dyDescent="0.25">
      <c r="A2787" s="12">
        <v>62</v>
      </c>
      <c r="B2787" s="13">
        <v>45163</v>
      </c>
      <c r="C2787" s="14">
        <v>24</v>
      </c>
      <c r="D2787" s="14">
        <v>59</v>
      </c>
      <c r="E2787" s="14">
        <v>526</v>
      </c>
      <c r="F2787" s="14">
        <v>6.6</v>
      </c>
      <c r="G2787" s="14">
        <v>23</v>
      </c>
      <c r="H2787" s="14">
        <v>75.2</v>
      </c>
      <c r="I2787" s="15">
        <v>0.59</v>
      </c>
    </row>
    <row r="2788" spans="1:9" x14ac:dyDescent="0.25">
      <c r="A2788" s="12">
        <v>62</v>
      </c>
      <c r="B2788" s="13">
        <v>45164</v>
      </c>
      <c r="C2788" s="14">
        <v>23.3</v>
      </c>
      <c r="D2788" s="14">
        <v>62</v>
      </c>
      <c r="E2788" s="14">
        <v>771</v>
      </c>
      <c r="F2788" s="14">
        <v>6.5</v>
      </c>
      <c r="G2788" s="14">
        <v>24</v>
      </c>
      <c r="H2788" s="14">
        <v>73.94</v>
      </c>
      <c r="I2788" s="15">
        <v>0.62</v>
      </c>
    </row>
    <row r="2789" spans="1:9" x14ac:dyDescent="0.25">
      <c r="A2789" s="12">
        <v>62</v>
      </c>
      <c r="B2789" s="13">
        <v>45165</v>
      </c>
      <c r="C2789" s="14">
        <v>19.2</v>
      </c>
      <c r="D2789" s="14">
        <v>69</v>
      </c>
      <c r="E2789" s="14">
        <v>562</v>
      </c>
      <c r="F2789" s="14">
        <v>6.5</v>
      </c>
      <c r="G2789" s="14">
        <v>25</v>
      </c>
      <c r="H2789" s="14">
        <v>66.56</v>
      </c>
      <c r="I2789" s="15">
        <v>0.69</v>
      </c>
    </row>
    <row r="2790" spans="1:9" x14ac:dyDescent="0.25">
      <c r="A2790" s="12">
        <v>62</v>
      </c>
      <c r="B2790" s="13">
        <v>45166</v>
      </c>
      <c r="C2790" s="14">
        <v>24.7</v>
      </c>
      <c r="D2790" s="14">
        <v>79</v>
      </c>
      <c r="E2790" s="14">
        <v>718</v>
      </c>
      <c r="F2790" s="14">
        <v>6.1</v>
      </c>
      <c r="G2790" s="14">
        <v>26</v>
      </c>
      <c r="H2790" s="14">
        <v>76.459999999999994</v>
      </c>
      <c r="I2790" s="15">
        <v>0.79</v>
      </c>
    </row>
    <row r="2791" spans="1:9" x14ac:dyDescent="0.25">
      <c r="A2791" s="12">
        <v>62</v>
      </c>
      <c r="B2791" s="13">
        <v>45167</v>
      </c>
      <c r="C2791" s="14">
        <v>18.100000000000001</v>
      </c>
      <c r="D2791" s="14">
        <v>53</v>
      </c>
      <c r="E2791" s="14">
        <v>692</v>
      </c>
      <c r="F2791" s="14">
        <v>6.8</v>
      </c>
      <c r="G2791" s="14">
        <v>27</v>
      </c>
      <c r="H2791" s="14">
        <v>64.58</v>
      </c>
      <c r="I2791" s="15">
        <v>0.53</v>
      </c>
    </row>
    <row r="2792" spans="1:9" x14ac:dyDescent="0.25">
      <c r="A2792" s="12">
        <v>62</v>
      </c>
      <c r="B2792" s="13">
        <v>45168</v>
      </c>
      <c r="C2792" s="14">
        <v>21.3</v>
      </c>
      <c r="D2792" s="14">
        <v>73</v>
      </c>
      <c r="E2792" s="14">
        <v>434</v>
      </c>
      <c r="F2792" s="14">
        <v>6</v>
      </c>
      <c r="G2792" s="14">
        <v>28</v>
      </c>
      <c r="H2792" s="14">
        <v>70.34</v>
      </c>
      <c r="I2792" s="15">
        <v>0.73</v>
      </c>
    </row>
    <row r="2793" spans="1:9" x14ac:dyDescent="0.25">
      <c r="A2793" s="12">
        <v>62</v>
      </c>
      <c r="B2793" s="13">
        <v>45169</v>
      </c>
      <c r="C2793" s="14">
        <v>18.899999999999999</v>
      </c>
      <c r="D2793" s="14">
        <v>68</v>
      </c>
      <c r="E2793" s="14">
        <v>585</v>
      </c>
      <c r="F2793" s="14">
        <v>6.1</v>
      </c>
      <c r="G2793" s="14">
        <v>29</v>
      </c>
      <c r="H2793" s="14">
        <v>66.02</v>
      </c>
      <c r="I2793" s="15">
        <v>0.68</v>
      </c>
    </row>
    <row r="2794" spans="1:9" x14ac:dyDescent="0.25">
      <c r="A2794" s="12">
        <v>62</v>
      </c>
      <c r="B2794" s="13">
        <v>45170</v>
      </c>
      <c r="C2794" s="14">
        <v>18.5</v>
      </c>
      <c r="D2794" s="14">
        <v>53</v>
      </c>
      <c r="E2794" s="14">
        <v>427</v>
      </c>
      <c r="F2794" s="14">
        <v>6.3</v>
      </c>
      <c r="G2794" s="14">
        <v>30</v>
      </c>
      <c r="H2794" s="14">
        <v>65.3</v>
      </c>
      <c r="I2794" s="15">
        <v>0.53</v>
      </c>
    </row>
    <row r="2795" spans="1:9" x14ac:dyDescent="0.25">
      <c r="A2795" s="12">
        <v>62</v>
      </c>
      <c r="B2795" s="13">
        <v>45171</v>
      </c>
      <c r="C2795" s="14">
        <v>24.1</v>
      </c>
      <c r="D2795" s="14">
        <v>72</v>
      </c>
      <c r="E2795" s="14">
        <v>497</v>
      </c>
      <c r="F2795" s="14">
        <v>6.5</v>
      </c>
      <c r="G2795" s="14">
        <v>31</v>
      </c>
      <c r="H2795" s="14">
        <v>75.38</v>
      </c>
      <c r="I2795" s="15">
        <v>0.72</v>
      </c>
    </row>
    <row r="2796" spans="1:9" x14ac:dyDescent="0.25">
      <c r="A2796" s="12">
        <v>62</v>
      </c>
      <c r="B2796" s="13">
        <v>45172</v>
      </c>
      <c r="C2796" s="14">
        <v>25</v>
      </c>
      <c r="D2796" s="14">
        <v>75</v>
      </c>
      <c r="E2796" s="14">
        <v>783</v>
      </c>
      <c r="F2796" s="14">
        <v>6.5</v>
      </c>
      <c r="G2796" s="14">
        <v>32</v>
      </c>
      <c r="H2796" s="14">
        <v>77</v>
      </c>
      <c r="I2796" s="15">
        <v>0.75</v>
      </c>
    </row>
    <row r="2797" spans="1:9" x14ac:dyDescent="0.25">
      <c r="A2797" s="12">
        <v>62</v>
      </c>
      <c r="B2797" s="13">
        <v>45173</v>
      </c>
      <c r="C2797" s="14">
        <v>24.3</v>
      </c>
      <c r="D2797" s="14">
        <v>51</v>
      </c>
      <c r="E2797" s="14">
        <v>454</v>
      </c>
      <c r="F2797" s="14">
        <v>6.1</v>
      </c>
      <c r="G2797" s="14">
        <v>33</v>
      </c>
      <c r="H2797" s="14">
        <v>75.739999999999995</v>
      </c>
      <c r="I2797" s="15">
        <v>0.51</v>
      </c>
    </row>
    <row r="2798" spans="1:9" x14ac:dyDescent="0.25">
      <c r="A2798" s="12">
        <v>62</v>
      </c>
      <c r="B2798" s="13">
        <v>45174</v>
      </c>
      <c r="C2798" s="14">
        <v>22.3</v>
      </c>
      <c r="D2798" s="14">
        <v>78</v>
      </c>
      <c r="E2798" s="14">
        <v>406</v>
      </c>
      <c r="F2798" s="14">
        <v>6.4</v>
      </c>
      <c r="G2798" s="14">
        <v>34</v>
      </c>
      <c r="H2798" s="14">
        <v>72.14</v>
      </c>
      <c r="I2798" s="15">
        <v>0.78</v>
      </c>
    </row>
    <row r="2799" spans="1:9" x14ac:dyDescent="0.25">
      <c r="A2799" s="12">
        <v>62</v>
      </c>
      <c r="B2799" s="13">
        <v>45175</v>
      </c>
      <c r="C2799" s="14">
        <v>20.9</v>
      </c>
      <c r="D2799" s="14">
        <v>74</v>
      </c>
      <c r="E2799" s="14">
        <v>523</v>
      </c>
      <c r="F2799" s="14">
        <v>6.8</v>
      </c>
      <c r="G2799" s="14">
        <v>35</v>
      </c>
      <c r="H2799" s="14">
        <v>69.62</v>
      </c>
      <c r="I2799" s="15">
        <v>0.74</v>
      </c>
    </row>
    <row r="2800" spans="1:9" x14ac:dyDescent="0.25">
      <c r="A2800" s="12">
        <v>62</v>
      </c>
      <c r="B2800" s="13">
        <v>45176</v>
      </c>
      <c r="C2800" s="14">
        <v>20.399999999999999</v>
      </c>
      <c r="D2800" s="14">
        <v>72</v>
      </c>
      <c r="E2800" s="14">
        <v>564</v>
      </c>
      <c r="F2800" s="14">
        <v>6.1</v>
      </c>
      <c r="G2800" s="14">
        <v>36</v>
      </c>
      <c r="H2800" s="14">
        <v>68.72</v>
      </c>
      <c r="I2800" s="15">
        <v>0.72</v>
      </c>
    </row>
    <row r="2801" spans="1:9" x14ac:dyDescent="0.25">
      <c r="A2801" s="12">
        <v>62</v>
      </c>
      <c r="B2801" s="13">
        <v>45177</v>
      </c>
      <c r="C2801" s="14">
        <v>19.100000000000001</v>
      </c>
      <c r="D2801" s="14">
        <v>72</v>
      </c>
      <c r="E2801" s="14">
        <v>462</v>
      </c>
      <c r="F2801" s="14">
        <v>6.5</v>
      </c>
      <c r="G2801" s="14">
        <v>37</v>
      </c>
      <c r="H2801" s="14">
        <v>66.38</v>
      </c>
      <c r="I2801" s="15">
        <v>0.72</v>
      </c>
    </row>
    <row r="2802" spans="1:9" x14ac:dyDescent="0.25">
      <c r="A2802" s="12">
        <v>62</v>
      </c>
      <c r="B2802" s="13">
        <v>45178</v>
      </c>
      <c r="C2802" s="14">
        <v>22.7</v>
      </c>
      <c r="D2802" s="14">
        <v>72</v>
      </c>
      <c r="E2802" s="14">
        <v>656</v>
      </c>
      <c r="F2802" s="14">
        <v>6.1</v>
      </c>
      <c r="G2802" s="14">
        <v>38</v>
      </c>
      <c r="H2802" s="14">
        <v>72.86</v>
      </c>
      <c r="I2802" s="15">
        <v>0.72</v>
      </c>
    </row>
    <row r="2803" spans="1:9" x14ac:dyDescent="0.25">
      <c r="A2803" s="12">
        <v>62</v>
      </c>
      <c r="B2803" s="13">
        <v>45179</v>
      </c>
      <c r="C2803" s="14">
        <v>18.2</v>
      </c>
      <c r="D2803" s="14">
        <v>54</v>
      </c>
      <c r="E2803" s="14">
        <v>507</v>
      </c>
      <c r="F2803" s="14">
        <v>6.4</v>
      </c>
      <c r="G2803" s="14">
        <v>39</v>
      </c>
      <c r="H2803" s="14">
        <v>64.760000000000005</v>
      </c>
      <c r="I2803" s="15">
        <v>0.54</v>
      </c>
    </row>
    <row r="2804" spans="1:9" x14ac:dyDescent="0.25">
      <c r="A2804" s="12">
        <v>62</v>
      </c>
      <c r="B2804" s="13">
        <v>45180</v>
      </c>
      <c r="C2804" s="14">
        <v>23</v>
      </c>
      <c r="D2804" s="14">
        <v>54</v>
      </c>
      <c r="E2804" s="14">
        <v>410</v>
      </c>
      <c r="F2804" s="14">
        <v>6.7</v>
      </c>
      <c r="G2804" s="14">
        <v>40</v>
      </c>
      <c r="H2804" s="14">
        <v>73.400000000000006</v>
      </c>
      <c r="I2804" s="15">
        <v>0.54</v>
      </c>
    </row>
    <row r="2805" spans="1:9" x14ac:dyDescent="0.25">
      <c r="A2805" s="12">
        <v>62</v>
      </c>
      <c r="B2805" s="13">
        <v>45181</v>
      </c>
      <c r="C2805" s="14">
        <v>20.8</v>
      </c>
      <c r="D2805" s="14">
        <v>51</v>
      </c>
      <c r="E2805" s="14">
        <v>576</v>
      </c>
      <c r="F2805" s="14">
        <v>6.4</v>
      </c>
      <c r="G2805" s="14">
        <v>41</v>
      </c>
      <c r="H2805" s="14">
        <v>69.44</v>
      </c>
      <c r="I2805" s="15">
        <v>0.51</v>
      </c>
    </row>
    <row r="2806" spans="1:9" x14ac:dyDescent="0.25">
      <c r="A2806" s="12">
        <v>62</v>
      </c>
      <c r="B2806" s="13">
        <v>45182</v>
      </c>
      <c r="C2806" s="14">
        <v>20.399999999999999</v>
      </c>
      <c r="D2806" s="14">
        <v>66</v>
      </c>
      <c r="E2806" s="14">
        <v>690</v>
      </c>
      <c r="F2806" s="14">
        <v>6.7</v>
      </c>
      <c r="G2806" s="14">
        <v>42</v>
      </c>
      <c r="H2806" s="14">
        <v>68.72</v>
      </c>
      <c r="I2806" s="15">
        <v>0.66</v>
      </c>
    </row>
    <row r="2807" spans="1:9" x14ac:dyDescent="0.25">
      <c r="A2807" s="12">
        <v>62</v>
      </c>
      <c r="B2807" s="13">
        <v>45183</v>
      </c>
      <c r="C2807" s="14">
        <v>19.899999999999999</v>
      </c>
      <c r="D2807" s="14">
        <v>67</v>
      </c>
      <c r="E2807" s="14">
        <v>754</v>
      </c>
      <c r="F2807" s="14">
        <v>6.8</v>
      </c>
      <c r="G2807" s="14">
        <v>43</v>
      </c>
      <c r="H2807" s="14">
        <v>67.819999999999993</v>
      </c>
      <c r="I2807" s="15">
        <v>0.67</v>
      </c>
    </row>
    <row r="2808" spans="1:9" x14ac:dyDescent="0.25">
      <c r="A2808" s="12">
        <v>62</v>
      </c>
      <c r="B2808" s="13">
        <v>45184</v>
      </c>
      <c r="C2808" s="14">
        <v>21.4</v>
      </c>
      <c r="D2808" s="14">
        <v>70</v>
      </c>
      <c r="E2808" s="14">
        <v>754</v>
      </c>
      <c r="F2808" s="14">
        <v>6.1</v>
      </c>
      <c r="G2808" s="14">
        <v>44</v>
      </c>
      <c r="H2808" s="14">
        <v>70.52</v>
      </c>
      <c r="I2808" s="15">
        <v>0.7</v>
      </c>
    </row>
    <row r="2809" spans="1:9" x14ac:dyDescent="0.25">
      <c r="A2809" s="12">
        <v>62</v>
      </c>
      <c r="B2809" s="13">
        <v>45185</v>
      </c>
      <c r="C2809" s="14">
        <v>20.7</v>
      </c>
      <c r="D2809" s="14">
        <v>74</v>
      </c>
      <c r="E2809" s="14">
        <v>581</v>
      </c>
      <c r="F2809" s="14">
        <v>6.1</v>
      </c>
      <c r="G2809" s="14">
        <v>45</v>
      </c>
      <c r="H2809" s="14">
        <v>69.260000000000005</v>
      </c>
      <c r="I2809" s="15">
        <v>0.74</v>
      </c>
    </row>
    <row r="2810" spans="1:9" x14ac:dyDescent="0.25">
      <c r="A2810" s="12">
        <v>63</v>
      </c>
      <c r="B2810" s="13">
        <v>45141</v>
      </c>
      <c r="C2810" s="14">
        <v>21.9</v>
      </c>
      <c r="D2810" s="14">
        <v>50</v>
      </c>
      <c r="E2810" s="14">
        <v>728</v>
      </c>
      <c r="F2810" s="14">
        <v>6.2</v>
      </c>
      <c r="G2810" s="14">
        <v>1</v>
      </c>
      <c r="H2810" s="14">
        <v>71.42</v>
      </c>
      <c r="I2810" s="15">
        <v>0.5</v>
      </c>
    </row>
    <row r="2811" spans="1:9" x14ac:dyDescent="0.25">
      <c r="A2811" s="12">
        <v>63</v>
      </c>
      <c r="B2811" s="13">
        <v>45142</v>
      </c>
      <c r="C2811" s="14">
        <v>23.3</v>
      </c>
      <c r="D2811" s="14">
        <v>77</v>
      </c>
      <c r="E2811" s="14">
        <v>713</v>
      </c>
      <c r="F2811" s="14">
        <v>6.5</v>
      </c>
      <c r="G2811" s="14">
        <v>2</v>
      </c>
      <c r="H2811" s="14">
        <v>73.94</v>
      </c>
      <c r="I2811" s="15">
        <v>0.77</v>
      </c>
    </row>
    <row r="2812" spans="1:9" x14ac:dyDescent="0.25">
      <c r="A2812" s="12">
        <v>63</v>
      </c>
      <c r="B2812" s="13">
        <v>45143</v>
      </c>
      <c r="C2812" s="14">
        <v>18.2</v>
      </c>
      <c r="D2812" s="14">
        <v>66</v>
      </c>
      <c r="E2812" s="14">
        <v>684</v>
      </c>
      <c r="F2812" s="14">
        <v>6.1</v>
      </c>
      <c r="G2812" s="14">
        <v>3</v>
      </c>
      <c r="H2812" s="14">
        <v>64.760000000000005</v>
      </c>
      <c r="I2812" s="15">
        <v>0.66</v>
      </c>
    </row>
    <row r="2813" spans="1:9" x14ac:dyDescent="0.25">
      <c r="A2813" s="12">
        <v>63</v>
      </c>
      <c r="B2813" s="13">
        <v>45144</v>
      </c>
      <c r="C2813" s="14">
        <v>23</v>
      </c>
      <c r="D2813" s="14">
        <v>50</v>
      </c>
      <c r="E2813" s="14">
        <v>577</v>
      </c>
      <c r="F2813" s="14">
        <v>6.1</v>
      </c>
      <c r="G2813" s="14">
        <v>4</v>
      </c>
      <c r="H2813" s="14">
        <v>73.400000000000006</v>
      </c>
      <c r="I2813" s="15">
        <v>0.5</v>
      </c>
    </row>
    <row r="2814" spans="1:9" x14ac:dyDescent="0.25">
      <c r="A2814" s="12">
        <v>63</v>
      </c>
      <c r="B2814" s="13">
        <v>45145</v>
      </c>
      <c r="C2814" s="14">
        <v>18.600000000000001</v>
      </c>
      <c r="D2814" s="14">
        <v>63</v>
      </c>
      <c r="E2814" s="14">
        <v>784</v>
      </c>
      <c r="F2814" s="14">
        <v>6.1</v>
      </c>
      <c r="G2814" s="14">
        <v>5</v>
      </c>
      <c r="H2814" s="14">
        <v>65.48</v>
      </c>
      <c r="I2814" s="15">
        <v>0.63</v>
      </c>
    </row>
    <row r="2815" spans="1:9" x14ac:dyDescent="0.25">
      <c r="A2815" s="12">
        <v>63</v>
      </c>
      <c r="B2815" s="13">
        <v>45146</v>
      </c>
      <c r="C2815" s="14">
        <v>21.8</v>
      </c>
      <c r="D2815" s="14">
        <v>62</v>
      </c>
      <c r="E2815" s="14">
        <v>497</v>
      </c>
      <c r="F2815" s="14">
        <v>6.7</v>
      </c>
      <c r="G2815" s="14">
        <v>6</v>
      </c>
      <c r="H2815" s="14">
        <v>71.239999999999995</v>
      </c>
      <c r="I2815" s="15">
        <v>0.62</v>
      </c>
    </row>
    <row r="2816" spans="1:9" x14ac:dyDescent="0.25">
      <c r="A2816" s="12">
        <v>63</v>
      </c>
      <c r="B2816" s="13">
        <v>45147</v>
      </c>
      <c r="C2816" s="14">
        <v>18.399999999999999</v>
      </c>
      <c r="D2816" s="14">
        <v>68</v>
      </c>
      <c r="E2816" s="14">
        <v>638</v>
      </c>
      <c r="F2816" s="14">
        <v>6.1</v>
      </c>
      <c r="G2816" s="14">
        <v>7</v>
      </c>
      <c r="H2816" s="14">
        <v>65.12</v>
      </c>
      <c r="I2816" s="15">
        <v>0.68</v>
      </c>
    </row>
    <row r="2817" spans="1:9" x14ac:dyDescent="0.25">
      <c r="A2817" s="12">
        <v>63</v>
      </c>
      <c r="B2817" s="13">
        <v>45148</v>
      </c>
      <c r="C2817" s="14">
        <v>20.8</v>
      </c>
      <c r="D2817" s="14">
        <v>70</v>
      </c>
      <c r="E2817" s="14">
        <v>782</v>
      </c>
      <c r="F2817" s="14">
        <v>6.7</v>
      </c>
      <c r="G2817" s="14">
        <v>8</v>
      </c>
      <c r="H2817" s="14">
        <v>69.44</v>
      </c>
      <c r="I2817" s="15">
        <v>0.7</v>
      </c>
    </row>
    <row r="2818" spans="1:9" x14ac:dyDescent="0.25">
      <c r="A2818" s="12">
        <v>63</v>
      </c>
      <c r="B2818" s="13">
        <v>45149</v>
      </c>
      <c r="C2818" s="14">
        <v>23.2</v>
      </c>
      <c r="D2818" s="14">
        <v>52</v>
      </c>
      <c r="E2818" s="14">
        <v>479</v>
      </c>
      <c r="F2818" s="14">
        <v>6.1</v>
      </c>
      <c r="G2818" s="14">
        <v>9</v>
      </c>
      <c r="H2818" s="14">
        <v>73.760000000000005</v>
      </c>
      <c r="I2818" s="15">
        <v>0.52</v>
      </c>
    </row>
    <row r="2819" spans="1:9" x14ac:dyDescent="0.25">
      <c r="A2819" s="12">
        <v>63</v>
      </c>
      <c r="B2819" s="13">
        <v>45150</v>
      </c>
      <c r="C2819" s="14">
        <v>19.5</v>
      </c>
      <c r="D2819" s="14">
        <v>78</v>
      </c>
      <c r="E2819" s="14">
        <v>732</v>
      </c>
      <c r="F2819" s="14">
        <v>6.2</v>
      </c>
      <c r="G2819" s="14">
        <v>10</v>
      </c>
      <c r="H2819" s="14">
        <v>67.099999999999994</v>
      </c>
      <c r="I2819" s="15">
        <v>0.78</v>
      </c>
    </row>
    <row r="2820" spans="1:9" x14ac:dyDescent="0.25">
      <c r="A2820" s="12">
        <v>63</v>
      </c>
      <c r="B2820" s="13">
        <v>45151</v>
      </c>
      <c r="C2820" s="14">
        <v>20.9</v>
      </c>
      <c r="D2820" s="14">
        <v>53</v>
      </c>
      <c r="E2820" s="14">
        <v>463</v>
      </c>
      <c r="F2820" s="14">
        <v>6.4</v>
      </c>
      <c r="G2820" s="14">
        <v>11</v>
      </c>
      <c r="H2820" s="14">
        <v>69.62</v>
      </c>
      <c r="I2820" s="15">
        <v>0.53</v>
      </c>
    </row>
    <row r="2821" spans="1:9" x14ac:dyDescent="0.25">
      <c r="A2821" s="12">
        <v>63</v>
      </c>
      <c r="B2821" s="13">
        <v>45152</v>
      </c>
      <c r="C2821" s="14">
        <v>23.5</v>
      </c>
      <c r="D2821" s="14">
        <v>67</v>
      </c>
      <c r="E2821" s="14">
        <v>518</v>
      </c>
      <c r="F2821" s="14">
        <v>6.6</v>
      </c>
      <c r="G2821" s="14">
        <v>12</v>
      </c>
      <c r="H2821" s="14">
        <v>74.3</v>
      </c>
      <c r="I2821" s="15">
        <v>0.67</v>
      </c>
    </row>
    <row r="2822" spans="1:9" x14ac:dyDescent="0.25">
      <c r="A2822" s="12">
        <v>63</v>
      </c>
      <c r="B2822" s="13">
        <v>45153</v>
      </c>
      <c r="C2822" s="14">
        <v>21.6</v>
      </c>
      <c r="D2822" s="14">
        <v>74</v>
      </c>
      <c r="E2822" s="14">
        <v>798</v>
      </c>
      <c r="F2822" s="14">
        <v>6.2</v>
      </c>
      <c r="G2822" s="14">
        <v>13</v>
      </c>
      <c r="H2822" s="14">
        <v>70.88</v>
      </c>
      <c r="I2822" s="15">
        <v>0.74</v>
      </c>
    </row>
    <row r="2823" spans="1:9" x14ac:dyDescent="0.25">
      <c r="A2823" s="12">
        <v>63</v>
      </c>
      <c r="B2823" s="13">
        <v>45154</v>
      </c>
      <c r="C2823" s="14">
        <v>19.899999999999999</v>
      </c>
      <c r="D2823" s="14">
        <v>62</v>
      </c>
      <c r="E2823" s="14">
        <v>410</v>
      </c>
      <c r="F2823" s="14">
        <v>6.7</v>
      </c>
      <c r="G2823" s="14">
        <v>14</v>
      </c>
      <c r="H2823" s="14">
        <v>67.819999999999993</v>
      </c>
      <c r="I2823" s="15">
        <v>0.62</v>
      </c>
    </row>
    <row r="2824" spans="1:9" x14ac:dyDescent="0.25">
      <c r="A2824" s="12">
        <v>63</v>
      </c>
      <c r="B2824" s="13">
        <v>45155</v>
      </c>
      <c r="C2824" s="14">
        <v>18.3</v>
      </c>
      <c r="D2824" s="14">
        <v>65</v>
      </c>
      <c r="E2824" s="14">
        <v>458</v>
      </c>
      <c r="F2824" s="14">
        <v>6.3</v>
      </c>
      <c r="G2824" s="14">
        <v>15</v>
      </c>
      <c r="H2824" s="14">
        <v>64.94</v>
      </c>
      <c r="I2824" s="15">
        <v>0.65</v>
      </c>
    </row>
    <row r="2825" spans="1:9" x14ac:dyDescent="0.25">
      <c r="A2825" s="12">
        <v>63</v>
      </c>
      <c r="B2825" s="13">
        <v>45156</v>
      </c>
      <c r="C2825" s="14">
        <v>23.5</v>
      </c>
      <c r="D2825" s="14">
        <v>76</v>
      </c>
      <c r="E2825" s="14">
        <v>478</v>
      </c>
      <c r="F2825" s="14">
        <v>6.1</v>
      </c>
      <c r="G2825" s="14">
        <v>16</v>
      </c>
      <c r="H2825" s="14">
        <v>74.3</v>
      </c>
      <c r="I2825" s="15">
        <v>0.76</v>
      </c>
    </row>
    <row r="2826" spans="1:9" x14ac:dyDescent="0.25">
      <c r="A2826" s="12">
        <v>63</v>
      </c>
      <c r="B2826" s="13">
        <v>45157</v>
      </c>
      <c r="C2826" s="14">
        <v>19.899999999999999</v>
      </c>
      <c r="D2826" s="14">
        <v>74</v>
      </c>
      <c r="E2826" s="14">
        <v>431</v>
      </c>
      <c r="F2826" s="14">
        <v>6</v>
      </c>
      <c r="G2826" s="14">
        <v>17</v>
      </c>
      <c r="H2826" s="14">
        <v>67.819999999999993</v>
      </c>
      <c r="I2826" s="15">
        <v>0.74</v>
      </c>
    </row>
    <row r="2827" spans="1:9" x14ac:dyDescent="0.25">
      <c r="A2827" s="12">
        <v>63</v>
      </c>
      <c r="B2827" s="13">
        <v>45158</v>
      </c>
      <c r="C2827" s="14">
        <v>19.2</v>
      </c>
      <c r="D2827" s="14">
        <v>80</v>
      </c>
      <c r="E2827" s="14">
        <v>721</v>
      </c>
      <c r="F2827" s="14">
        <v>6.5</v>
      </c>
      <c r="G2827" s="14">
        <v>18</v>
      </c>
      <c r="H2827" s="14">
        <v>66.56</v>
      </c>
      <c r="I2827" s="15">
        <v>0.8</v>
      </c>
    </row>
    <row r="2828" spans="1:9" x14ac:dyDescent="0.25">
      <c r="A2828" s="12">
        <v>63</v>
      </c>
      <c r="B2828" s="13">
        <v>45159</v>
      </c>
      <c r="C2828" s="14">
        <v>24</v>
      </c>
      <c r="D2828" s="14">
        <v>80</v>
      </c>
      <c r="E2828" s="14">
        <v>526</v>
      </c>
      <c r="F2828" s="14">
        <v>6.6</v>
      </c>
      <c r="G2828" s="14">
        <v>19</v>
      </c>
      <c r="H2828" s="14">
        <v>75.2</v>
      </c>
      <c r="I2828" s="15">
        <v>0.8</v>
      </c>
    </row>
    <row r="2829" spans="1:9" x14ac:dyDescent="0.25">
      <c r="A2829" s="12">
        <v>63</v>
      </c>
      <c r="B2829" s="13">
        <v>45160</v>
      </c>
      <c r="C2829" s="14">
        <v>23.3</v>
      </c>
      <c r="D2829" s="14">
        <v>67</v>
      </c>
      <c r="E2829" s="14">
        <v>527</v>
      </c>
      <c r="F2829" s="14">
        <v>6.4</v>
      </c>
      <c r="G2829" s="14">
        <v>20</v>
      </c>
      <c r="H2829" s="14">
        <v>73.94</v>
      </c>
      <c r="I2829" s="15">
        <v>0.67</v>
      </c>
    </row>
    <row r="2830" spans="1:9" x14ac:dyDescent="0.25">
      <c r="A2830" s="12">
        <v>63</v>
      </c>
      <c r="B2830" s="13">
        <v>45161</v>
      </c>
      <c r="C2830" s="14">
        <v>19.899999999999999</v>
      </c>
      <c r="D2830" s="14">
        <v>80</v>
      </c>
      <c r="E2830" s="14">
        <v>784</v>
      </c>
      <c r="F2830" s="14">
        <v>6.2</v>
      </c>
      <c r="G2830" s="14">
        <v>21</v>
      </c>
      <c r="H2830" s="14">
        <v>67.819999999999993</v>
      </c>
      <c r="I2830" s="15">
        <v>0.8</v>
      </c>
    </row>
    <row r="2831" spans="1:9" x14ac:dyDescent="0.25">
      <c r="A2831" s="12">
        <v>63</v>
      </c>
      <c r="B2831" s="13">
        <v>45162</v>
      </c>
      <c r="C2831" s="14">
        <v>18.8</v>
      </c>
      <c r="D2831" s="14">
        <v>65</v>
      </c>
      <c r="E2831" s="14">
        <v>750</v>
      </c>
      <c r="F2831" s="14">
        <v>6.4</v>
      </c>
      <c r="G2831" s="14">
        <v>22</v>
      </c>
      <c r="H2831" s="14">
        <v>65.84</v>
      </c>
      <c r="I2831" s="15">
        <v>0.65</v>
      </c>
    </row>
    <row r="2832" spans="1:9" x14ac:dyDescent="0.25">
      <c r="A2832" s="12">
        <v>63</v>
      </c>
      <c r="B2832" s="13">
        <v>45163</v>
      </c>
      <c r="C2832" s="14">
        <v>24.3</v>
      </c>
      <c r="D2832" s="14">
        <v>55</v>
      </c>
      <c r="E2832" s="14">
        <v>603</v>
      </c>
      <c r="F2832" s="14">
        <v>6.1</v>
      </c>
      <c r="G2832" s="14">
        <v>23</v>
      </c>
      <c r="H2832" s="14">
        <v>75.739999999999995</v>
      </c>
      <c r="I2832" s="15">
        <v>0.55000000000000004</v>
      </c>
    </row>
    <row r="2833" spans="1:9" x14ac:dyDescent="0.25">
      <c r="A2833" s="12">
        <v>63</v>
      </c>
      <c r="B2833" s="13">
        <v>45164</v>
      </c>
      <c r="C2833" s="14">
        <v>20.8</v>
      </c>
      <c r="D2833" s="14">
        <v>74</v>
      </c>
      <c r="E2833" s="14">
        <v>743</v>
      </c>
      <c r="F2833" s="14">
        <v>6.7</v>
      </c>
      <c r="G2833" s="14">
        <v>24</v>
      </c>
      <c r="H2833" s="14">
        <v>69.44</v>
      </c>
      <c r="I2833" s="15">
        <v>0.74</v>
      </c>
    </row>
    <row r="2834" spans="1:9" x14ac:dyDescent="0.25">
      <c r="A2834" s="12">
        <v>63</v>
      </c>
      <c r="B2834" s="13">
        <v>45165</v>
      </c>
      <c r="C2834" s="14">
        <v>18.100000000000001</v>
      </c>
      <c r="D2834" s="14">
        <v>65</v>
      </c>
      <c r="E2834" s="14">
        <v>680</v>
      </c>
      <c r="F2834" s="14">
        <v>6.4</v>
      </c>
      <c r="G2834" s="14">
        <v>25</v>
      </c>
      <c r="H2834" s="14">
        <v>64.58</v>
      </c>
      <c r="I2834" s="15">
        <v>0.65</v>
      </c>
    </row>
    <row r="2835" spans="1:9" x14ac:dyDescent="0.25">
      <c r="A2835" s="12">
        <v>63</v>
      </c>
      <c r="B2835" s="13">
        <v>45166</v>
      </c>
      <c r="C2835" s="14">
        <v>19.2</v>
      </c>
      <c r="D2835" s="14">
        <v>76</v>
      </c>
      <c r="E2835" s="14">
        <v>521</v>
      </c>
      <c r="F2835" s="14">
        <v>6.1</v>
      </c>
      <c r="G2835" s="14">
        <v>26</v>
      </c>
      <c r="H2835" s="14">
        <v>66.56</v>
      </c>
      <c r="I2835" s="15">
        <v>0.76</v>
      </c>
    </row>
    <row r="2836" spans="1:9" x14ac:dyDescent="0.25">
      <c r="A2836" s="12">
        <v>63</v>
      </c>
      <c r="B2836" s="13">
        <v>45167</v>
      </c>
      <c r="C2836" s="14">
        <v>19.2</v>
      </c>
      <c r="D2836" s="14">
        <v>53</v>
      </c>
      <c r="E2836" s="14">
        <v>767</v>
      </c>
      <c r="F2836" s="14">
        <v>6.6</v>
      </c>
      <c r="G2836" s="14">
        <v>27</v>
      </c>
      <c r="H2836" s="14">
        <v>66.56</v>
      </c>
      <c r="I2836" s="15">
        <v>0.53</v>
      </c>
    </row>
    <row r="2837" spans="1:9" x14ac:dyDescent="0.25">
      <c r="A2837" s="12">
        <v>63</v>
      </c>
      <c r="B2837" s="13">
        <v>45168</v>
      </c>
      <c r="C2837" s="14">
        <v>19.2</v>
      </c>
      <c r="D2837" s="14">
        <v>65</v>
      </c>
      <c r="E2837" s="14">
        <v>739</v>
      </c>
      <c r="F2837" s="14">
        <v>6.2</v>
      </c>
      <c r="G2837" s="14">
        <v>28</v>
      </c>
      <c r="H2837" s="14">
        <v>66.56</v>
      </c>
      <c r="I2837" s="15">
        <v>0.65</v>
      </c>
    </row>
    <row r="2838" spans="1:9" x14ac:dyDescent="0.25">
      <c r="A2838" s="12">
        <v>63</v>
      </c>
      <c r="B2838" s="13">
        <v>45169</v>
      </c>
      <c r="C2838" s="14">
        <v>22.2</v>
      </c>
      <c r="D2838" s="14">
        <v>57</v>
      </c>
      <c r="E2838" s="14">
        <v>729</v>
      </c>
      <c r="F2838" s="14">
        <v>6.6</v>
      </c>
      <c r="G2838" s="14">
        <v>29</v>
      </c>
      <c r="H2838" s="14">
        <v>71.959999999999994</v>
      </c>
      <c r="I2838" s="15">
        <v>0.56999999999999995</v>
      </c>
    </row>
    <row r="2839" spans="1:9" x14ac:dyDescent="0.25">
      <c r="A2839" s="12">
        <v>63</v>
      </c>
      <c r="B2839" s="13">
        <v>45170</v>
      </c>
      <c r="C2839" s="14">
        <v>21.8</v>
      </c>
      <c r="D2839" s="14">
        <v>71</v>
      </c>
      <c r="E2839" s="14">
        <v>444</v>
      </c>
      <c r="F2839" s="14">
        <v>6.8</v>
      </c>
      <c r="G2839" s="14">
        <v>30</v>
      </c>
      <c r="H2839" s="14">
        <v>71.239999999999995</v>
      </c>
      <c r="I2839" s="15">
        <v>0.71</v>
      </c>
    </row>
    <row r="2840" spans="1:9" x14ac:dyDescent="0.25">
      <c r="A2840" s="12">
        <v>63</v>
      </c>
      <c r="B2840" s="13">
        <v>45171</v>
      </c>
      <c r="C2840" s="14">
        <v>24.6</v>
      </c>
      <c r="D2840" s="14">
        <v>78</v>
      </c>
      <c r="E2840" s="14">
        <v>457</v>
      </c>
      <c r="F2840" s="14">
        <v>6.8</v>
      </c>
      <c r="G2840" s="14">
        <v>31</v>
      </c>
      <c r="H2840" s="14">
        <v>76.28</v>
      </c>
      <c r="I2840" s="15">
        <v>0.78</v>
      </c>
    </row>
    <row r="2841" spans="1:9" x14ac:dyDescent="0.25">
      <c r="A2841" s="12">
        <v>63</v>
      </c>
      <c r="B2841" s="13">
        <v>45172</v>
      </c>
      <c r="C2841" s="14">
        <v>22.2</v>
      </c>
      <c r="D2841" s="14">
        <v>75</v>
      </c>
      <c r="E2841" s="14">
        <v>455</v>
      </c>
      <c r="F2841" s="14">
        <v>6.3</v>
      </c>
      <c r="G2841" s="14">
        <v>32</v>
      </c>
      <c r="H2841" s="14">
        <v>71.959999999999994</v>
      </c>
      <c r="I2841" s="15">
        <v>0.75</v>
      </c>
    </row>
    <row r="2842" spans="1:9" x14ac:dyDescent="0.25">
      <c r="A2842" s="12">
        <v>63</v>
      </c>
      <c r="B2842" s="13">
        <v>45173</v>
      </c>
      <c r="C2842" s="14">
        <v>22</v>
      </c>
      <c r="D2842" s="14">
        <v>68</v>
      </c>
      <c r="E2842" s="14">
        <v>608</v>
      </c>
      <c r="F2842" s="14">
        <v>6.1</v>
      </c>
      <c r="G2842" s="14">
        <v>33</v>
      </c>
      <c r="H2842" s="14">
        <v>71.599999999999994</v>
      </c>
      <c r="I2842" s="15">
        <v>0.68</v>
      </c>
    </row>
    <row r="2843" spans="1:9" x14ac:dyDescent="0.25">
      <c r="A2843" s="12">
        <v>63</v>
      </c>
      <c r="B2843" s="13">
        <v>45174</v>
      </c>
      <c r="C2843" s="14">
        <v>22.1</v>
      </c>
      <c r="D2843" s="14">
        <v>51</v>
      </c>
      <c r="E2843" s="14">
        <v>578</v>
      </c>
      <c r="F2843" s="14">
        <v>6.5</v>
      </c>
      <c r="G2843" s="14">
        <v>34</v>
      </c>
      <c r="H2843" s="14">
        <v>71.78</v>
      </c>
      <c r="I2843" s="15">
        <v>0.51</v>
      </c>
    </row>
    <row r="2844" spans="1:9" x14ac:dyDescent="0.25">
      <c r="A2844" s="12">
        <v>63</v>
      </c>
      <c r="B2844" s="13">
        <v>45175</v>
      </c>
      <c r="C2844" s="14">
        <v>22</v>
      </c>
      <c r="D2844" s="14">
        <v>71</v>
      </c>
      <c r="E2844" s="14">
        <v>780</v>
      </c>
      <c r="F2844" s="14">
        <v>6.5</v>
      </c>
      <c r="G2844" s="14">
        <v>35</v>
      </c>
      <c r="H2844" s="14">
        <v>71.599999999999994</v>
      </c>
      <c r="I2844" s="15">
        <v>0.71</v>
      </c>
    </row>
    <row r="2845" spans="1:9" x14ac:dyDescent="0.25">
      <c r="A2845" s="12">
        <v>63</v>
      </c>
      <c r="B2845" s="13">
        <v>45176</v>
      </c>
      <c r="C2845" s="14">
        <v>20.6</v>
      </c>
      <c r="D2845" s="14">
        <v>77</v>
      </c>
      <c r="E2845" s="14">
        <v>537</v>
      </c>
      <c r="F2845" s="14">
        <v>6.4</v>
      </c>
      <c r="G2845" s="14">
        <v>36</v>
      </c>
      <c r="H2845" s="14">
        <v>69.08</v>
      </c>
      <c r="I2845" s="15">
        <v>0.77</v>
      </c>
    </row>
    <row r="2846" spans="1:9" x14ac:dyDescent="0.25">
      <c r="A2846" s="12">
        <v>63</v>
      </c>
      <c r="B2846" s="13">
        <v>45177</v>
      </c>
      <c r="C2846" s="14">
        <v>22.4</v>
      </c>
      <c r="D2846" s="14">
        <v>69</v>
      </c>
      <c r="E2846" s="14">
        <v>708</v>
      </c>
      <c r="F2846" s="14">
        <v>6</v>
      </c>
      <c r="G2846" s="14">
        <v>37</v>
      </c>
      <c r="H2846" s="14">
        <v>72.319999999999993</v>
      </c>
      <c r="I2846" s="15">
        <v>0.69</v>
      </c>
    </row>
    <row r="2847" spans="1:9" x14ac:dyDescent="0.25">
      <c r="A2847" s="12">
        <v>63</v>
      </c>
      <c r="B2847" s="13">
        <v>45178</v>
      </c>
      <c r="C2847" s="14">
        <v>18.8</v>
      </c>
      <c r="D2847" s="14">
        <v>57</v>
      </c>
      <c r="E2847" s="14">
        <v>482</v>
      </c>
      <c r="F2847" s="14">
        <v>6</v>
      </c>
      <c r="G2847" s="14">
        <v>38</v>
      </c>
      <c r="H2847" s="14">
        <v>65.84</v>
      </c>
      <c r="I2847" s="15">
        <v>0.56999999999999995</v>
      </c>
    </row>
    <row r="2848" spans="1:9" x14ac:dyDescent="0.25">
      <c r="A2848" s="12">
        <v>63</v>
      </c>
      <c r="B2848" s="13">
        <v>45179</v>
      </c>
      <c r="C2848" s="14">
        <v>21.6</v>
      </c>
      <c r="D2848" s="14">
        <v>77</v>
      </c>
      <c r="E2848" s="14">
        <v>677</v>
      </c>
      <c r="F2848" s="14">
        <v>6.8</v>
      </c>
      <c r="G2848" s="14">
        <v>39</v>
      </c>
      <c r="H2848" s="14">
        <v>70.88</v>
      </c>
      <c r="I2848" s="15">
        <v>0.77</v>
      </c>
    </row>
    <row r="2849" spans="1:9" x14ac:dyDescent="0.25">
      <c r="A2849" s="12">
        <v>63</v>
      </c>
      <c r="B2849" s="13">
        <v>45180</v>
      </c>
      <c r="C2849" s="14">
        <v>18.899999999999999</v>
      </c>
      <c r="D2849" s="14">
        <v>56</v>
      </c>
      <c r="E2849" s="14">
        <v>657</v>
      </c>
      <c r="F2849" s="14">
        <v>6.7</v>
      </c>
      <c r="G2849" s="14">
        <v>40</v>
      </c>
      <c r="H2849" s="14">
        <v>66.02</v>
      </c>
      <c r="I2849" s="15">
        <v>0.56000000000000005</v>
      </c>
    </row>
    <row r="2850" spans="1:9" x14ac:dyDescent="0.25">
      <c r="A2850" s="12">
        <v>63</v>
      </c>
      <c r="B2850" s="13">
        <v>45181</v>
      </c>
      <c r="C2850" s="14">
        <v>18.8</v>
      </c>
      <c r="D2850" s="14">
        <v>66</v>
      </c>
      <c r="E2850" s="14">
        <v>459</v>
      </c>
      <c r="F2850" s="14">
        <v>6.4</v>
      </c>
      <c r="G2850" s="14">
        <v>41</v>
      </c>
      <c r="H2850" s="14">
        <v>65.84</v>
      </c>
      <c r="I2850" s="15">
        <v>0.66</v>
      </c>
    </row>
    <row r="2851" spans="1:9" x14ac:dyDescent="0.25">
      <c r="A2851" s="12">
        <v>63</v>
      </c>
      <c r="B2851" s="13">
        <v>45182</v>
      </c>
      <c r="C2851" s="14">
        <v>21.2</v>
      </c>
      <c r="D2851" s="14">
        <v>79</v>
      </c>
      <c r="E2851" s="14">
        <v>496</v>
      </c>
      <c r="F2851" s="14">
        <v>6.4</v>
      </c>
      <c r="G2851" s="14">
        <v>42</v>
      </c>
      <c r="H2851" s="14">
        <v>70.16</v>
      </c>
      <c r="I2851" s="15">
        <v>0.79</v>
      </c>
    </row>
    <row r="2852" spans="1:9" x14ac:dyDescent="0.25">
      <c r="A2852" s="12">
        <v>63</v>
      </c>
      <c r="B2852" s="13">
        <v>45183</v>
      </c>
      <c r="C2852" s="14">
        <v>22.1</v>
      </c>
      <c r="D2852" s="14">
        <v>65</v>
      </c>
      <c r="E2852" s="14">
        <v>723</v>
      </c>
      <c r="F2852" s="14">
        <v>6.5</v>
      </c>
      <c r="G2852" s="14">
        <v>43</v>
      </c>
      <c r="H2852" s="14">
        <v>71.78</v>
      </c>
      <c r="I2852" s="15">
        <v>0.65</v>
      </c>
    </row>
    <row r="2853" spans="1:9" x14ac:dyDescent="0.25">
      <c r="A2853" s="12">
        <v>63</v>
      </c>
      <c r="B2853" s="13">
        <v>45184</v>
      </c>
      <c r="C2853" s="14">
        <v>23.5</v>
      </c>
      <c r="D2853" s="14">
        <v>53</v>
      </c>
      <c r="E2853" s="14">
        <v>560</v>
      </c>
      <c r="F2853" s="14">
        <v>6.6</v>
      </c>
      <c r="G2853" s="14">
        <v>44</v>
      </c>
      <c r="H2853" s="14">
        <v>74.3</v>
      </c>
      <c r="I2853" s="15">
        <v>0.53</v>
      </c>
    </row>
    <row r="2854" spans="1:9" x14ac:dyDescent="0.25">
      <c r="A2854" s="12">
        <v>63</v>
      </c>
      <c r="B2854" s="13">
        <v>45185</v>
      </c>
      <c r="C2854" s="14">
        <v>22.1</v>
      </c>
      <c r="D2854" s="14">
        <v>64</v>
      </c>
      <c r="E2854" s="14">
        <v>533</v>
      </c>
      <c r="F2854" s="14">
        <v>6.6</v>
      </c>
      <c r="G2854" s="14">
        <v>45</v>
      </c>
      <c r="H2854" s="14">
        <v>71.78</v>
      </c>
      <c r="I2854" s="15">
        <v>0.64</v>
      </c>
    </row>
    <row r="2855" spans="1:9" x14ac:dyDescent="0.25">
      <c r="A2855" s="12">
        <v>64</v>
      </c>
      <c r="B2855" s="13">
        <v>45141</v>
      </c>
      <c r="C2855" s="14">
        <v>18.2</v>
      </c>
      <c r="D2855" s="14">
        <v>52</v>
      </c>
      <c r="E2855" s="14">
        <v>549</v>
      </c>
      <c r="F2855" s="14">
        <v>6.5</v>
      </c>
      <c r="G2855" s="14">
        <v>1</v>
      </c>
      <c r="H2855" s="14">
        <v>64.760000000000005</v>
      </c>
      <c r="I2855" s="15">
        <v>0.52</v>
      </c>
    </row>
    <row r="2856" spans="1:9" x14ac:dyDescent="0.25">
      <c r="A2856" s="12">
        <v>64</v>
      </c>
      <c r="B2856" s="13">
        <v>45142</v>
      </c>
      <c r="C2856" s="14">
        <v>18.3</v>
      </c>
      <c r="D2856" s="14">
        <v>70</v>
      </c>
      <c r="E2856" s="14">
        <v>581</v>
      </c>
      <c r="F2856" s="14">
        <v>6.5</v>
      </c>
      <c r="G2856" s="14">
        <v>2</v>
      </c>
      <c r="H2856" s="14">
        <v>64.94</v>
      </c>
      <c r="I2856" s="15">
        <v>0.7</v>
      </c>
    </row>
    <row r="2857" spans="1:9" x14ac:dyDescent="0.25">
      <c r="A2857" s="12">
        <v>64</v>
      </c>
      <c r="B2857" s="13">
        <v>45143</v>
      </c>
      <c r="C2857" s="14">
        <v>18.600000000000001</v>
      </c>
      <c r="D2857" s="14">
        <v>62</v>
      </c>
      <c r="E2857" s="14">
        <v>573</v>
      </c>
      <c r="F2857" s="14">
        <v>6.3</v>
      </c>
      <c r="G2857" s="14">
        <v>3</v>
      </c>
      <c r="H2857" s="14">
        <v>65.48</v>
      </c>
      <c r="I2857" s="15">
        <v>0.62</v>
      </c>
    </row>
    <row r="2858" spans="1:9" x14ac:dyDescent="0.25">
      <c r="A2858" s="12">
        <v>64</v>
      </c>
      <c r="B2858" s="13">
        <v>45144</v>
      </c>
      <c r="C2858" s="14">
        <v>23.4</v>
      </c>
      <c r="D2858" s="14">
        <v>73</v>
      </c>
      <c r="E2858" s="14">
        <v>735</v>
      </c>
      <c r="F2858" s="14">
        <v>6.3</v>
      </c>
      <c r="G2858" s="14">
        <v>4</v>
      </c>
      <c r="H2858" s="14">
        <v>74.12</v>
      </c>
      <c r="I2858" s="15">
        <v>0.73</v>
      </c>
    </row>
    <row r="2859" spans="1:9" x14ac:dyDescent="0.25">
      <c r="A2859" s="12">
        <v>64</v>
      </c>
      <c r="B2859" s="13">
        <v>45145</v>
      </c>
      <c r="C2859" s="14">
        <v>22.7</v>
      </c>
      <c r="D2859" s="14">
        <v>73</v>
      </c>
      <c r="E2859" s="14">
        <v>651</v>
      </c>
      <c r="F2859" s="14">
        <v>6.3</v>
      </c>
      <c r="G2859" s="14">
        <v>5</v>
      </c>
      <c r="H2859" s="14">
        <v>72.86</v>
      </c>
      <c r="I2859" s="15">
        <v>0.73</v>
      </c>
    </row>
    <row r="2860" spans="1:9" x14ac:dyDescent="0.25">
      <c r="A2860" s="12">
        <v>64</v>
      </c>
      <c r="B2860" s="13">
        <v>45146</v>
      </c>
      <c r="C2860" s="14">
        <v>24.1</v>
      </c>
      <c r="D2860" s="14">
        <v>68</v>
      </c>
      <c r="E2860" s="14">
        <v>586</v>
      </c>
      <c r="F2860" s="14">
        <v>6.2</v>
      </c>
      <c r="G2860" s="14">
        <v>6</v>
      </c>
      <c r="H2860" s="14">
        <v>75.38</v>
      </c>
      <c r="I2860" s="15">
        <v>0.68</v>
      </c>
    </row>
    <row r="2861" spans="1:9" x14ac:dyDescent="0.25">
      <c r="A2861" s="12">
        <v>64</v>
      </c>
      <c r="B2861" s="13">
        <v>45147</v>
      </c>
      <c r="C2861" s="14">
        <v>22.5</v>
      </c>
      <c r="D2861" s="14">
        <v>58</v>
      </c>
      <c r="E2861" s="14">
        <v>766</v>
      </c>
      <c r="F2861" s="14">
        <v>6.2</v>
      </c>
      <c r="G2861" s="14">
        <v>7</v>
      </c>
      <c r="H2861" s="14">
        <v>72.5</v>
      </c>
      <c r="I2861" s="15">
        <v>0.57999999999999996</v>
      </c>
    </row>
    <row r="2862" spans="1:9" x14ac:dyDescent="0.25">
      <c r="A2862" s="12">
        <v>64</v>
      </c>
      <c r="B2862" s="13">
        <v>45148</v>
      </c>
      <c r="C2862" s="14">
        <v>22.6</v>
      </c>
      <c r="D2862" s="14">
        <v>76</v>
      </c>
      <c r="E2862" s="14">
        <v>419</v>
      </c>
      <c r="F2862" s="14">
        <v>6.3</v>
      </c>
      <c r="G2862" s="14">
        <v>8</v>
      </c>
      <c r="H2862" s="14">
        <v>72.680000000000007</v>
      </c>
      <c r="I2862" s="15">
        <v>0.76</v>
      </c>
    </row>
    <row r="2863" spans="1:9" x14ac:dyDescent="0.25">
      <c r="A2863" s="12">
        <v>64</v>
      </c>
      <c r="B2863" s="13">
        <v>45149</v>
      </c>
      <c r="C2863" s="14">
        <v>22.3</v>
      </c>
      <c r="D2863" s="14">
        <v>64</v>
      </c>
      <c r="E2863" s="14">
        <v>749</v>
      </c>
      <c r="F2863" s="14">
        <v>6.6</v>
      </c>
      <c r="G2863" s="14">
        <v>9</v>
      </c>
      <c r="H2863" s="14">
        <v>72.14</v>
      </c>
      <c r="I2863" s="15">
        <v>0.64</v>
      </c>
    </row>
    <row r="2864" spans="1:9" x14ac:dyDescent="0.25">
      <c r="A2864" s="12">
        <v>64</v>
      </c>
      <c r="B2864" s="13">
        <v>45150</v>
      </c>
      <c r="C2864" s="14">
        <v>24.2</v>
      </c>
      <c r="D2864" s="14">
        <v>65</v>
      </c>
      <c r="E2864" s="14">
        <v>535</v>
      </c>
      <c r="F2864" s="14">
        <v>6.5</v>
      </c>
      <c r="G2864" s="14">
        <v>10</v>
      </c>
      <c r="H2864" s="14">
        <v>75.56</v>
      </c>
      <c r="I2864" s="15">
        <v>0.65</v>
      </c>
    </row>
    <row r="2865" spans="1:9" x14ac:dyDescent="0.25">
      <c r="A2865" s="12">
        <v>64</v>
      </c>
      <c r="B2865" s="13">
        <v>45151</v>
      </c>
      <c r="C2865" s="14">
        <v>24.1</v>
      </c>
      <c r="D2865" s="14">
        <v>65</v>
      </c>
      <c r="E2865" s="14">
        <v>451</v>
      </c>
      <c r="F2865" s="14">
        <v>6.3</v>
      </c>
      <c r="G2865" s="14">
        <v>11</v>
      </c>
      <c r="H2865" s="14">
        <v>75.38</v>
      </c>
      <c r="I2865" s="15">
        <v>0.65</v>
      </c>
    </row>
    <row r="2866" spans="1:9" x14ac:dyDescent="0.25">
      <c r="A2866" s="12">
        <v>64</v>
      </c>
      <c r="B2866" s="13">
        <v>45152</v>
      </c>
      <c r="C2866" s="14">
        <v>24.5</v>
      </c>
      <c r="D2866" s="14">
        <v>66</v>
      </c>
      <c r="E2866" s="14">
        <v>618</v>
      </c>
      <c r="F2866" s="14">
        <v>6.1</v>
      </c>
      <c r="G2866" s="14">
        <v>12</v>
      </c>
      <c r="H2866" s="14">
        <v>76.099999999999994</v>
      </c>
      <c r="I2866" s="15">
        <v>0.66</v>
      </c>
    </row>
    <row r="2867" spans="1:9" x14ac:dyDescent="0.25">
      <c r="A2867" s="12">
        <v>64</v>
      </c>
      <c r="B2867" s="13">
        <v>45153</v>
      </c>
      <c r="C2867" s="14">
        <v>19.7</v>
      </c>
      <c r="D2867" s="14">
        <v>80</v>
      </c>
      <c r="E2867" s="14">
        <v>520</v>
      </c>
      <c r="F2867" s="14">
        <v>6.7</v>
      </c>
      <c r="G2867" s="14">
        <v>13</v>
      </c>
      <c r="H2867" s="14">
        <v>67.459999999999994</v>
      </c>
      <c r="I2867" s="15">
        <v>0.8</v>
      </c>
    </row>
    <row r="2868" spans="1:9" x14ac:dyDescent="0.25">
      <c r="A2868" s="12">
        <v>64</v>
      </c>
      <c r="B2868" s="13">
        <v>45154</v>
      </c>
      <c r="C2868" s="14">
        <v>20.399999999999999</v>
      </c>
      <c r="D2868" s="14">
        <v>62</v>
      </c>
      <c r="E2868" s="14">
        <v>616</v>
      </c>
      <c r="F2868" s="14">
        <v>6.2</v>
      </c>
      <c r="G2868" s="14">
        <v>14</v>
      </c>
      <c r="H2868" s="14">
        <v>68.72</v>
      </c>
      <c r="I2868" s="15">
        <v>0.62</v>
      </c>
    </row>
    <row r="2869" spans="1:9" x14ac:dyDescent="0.25">
      <c r="A2869" s="12">
        <v>64</v>
      </c>
      <c r="B2869" s="13">
        <v>45155</v>
      </c>
      <c r="C2869" s="14">
        <v>25</v>
      </c>
      <c r="D2869" s="14">
        <v>76</v>
      </c>
      <c r="E2869" s="14">
        <v>766</v>
      </c>
      <c r="F2869" s="14">
        <v>6.4</v>
      </c>
      <c r="G2869" s="14">
        <v>15</v>
      </c>
      <c r="H2869" s="14">
        <v>77</v>
      </c>
      <c r="I2869" s="15">
        <v>0.76</v>
      </c>
    </row>
    <row r="2870" spans="1:9" x14ac:dyDescent="0.25">
      <c r="A2870" s="12">
        <v>64</v>
      </c>
      <c r="B2870" s="13">
        <v>45156</v>
      </c>
      <c r="C2870" s="14">
        <v>22.3</v>
      </c>
      <c r="D2870" s="14">
        <v>60</v>
      </c>
      <c r="E2870" s="14">
        <v>433</v>
      </c>
      <c r="F2870" s="14">
        <v>6.2</v>
      </c>
      <c r="G2870" s="14">
        <v>16</v>
      </c>
      <c r="H2870" s="14">
        <v>72.14</v>
      </c>
      <c r="I2870" s="15">
        <v>0.6</v>
      </c>
    </row>
    <row r="2871" spans="1:9" x14ac:dyDescent="0.25">
      <c r="A2871" s="12">
        <v>64</v>
      </c>
      <c r="B2871" s="13">
        <v>45157</v>
      </c>
      <c r="C2871" s="14">
        <v>19.600000000000001</v>
      </c>
      <c r="D2871" s="14">
        <v>61</v>
      </c>
      <c r="E2871" s="14">
        <v>407</v>
      </c>
      <c r="F2871" s="14">
        <v>6.7</v>
      </c>
      <c r="G2871" s="14">
        <v>17</v>
      </c>
      <c r="H2871" s="14">
        <v>67.28</v>
      </c>
      <c r="I2871" s="15">
        <v>0.61</v>
      </c>
    </row>
    <row r="2872" spans="1:9" x14ac:dyDescent="0.25">
      <c r="A2872" s="12">
        <v>64</v>
      </c>
      <c r="B2872" s="13">
        <v>45158</v>
      </c>
      <c r="C2872" s="14">
        <v>23</v>
      </c>
      <c r="D2872" s="14">
        <v>78</v>
      </c>
      <c r="E2872" s="14">
        <v>545</v>
      </c>
      <c r="F2872" s="14">
        <v>6.2</v>
      </c>
      <c r="G2872" s="14">
        <v>18</v>
      </c>
      <c r="H2872" s="14">
        <v>73.400000000000006</v>
      </c>
      <c r="I2872" s="15">
        <v>0.78</v>
      </c>
    </row>
    <row r="2873" spans="1:9" x14ac:dyDescent="0.25">
      <c r="A2873" s="12">
        <v>64</v>
      </c>
      <c r="B2873" s="13">
        <v>45159</v>
      </c>
      <c r="C2873" s="14">
        <v>23.2</v>
      </c>
      <c r="D2873" s="14">
        <v>74</v>
      </c>
      <c r="E2873" s="14">
        <v>616</v>
      </c>
      <c r="F2873" s="14">
        <v>6.2</v>
      </c>
      <c r="G2873" s="14">
        <v>19</v>
      </c>
      <c r="H2873" s="14">
        <v>73.760000000000005</v>
      </c>
      <c r="I2873" s="15">
        <v>0.74</v>
      </c>
    </row>
    <row r="2874" spans="1:9" x14ac:dyDescent="0.25">
      <c r="A2874" s="12">
        <v>64</v>
      </c>
      <c r="B2874" s="13">
        <v>45160</v>
      </c>
      <c r="C2874" s="14">
        <v>18.600000000000001</v>
      </c>
      <c r="D2874" s="14">
        <v>57</v>
      </c>
      <c r="E2874" s="14">
        <v>552</v>
      </c>
      <c r="F2874" s="14">
        <v>6.1</v>
      </c>
      <c r="G2874" s="14">
        <v>20</v>
      </c>
      <c r="H2874" s="14">
        <v>65.48</v>
      </c>
      <c r="I2874" s="15">
        <v>0.56999999999999995</v>
      </c>
    </row>
    <row r="2875" spans="1:9" x14ac:dyDescent="0.25">
      <c r="A2875" s="12">
        <v>64</v>
      </c>
      <c r="B2875" s="13">
        <v>45161</v>
      </c>
      <c r="C2875" s="14">
        <v>23.9</v>
      </c>
      <c r="D2875" s="14">
        <v>50</v>
      </c>
      <c r="E2875" s="14">
        <v>595</v>
      </c>
      <c r="F2875" s="14">
        <v>6.2</v>
      </c>
      <c r="G2875" s="14">
        <v>21</v>
      </c>
      <c r="H2875" s="14">
        <v>75.02</v>
      </c>
      <c r="I2875" s="15">
        <v>0.5</v>
      </c>
    </row>
    <row r="2876" spans="1:9" x14ac:dyDescent="0.25">
      <c r="A2876" s="12">
        <v>64</v>
      </c>
      <c r="B2876" s="13">
        <v>45162</v>
      </c>
      <c r="C2876" s="14">
        <v>23.2</v>
      </c>
      <c r="D2876" s="14">
        <v>71</v>
      </c>
      <c r="E2876" s="14">
        <v>625</v>
      </c>
      <c r="F2876" s="14">
        <v>6.6</v>
      </c>
      <c r="G2876" s="14">
        <v>22</v>
      </c>
      <c r="H2876" s="14">
        <v>73.760000000000005</v>
      </c>
      <c r="I2876" s="15">
        <v>0.71</v>
      </c>
    </row>
    <row r="2877" spans="1:9" x14ac:dyDescent="0.25">
      <c r="A2877" s="12">
        <v>64</v>
      </c>
      <c r="B2877" s="13">
        <v>45163</v>
      </c>
      <c r="C2877" s="14">
        <v>20.8</v>
      </c>
      <c r="D2877" s="14">
        <v>80</v>
      </c>
      <c r="E2877" s="14">
        <v>634</v>
      </c>
      <c r="F2877" s="14">
        <v>6.7</v>
      </c>
      <c r="G2877" s="14">
        <v>23</v>
      </c>
      <c r="H2877" s="14">
        <v>69.44</v>
      </c>
      <c r="I2877" s="15">
        <v>0.8</v>
      </c>
    </row>
    <row r="2878" spans="1:9" x14ac:dyDescent="0.25">
      <c r="A2878" s="12">
        <v>64</v>
      </c>
      <c r="B2878" s="13">
        <v>45164</v>
      </c>
      <c r="C2878" s="14">
        <v>18.2</v>
      </c>
      <c r="D2878" s="14">
        <v>78</v>
      </c>
      <c r="E2878" s="14">
        <v>772</v>
      </c>
      <c r="F2878" s="14">
        <v>6.1</v>
      </c>
      <c r="G2878" s="14">
        <v>24</v>
      </c>
      <c r="H2878" s="14">
        <v>64.760000000000005</v>
      </c>
      <c r="I2878" s="15">
        <v>0.78</v>
      </c>
    </row>
    <row r="2879" spans="1:9" x14ac:dyDescent="0.25">
      <c r="A2879" s="12">
        <v>64</v>
      </c>
      <c r="B2879" s="13">
        <v>45165</v>
      </c>
      <c r="C2879" s="14">
        <v>24.6</v>
      </c>
      <c r="D2879" s="14">
        <v>67</v>
      </c>
      <c r="E2879" s="14">
        <v>711</v>
      </c>
      <c r="F2879" s="14">
        <v>6.5</v>
      </c>
      <c r="G2879" s="14">
        <v>25</v>
      </c>
      <c r="H2879" s="14">
        <v>76.28</v>
      </c>
      <c r="I2879" s="15">
        <v>0.67</v>
      </c>
    </row>
    <row r="2880" spans="1:9" x14ac:dyDescent="0.25">
      <c r="A2880" s="12">
        <v>64</v>
      </c>
      <c r="B2880" s="13">
        <v>45166</v>
      </c>
      <c r="C2880" s="14">
        <v>18.5</v>
      </c>
      <c r="D2880" s="14">
        <v>80</v>
      </c>
      <c r="E2880" s="14">
        <v>410</v>
      </c>
      <c r="F2880" s="14">
        <v>6.5</v>
      </c>
      <c r="G2880" s="14">
        <v>26</v>
      </c>
      <c r="H2880" s="14">
        <v>65.3</v>
      </c>
      <c r="I2880" s="15">
        <v>0.8</v>
      </c>
    </row>
    <row r="2881" spans="1:9" x14ac:dyDescent="0.25">
      <c r="A2881" s="12">
        <v>64</v>
      </c>
      <c r="B2881" s="13">
        <v>45167</v>
      </c>
      <c r="C2881" s="14">
        <v>20.7</v>
      </c>
      <c r="D2881" s="14">
        <v>55</v>
      </c>
      <c r="E2881" s="14">
        <v>673</v>
      </c>
      <c r="F2881" s="14">
        <v>6.7</v>
      </c>
      <c r="G2881" s="14">
        <v>27</v>
      </c>
      <c r="H2881" s="14">
        <v>69.260000000000005</v>
      </c>
      <c r="I2881" s="15">
        <v>0.55000000000000004</v>
      </c>
    </row>
    <row r="2882" spans="1:9" x14ac:dyDescent="0.25">
      <c r="A2882" s="12">
        <v>64</v>
      </c>
      <c r="B2882" s="13">
        <v>45168</v>
      </c>
      <c r="C2882" s="14">
        <v>24.8</v>
      </c>
      <c r="D2882" s="14">
        <v>78</v>
      </c>
      <c r="E2882" s="14">
        <v>753</v>
      </c>
      <c r="F2882" s="14">
        <v>6.4</v>
      </c>
      <c r="G2882" s="14">
        <v>28</v>
      </c>
      <c r="H2882" s="14">
        <v>76.64</v>
      </c>
      <c r="I2882" s="15">
        <v>0.78</v>
      </c>
    </row>
    <row r="2883" spans="1:9" x14ac:dyDescent="0.25">
      <c r="A2883" s="12">
        <v>64</v>
      </c>
      <c r="B2883" s="13">
        <v>45169</v>
      </c>
      <c r="C2883" s="14">
        <v>21.2</v>
      </c>
      <c r="D2883" s="14">
        <v>62</v>
      </c>
      <c r="E2883" s="14">
        <v>607</v>
      </c>
      <c r="F2883" s="14">
        <v>6.7</v>
      </c>
      <c r="G2883" s="14">
        <v>29</v>
      </c>
      <c r="H2883" s="14">
        <v>70.16</v>
      </c>
      <c r="I2883" s="15">
        <v>0.62</v>
      </c>
    </row>
    <row r="2884" spans="1:9" x14ac:dyDescent="0.25">
      <c r="A2884" s="12">
        <v>64</v>
      </c>
      <c r="B2884" s="13">
        <v>45170</v>
      </c>
      <c r="C2884" s="14">
        <v>18.600000000000001</v>
      </c>
      <c r="D2884" s="14">
        <v>80</v>
      </c>
      <c r="E2884" s="14">
        <v>443</v>
      </c>
      <c r="F2884" s="14">
        <v>6.8</v>
      </c>
      <c r="G2884" s="14">
        <v>30</v>
      </c>
      <c r="H2884" s="14">
        <v>65.48</v>
      </c>
      <c r="I2884" s="15">
        <v>0.8</v>
      </c>
    </row>
    <row r="2885" spans="1:9" x14ac:dyDescent="0.25">
      <c r="A2885" s="12">
        <v>64</v>
      </c>
      <c r="B2885" s="13">
        <v>45171</v>
      </c>
      <c r="C2885" s="14">
        <v>24.2</v>
      </c>
      <c r="D2885" s="14">
        <v>80</v>
      </c>
      <c r="E2885" s="14">
        <v>688</v>
      </c>
      <c r="F2885" s="14">
        <v>6.5</v>
      </c>
      <c r="G2885" s="14">
        <v>31</v>
      </c>
      <c r="H2885" s="14">
        <v>75.56</v>
      </c>
      <c r="I2885" s="15">
        <v>0.8</v>
      </c>
    </row>
    <row r="2886" spans="1:9" x14ac:dyDescent="0.25">
      <c r="A2886" s="12">
        <v>64</v>
      </c>
      <c r="B2886" s="13">
        <v>45172</v>
      </c>
      <c r="C2886" s="14">
        <v>23.1</v>
      </c>
      <c r="D2886" s="14">
        <v>62</v>
      </c>
      <c r="E2886" s="14">
        <v>764</v>
      </c>
      <c r="F2886" s="14">
        <v>6.5</v>
      </c>
      <c r="G2886" s="14">
        <v>32</v>
      </c>
      <c r="H2886" s="14">
        <v>73.58</v>
      </c>
      <c r="I2886" s="15">
        <v>0.62</v>
      </c>
    </row>
    <row r="2887" spans="1:9" x14ac:dyDescent="0.25">
      <c r="A2887" s="12">
        <v>64</v>
      </c>
      <c r="B2887" s="13">
        <v>45173</v>
      </c>
      <c r="C2887" s="14">
        <v>18.7</v>
      </c>
      <c r="D2887" s="14">
        <v>50</v>
      </c>
      <c r="E2887" s="14">
        <v>588</v>
      </c>
      <c r="F2887" s="14">
        <v>6.2</v>
      </c>
      <c r="G2887" s="14">
        <v>33</v>
      </c>
      <c r="H2887" s="14">
        <v>65.66</v>
      </c>
      <c r="I2887" s="15">
        <v>0.5</v>
      </c>
    </row>
    <row r="2888" spans="1:9" x14ac:dyDescent="0.25">
      <c r="A2888" s="12">
        <v>64</v>
      </c>
      <c r="B2888" s="13">
        <v>45174</v>
      </c>
      <c r="C2888" s="14">
        <v>23.4</v>
      </c>
      <c r="D2888" s="14">
        <v>68</v>
      </c>
      <c r="E2888" s="14">
        <v>576</v>
      </c>
      <c r="F2888" s="14">
        <v>6.4</v>
      </c>
      <c r="G2888" s="14">
        <v>34</v>
      </c>
      <c r="H2888" s="14">
        <v>74.12</v>
      </c>
      <c r="I2888" s="15">
        <v>0.68</v>
      </c>
    </row>
    <row r="2889" spans="1:9" x14ac:dyDescent="0.25">
      <c r="A2889" s="12">
        <v>64</v>
      </c>
      <c r="B2889" s="13">
        <v>45175</v>
      </c>
      <c r="C2889" s="14">
        <v>23.5</v>
      </c>
      <c r="D2889" s="14">
        <v>58</v>
      </c>
      <c r="E2889" s="14">
        <v>655</v>
      </c>
      <c r="F2889" s="14">
        <v>6.1</v>
      </c>
      <c r="G2889" s="14">
        <v>35</v>
      </c>
      <c r="H2889" s="14">
        <v>74.3</v>
      </c>
      <c r="I2889" s="15">
        <v>0.57999999999999996</v>
      </c>
    </row>
    <row r="2890" spans="1:9" x14ac:dyDescent="0.25">
      <c r="A2890" s="12">
        <v>64</v>
      </c>
      <c r="B2890" s="13">
        <v>45176</v>
      </c>
      <c r="C2890" s="14">
        <v>20.3</v>
      </c>
      <c r="D2890" s="14">
        <v>69</v>
      </c>
      <c r="E2890" s="14">
        <v>615</v>
      </c>
      <c r="F2890" s="14">
        <v>6.1</v>
      </c>
      <c r="G2890" s="14">
        <v>36</v>
      </c>
      <c r="H2890" s="14">
        <v>68.540000000000006</v>
      </c>
      <c r="I2890" s="15">
        <v>0.69</v>
      </c>
    </row>
    <row r="2891" spans="1:9" x14ac:dyDescent="0.25">
      <c r="A2891" s="12">
        <v>64</v>
      </c>
      <c r="B2891" s="13">
        <v>45177</v>
      </c>
      <c r="C2891" s="14">
        <v>18.899999999999999</v>
      </c>
      <c r="D2891" s="14">
        <v>68</v>
      </c>
      <c r="E2891" s="14">
        <v>781</v>
      </c>
      <c r="F2891" s="14">
        <v>6.1</v>
      </c>
      <c r="G2891" s="14">
        <v>37</v>
      </c>
      <c r="H2891" s="14">
        <v>66.02</v>
      </c>
      <c r="I2891" s="15">
        <v>0.68</v>
      </c>
    </row>
    <row r="2892" spans="1:9" x14ac:dyDescent="0.25">
      <c r="A2892" s="12">
        <v>64</v>
      </c>
      <c r="B2892" s="13">
        <v>45178</v>
      </c>
      <c r="C2892" s="14">
        <v>20.8</v>
      </c>
      <c r="D2892" s="14">
        <v>59</v>
      </c>
      <c r="E2892" s="14">
        <v>742</v>
      </c>
      <c r="F2892" s="14">
        <v>6.2</v>
      </c>
      <c r="G2892" s="14">
        <v>38</v>
      </c>
      <c r="H2892" s="14">
        <v>69.44</v>
      </c>
      <c r="I2892" s="15">
        <v>0.59</v>
      </c>
    </row>
    <row r="2893" spans="1:9" x14ac:dyDescent="0.25">
      <c r="A2893" s="12">
        <v>64</v>
      </c>
      <c r="B2893" s="13">
        <v>45179</v>
      </c>
      <c r="C2893" s="14">
        <v>22.8</v>
      </c>
      <c r="D2893" s="14">
        <v>60</v>
      </c>
      <c r="E2893" s="14">
        <v>480</v>
      </c>
      <c r="F2893" s="14">
        <v>6.2</v>
      </c>
      <c r="G2893" s="14">
        <v>39</v>
      </c>
      <c r="H2893" s="14">
        <v>73.040000000000006</v>
      </c>
      <c r="I2893" s="15">
        <v>0.6</v>
      </c>
    </row>
    <row r="2894" spans="1:9" x14ac:dyDescent="0.25">
      <c r="A2894" s="12">
        <v>64</v>
      </c>
      <c r="B2894" s="13">
        <v>45180</v>
      </c>
      <c r="C2894" s="14">
        <v>22.4</v>
      </c>
      <c r="D2894" s="14">
        <v>78</v>
      </c>
      <c r="E2894" s="14">
        <v>732</v>
      </c>
      <c r="F2894" s="14">
        <v>6.3</v>
      </c>
      <c r="G2894" s="14">
        <v>40</v>
      </c>
      <c r="H2894" s="14">
        <v>72.319999999999993</v>
      </c>
      <c r="I2894" s="15">
        <v>0.78</v>
      </c>
    </row>
    <row r="2895" spans="1:9" x14ac:dyDescent="0.25">
      <c r="A2895" s="12">
        <v>64</v>
      </c>
      <c r="B2895" s="13">
        <v>45181</v>
      </c>
      <c r="C2895" s="14">
        <v>18.600000000000001</v>
      </c>
      <c r="D2895" s="14">
        <v>75</v>
      </c>
      <c r="E2895" s="14">
        <v>548</v>
      </c>
      <c r="F2895" s="14">
        <v>6.5</v>
      </c>
      <c r="G2895" s="14">
        <v>41</v>
      </c>
      <c r="H2895" s="14">
        <v>65.48</v>
      </c>
      <c r="I2895" s="15">
        <v>0.75</v>
      </c>
    </row>
    <row r="2896" spans="1:9" x14ac:dyDescent="0.25">
      <c r="A2896" s="12">
        <v>64</v>
      </c>
      <c r="B2896" s="13">
        <v>45182</v>
      </c>
      <c r="C2896" s="14">
        <v>18.2</v>
      </c>
      <c r="D2896" s="14">
        <v>73</v>
      </c>
      <c r="E2896" s="14">
        <v>471</v>
      </c>
      <c r="F2896" s="14">
        <v>6.6</v>
      </c>
      <c r="G2896" s="14">
        <v>42</v>
      </c>
      <c r="H2896" s="14">
        <v>64.760000000000005</v>
      </c>
      <c r="I2896" s="15">
        <v>0.73</v>
      </c>
    </row>
    <row r="2897" spans="1:9" x14ac:dyDescent="0.25">
      <c r="A2897" s="12">
        <v>64</v>
      </c>
      <c r="B2897" s="13">
        <v>45183</v>
      </c>
      <c r="C2897" s="14">
        <v>21.7</v>
      </c>
      <c r="D2897" s="14">
        <v>52</v>
      </c>
      <c r="E2897" s="14">
        <v>438</v>
      </c>
      <c r="F2897" s="14">
        <v>6</v>
      </c>
      <c r="G2897" s="14">
        <v>43</v>
      </c>
      <c r="H2897" s="14">
        <v>71.06</v>
      </c>
      <c r="I2897" s="15">
        <v>0.52</v>
      </c>
    </row>
    <row r="2898" spans="1:9" x14ac:dyDescent="0.25">
      <c r="A2898" s="12">
        <v>64</v>
      </c>
      <c r="B2898" s="13">
        <v>45184</v>
      </c>
      <c r="C2898" s="14">
        <v>23.5</v>
      </c>
      <c r="D2898" s="14">
        <v>72</v>
      </c>
      <c r="E2898" s="14">
        <v>422</v>
      </c>
      <c r="F2898" s="14">
        <v>6.6</v>
      </c>
      <c r="G2898" s="14">
        <v>44</v>
      </c>
      <c r="H2898" s="14">
        <v>74.3</v>
      </c>
      <c r="I2898" s="15">
        <v>0.72</v>
      </c>
    </row>
    <row r="2899" spans="1:9" x14ac:dyDescent="0.25">
      <c r="A2899" s="12">
        <v>64</v>
      </c>
      <c r="B2899" s="13">
        <v>45185</v>
      </c>
      <c r="C2899" s="14">
        <v>18.8</v>
      </c>
      <c r="D2899" s="14">
        <v>51</v>
      </c>
      <c r="E2899" s="14">
        <v>476</v>
      </c>
      <c r="F2899" s="14">
        <v>6.5</v>
      </c>
      <c r="G2899" s="14">
        <v>45</v>
      </c>
      <c r="H2899" s="14">
        <v>65.84</v>
      </c>
      <c r="I2899" s="15">
        <v>0.51</v>
      </c>
    </row>
    <row r="2900" spans="1:9" x14ac:dyDescent="0.25">
      <c r="A2900" s="12">
        <v>65</v>
      </c>
      <c r="B2900" s="13">
        <v>45141</v>
      </c>
      <c r="C2900" s="14">
        <v>21.9</v>
      </c>
      <c r="D2900" s="14">
        <v>77</v>
      </c>
      <c r="E2900" s="14">
        <v>605</v>
      </c>
      <c r="F2900" s="14">
        <v>6.7</v>
      </c>
      <c r="G2900" s="14">
        <v>1</v>
      </c>
      <c r="H2900" s="14">
        <v>71.42</v>
      </c>
      <c r="I2900" s="15">
        <v>0.77</v>
      </c>
    </row>
    <row r="2901" spans="1:9" x14ac:dyDescent="0.25">
      <c r="A2901" s="12">
        <v>65</v>
      </c>
      <c r="B2901" s="13">
        <v>45142</v>
      </c>
      <c r="C2901" s="14">
        <v>24.2</v>
      </c>
      <c r="D2901" s="14">
        <v>74</v>
      </c>
      <c r="E2901" s="14">
        <v>492</v>
      </c>
      <c r="F2901" s="14">
        <v>6.8</v>
      </c>
      <c r="G2901" s="14">
        <v>2</v>
      </c>
      <c r="H2901" s="14">
        <v>75.56</v>
      </c>
      <c r="I2901" s="15">
        <v>0.74</v>
      </c>
    </row>
    <row r="2902" spans="1:9" x14ac:dyDescent="0.25">
      <c r="A2902" s="12">
        <v>65</v>
      </c>
      <c r="B2902" s="13">
        <v>45143</v>
      </c>
      <c r="C2902" s="14">
        <v>24.3</v>
      </c>
      <c r="D2902" s="14">
        <v>70</v>
      </c>
      <c r="E2902" s="14">
        <v>580</v>
      </c>
      <c r="F2902" s="14">
        <v>6.7</v>
      </c>
      <c r="G2902" s="14">
        <v>3</v>
      </c>
      <c r="H2902" s="14">
        <v>75.739999999999995</v>
      </c>
      <c r="I2902" s="15">
        <v>0.7</v>
      </c>
    </row>
    <row r="2903" spans="1:9" x14ac:dyDescent="0.25">
      <c r="A2903" s="12">
        <v>65</v>
      </c>
      <c r="B2903" s="13">
        <v>45144</v>
      </c>
      <c r="C2903" s="14">
        <v>23.3</v>
      </c>
      <c r="D2903" s="14">
        <v>54</v>
      </c>
      <c r="E2903" s="14">
        <v>468</v>
      </c>
      <c r="F2903" s="14">
        <v>6.6</v>
      </c>
      <c r="G2903" s="14">
        <v>4</v>
      </c>
      <c r="H2903" s="14">
        <v>73.94</v>
      </c>
      <c r="I2903" s="15">
        <v>0.54</v>
      </c>
    </row>
    <row r="2904" spans="1:9" x14ac:dyDescent="0.25">
      <c r="A2904" s="12">
        <v>65</v>
      </c>
      <c r="B2904" s="13">
        <v>45145</v>
      </c>
      <c r="C2904" s="14">
        <v>21.1</v>
      </c>
      <c r="D2904" s="14">
        <v>50</v>
      </c>
      <c r="E2904" s="14">
        <v>462</v>
      </c>
      <c r="F2904" s="14">
        <v>6</v>
      </c>
      <c r="G2904" s="14">
        <v>5</v>
      </c>
      <c r="H2904" s="14">
        <v>69.98</v>
      </c>
      <c r="I2904" s="15">
        <v>0.5</v>
      </c>
    </row>
    <row r="2905" spans="1:9" x14ac:dyDescent="0.25">
      <c r="A2905" s="12">
        <v>65</v>
      </c>
      <c r="B2905" s="13">
        <v>45146</v>
      </c>
      <c r="C2905" s="14">
        <v>23.4</v>
      </c>
      <c r="D2905" s="14">
        <v>54</v>
      </c>
      <c r="E2905" s="14">
        <v>441</v>
      </c>
      <c r="F2905" s="14">
        <v>6.1</v>
      </c>
      <c r="G2905" s="14">
        <v>6</v>
      </c>
      <c r="H2905" s="14">
        <v>74.12</v>
      </c>
      <c r="I2905" s="15">
        <v>0.54</v>
      </c>
    </row>
    <row r="2906" spans="1:9" x14ac:dyDescent="0.25">
      <c r="A2906" s="12">
        <v>65</v>
      </c>
      <c r="B2906" s="13">
        <v>45147</v>
      </c>
      <c r="C2906" s="14">
        <v>19.3</v>
      </c>
      <c r="D2906" s="14">
        <v>66</v>
      </c>
      <c r="E2906" s="14">
        <v>661</v>
      </c>
      <c r="F2906" s="14">
        <v>6</v>
      </c>
      <c r="G2906" s="14">
        <v>7</v>
      </c>
      <c r="H2906" s="14">
        <v>66.739999999999995</v>
      </c>
      <c r="I2906" s="15">
        <v>0.66</v>
      </c>
    </row>
    <row r="2907" spans="1:9" x14ac:dyDescent="0.25">
      <c r="A2907" s="12">
        <v>65</v>
      </c>
      <c r="B2907" s="13">
        <v>45148</v>
      </c>
      <c r="C2907" s="14">
        <v>22.7</v>
      </c>
      <c r="D2907" s="14">
        <v>55</v>
      </c>
      <c r="E2907" s="14">
        <v>711</v>
      </c>
      <c r="F2907" s="14">
        <v>6.5</v>
      </c>
      <c r="G2907" s="14">
        <v>8</v>
      </c>
      <c r="H2907" s="14">
        <v>72.86</v>
      </c>
      <c r="I2907" s="15">
        <v>0.55000000000000004</v>
      </c>
    </row>
    <row r="2908" spans="1:9" x14ac:dyDescent="0.25">
      <c r="A2908" s="12">
        <v>65</v>
      </c>
      <c r="B2908" s="13">
        <v>45149</v>
      </c>
      <c r="C2908" s="14">
        <v>19.399999999999999</v>
      </c>
      <c r="D2908" s="14">
        <v>79</v>
      </c>
      <c r="E2908" s="14">
        <v>443</v>
      </c>
      <c r="F2908" s="14">
        <v>6.1</v>
      </c>
      <c r="G2908" s="14">
        <v>9</v>
      </c>
      <c r="H2908" s="14">
        <v>66.92</v>
      </c>
      <c r="I2908" s="15">
        <v>0.79</v>
      </c>
    </row>
    <row r="2909" spans="1:9" x14ac:dyDescent="0.25">
      <c r="A2909" s="12">
        <v>65</v>
      </c>
      <c r="B2909" s="13">
        <v>45150</v>
      </c>
      <c r="C2909" s="14">
        <v>22.3</v>
      </c>
      <c r="D2909" s="14">
        <v>52</v>
      </c>
      <c r="E2909" s="14">
        <v>616</v>
      </c>
      <c r="F2909" s="14">
        <v>6.4</v>
      </c>
      <c r="G2909" s="14">
        <v>10</v>
      </c>
      <c r="H2909" s="14">
        <v>72.14</v>
      </c>
      <c r="I2909" s="15">
        <v>0.52</v>
      </c>
    </row>
    <row r="2910" spans="1:9" x14ac:dyDescent="0.25">
      <c r="A2910" s="12">
        <v>65</v>
      </c>
      <c r="B2910" s="13">
        <v>45151</v>
      </c>
      <c r="C2910" s="14">
        <v>22.3</v>
      </c>
      <c r="D2910" s="14">
        <v>68</v>
      </c>
      <c r="E2910" s="14">
        <v>540</v>
      </c>
      <c r="F2910" s="14">
        <v>6.4</v>
      </c>
      <c r="G2910" s="14">
        <v>11</v>
      </c>
      <c r="H2910" s="14">
        <v>72.14</v>
      </c>
      <c r="I2910" s="15">
        <v>0.68</v>
      </c>
    </row>
    <row r="2911" spans="1:9" x14ac:dyDescent="0.25">
      <c r="A2911" s="12">
        <v>65</v>
      </c>
      <c r="B2911" s="13">
        <v>45152</v>
      </c>
      <c r="C2911" s="14">
        <v>18.100000000000001</v>
      </c>
      <c r="D2911" s="14">
        <v>69</v>
      </c>
      <c r="E2911" s="14">
        <v>731</v>
      </c>
      <c r="F2911" s="14">
        <v>6.2</v>
      </c>
      <c r="G2911" s="14">
        <v>12</v>
      </c>
      <c r="H2911" s="14">
        <v>64.58</v>
      </c>
      <c r="I2911" s="15">
        <v>0.69</v>
      </c>
    </row>
    <row r="2912" spans="1:9" x14ac:dyDescent="0.25">
      <c r="A2912" s="12">
        <v>65</v>
      </c>
      <c r="B2912" s="13">
        <v>45153</v>
      </c>
      <c r="C2912" s="14">
        <v>19.100000000000001</v>
      </c>
      <c r="D2912" s="14">
        <v>66</v>
      </c>
      <c r="E2912" s="14">
        <v>527</v>
      </c>
      <c r="F2912" s="14">
        <v>6.1</v>
      </c>
      <c r="G2912" s="14">
        <v>13</v>
      </c>
      <c r="H2912" s="14">
        <v>66.38</v>
      </c>
      <c r="I2912" s="15">
        <v>0.66</v>
      </c>
    </row>
    <row r="2913" spans="1:9" x14ac:dyDescent="0.25">
      <c r="A2913" s="12">
        <v>65</v>
      </c>
      <c r="B2913" s="13">
        <v>45154</v>
      </c>
      <c r="C2913" s="14">
        <v>18.8</v>
      </c>
      <c r="D2913" s="14">
        <v>61</v>
      </c>
      <c r="E2913" s="14">
        <v>745</v>
      </c>
      <c r="F2913" s="14">
        <v>6.8</v>
      </c>
      <c r="G2913" s="14">
        <v>14</v>
      </c>
      <c r="H2913" s="14">
        <v>65.84</v>
      </c>
      <c r="I2913" s="15">
        <v>0.61</v>
      </c>
    </row>
    <row r="2914" spans="1:9" x14ac:dyDescent="0.25">
      <c r="A2914" s="12">
        <v>65</v>
      </c>
      <c r="B2914" s="13">
        <v>45155</v>
      </c>
      <c r="C2914" s="14">
        <v>25</v>
      </c>
      <c r="D2914" s="14">
        <v>59</v>
      </c>
      <c r="E2914" s="14">
        <v>485</v>
      </c>
      <c r="F2914" s="14">
        <v>6.6</v>
      </c>
      <c r="G2914" s="14">
        <v>15</v>
      </c>
      <c r="H2914" s="14">
        <v>77</v>
      </c>
      <c r="I2914" s="15">
        <v>0.59</v>
      </c>
    </row>
    <row r="2915" spans="1:9" x14ac:dyDescent="0.25">
      <c r="A2915" s="12">
        <v>65</v>
      </c>
      <c r="B2915" s="13">
        <v>45156</v>
      </c>
      <c r="C2915" s="14">
        <v>18.8</v>
      </c>
      <c r="D2915" s="14">
        <v>66</v>
      </c>
      <c r="E2915" s="14">
        <v>555</v>
      </c>
      <c r="F2915" s="14">
        <v>6.8</v>
      </c>
      <c r="G2915" s="14">
        <v>16</v>
      </c>
      <c r="H2915" s="14">
        <v>65.84</v>
      </c>
      <c r="I2915" s="15">
        <v>0.66</v>
      </c>
    </row>
    <row r="2916" spans="1:9" x14ac:dyDescent="0.25">
      <c r="A2916" s="12">
        <v>65</v>
      </c>
      <c r="B2916" s="13">
        <v>45157</v>
      </c>
      <c r="C2916" s="14">
        <v>24.8</v>
      </c>
      <c r="D2916" s="14">
        <v>76</v>
      </c>
      <c r="E2916" s="14">
        <v>762</v>
      </c>
      <c r="F2916" s="14">
        <v>6.8</v>
      </c>
      <c r="G2916" s="14">
        <v>17</v>
      </c>
      <c r="H2916" s="14">
        <v>76.64</v>
      </c>
      <c r="I2916" s="15">
        <v>0.76</v>
      </c>
    </row>
    <row r="2917" spans="1:9" x14ac:dyDescent="0.25">
      <c r="A2917" s="12">
        <v>65</v>
      </c>
      <c r="B2917" s="13">
        <v>45158</v>
      </c>
      <c r="C2917" s="14">
        <v>22.2</v>
      </c>
      <c r="D2917" s="14">
        <v>71</v>
      </c>
      <c r="E2917" s="14">
        <v>505</v>
      </c>
      <c r="F2917" s="14">
        <v>6.6</v>
      </c>
      <c r="G2917" s="14">
        <v>18</v>
      </c>
      <c r="H2917" s="14">
        <v>71.959999999999994</v>
      </c>
      <c r="I2917" s="15">
        <v>0.71</v>
      </c>
    </row>
    <row r="2918" spans="1:9" x14ac:dyDescent="0.25">
      <c r="A2918" s="12">
        <v>65</v>
      </c>
      <c r="B2918" s="13">
        <v>45159</v>
      </c>
      <c r="C2918" s="14">
        <v>18.399999999999999</v>
      </c>
      <c r="D2918" s="14">
        <v>63</v>
      </c>
      <c r="E2918" s="14">
        <v>564</v>
      </c>
      <c r="F2918" s="14">
        <v>6.4</v>
      </c>
      <c r="G2918" s="14">
        <v>19</v>
      </c>
      <c r="H2918" s="14">
        <v>65.12</v>
      </c>
      <c r="I2918" s="15">
        <v>0.63</v>
      </c>
    </row>
    <row r="2919" spans="1:9" x14ac:dyDescent="0.25">
      <c r="A2919" s="12">
        <v>65</v>
      </c>
      <c r="B2919" s="13">
        <v>45160</v>
      </c>
      <c r="C2919" s="14">
        <v>25</v>
      </c>
      <c r="D2919" s="14">
        <v>52</v>
      </c>
      <c r="E2919" s="14">
        <v>626</v>
      </c>
      <c r="F2919" s="14">
        <v>6.7</v>
      </c>
      <c r="G2919" s="14">
        <v>20</v>
      </c>
      <c r="H2919" s="14">
        <v>77</v>
      </c>
      <c r="I2919" s="15">
        <v>0.52</v>
      </c>
    </row>
    <row r="2920" spans="1:9" x14ac:dyDescent="0.25">
      <c r="A2920" s="12">
        <v>65</v>
      </c>
      <c r="B2920" s="13">
        <v>45161</v>
      </c>
      <c r="C2920" s="14">
        <v>24.1</v>
      </c>
      <c r="D2920" s="14">
        <v>74</v>
      </c>
      <c r="E2920" s="14">
        <v>554</v>
      </c>
      <c r="F2920" s="14">
        <v>6.2</v>
      </c>
      <c r="G2920" s="14">
        <v>21</v>
      </c>
      <c r="H2920" s="14">
        <v>75.38</v>
      </c>
      <c r="I2920" s="15">
        <v>0.74</v>
      </c>
    </row>
    <row r="2921" spans="1:9" x14ac:dyDescent="0.25">
      <c r="A2921" s="12">
        <v>65</v>
      </c>
      <c r="B2921" s="13">
        <v>45162</v>
      </c>
      <c r="C2921" s="14">
        <v>20.7</v>
      </c>
      <c r="D2921" s="14">
        <v>76</v>
      </c>
      <c r="E2921" s="14">
        <v>788</v>
      </c>
      <c r="F2921" s="14">
        <v>6.2</v>
      </c>
      <c r="G2921" s="14">
        <v>22</v>
      </c>
      <c r="H2921" s="14">
        <v>69.260000000000005</v>
      </c>
      <c r="I2921" s="15">
        <v>0.76</v>
      </c>
    </row>
    <row r="2922" spans="1:9" x14ac:dyDescent="0.25">
      <c r="A2922" s="12">
        <v>65</v>
      </c>
      <c r="B2922" s="13">
        <v>45163</v>
      </c>
      <c r="C2922" s="14">
        <v>22.2</v>
      </c>
      <c r="D2922" s="14">
        <v>52</v>
      </c>
      <c r="E2922" s="14">
        <v>401</v>
      </c>
      <c r="F2922" s="14">
        <v>6.6</v>
      </c>
      <c r="G2922" s="14">
        <v>23</v>
      </c>
      <c r="H2922" s="14">
        <v>71.959999999999994</v>
      </c>
      <c r="I2922" s="15">
        <v>0.52</v>
      </c>
    </row>
    <row r="2923" spans="1:9" x14ac:dyDescent="0.25">
      <c r="A2923" s="12">
        <v>65</v>
      </c>
      <c r="B2923" s="13">
        <v>45164</v>
      </c>
      <c r="C2923" s="14">
        <v>23.8</v>
      </c>
      <c r="D2923" s="14">
        <v>57</v>
      </c>
      <c r="E2923" s="14">
        <v>768</v>
      </c>
      <c r="F2923" s="14">
        <v>6.1</v>
      </c>
      <c r="G2923" s="14">
        <v>24</v>
      </c>
      <c r="H2923" s="14">
        <v>74.84</v>
      </c>
      <c r="I2923" s="15">
        <v>0.56999999999999995</v>
      </c>
    </row>
    <row r="2924" spans="1:9" x14ac:dyDescent="0.25">
      <c r="A2924" s="12">
        <v>65</v>
      </c>
      <c r="B2924" s="13">
        <v>45165</v>
      </c>
      <c r="C2924" s="14">
        <v>22.6</v>
      </c>
      <c r="D2924" s="14">
        <v>68</v>
      </c>
      <c r="E2924" s="14">
        <v>637</v>
      </c>
      <c r="F2924" s="14">
        <v>6.2</v>
      </c>
      <c r="G2924" s="14">
        <v>25</v>
      </c>
      <c r="H2924" s="14">
        <v>72.680000000000007</v>
      </c>
      <c r="I2924" s="15">
        <v>0.68</v>
      </c>
    </row>
    <row r="2925" spans="1:9" x14ac:dyDescent="0.25">
      <c r="A2925" s="12">
        <v>65</v>
      </c>
      <c r="B2925" s="13">
        <v>45166</v>
      </c>
      <c r="C2925" s="14">
        <v>23.1</v>
      </c>
      <c r="D2925" s="14">
        <v>71</v>
      </c>
      <c r="E2925" s="14">
        <v>496</v>
      </c>
      <c r="F2925" s="14">
        <v>6.6</v>
      </c>
      <c r="G2925" s="14">
        <v>26</v>
      </c>
      <c r="H2925" s="14">
        <v>73.58</v>
      </c>
      <c r="I2925" s="15">
        <v>0.71</v>
      </c>
    </row>
    <row r="2926" spans="1:9" x14ac:dyDescent="0.25">
      <c r="A2926" s="12">
        <v>65</v>
      </c>
      <c r="B2926" s="13">
        <v>45167</v>
      </c>
      <c r="C2926" s="14">
        <v>24.2</v>
      </c>
      <c r="D2926" s="14">
        <v>67</v>
      </c>
      <c r="E2926" s="14">
        <v>640</v>
      </c>
      <c r="F2926" s="14">
        <v>6.4</v>
      </c>
      <c r="G2926" s="14">
        <v>27</v>
      </c>
      <c r="H2926" s="14">
        <v>75.56</v>
      </c>
      <c r="I2926" s="15">
        <v>0.67</v>
      </c>
    </row>
    <row r="2927" spans="1:9" x14ac:dyDescent="0.25">
      <c r="A2927" s="12">
        <v>65</v>
      </c>
      <c r="B2927" s="13">
        <v>45168</v>
      </c>
      <c r="C2927" s="14">
        <v>24.9</v>
      </c>
      <c r="D2927" s="14">
        <v>54</v>
      </c>
      <c r="E2927" s="14">
        <v>463</v>
      </c>
      <c r="F2927" s="14">
        <v>6.3</v>
      </c>
      <c r="G2927" s="14">
        <v>28</v>
      </c>
      <c r="H2927" s="14">
        <v>76.819999999999993</v>
      </c>
      <c r="I2927" s="15">
        <v>0.54</v>
      </c>
    </row>
    <row r="2928" spans="1:9" x14ac:dyDescent="0.25">
      <c r="A2928" s="12">
        <v>65</v>
      </c>
      <c r="B2928" s="13">
        <v>45169</v>
      </c>
      <c r="C2928" s="14">
        <v>23.8</v>
      </c>
      <c r="D2928" s="14">
        <v>51</v>
      </c>
      <c r="E2928" s="14">
        <v>446</v>
      </c>
      <c r="F2928" s="14">
        <v>6</v>
      </c>
      <c r="G2928" s="14">
        <v>29</v>
      </c>
      <c r="H2928" s="14">
        <v>74.84</v>
      </c>
      <c r="I2928" s="15">
        <v>0.51</v>
      </c>
    </row>
    <row r="2929" spans="1:9" x14ac:dyDescent="0.25">
      <c r="A2929" s="12">
        <v>65</v>
      </c>
      <c r="B2929" s="13">
        <v>45170</v>
      </c>
      <c r="C2929" s="14">
        <v>21.8</v>
      </c>
      <c r="D2929" s="14">
        <v>51</v>
      </c>
      <c r="E2929" s="14">
        <v>717</v>
      </c>
      <c r="F2929" s="14">
        <v>6.5</v>
      </c>
      <c r="G2929" s="14">
        <v>30</v>
      </c>
      <c r="H2929" s="14">
        <v>71.239999999999995</v>
      </c>
      <c r="I2929" s="15">
        <v>0.51</v>
      </c>
    </row>
    <row r="2930" spans="1:9" x14ac:dyDescent="0.25">
      <c r="A2930" s="12">
        <v>65</v>
      </c>
      <c r="B2930" s="13">
        <v>45171</v>
      </c>
      <c r="C2930" s="14">
        <v>22</v>
      </c>
      <c r="D2930" s="14">
        <v>71</v>
      </c>
      <c r="E2930" s="14">
        <v>786</v>
      </c>
      <c r="F2930" s="14">
        <v>6</v>
      </c>
      <c r="G2930" s="14">
        <v>31</v>
      </c>
      <c r="H2930" s="14">
        <v>71.599999999999994</v>
      </c>
      <c r="I2930" s="15">
        <v>0.71</v>
      </c>
    </row>
    <row r="2931" spans="1:9" x14ac:dyDescent="0.25">
      <c r="A2931" s="12">
        <v>65</v>
      </c>
      <c r="B2931" s="13">
        <v>45172</v>
      </c>
      <c r="C2931" s="14">
        <v>18.600000000000001</v>
      </c>
      <c r="D2931" s="14">
        <v>59</v>
      </c>
      <c r="E2931" s="14">
        <v>767</v>
      </c>
      <c r="F2931" s="14">
        <v>6.7</v>
      </c>
      <c r="G2931" s="14">
        <v>32</v>
      </c>
      <c r="H2931" s="14">
        <v>65.48</v>
      </c>
      <c r="I2931" s="15">
        <v>0.59</v>
      </c>
    </row>
    <row r="2932" spans="1:9" x14ac:dyDescent="0.25">
      <c r="A2932" s="12">
        <v>65</v>
      </c>
      <c r="B2932" s="13">
        <v>45173</v>
      </c>
      <c r="C2932" s="14">
        <v>22.1</v>
      </c>
      <c r="D2932" s="14">
        <v>61</v>
      </c>
      <c r="E2932" s="14">
        <v>538</v>
      </c>
      <c r="F2932" s="14">
        <v>6.1</v>
      </c>
      <c r="G2932" s="14">
        <v>33</v>
      </c>
      <c r="H2932" s="14">
        <v>71.78</v>
      </c>
      <c r="I2932" s="15">
        <v>0.61</v>
      </c>
    </row>
    <row r="2933" spans="1:9" x14ac:dyDescent="0.25">
      <c r="A2933" s="12">
        <v>65</v>
      </c>
      <c r="B2933" s="13">
        <v>45174</v>
      </c>
      <c r="C2933" s="14">
        <v>24.6</v>
      </c>
      <c r="D2933" s="14">
        <v>51</v>
      </c>
      <c r="E2933" s="14">
        <v>638</v>
      </c>
      <c r="F2933" s="14">
        <v>6.8</v>
      </c>
      <c r="G2933" s="14">
        <v>34</v>
      </c>
      <c r="H2933" s="14">
        <v>76.28</v>
      </c>
      <c r="I2933" s="15">
        <v>0.51</v>
      </c>
    </row>
    <row r="2934" spans="1:9" x14ac:dyDescent="0.25">
      <c r="A2934" s="12">
        <v>65</v>
      </c>
      <c r="B2934" s="13">
        <v>45175</v>
      </c>
      <c r="C2934" s="14">
        <v>21.6</v>
      </c>
      <c r="D2934" s="14">
        <v>58</v>
      </c>
      <c r="E2934" s="14">
        <v>613</v>
      </c>
      <c r="F2934" s="14">
        <v>6.2</v>
      </c>
      <c r="G2934" s="14">
        <v>35</v>
      </c>
      <c r="H2934" s="14">
        <v>70.88</v>
      </c>
      <c r="I2934" s="15">
        <v>0.57999999999999996</v>
      </c>
    </row>
    <row r="2935" spans="1:9" x14ac:dyDescent="0.25">
      <c r="A2935" s="12">
        <v>65</v>
      </c>
      <c r="B2935" s="13">
        <v>45176</v>
      </c>
      <c r="C2935" s="14">
        <v>21.7</v>
      </c>
      <c r="D2935" s="14">
        <v>61</v>
      </c>
      <c r="E2935" s="14">
        <v>711</v>
      </c>
      <c r="F2935" s="14">
        <v>6.8</v>
      </c>
      <c r="G2935" s="14">
        <v>36</v>
      </c>
      <c r="H2935" s="14">
        <v>71.06</v>
      </c>
      <c r="I2935" s="15">
        <v>0.61</v>
      </c>
    </row>
    <row r="2936" spans="1:9" x14ac:dyDescent="0.25">
      <c r="A2936" s="12">
        <v>65</v>
      </c>
      <c r="B2936" s="13">
        <v>45177</v>
      </c>
      <c r="C2936" s="14">
        <v>18.2</v>
      </c>
      <c r="D2936" s="14">
        <v>80</v>
      </c>
      <c r="E2936" s="14">
        <v>593</v>
      </c>
      <c r="F2936" s="14">
        <v>6.5</v>
      </c>
      <c r="G2936" s="14">
        <v>37</v>
      </c>
      <c r="H2936" s="14">
        <v>64.760000000000005</v>
      </c>
      <c r="I2936" s="15">
        <v>0.8</v>
      </c>
    </row>
    <row r="2937" spans="1:9" x14ac:dyDescent="0.25">
      <c r="A2937" s="12">
        <v>65</v>
      </c>
      <c r="B2937" s="13">
        <v>45178</v>
      </c>
      <c r="C2937" s="14">
        <v>23.7</v>
      </c>
      <c r="D2937" s="14">
        <v>64</v>
      </c>
      <c r="E2937" s="14">
        <v>696</v>
      </c>
      <c r="F2937" s="14">
        <v>6.7</v>
      </c>
      <c r="G2937" s="14">
        <v>38</v>
      </c>
      <c r="H2937" s="14">
        <v>74.66</v>
      </c>
      <c r="I2937" s="15">
        <v>0.64</v>
      </c>
    </row>
    <row r="2938" spans="1:9" x14ac:dyDescent="0.25">
      <c r="A2938" s="12">
        <v>65</v>
      </c>
      <c r="B2938" s="13">
        <v>45179</v>
      </c>
      <c r="C2938" s="14">
        <v>19</v>
      </c>
      <c r="D2938" s="14">
        <v>76</v>
      </c>
      <c r="E2938" s="14">
        <v>769</v>
      </c>
      <c r="F2938" s="14">
        <v>6.3</v>
      </c>
      <c r="G2938" s="14">
        <v>39</v>
      </c>
      <c r="H2938" s="14">
        <v>66.2</v>
      </c>
      <c r="I2938" s="15">
        <v>0.76</v>
      </c>
    </row>
    <row r="2939" spans="1:9" x14ac:dyDescent="0.25">
      <c r="A2939" s="12">
        <v>65</v>
      </c>
      <c r="B2939" s="13">
        <v>45180</v>
      </c>
      <c r="C2939" s="14">
        <v>20.5</v>
      </c>
      <c r="D2939" s="14">
        <v>54</v>
      </c>
      <c r="E2939" s="14">
        <v>605</v>
      </c>
      <c r="F2939" s="14">
        <v>6.2</v>
      </c>
      <c r="G2939" s="14">
        <v>40</v>
      </c>
      <c r="H2939" s="14">
        <v>68.900000000000006</v>
      </c>
      <c r="I2939" s="15">
        <v>0.54</v>
      </c>
    </row>
    <row r="2940" spans="1:9" x14ac:dyDescent="0.25">
      <c r="A2940" s="12">
        <v>65</v>
      </c>
      <c r="B2940" s="13">
        <v>45181</v>
      </c>
      <c r="C2940" s="14">
        <v>24.6</v>
      </c>
      <c r="D2940" s="14">
        <v>63</v>
      </c>
      <c r="E2940" s="14">
        <v>655</v>
      </c>
      <c r="F2940" s="14">
        <v>6.8</v>
      </c>
      <c r="G2940" s="14">
        <v>41</v>
      </c>
      <c r="H2940" s="14">
        <v>76.28</v>
      </c>
      <c r="I2940" s="15">
        <v>0.63</v>
      </c>
    </row>
    <row r="2941" spans="1:9" x14ac:dyDescent="0.25">
      <c r="A2941" s="12">
        <v>65</v>
      </c>
      <c r="B2941" s="13">
        <v>45182</v>
      </c>
      <c r="C2941" s="14">
        <v>21.6</v>
      </c>
      <c r="D2941" s="14">
        <v>50</v>
      </c>
      <c r="E2941" s="14">
        <v>417</v>
      </c>
      <c r="F2941" s="14">
        <v>6.1</v>
      </c>
      <c r="G2941" s="14">
        <v>42</v>
      </c>
      <c r="H2941" s="14">
        <v>70.88</v>
      </c>
      <c r="I2941" s="15">
        <v>0.5</v>
      </c>
    </row>
    <row r="2942" spans="1:9" x14ac:dyDescent="0.25">
      <c r="A2942" s="12">
        <v>65</v>
      </c>
      <c r="B2942" s="13">
        <v>45183</v>
      </c>
      <c r="C2942" s="14">
        <v>23.5</v>
      </c>
      <c r="D2942" s="14">
        <v>67</v>
      </c>
      <c r="E2942" s="14">
        <v>775</v>
      </c>
      <c r="F2942" s="14">
        <v>6.7</v>
      </c>
      <c r="G2942" s="14">
        <v>43</v>
      </c>
      <c r="H2942" s="14">
        <v>74.3</v>
      </c>
      <c r="I2942" s="15">
        <v>0.67</v>
      </c>
    </row>
    <row r="2943" spans="1:9" x14ac:dyDescent="0.25">
      <c r="A2943" s="12">
        <v>65</v>
      </c>
      <c r="B2943" s="13">
        <v>45184</v>
      </c>
      <c r="C2943" s="14">
        <v>21.8</v>
      </c>
      <c r="D2943" s="14">
        <v>58</v>
      </c>
      <c r="E2943" s="14">
        <v>679</v>
      </c>
      <c r="F2943" s="14">
        <v>6</v>
      </c>
      <c r="G2943" s="14">
        <v>44</v>
      </c>
      <c r="H2943" s="14">
        <v>71.239999999999995</v>
      </c>
      <c r="I2943" s="15">
        <v>0.57999999999999996</v>
      </c>
    </row>
    <row r="2944" spans="1:9" x14ac:dyDescent="0.25">
      <c r="A2944" s="12">
        <v>65</v>
      </c>
      <c r="B2944" s="13">
        <v>45185</v>
      </c>
      <c r="C2944" s="14">
        <v>23.3</v>
      </c>
      <c r="D2944" s="14">
        <v>62</v>
      </c>
      <c r="E2944" s="14">
        <v>506</v>
      </c>
      <c r="F2944" s="14">
        <v>6.7</v>
      </c>
      <c r="G2944" s="14">
        <v>45</v>
      </c>
      <c r="H2944" s="14">
        <v>73.94</v>
      </c>
      <c r="I2944" s="15">
        <v>0.62</v>
      </c>
    </row>
    <row r="2945" spans="1:9" x14ac:dyDescent="0.25">
      <c r="A2945" s="12">
        <v>66</v>
      </c>
      <c r="B2945" s="13">
        <v>45141</v>
      </c>
      <c r="C2945" s="14">
        <v>19.5</v>
      </c>
      <c r="D2945" s="14">
        <v>72</v>
      </c>
      <c r="E2945" s="14">
        <v>445</v>
      </c>
      <c r="F2945" s="14">
        <v>6.6</v>
      </c>
      <c r="G2945" s="14">
        <v>1</v>
      </c>
      <c r="H2945" s="14">
        <v>67.099999999999994</v>
      </c>
      <c r="I2945" s="15">
        <v>0.72</v>
      </c>
    </row>
    <row r="2946" spans="1:9" x14ac:dyDescent="0.25">
      <c r="A2946" s="12">
        <v>66</v>
      </c>
      <c r="B2946" s="13">
        <v>45142</v>
      </c>
      <c r="C2946" s="14">
        <v>23.4</v>
      </c>
      <c r="D2946" s="14">
        <v>68</v>
      </c>
      <c r="E2946" s="14">
        <v>563</v>
      </c>
      <c r="F2946" s="14">
        <v>6.6</v>
      </c>
      <c r="G2946" s="14">
        <v>2</v>
      </c>
      <c r="H2946" s="14">
        <v>74.12</v>
      </c>
      <c r="I2946" s="15">
        <v>0.68</v>
      </c>
    </row>
    <row r="2947" spans="1:9" x14ac:dyDescent="0.25">
      <c r="A2947" s="12">
        <v>66</v>
      </c>
      <c r="B2947" s="13">
        <v>45143</v>
      </c>
      <c r="C2947" s="14">
        <v>24.6</v>
      </c>
      <c r="D2947" s="14">
        <v>65</v>
      </c>
      <c r="E2947" s="14">
        <v>765</v>
      </c>
      <c r="F2947" s="14">
        <v>6.5</v>
      </c>
      <c r="G2947" s="14">
        <v>3</v>
      </c>
      <c r="H2947" s="14">
        <v>76.28</v>
      </c>
      <c r="I2947" s="15">
        <v>0.65</v>
      </c>
    </row>
    <row r="2948" spans="1:9" x14ac:dyDescent="0.25">
      <c r="A2948" s="12">
        <v>66</v>
      </c>
      <c r="B2948" s="13">
        <v>45144</v>
      </c>
      <c r="C2948" s="14">
        <v>23.8</v>
      </c>
      <c r="D2948" s="14">
        <v>76</v>
      </c>
      <c r="E2948" s="14">
        <v>662</v>
      </c>
      <c r="F2948" s="14">
        <v>6.2</v>
      </c>
      <c r="G2948" s="14">
        <v>4</v>
      </c>
      <c r="H2948" s="14">
        <v>74.84</v>
      </c>
      <c r="I2948" s="15">
        <v>0.76</v>
      </c>
    </row>
    <row r="2949" spans="1:9" x14ac:dyDescent="0.25">
      <c r="A2949" s="12">
        <v>66</v>
      </c>
      <c r="B2949" s="13">
        <v>45145</v>
      </c>
      <c r="C2949" s="14">
        <v>23.6</v>
      </c>
      <c r="D2949" s="14">
        <v>67</v>
      </c>
      <c r="E2949" s="14">
        <v>474</v>
      </c>
      <c r="F2949" s="14">
        <v>6.5</v>
      </c>
      <c r="G2949" s="14">
        <v>5</v>
      </c>
      <c r="H2949" s="14">
        <v>74.48</v>
      </c>
      <c r="I2949" s="15">
        <v>0.67</v>
      </c>
    </row>
    <row r="2950" spans="1:9" x14ac:dyDescent="0.25">
      <c r="A2950" s="12">
        <v>66</v>
      </c>
      <c r="B2950" s="13">
        <v>45146</v>
      </c>
      <c r="C2950" s="14">
        <v>22.8</v>
      </c>
      <c r="D2950" s="14">
        <v>80</v>
      </c>
      <c r="E2950" s="14">
        <v>587</v>
      </c>
      <c r="F2950" s="14">
        <v>6.7</v>
      </c>
      <c r="G2950" s="14">
        <v>6</v>
      </c>
      <c r="H2950" s="14">
        <v>73.040000000000006</v>
      </c>
      <c r="I2950" s="15">
        <v>0.8</v>
      </c>
    </row>
    <row r="2951" spans="1:9" x14ac:dyDescent="0.25">
      <c r="A2951" s="12">
        <v>66</v>
      </c>
      <c r="B2951" s="13">
        <v>45147</v>
      </c>
      <c r="C2951" s="14">
        <v>23.8</v>
      </c>
      <c r="D2951" s="14">
        <v>80</v>
      </c>
      <c r="E2951" s="14">
        <v>434</v>
      </c>
      <c r="F2951" s="14">
        <v>6.7</v>
      </c>
      <c r="G2951" s="14">
        <v>7</v>
      </c>
      <c r="H2951" s="14">
        <v>74.84</v>
      </c>
      <c r="I2951" s="15">
        <v>0.8</v>
      </c>
    </row>
    <row r="2952" spans="1:9" x14ac:dyDescent="0.25">
      <c r="A2952" s="12">
        <v>66</v>
      </c>
      <c r="B2952" s="13">
        <v>45148</v>
      </c>
      <c r="C2952" s="14">
        <v>23.8</v>
      </c>
      <c r="D2952" s="14">
        <v>70</v>
      </c>
      <c r="E2952" s="14">
        <v>461</v>
      </c>
      <c r="F2952" s="14">
        <v>6</v>
      </c>
      <c r="G2952" s="14">
        <v>8</v>
      </c>
      <c r="H2952" s="14">
        <v>74.84</v>
      </c>
      <c r="I2952" s="15">
        <v>0.7</v>
      </c>
    </row>
    <row r="2953" spans="1:9" x14ac:dyDescent="0.25">
      <c r="A2953" s="12">
        <v>66</v>
      </c>
      <c r="B2953" s="13">
        <v>45149</v>
      </c>
      <c r="C2953" s="14">
        <v>20.399999999999999</v>
      </c>
      <c r="D2953" s="14">
        <v>73</v>
      </c>
      <c r="E2953" s="14">
        <v>623</v>
      </c>
      <c r="F2953" s="14">
        <v>6.7</v>
      </c>
      <c r="G2953" s="14">
        <v>9</v>
      </c>
      <c r="H2953" s="14">
        <v>68.72</v>
      </c>
      <c r="I2953" s="15">
        <v>0.73</v>
      </c>
    </row>
    <row r="2954" spans="1:9" x14ac:dyDescent="0.25">
      <c r="A2954" s="12">
        <v>66</v>
      </c>
      <c r="B2954" s="13">
        <v>45150</v>
      </c>
      <c r="C2954" s="14">
        <v>19.8</v>
      </c>
      <c r="D2954" s="14">
        <v>74</v>
      </c>
      <c r="E2954" s="14">
        <v>496</v>
      </c>
      <c r="F2954" s="14">
        <v>6.1</v>
      </c>
      <c r="G2954" s="14">
        <v>10</v>
      </c>
      <c r="H2954" s="14">
        <v>67.64</v>
      </c>
      <c r="I2954" s="15">
        <v>0.74</v>
      </c>
    </row>
    <row r="2955" spans="1:9" x14ac:dyDescent="0.25">
      <c r="A2955" s="12">
        <v>66</v>
      </c>
      <c r="B2955" s="13">
        <v>45151</v>
      </c>
      <c r="C2955" s="14">
        <v>24.7</v>
      </c>
      <c r="D2955" s="14">
        <v>73</v>
      </c>
      <c r="E2955" s="14">
        <v>447</v>
      </c>
      <c r="F2955" s="14">
        <v>6.4</v>
      </c>
      <c r="G2955" s="14">
        <v>11</v>
      </c>
      <c r="H2955" s="14">
        <v>76.459999999999994</v>
      </c>
      <c r="I2955" s="15">
        <v>0.73</v>
      </c>
    </row>
    <row r="2956" spans="1:9" x14ac:dyDescent="0.25">
      <c r="A2956" s="12">
        <v>66</v>
      </c>
      <c r="B2956" s="13">
        <v>45152</v>
      </c>
      <c r="C2956" s="14">
        <v>23.6</v>
      </c>
      <c r="D2956" s="14">
        <v>56</v>
      </c>
      <c r="E2956" s="14">
        <v>429</v>
      </c>
      <c r="F2956" s="14">
        <v>6.4</v>
      </c>
      <c r="G2956" s="14">
        <v>12</v>
      </c>
      <c r="H2956" s="14">
        <v>74.48</v>
      </c>
      <c r="I2956" s="15">
        <v>0.56000000000000005</v>
      </c>
    </row>
    <row r="2957" spans="1:9" x14ac:dyDescent="0.25">
      <c r="A2957" s="12">
        <v>66</v>
      </c>
      <c r="B2957" s="13">
        <v>45153</v>
      </c>
      <c r="C2957" s="14">
        <v>20</v>
      </c>
      <c r="D2957" s="14">
        <v>60</v>
      </c>
      <c r="E2957" s="14">
        <v>515</v>
      </c>
      <c r="F2957" s="14">
        <v>6.1</v>
      </c>
      <c r="G2957" s="14">
        <v>13</v>
      </c>
      <c r="H2957" s="14">
        <v>68</v>
      </c>
      <c r="I2957" s="15">
        <v>0.6</v>
      </c>
    </row>
    <row r="2958" spans="1:9" x14ac:dyDescent="0.25">
      <c r="A2958" s="12">
        <v>66</v>
      </c>
      <c r="B2958" s="13">
        <v>45154</v>
      </c>
      <c r="C2958" s="14">
        <v>18.899999999999999</v>
      </c>
      <c r="D2958" s="14">
        <v>66</v>
      </c>
      <c r="E2958" s="14">
        <v>494</v>
      </c>
      <c r="F2958" s="14">
        <v>6.6</v>
      </c>
      <c r="G2958" s="14">
        <v>14</v>
      </c>
      <c r="H2958" s="14">
        <v>66.02</v>
      </c>
      <c r="I2958" s="15">
        <v>0.66</v>
      </c>
    </row>
    <row r="2959" spans="1:9" x14ac:dyDescent="0.25">
      <c r="A2959" s="12">
        <v>66</v>
      </c>
      <c r="B2959" s="13">
        <v>45155</v>
      </c>
      <c r="C2959" s="14">
        <v>23.2</v>
      </c>
      <c r="D2959" s="14">
        <v>57</v>
      </c>
      <c r="E2959" s="14">
        <v>440</v>
      </c>
      <c r="F2959" s="14">
        <v>6.3</v>
      </c>
      <c r="G2959" s="14">
        <v>15</v>
      </c>
      <c r="H2959" s="14">
        <v>73.760000000000005</v>
      </c>
      <c r="I2959" s="15">
        <v>0.56999999999999995</v>
      </c>
    </row>
    <row r="2960" spans="1:9" x14ac:dyDescent="0.25">
      <c r="A2960" s="12">
        <v>66</v>
      </c>
      <c r="B2960" s="13">
        <v>45156</v>
      </c>
      <c r="C2960" s="14">
        <v>19.2</v>
      </c>
      <c r="D2960" s="14">
        <v>52</v>
      </c>
      <c r="E2960" s="14">
        <v>550</v>
      </c>
      <c r="F2960" s="14">
        <v>6.7</v>
      </c>
      <c r="G2960" s="14">
        <v>16</v>
      </c>
      <c r="H2960" s="14">
        <v>66.56</v>
      </c>
      <c r="I2960" s="15">
        <v>0.52</v>
      </c>
    </row>
    <row r="2961" spans="1:9" x14ac:dyDescent="0.25">
      <c r="A2961" s="12">
        <v>66</v>
      </c>
      <c r="B2961" s="13">
        <v>45157</v>
      </c>
      <c r="C2961" s="14">
        <v>22.2</v>
      </c>
      <c r="D2961" s="14">
        <v>54</v>
      </c>
      <c r="E2961" s="14">
        <v>532</v>
      </c>
      <c r="F2961" s="14">
        <v>6.2</v>
      </c>
      <c r="G2961" s="14">
        <v>17</v>
      </c>
      <c r="H2961" s="14">
        <v>71.959999999999994</v>
      </c>
      <c r="I2961" s="15">
        <v>0.54</v>
      </c>
    </row>
    <row r="2962" spans="1:9" x14ac:dyDescent="0.25">
      <c r="A2962" s="12">
        <v>66</v>
      </c>
      <c r="B2962" s="13">
        <v>45158</v>
      </c>
      <c r="C2962" s="14">
        <v>20</v>
      </c>
      <c r="D2962" s="14">
        <v>53</v>
      </c>
      <c r="E2962" s="14">
        <v>567</v>
      </c>
      <c r="F2962" s="14">
        <v>6.6</v>
      </c>
      <c r="G2962" s="14">
        <v>18</v>
      </c>
      <c r="H2962" s="14">
        <v>68</v>
      </c>
      <c r="I2962" s="15">
        <v>0.53</v>
      </c>
    </row>
    <row r="2963" spans="1:9" x14ac:dyDescent="0.25">
      <c r="A2963" s="12">
        <v>66</v>
      </c>
      <c r="B2963" s="13">
        <v>45159</v>
      </c>
      <c r="C2963" s="14">
        <v>20.7</v>
      </c>
      <c r="D2963" s="14">
        <v>63</v>
      </c>
      <c r="E2963" s="14">
        <v>666</v>
      </c>
      <c r="F2963" s="14">
        <v>6</v>
      </c>
      <c r="G2963" s="14">
        <v>19</v>
      </c>
      <c r="H2963" s="14">
        <v>69.260000000000005</v>
      </c>
      <c r="I2963" s="15">
        <v>0.63</v>
      </c>
    </row>
    <row r="2964" spans="1:9" x14ac:dyDescent="0.25">
      <c r="A2964" s="12">
        <v>66</v>
      </c>
      <c r="B2964" s="13">
        <v>45160</v>
      </c>
      <c r="C2964" s="14">
        <v>19.5</v>
      </c>
      <c r="D2964" s="14">
        <v>55</v>
      </c>
      <c r="E2964" s="14">
        <v>525</v>
      </c>
      <c r="F2964" s="14">
        <v>6.5</v>
      </c>
      <c r="G2964" s="14">
        <v>20</v>
      </c>
      <c r="H2964" s="14">
        <v>67.099999999999994</v>
      </c>
      <c r="I2964" s="15">
        <v>0.55000000000000004</v>
      </c>
    </row>
    <row r="2965" spans="1:9" x14ac:dyDescent="0.25">
      <c r="A2965" s="12">
        <v>66</v>
      </c>
      <c r="B2965" s="13">
        <v>45161</v>
      </c>
      <c r="C2965" s="14">
        <v>21.3</v>
      </c>
      <c r="D2965" s="14">
        <v>65</v>
      </c>
      <c r="E2965" s="14">
        <v>642</v>
      </c>
      <c r="F2965" s="14">
        <v>6.6</v>
      </c>
      <c r="G2965" s="14">
        <v>21</v>
      </c>
      <c r="H2965" s="14">
        <v>70.34</v>
      </c>
      <c r="I2965" s="15">
        <v>0.65</v>
      </c>
    </row>
    <row r="2966" spans="1:9" x14ac:dyDescent="0.25">
      <c r="A2966" s="12">
        <v>66</v>
      </c>
      <c r="B2966" s="13">
        <v>45162</v>
      </c>
      <c r="C2966" s="14">
        <v>20.7</v>
      </c>
      <c r="D2966" s="14">
        <v>64</v>
      </c>
      <c r="E2966" s="14">
        <v>636</v>
      </c>
      <c r="F2966" s="14">
        <v>6</v>
      </c>
      <c r="G2966" s="14">
        <v>22</v>
      </c>
      <c r="H2966" s="14">
        <v>69.260000000000005</v>
      </c>
      <c r="I2966" s="15">
        <v>0.64</v>
      </c>
    </row>
    <row r="2967" spans="1:9" x14ac:dyDescent="0.25">
      <c r="A2967" s="12">
        <v>66</v>
      </c>
      <c r="B2967" s="13">
        <v>45163</v>
      </c>
      <c r="C2967" s="14">
        <v>21.6</v>
      </c>
      <c r="D2967" s="14">
        <v>70</v>
      </c>
      <c r="E2967" s="14">
        <v>432</v>
      </c>
      <c r="F2967" s="14">
        <v>6.5</v>
      </c>
      <c r="G2967" s="14">
        <v>23</v>
      </c>
      <c r="H2967" s="14">
        <v>70.88</v>
      </c>
      <c r="I2967" s="15">
        <v>0.7</v>
      </c>
    </row>
    <row r="2968" spans="1:9" x14ac:dyDescent="0.25">
      <c r="A2968" s="12">
        <v>66</v>
      </c>
      <c r="B2968" s="13">
        <v>45164</v>
      </c>
      <c r="C2968" s="14">
        <v>21.5</v>
      </c>
      <c r="D2968" s="14">
        <v>77</v>
      </c>
      <c r="E2968" s="14">
        <v>711</v>
      </c>
      <c r="F2968" s="14">
        <v>6.5</v>
      </c>
      <c r="G2968" s="14">
        <v>24</v>
      </c>
      <c r="H2968" s="14">
        <v>70.7</v>
      </c>
      <c r="I2968" s="15">
        <v>0.77</v>
      </c>
    </row>
    <row r="2969" spans="1:9" x14ac:dyDescent="0.25">
      <c r="A2969" s="12">
        <v>66</v>
      </c>
      <c r="B2969" s="13">
        <v>45165</v>
      </c>
      <c r="C2969" s="14">
        <v>23.7</v>
      </c>
      <c r="D2969" s="14">
        <v>64</v>
      </c>
      <c r="E2969" s="14">
        <v>641</v>
      </c>
      <c r="F2969" s="14">
        <v>6.2</v>
      </c>
      <c r="G2969" s="14">
        <v>25</v>
      </c>
      <c r="H2969" s="14">
        <v>74.66</v>
      </c>
      <c r="I2969" s="15">
        <v>0.64</v>
      </c>
    </row>
    <row r="2970" spans="1:9" x14ac:dyDescent="0.25">
      <c r="A2970" s="12">
        <v>66</v>
      </c>
      <c r="B2970" s="13">
        <v>45166</v>
      </c>
      <c r="C2970" s="14">
        <v>20.3</v>
      </c>
      <c r="D2970" s="14">
        <v>53</v>
      </c>
      <c r="E2970" s="14">
        <v>648</v>
      </c>
      <c r="F2970" s="14">
        <v>6.5</v>
      </c>
      <c r="G2970" s="14">
        <v>26</v>
      </c>
      <c r="H2970" s="14">
        <v>68.540000000000006</v>
      </c>
      <c r="I2970" s="15">
        <v>0.53</v>
      </c>
    </row>
    <row r="2971" spans="1:9" x14ac:dyDescent="0.25">
      <c r="A2971" s="12">
        <v>66</v>
      </c>
      <c r="B2971" s="13">
        <v>45167</v>
      </c>
      <c r="C2971" s="14">
        <v>20.7</v>
      </c>
      <c r="D2971" s="14">
        <v>60</v>
      </c>
      <c r="E2971" s="14">
        <v>590</v>
      </c>
      <c r="F2971" s="14">
        <v>6.3</v>
      </c>
      <c r="G2971" s="14">
        <v>27</v>
      </c>
      <c r="H2971" s="14">
        <v>69.260000000000005</v>
      </c>
      <c r="I2971" s="15">
        <v>0.6</v>
      </c>
    </row>
    <row r="2972" spans="1:9" x14ac:dyDescent="0.25">
      <c r="A2972" s="12">
        <v>66</v>
      </c>
      <c r="B2972" s="13">
        <v>45168</v>
      </c>
      <c r="C2972" s="14">
        <v>19.8</v>
      </c>
      <c r="D2972" s="14">
        <v>56</v>
      </c>
      <c r="E2972" s="14">
        <v>703</v>
      </c>
      <c r="F2972" s="14">
        <v>6</v>
      </c>
      <c r="G2972" s="14">
        <v>28</v>
      </c>
      <c r="H2972" s="14">
        <v>67.64</v>
      </c>
      <c r="I2972" s="15">
        <v>0.56000000000000005</v>
      </c>
    </row>
    <row r="2973" spans="1:9" x14ac:dyDescent="0.25">
      <c r="A2973" s="12">
        <v>66</v>
      </c>
      <c r="B2973" s="13">
        <v>45169</v>
      </c>
      <c r="C2973" s="14">
        <v>19.8</v>
      </c>
      <c r="D2973" s="14">
        <v>52</v>
      </c>
      <c r="E2973" s="14">
        <v>453</v>
      </c>
      <c r="F2973" s="14">
        <v>6.6</v>
      </c>
      <c r="G2973" s="14">
        <v>29</v>
      </c>
      <c r="H2973" s="14">
        <v>67.64</v>
      </c>
      <c r="I2973" s="15">
        <v>0.52</v>
      </c>
    </row>
    <row r="2974" spans="1:9" x14ac:dyDescent="0.25">
      <c r="A2974" s="12">
        <v>66</v>
      </c>
      <c r="B2974" s="13">
        <v>45170</v>
      </c>
      <c r="C2974" s="14">
        <v>23.6</v>
      </c>
      <c r="D2974" s="14">
        <v>57</v>
      </c>
      <c r="E2974" s="14">
        <v>614</v>
      </c>
      <c r="F2974" s="14">
        <v>6.1</v>
      </c>
      <c r="G2974" s="14">
        <v>30</v>
      </c>
      <c r="H2974" s="14">
        <v>74.48</v>
      </c>
      <c r="I2974" s="15">
        <v>0.56999999999999995</v>
      </c>
    </row>
    <row r="2975" spans="1:9" x14ac:dyDescent="0.25">
      <c r="A2975" s="12">
        <v>66</v>
      </c>
      <c r="B2975" s="13">
        <v>45171</v>
      </c>
      <c r="C2975" s="14">
        <v>20.100000000000001</v>
      </c>
      <c r="D2975" s="14">
        <v>73</v>
      </c>
      <c r="E2975" s="14">
        <v>731</v>
      </c>
      <c r="F2975" s="14">
        <v>6.6</v>
      </c>
      <c r="G2975" s="14">
        <v>31</v>
      </c>
      <c r="H2975" s="14">
        <v>68.180000000000007</v>
      </c>
      <c r="I2975" s="15">
        <v>0.73</v>
      </c>
    </row>
    <row r="2976" spans="1:9" x14ac:dyDescent="0.25">
      <c r="A2976" s="12">
        <v>66</v>
      </c>
      <c r="B2976" s="13">
        <v>45172</v>
      </c>
      <c r="C2976" s="14">
        <v>21.5</v>
      </c>
      <c r="D2976" s="14">
        <v>74</v>
      </c>
      <c r="E2976" s="14">
        <v>423</v>
      </c>
      <c r="F2976" s="14">
        <v>6.5</v>
      </c>
      <c r="G2976" s="14">
        <v>32</v>
      </c>
      <c r="H2976" s="14">
        <v>70.7</v>
      </c>
      <c r="I2976" s="15">
        <v>0.74</v>
      </c>
    </row>
    <row r="2977" spans="1:9" x14ac:dyDescent="0.25">
      <c r="A2977" s="12">
        <v>66</v>
      </c>
      <c r="B2977" s="13">
        <v>45173</v>
      </c>
      <c r="C2977" s="14">
        <v>18.899999999999999</v>
      </c>
      <c r="D2977" s="14">
        <v>75</v>
      </c>
      <c r="E2977" s="14">
        <v>461</v>
      </c>
      <c r="F2977" s="14">
        <v>6.1</v>
      </c>
      <c r="G2977" s="14">
        <v>33</v>
      </c>
      <c r="H2977" s="14">
        <v>66.02</v>
      </c>
      <c r="I2977" s="15">
        <v>0.75</v>
      </c>
    </row>
    <row r="2978" spans="1:9" x14ac:dyDescent="0.25">
      <c r="A2978" s="12">
        <v>66</v>
      </c>
      <c r="B2978" s="13">
        <v>45174</v>
      </c>
      <c r="C2978" s="14">
        <v>21.9</v>
      </c>
      <c r="D2978" s="14">
        <v>66</v>
      </c>
      <c r="E2978" s="14">
        <v>541</v>
      </c>
      <c r="F2978" s="14">
        <v>6.3</v>
      </c>
      <c r="G2978" s="14">
        <v>34</v>
      </c>
      <c r="H2978" s="14">
        <v>71.42</v>
      </c>
      <c r="I2978" s="15">
        <v>0.66</v>
      </c>
    </row>
    <row r="2979" spans="1:9" x14ac:dyDescent="0.25">
      <c r="A2979" s="12">
        <v>66</v>
      </c>
      <c r="B2979" s="13">
        <v>45175</v>
      </c>
      <c r="C2979" s="14">
        <v>21.1</v>
      </c>
      <c r="D2979" s="14">
        <v>76</v>
      </c>
      <c r="E2979" s="14">
        <v>653</v>
      </c>
      <c r="F2979" s="14">
        <v>6.5</v>
      </c>
      <c r="G2979" s="14">
        <v>35</v>
      </c>
      <c r="H2979" s="14">
        <v>69.98</v>
      </c>
      <c r="I2979" s="15">
        <v>0.76</v>
      </c>
    </row>
    <row r="2980" spans="1:9" x14ac:dyDescent="0.25">
      <c r="A2980" s="12">
        <v>66</v>
      </c>
      <c r="B2980" s="13">
        <v>45176</v>
      </c>
      <c r="C2980" s="14">
        <v>22.5</v>
      </c>
      <c r="D2980" s="14">
        <v>50</v>
      </c>
      <c r="E2980" s="14">
        <v>610</v>
      </c>
      <c r="F2980" s="14">
        <v>6.2</v>
      </c>
      <c r="G2980" s="14">
        <v>36</v>
      </c>
      <c r="H2980" s="14">
        <v>72.5</v>
      </c>
      <c r="I2980" s="15">
        <v>0.5</v>
      </c>
    </row>
    <row r="2981" spans="1:9" x14ac:dyDescent="0.25">
      <c r="A2981" s="12">
        <v>66</v>
      </c>
      <c r="B2981" s="13">
        <v>45177</v>
      </c>
      <c r="C2981" s="14">
        <v>18.3</v>
      </c>
      <c r="D2981" s="14">
        <v>50</v>
      </c>
      <c r="E2981" s="14">
        <v>670</v>
      </c>
      <c r="F2981" s="14">
        <v>6.2</v>
      </c>
      <c r="G2981" s="14">
        <v>37</v>
      </c>
      <c r="H2981" s="14">
        <v>64.94</v>
      </c>
      <c r="I2981" s="15">
        <v>0.5</v>
      </c>
    </row>
    <row r="2982" spans="1:9" x14ac:dyDescent="0.25">
      <c r="A2982" s="12">
        <v>66</v>
      </c>
      <c r="B2982" s="13">
        <v>45178</v>
      </c>
      <c r="C2982" s="14">
        <v>23.7</v>
      </c>
      <c r="D2982" s="14">
        <v>73</v>
      </c>
      <c r="E2982" s="14">
        <v>669</v>
      </c>
      <c r="F2982" s="14">
        <v>6.1</v>
      </c>
      <c r="G2982" s="14">
        <v>38</v>
      </c>
      <c r="H2982" s="14">
        <v>74.66</v>
      </c>
      <c r="I2982" s="15">
        <v>0.73</v>
      </c>
    </row>
    <row r="2983" spans="1:9" x14ac:dyDescent="0.25">
      <c r="A2983" s="12">
        <v>66</v>
      </c>
      <c r="B2983" s="13">
        <v>45179</v>
      </c>
      <c r="C2983" s="14">
        <v>19.899999999999999</v>
      </c>
      <c r="D2983" s="14">
        <v>54</v>
      </c>
      <c r="E2983" s="14">
        <v>775</v>
      </c>
      <c r="F2983" s="14">
        <v>6.3</v>
      </c>
      <c r="G2983" s="14">
        <v>39</v>
      </c>
      <c r="H2983" s="14">
        <v>67.819999999999993</v>
      </c>
      <c r="I2983" s="15">
        <v>0.54</v>
      </c>
    </row>
    <row r="2984" spans="1:9" x14ac:dyDescent="0.25">
      <c r="A2984" s="12">
        <v>66</v>
      </c>
      <c r="B2984" s="13">
        <v>45180</v>
      </c>
      <c r="C2984" s="14">
        <v>18.5</v>
      </c>
      <c r="D2984" s="14">
        <v>58</v>
      </c>
      <c r="E2984" s="14">
        <v>784</v>
      </c>
      <c r="F2984" s="14">
        <v>6.1</v>
      </c>
      <c r="G2984" s="14">
        <v>40</v>
      </c>
      <c r="H2984" s="14">
        <v>65.3</v>
      </c>
      <c r="I2984" s="15">
        <v>0.57999999999999996</v>
      </c>
    </row>
    <row r="2985" spans="1:9" x14ac:dyDescent="0.25">
      <c r="A2985" s="12">
        <v>66</v>
      </c>
      <c r="B2985" s="13">
        <v>45181</v>
      </c>
      <c r="C2985" s="14">
        <v>20.399999999999999</v>
      </c>
      <c r="D2985" s="14">
        <v>65</v>
      </c>
      <c r="E2985" s="14">
        <v>779</v>
      </c>
      <c r="F2985" s="14">
        <v>6.3</v>
      </c>
      <c r="G2985" s="14">
        <v>41</v>
      </c>
      <c r="H2985" s="14">
        <v>68.72</v>
      </c>
      <c r="I2985" s="15">
        <v>0.65</v>
      </c>
    </row>
    <row r="2986" spans="1:9" x14ac:dyDescent="0.25">
      <c r="A2986" s="12">
        <v>66</v>
      </c>
      <c r="B2986" s="13">
        <v>45182</v>
      </c>
      <c r="C2986" s="14">
        <v>21.8</v>
      </c>
      <c r="D2986" s="14">
        <v>77</v>
      </c>
      <c r="E2986" s="14">
        <v>601</v>
      </c>
      <c r="F2986" s="14">
        <v>6.3</v>
      </c>
      <c r="G2986" s="14">
        <v>42</v>
      </c>
      <c r="H2986" s="14">
        <v>71.239999999999995</v>
      </c>
      <c r="I2986" s="15">
        <v>0.77</v>
      </c>
    </row>
    <row r="2987" spans="1:9" x14ac:dyDescent="0.25">
      <c r="A2987" s="12">
        <v>66</v>
      </c>
      <c r="B2987" s="13">
        <v>45183</v>
      </c>
      <c r="C2987" s="14">
        <v>21.9</v>
      </c>
      <c r="D2987" s="14">
        <v>79</v>
      </c>
      <c r="E2987" s="14">
        <v>503</v>
      </c>
      <c r="F2987" s="14">
        <v>6</v>
      </c>
      <c r="G2987" s="14">
        <v>43</v>
      </c>
      <c r="H2987" s="14">
        <v>71.42</v>
      </c>
      <c r="I2987" s="15">
        <v>0.79</v>
      </c>
    </row>
    <row r="2988" spans="1:9" x14ac:dyDescent="0.25">
      <c r="A2988" s="12">
        <v>66</v>
      </c>
      <c r="B2988" s="13">
        <v>45184</v>
      </c>
      <c r="C2988" s="14">
        <v>19</v>
      </c>
      <c r="D2988" s="14">
        <v>64</v>
      </c>
      <c r="E2988" s="14">
        <v>731</v>
      </c>
      <c r="F2988" s="14">
        <v>6</v>
      </c>
      <c r="G2988" s="14">
        <v>44</v>
      </c>
      <c r="H2988" s="14">
        <v>66.2</v>
      </c>
      <c r="I2988" s="15">
        <v>0.64</v>
      </c>
    </row>
    <row r="2989" spans="1:9" x14ac:dyDescent="0.25">
      <c r="A2989" s="12">
        <v>66</v>
      </c>
      <c r="B2989" s="13">
        <v>45185</v>
      </c>
      <c r="C2989" s="14">
        <v>20</v>
      </c>
      <c r="D2989" s="14">
        <v>55</v>
      </c>
      <c r="E2989" s="14">
        <v>648</v>
      </c>
      <c r="F2989" s="14">
        <v>6.5</v>
      </c>
      <c r="G2989" s="14">
        <v>45</v>
      </c>
      <c r="H2989" s="14">
        <v>68</v>
      </c>
      <c r="I2989" s="15">
        <v>0.55000000000000004</v>
      </c>
    </row>
    <row r="2990" spans="1:9" x14ac:dyDescent="0.25">
      <c r="A2990" s="12">
        <v>67</v>
      </c>
      <c r="B2990" s="13">
        <v>45141</v>
      </c>
      <c r="C2990" s="14">
        <v>22</v>
      </c>
      <c r="D2990" s="14">
        <v>68</v>
      </c>
      <c r="E2990" s="14">
        <v>782</v>
      </c>
      <c r="F2990" s="14">
        <v>6.1</v>
      </c>
      <c r="G2990" s="14">
        <v>1</v>
      </c>
      <c r="H2990" s="14">
        <v>71.599999999999994</v>
      </c>
      <c r="I2990" s="15">
        <v>0.68</v>
      </c>
    </row>
    <row r="2991" spans="1:9" x14ac:dyDescent="0.25">
      <c r="A2991" s="12">
        <v>67</v>
      </c>
      <c r="B2991" s="13">
        <v>45142</v>
      </c>
      <c r="C2991" s="14">
        <v>19.600000000000001</v>
      </c>
      <c r="D2991" s="14">
        <v>62</v>
      </c>
      <c r="E2991" s="14">
        <v>741</v>
      </c>
      <c r="F2991" s="14">
        <v>6.2</v>
      </c>
      <c r="G2991" s="14">
        <v>2</v>
      </c>
      <c r="H2991" s="14">
        <v>67.28</v>
      </c>
      <c r="I2991" s="15">
        <v>0.62</v>
      </c>
    </row>
    <row r="2992" spans="1:9" x14ac:dyDescent="0.25">
      <c r="A2992" s="12">
        <v>67</v>
      </c>
      <c r="B2992" s="13">
        <v>45143</v>
      </c>
      <c r="C2992" s="14">
        <v>19</v>
      </c>
      <c r="D2992" s="14">
        <v>59</v>
      </c>
      <c r="E2992" s="14">
        <v>446</v>
      </c>
      <c r="F2992" s="14">
        <v>6.1</v>
      </c>
      <c r="G2992" s="14">
        <v>3</v>
      </c>
      <c r="H2992" s="14">
        <v>66.2</v>
      </c>
      <c r="I2992" s="15">
        <v>0.59</v>
      </c>
    </row>
    <row r="2993" spans="1:9" x14ac:dyDescent="0.25">
      <c r="A2993" s="12">
        <v>67</v>
      </c>
      <c r="B2993" s="13">
        <v>45144</v>
      </c>
      <c r="C2993" s="14">
        <v>23.7</v>
      </c>
      <c r="D2993" s="14">
        <v>69</v>
      </c>
      <c r="E2993" s="14">
        <v>758</v>
      </c>
      <c r="F2993" s="14">
        <v>6.4</v>
      </c>
      <c r="G2993" s="14">
        <v>4</v>
      </c>
      <c r="H2993" s="14">
        <v>74.66</v>
      </c>
      <c r="I2993" s="15">
        <v>0.69</v>
      </c>
    </row>
    <row r="2994" spans="1:9" x14ac:dyDescent="0.25">
      <c r="A2994" s="12">
        <v>67</v>
      </c>
      <c r="B2994" s="13">
        <v>45145</v>
      </c>
      <c r="C2994" s="14">
        <v>18.2</v>
      </c>
      <c r="D2994" s="14">
        <v>61</v>
      </c>
      <c r="E2994" s="14">
        <v>605</v>
      </c>
      <c r="F2994" s="14">
        <v>6.3</v>
      </c>
      <c r="G2994" s="14">
        <v>5</v>
      </c>
      <c r="H2994" s="14">
        <v>64.760000000000005</v>
      </c>
      <c r="I2994" s="15">
        <v>0.61</v>
      </c>
    </row>
    <row r="2995" spans="1:9" x14ac:dyDescent="0.25">
      <c r="A2995" s="12">
        <v>67</v>
      </c>
      <c r="B2995" s="13">
        <v>45146</v>
      </c>
      <c r="C2995" s="14">
        <v>20.399999999999999</v>
      </c>
      <c r="D2995" s="14">
        <v>50</v>
      </c>
      <c r="E2995" s="14">
        <v>469</v>
      </c>
      <c r="F2995" s="14">
        <v>6.4</v>
      </c>
      <c r="G2995" s="14">
        <v>6</v>
      </c>
      <c r="H2995" s="14">
        <v>68.72</v>
      </c>
      <c r="I2995" s="15">
        <v>0.5</v>
      </c>
    </row>
    <row r="2996" spans="1:9" x14ac:dyDescent="0.25">
      <c r="A2996" s="12">
        <v>67</v>
      </c>
      <c r="B2996" s="13">
        <v>45147</v>
      </c>
      <c r="C2996" s="14">
        <v>23.8</v>
      </c>
      <c r="D2996" s="14">
        <v>51</v>
      </c>
      <c r="E2996" s="14">
        <v>745</v>
      </c>
      <c r="F2996" s="14">
        <v>6.6</v>
      </c>
      <c r="G2996" s="14">
        <v>7</v>
      </c>
      <c r="H2996" s="14">
        <v>74.84</v>
      </c>
      <c r="I2996" s="15">
        <v>0.51</v>
      </c>
    </row>
    <row r="2997" spans="1:9" x14ac:dyDescent="0.25">
      <c r="A2997" s="12">
        <v>67</v>
      </c>
      <c r="B2997" s="13">
        <v>45148</v>
      </c>
      <c r="C2997" s="14">
        <v>19</v>
      </c>
      <c r="D2997" s="14">
        <v>57</v>
      </c>
      <c r="E2997" s="14">
        <v>568</v>
      </c>
      <c r="F2997" s="14">
        <v>6.7</v>
      </c>
      <c r="G2997" s="14">
        <v>8</v>
      </c>
      <c r="H2997" s="14">
        <v>66.2</v>
      </c>
      <c r="I2997" s="15">
        <v>0.56999999999999995</v>
      </c>
    </row>
    <row r="2998" spans="1:9" x14ac:dyDescent="0.25">
      <c r="A2998" s="12">
        <v>67</v>
      </c>
      <c r="B2998" s="13">
        <v>45149</v>
      </c>
      <c r="C2998" s="14">
        <v>18.899999999999999</v>
      </c>
      <c r="D2998" s="14">
        <v>58</v>
      </c>
      <c r="E2998" s="14">
        <v>656</v>
      </c>
      <c r="F2998" s="14">
        <v>6.7</v>
      </c>
      <c r="G2998" s="14">
        <v>9</v>
      </c>
      <c r="H2998" s="14">
        <v>66.02</v>
      </c>
      <c r="I2998" s="15">
        <v>0.57999999999999996</v>
      </c>
    </row>
    <row r="2999" spans="1:9" x14ac:dyDescent="0.25">
      <c r="A2999" s="12">
        <v>67</v>
      </c>
      <c r="B2999" s="13">
        <v>45150</v>
      </c>
      <c r="C2999" s="14">
        <v>23.9</v>
      </c>
      <c r="D2999" s="14">
        <v>74</v>
      </c>
      <c r="E2999" s="14">
        <v>781</v>
      </c>
      <c r="F2999" s="14">
        <v>6.7</v>
      </c>
      <c r="G2999" s="14">
        <v>10</v>
      </c>
      <c r="H2999" s="14">
        <v>75.02</v>
      </c>
      <c r="I2999" s="15">
        <v>0.74</v>
      </c>
    </row>
    <row r="3000" spans="1:9" x14ac:dyDescent="0.25">
      <c r="A3000" s="12">
        <v>67</v>
      </c>
      <c r="B3000" s="13">
        <v>45151</v>
      </c>
      <c r="C3000" s="14">
        <v>22.6</v>
      </c>
      <c r="D3000" s="14">
        <v>64</v>
      </c>
      <c r="E3000" s="14">
        <v>791</v>
      </c>
      <c r="F3000" s="14">
        <v>6.7</v>
      </c>
      <c r="G3000" s="14">
        <v>11</v>
      </c>
      <c r="H3000" s="14">
        <v>72.680000000000007</v>
      </c>
      <c r="I3000" s="15">
        <v>0.64</v>
      </c>
    </row>
    <row r="3001" spans="1:9" x14ac:dyDescent="0.25">
      <c r="A3001" s="12">
        <v>67</v>
      </c>
      <c r="B3001" s="13">
        <v>45152</v>
      </c>
      <c r="C3001" s="14">
        <v>23.7</v>
      </c>
      <c r="D3001" s="14">
        <v>60</v>
      </c>
      <c r="E3001" s="14">
        <v>419</v>
      </c>
      <c r="F3001" s="14">
        <v>6.6</v>
      </c>
      <c r="G3001" s="14">
        <v>12</v>
      </c>
      <c r="H3001" s="14">
        <v>74.66</v>
      </c>
      <c r="I3001" s="15">
        <v>0.6</v>
      </c>
    </row>
    <row r="3002" spans="1:9" x14ac:dyDescent="0.25">
      <c r="A3002" s="12">
        <v>67</v>
      </c>
      <c r="B3002" s="13">
        <v>45153</v>
      </c>
      <c r="C3002" s="14">
        <v>18.600000000000001</v>
      </c>
      <c r="D3002" s="14">
        <v>55</v>
      </c>
      <c r="E3002" s="14">
        <v>461</v>
      </c>
      <c r="F3002" s="14">
        <v>6.4</v>
      </c>
      <c r="G3002" s="14">
        <v>13</v>
      </c>
      <c r="H3002" s="14">
        <v>65.48</v>
      </c>
      <c r="I3002" s="15">
        <v>0.55000000000000004</v>
      </c>
    </row>
    <row r="3003" spans="1:9" x14ac:dyDescent="0.25">
      <c r="A3003" s="12">
        <v>67</v>
      </c>
      <c r="B3003" s="13">
        <v>45154</v>
      </c>
      <c r="C3003" s="14">
        <v>20.3</v>
      </c>
      <c r="D3003" s="14">
        <v>58</v>
      </c>
      <c r="E3003" s="14">
        <v>572</v>
      </c>
      <c r="F3003" s="14">
        <v>6.3</v>
      </c>
      <c r="G3003" s="14">
        <v>14</v>
      </c>
      <c r="H3003" s="14">
        <v>68.540000000000006</v>
      </c>
      <c r="I3003" s="15">
        <v>0.57999999999999996</v>
      </c>
    </row>
    <row r="3004" spans="1:9" x14ac:dyDescent="0.25">
      <c r="A3004" s="12">
        <v>67</v>
      </c>
      <c r="B3004" s="13">
        <v>45155</v>
      </c>
      <c r="C3004" s="14">
        <v>22.3</v>
      </c>
      <c r="D3004" s="14">
        <v>59</v>
      </c>
      <c r="E3004" s="14">
        <v>478</v>
      </c>
      <c r="F3004" s="14">
        <v>6.7</v>
      </c>
      <c r="G3004" s="14">
        <v>15</v>
      </c>
      <c r="H3004" s="14">
        <v>72.14</v>
      </c>
      <c r="I3004" s="15">
        <v>0.59</v>
      </c>
    </row>
    <row r="3005" spans="1:9" x14ac:dyDescent="0.25">
      <c r="A3005" s="12">
        <v>67</v>
      </c>
      <c r="B3005" s="13">
        <v>45156</v>
      </c>
      <c r="C3005" s="14">
        <v>21.3</v>
      </c>
      <c r="D3005" s="14">
        <v>62</v>
      </c>
      <c r="E3005" s="14">
        <v>765</v>
      </c>
      <c r="F3005" s="14">
        <v>6.7</v>
      </c>
      <c r="G3005" s="14">
        <v>16</v>
      </c>
      <c r="H3005" s="14">
        <v>70.34</v>
      </c>
      <c r="I3005" s="15">
        <v>0.62</v>
      </c>
    </row>
    <row r="3006" spans="1:9" x14ac:dyDescent="0.25">
      <c r="A3006" s="12">
        <v>67</v>
      </c>
      <c r="B3006" s="13">
        <v>45157</v>
      </c>
      <c r="C3006" s="14">
        <v>18.899999999999999</v>
      </c>
      <c r="D3006" s="14">
        <v>69</v>
      </c>
      <c r="E3006" s="14">
        <v>729</v>
      </c>
      <c r="F3006" s="14">
        <v>6.4</v>
      </c>
      <c r="G3006" s="14">
        <v>17</v>
      </c>
      <c r="H3006" s="14">
        <v>66.02</v>
      </c>
      <c r="I3006" s="15">
        <v>0.69</v>
      </c>
    </row>
    <row r="3007" spans="1:9" x14ac:dyDescent="0.25">
      <c r="A3007" s="12">
        <v>67</v>
      </c>
      <c r="B3007" s="13">
        <v>45158</v>
      </c>
      <c r="C3007" s="14">
        <v>23.9</v>
      </c>
      <c r="D3007" s="14">
        <v>54</v>
      </c>
      <c r="E3007" s="14">
        <v>655</v>
      </c>
      <c r="F3007" s="14">
        <v>6.3</v>
      </c>
      <c r="G3007" s="14">
        <v>18</v>
      </c>
      <c r="H3007" s="14">
        <v>75.02</v>
      </c>
      <c r="I3007" s="15">
        <v>0.54</v>
      </c>
    </row>
    <row r="3008" spans="1:9" x14ac:dyDescent="0.25">
      <c r="A3008" s="12">
        <v>67</v>
      </c>
      <c r="B3008" s="13">
        <v>45159</v>
      </c>
      <c r="C3008" s="14">
        <v>21.4</v>
      </c>
      <c r="D3008" s="14">
        <v>56</v>
      </c>
      <c r="E3008" s="14">
        <v>759</v>
      </c>
      <c r="F3008" s="14">
        <v>6.6</v>
      </c>
      <c r="G3008" s="14">
        <v>19</v>
      </c>
      <c r="H3008" s="14">
        <v>70.52</v>
      </c>
      <c r="I3008" s="15">
        <v>0.56000000000000005</v>
      </c>
    </row>
    <row r="3009" spans="1:9" x14ac:dyDescent="0.25">
      <c r="A3009" s="12">
        <v>67</v>
      </c>
      <c r="B3009" s="13">
        <v>45160</v>
      </c>
      <c r="C3009" s="14">
        <v>22.3</v>
      </c>
      <c r="D3009" s="14">
        <v>78</v>
      </c>
      <c r="E3009" s="14">
        <v>674</v>
      </c>
      <c r="F3009" s="14">
        <v>6.3</v>
      </c>
      <c r="G3009" s="14">
        <v>20</v>
      </c>
      <c r="H3009" s="14">
        <v>72.14</v>
      </c>
      <c r="I3009" s="15">
        <v>0.78</v>
      </c>
    </row>
    <row r="3010" spans="1:9" x14ac:dyDescent="0.25">
      <c r="A3010" s="12">
        <v>67</v>
      </c>
      <c r="B3010" s="13">
        <v>45161</v>
      </c>
      <c r="C3010" s="14">
        <v>22.3</v>
      </c>
      <c r="D3010" s="14">
        <v>70</v>
      </c>
      <c r="E3010" s="14">
        <v>426</v>
      </c>
      <c r="F3010" s="14">
        <v>6.6</v>
      </c>
      <c r="G3010" s="14">
        <v>21</v>
      </c>
      <c r="H3010" s="14">
        <v>72.14</v>
      </c>
      <c r="I3010" s="15">
        <v>0.7</v>
      </c>
    </row>
    <row r="3011" spans="1:9" x14ac:dyDescent="0.25">
      <c r="A3011" s="12">
        <v>67</v>
      </c>
      <c r="B3011" s="13">
        <v>45162</v>
      </c>
      <c r="C3011" s="14">
        <v>24.5</v>
      </c>
      <c r="D3011" s="14">
        <v>54</v>
      </c>
      <c r="E3011" s="14">
        <v>470</v>
      </c>
      <c r="F3011" s="14">
        <v>6.4</v>
      </c>
      <c r="G3011" s="14">
        <v>22</v>
      </c>
      <c r="H3011" s="14">
        <v>76.099999999999994</v>
      </c>
      <c r="I3011" s="15">
        <v>0.54</v>
      </c>
    </row>
    <row r="3012" spans="1:9" x14ac:dyDescent="0.25">
      <c r="A3012" s="12">
        <v>67</v>
      </c>
      <c r="B3012" s="13">
        <v>45163</v>
      </c>
      <c r="C3012" s="14">
        <v>21.9</v>
      </c>
      <c r="D3012" s="14">
        <v>51</v>
      </c>
      <c r="E3012" s="14">
        <v>700</v>
      </c>
      <c r="F3012" s="14">
        <v>6.5</v>
      </c>
      <c r="G3012" s="14">
        <v>23</v>
      </c>
      <c r="H3012" s="14">
        <v>71.42</v>
      </c>
      <c r="I3012" s="15">
        <v>0.51</v>
      </c>
    </row>
    <row r="3013" spans="1:9" x14ac:dyDescent="0.25">
      <c r="A3013" s="12">
        <v>67</v>
      </c>
      <c r="B3013" s="13">
        <v>45164</v>
      </c>
      <c r="C3013" s="14">
        <v>21.9</v>
      </c>
      <c r="D3013" s="14">
        <v>61</v>
      </c>
      <c r="E3013" s="14">
        <v>787</v>
      </c>
      <c r="F3013" s="14">
        <v>6.4</v>
      </c>
      <c r="G3013" s="14">
        <v>24</v>
      </c>
      <c r="H3013" s="14">
        <v>71.42</v>
      </c>
      <c r="I3013" s="15">
        <v>0.61</v>
      </c>
    </row>
    <row r="3014" spans="1:9" x14ac:dyDescent="0.25">
      <c r="A3014" s="12">
        <v>67</v>
      </c>
      <c r="B3014" s="13">
        <v>45165</v>
      </c>
      <c r="C3014" s="14">
        <v>19.8</v>
      </c>
      <c r="D3014" s="14">
        <v>55</v>
      </c>
      <c r="E3014" s="14">
        <v>743</v>
      </c>
      <c r="F3014" s="14">
        <v>6.1</v>
      </c>
      <c r="G3014" s="14">
        <v>25</v>
      </c>
      <c r="H3014" s="14">
        <v>67.64</v>
      </c>
      <c r="I3014" s="15">
        <v>0.55000000000000004</v>
      </c>
    </row>
    <row r="3015" spans="1:9" x14ac:dyDescent="0.25">
      <c r="A3015" s="12">
        <v>67</v>
      </c>
      <c r="B3015" s="13">
        <v>45166</v>
      </c>
      <c r="C3015" s="14">
        <v>18.8</v>
      </c>
      <c r="D3015" s="14">
        <v>57</v>
      </c>
      <c r="E3015" s="14">
        <v>798</v>
      </c>
      <c r="F3015" s="14">
        <v>6</v>
      </c>
      <c r="G3015" s="14">
        <v>26</v>
      </c>
      <c r="H3015" s="14">
        <v>65.84</v>
      </c>
      <c r="I3015" s="15">
        <v>0.56999999999999995</v>
      </c>
    </row>
    <row r="3016" spans="1:9" x14ac:dyDescent="0.25">
      <c r="A3016" s="12">
        <v>67</v>
      </c>
      <c r="B3016" s="13">
        <v>45167</v>
      </c>
      <c r="C3016" s="14">
        <v>23.9</v>
      </c>
      <c r="D3016" s="14">
        <v>61</v>
      </c>
      <c r="E3016" s="14">
        <v>543</v>
      </c>
      <c r="F3016" s="14">
        <v>6.2</v>
      </c>
      <c r="G3016" s="14">
        <v>27</v>
      </c>
      <c r="H3016" s="14">
        <v>75.02</v>
      </c>
      <c r="I3016" s="15">
        <v>0.61</v>
      </c>
    </row>
    <row r="3017" spans="1:9" x14ac:dyDescent="0.25">
      <c r="A3017" s="12">
        <v>67</v>
      </c>
      <c r="B3017" s="13">
        <v>45168</v>
      </c>
      <c r="C3017" s="14">
        <v>23.4</v>
      </c>
      <c r="D3017" s="14">
        <v>56</v>
      </c>
      <c r="E3017" s="14">
        <v>453</v>
      </c>
      <c r="F3017" s="14">
        <v>6.7</v>
      </c>
      <c r="G3017" s="14">
        <v>28</v>
      </c>
      <c r="H3017" s="14">
        <v>74.12</v>
      </c>
      <c r="I3017" s="15">
        <v>0.56000000000000005</v>
      </c>
    </row>
    <row r="3018" spans="1:9" x14ac:dyDescent="0.25">
      <c r="A3018" s="12">
        <v>67</v>
      </c>
      <c r="B3018" s="13">
        <v>45169</v>
      </c>
      <c r="C3018" s="14">
        <v>19</v>
      </c>
      <c r="D3018" s="14">
        <v>70</v>
      </c>
      <c r="E3018" s="14">
        <v>739</v>
      </c>
      <c r="F3018" s="14">
        <v>6.4</v>
      </c>
      <c r="G3018" s="14">
        <v>29</v>
      </c>
      <c r="H3018" s="14">
        <v>66.2</v>
      </c>
      <c r="I3018" s="15">
        <v>0.7</v>
      </c>
    </row>
    <row r="3019" spans="1:9" x14ac:dyDescent="0.25">
      <c r="A3019" s="12">
        <v>67</v>
      </c>
      <c r="B3019" s="13">
        <v>45170</v>
      </c>
      <c r="C3019" s="14">
        <v>21.5</v>
      </c>
      <c r="D3019" s="14">
        <v>68</v>
      </c>
      <c r="E3019" s="14">
        <v>461</v>
      </c>
      <c r="F3019" s="14">
        <v>6.5</v>
      </c>
      <c r="G3019" s="14">
        <v>30</v>
      </c>
      <c r="H3019" s="14">
        <v>70.7</v>
      </c>
      <c r="I3019" s="15">
        <v>0.68</v>
      </c>
    </row>
    <row r="3020" spans="1:9" x14ac:dyDescent="0.25">
      <c r="A3020" s="12">
        <v>67</v>
      </c>
      <c r="B3020" s="13">
        <v>45171</v>
      </c>
      <c r="C3020" s="14">
        <v>19.5</v>
      </c>
      <c r="D3020" s="14">
        <v>73</v>
      </c>
      <c r="E3020" s="14">
        <v>779</v>
      </c>
      <c r="F3020" s="14">
        <v>6.3</v>
      </c>
      <c r="G3020" s="14">
        <v>31</v>
      </c>
      <c r="H3020" s="14">
        <v>67.099999999999994</v>
      </c>
      <c r="I3020" s="15">
        <v>0.73</v>
      </c>
    </row>
    <row r="3021" spans="1:9" x14ac:dyDescent="0.25">
      <c r="A3021" s="12">
        <v>67</v>
      </c>
      <c r="B3021" s="13">
        <v>45172</v>
      </c>
      <c r="C3021" s="14">
        <v>21.1</v>
      </c>
      <c r="D3021" s="14">
        <v>61</v>
      </c>
      <c r="E3021" s="14">
        <v>760</v>
      </c>
      <c r="F3021" s="14">
        <v>6.3</v>
      </c>
      <c r="G3021" s="14">
        <v>32</v>
      </c>
      <c r="H3021" s="14">
        <v>69.98</v>
      </c>
      <c r="I3021" s="15">
        <v>0.61</v>
      </c>
    </row>
    <row r="3022" spans="1:9" x14ac:dyDescent="0.25">
      <c r="A3022" s="12">
        <v>67</v>
      </c>
      <c r="B3022" s="13">
        <v>45173</v>
      </c>
      <c r="C3022" s="14">
        <v>21.6</v>
      </c>
      <c r="D3022" s="14">
        <v>67</v>
      </c>
      <c r="E3022" s="14">
        <v>448</v>
      </c>
      <c r="F3022" s="14">
        <v>6.5</v>
      </c>
      <c r="G3022" s="14">
        <v>33</v>
      </c>
      <c r="H3022" s="14">
        <v>70.88</v>
      </c>
      <c r="I3022" s="15">
        <v>0.67</v>
      </c>
    </row>
    <row r="3023" spans="1:9" x14ac:dyDescent="0.25">
      <c r="A3023" s="12">
        <v>67</v>
      </c>
      <c r="B3023" s="13">
        <v>45174</v>
      </c>
      <c r="C3023" s="14">
        <v>23.8</v>
      </c>
      <c r="D3023" s="14">
        <v>76</v>
      </c>
      <c r="E3023" s="14">
        <v>771</v>
      </c>
      <c r="F3023" s="14">
        <v>6.5</v>
      </c>
      <c r="G3023" s="14">
        <v>34</v>
      </c>
      <c r="H3023" s="14">
        <v>74.84</v>
      </c>
      <c r="I3023" s="15">
        <v>0.76</v>
      </c>
    </row>
    <row r="3024" spans="1:9" x14ac:dyDescent="0.25">
      <c r="A3024" s="12">
        <v>67</v>
      </c>
      <c r="B3024" s="13">
        <v>45175</v>
      </c>
      <c r="C3024" s="14">
        <v>21.4</v>
      </c>
      <c r="D3024" s="14">
        <v>70</v>
      </c>
      <c r="E3024" s="14">
        <v>442</v>
      </c>
      <c r="F3024" s="14">
        <v>6.7</v>
      </c>
      <c r="G3024" s="14">
        <v>35</v>
      </c>
      <c r="H3024" s="14">
        <v>70.52</v>
      </c>
      <c r="I3024" s="15">
        <v>0.7</v>
      </c>
    </row>
    <row r="3025" spans="1:9" x14ac:dyDescent="0.25">
      <c r="A3025" s="12">
        <v>67</v>
      </c>
      <c r="B3025" s="13">
        <v>45176</v>
      </c>
      <c r="C3025" s="14">
        <v>18.5</v>
      </c>
      <c r="D3025" s="14">
        <v>55</v>
      </c>
      <c r="E3025" s="14">
        <v>527</v>
      </c>
      <c r="F3025" s="14">
        <v>6.3</v>
      </c>
      <c r="G3025" s="14">
        <v>36</v>
      </c>
      <c r="H3025" s="14">
        <v>65.3</v>
      </c>
      <c r="I3025" s="15">
        <v>0.55000000000000004</v>
      </c>
    </row>
    <row r="3026" spans="1:9" x14ac:dyDescent="0.25">
      <c r="A3026" s="12">
        <v>67</v>
      </c>
      <c r="B3026" s="13">
        <v>45177</v>
      </c>
      <c r="C3026" s="14">
        <v>18.2</v>
      </c>
      <c r="D3026" s="14">
        <v>79</v>
      </c>
      <c r="E3026" s="14">
        <v>415</v>
      </c>
      <c r="F3026" s="14">
        <v>6.5</v>
      </c>
      <c r="G3026" s="14">
        <v>37</v>
      </c>
      <c r="H3026" s="14">
        <v>64.760000000000005</v>
      </c>
      <c r="I3026" s="15">
        <v>0.79</v>
      </c>
    </row>
    <row r="3027" spans="1:9" x14ac:dyDescent="0.25">
      <c r="A3027" s="12">
        <v>67</v>
      </c>
      <c r="B3027" s="13">
        <v>45178</v>
      </c>
      <c r="C3027" s="14">
        <v>24.6</v>
      </c>
      <c r="D3027" s="14">
        <v>76</v>
      </c>
      <c r="E3027" s="14">
        <v>657</v>
      </c>
      <c r="F3027" s="14">
        <v>6.2</v>
      </c>
      <c r="G3027" s="14">
        <v>38</v>
      </c>
      <c r="H3027" s="14">
        <v>76.28</v>
      </c>
      <c r="I3027" s="15">
        <v>0.76</v>
      </c>
    </row>
    <row r="3028" spans="1:9" x14ac:dyDescent="0.25">
      <c r="A3028" s="12">
        <v>67</v>
      </c>
      <c r="B3028" s="13">
        <v>45179</v>
      </c>
      <c r="C3028" s="14">
        <v>21.1</v>
      </c>
      <c r="D3028" s="14">
        <v>73</v>
      </c>
      <c r="E3028" s="14">
        <v>702</v>
      </c>
      <c r="F3028" s="14">
        <v>6.2</v>
      </c>
      <c r="G3028" s="14">
        <v>39</v>
      </c>
      <c r="H3028" s="14">
        <v>69.98</v>
      </c>
      <c r="I3028" s="15">
        <v>0.73</v>
      </c>
    </row>
    <row r="3029" spans="1:9" x14ac:dyDescent="0.25">
      <c r="A3029" s="12">
        <v>67</v>
      </c>
      <c r="B3029" s="13">
        <v>45180</v>
      </c>
      <c r="C3029" s="14">
        <v>19.600000000000001</v>
      </c>
      <c r="D3029" s="14">
        <v>72</v>
      </c>
      <c r="E3029" s="14">
        <v>509</v>
      </c>
      <c r="F3029" s="14">
        <v>6.7</v>
      </c>
      <c r="G3029" s="14">
        <v>40</v>
      </c>
      <c r="H3029" s="14">
        <v>67.28</v>
      </c>
      <c r="I3029" s="15">
        <v>0.72</v>
      </c>
    </row>
    <row r="3030" spans="1:9" x14ac:dyDescent="0.25">
      <c r="A3030" s="12">
        <v>67</v>
      </c>
      <c r="B3030" s="13">
        <v>45181</v>
      </c>
      <c r="C3030" s="14">
        <v>23.8</v>
      </c>
      <c r="D3030" s="14">
        <v>78</v>
      </c>
      <c r="E3030" s="14">
        <v>704</v>
      </c>
      <c r="F3030" s="14">
        <v>6</v>
      </c>
      <c r="G3030" s="14">
        <v>41</v>
      </c>
      <c r="H3030" s="14">
        <v>74.84</v>
      </c>
      <c r="I3030" s="15">
        <v>0.78</v>
      </c>
    </row>
    <row r="3031" spans="1:9" x14ac:dyDescent="0.25">
      <c r="A3031" s="12">
        <v>67</v>
      </c>
      <c r="B3031" s="13">
        <v>45182</v>
      </c>
      <c r="C3031" s="14">
        <v>23.6</v>
      </c>
      <c r="D3031" s="14">
        <v>66</v>
      </c>
      <c r="E3031" s="14">
        <v>608</v>
      </c>
      <c r="F3031" s="14">
        <v>6.3</v>
      </c>
      <c r="G3031" s="14">
        <v>42</v>
      </c>
      <c r="H3031" s="14">
        <v>74.48</v>
      </c>
      <c r="I3031" s="15">
        <v>0.66</v>
      </c>
    </row>
    <row r="3032" spans="1:9" x14ac:dyDescent="0.25">
      <c r="A3032" s="12">
        <v>67</v>
      </c>
      <c r="B3032" s="13">
        <v>45183</v>
      </c>
      <c r="C3032" s="14">
        <v>21.5</v>
      </c>
      <c r="D3032" s="14">
        <v>72</v>
      </c>
      <c r="E3032" s="14">
        <v>443</v>
      </c>
      <c r="F3032" s="14">
        <v>6.6</v>
      </c>
      <c r="G3032" s="14">
        <v>43</v>
      </c>
      <c r="H3032" s="14">
        <v>70.7</v>
      </c>
      <c r="I3032" s="15">
        <v>0.72</v>
      </c>
    </row>
    <row r="3033" spans="1:9" x14ac:dyDescent="0.25">
      <c r="A3033" s="12">
        <v>67</v>
      </c>
      <c r="B3033" s="13">
        <v>45184</v>
      </c>
      <c r="C3033" s="14">
        <v>19.899999999999999</v>
      </c>
      <c r="D3033" s="14">
        <v>60</v>
      </c>
      <c r="E3033" s="14">
        <v>711</v>
      </c>
      <c r="F3033" s="14">
        <v>6.3</v>
      </c>
      <c r="G3033" s="14">
        <v>44</v>
      </c>
      <c r="H3033" s="14">
        <v>67.819999999999993</v>
      </c>
      <c r="I3033" s="15">
        <v>0.6</v>
      </c>
    </row>
    <row r="3034" spans="1:9" x14ac:dyDescent="0.25">
      <c r="A3034" s="12">
        <v>67</v>
      </c>
      <c r="B3034" s="13">
        <v>45185</v>
      </c>
      <c r="C3034" s="14">
        <v>20</v>
      </c>
      <c r="D3034" s="14">
        <v>61</v>
      </c>
      <c r="E3034" s="14">
        <v>403</v>
      </c>
      <c r="F3034" s="14">
        <v>6.2</v>
      </c>
      <c r="G3034" s="14">
        <v>45</v>
      </c>
      <c r="H3034" s="14">
        <v>68</v>
      </c>
      <c r="I3034" s="15">
        <v>0.61</v>
      </c>
    </row>
    <row r="3035" spans="1:9" x14ac:dyDescent="0.25">
      <c r="A3035" s="12">
        <v>68</v>
      </c>
      <c r="B3035" s="13">
        <v>45141</v>
      </c>
      <c r="C3035" s="14">
        <v>19.7</v>
      </c>
      <c r="D3035" s="14">
        <v>56</v>
      </c>
      <c r="E3035" s="14">
        <v>716</v>
      </c>
      <c r="F3035" s="14">
        <v>6.5</v>
      </c>
      <c r="G3035" s="14">
        <v>1</v>
      </c>
      <c r="H3035" s="14">
        <v>67.459999999999994</v>
      </c>
      <c r="I3035" s="15">
        <v>0.56000000000000005</v>
      </c>
    </row>
    <row r="3036" spans="1:9" x14ac:dyDescent="0.25">
      <c r="A3036" s="12">
        <v>68</v>
      </c>
      <c r="B3036" s="13">
        <v>45142</v>
      </c>
      <c r="C3036" s="14">
        <v>20.8</v>
      </c>
      <c r="D3036" s="14">
        <v>55</v>
      </c>
      <c r="E3036" s="14">
        <v>692</v>
      </c>
      <c r="F3036" s="14">
        <v>6.4</v>
      </c>
      <c r="G3036" s="14">
        <v>2</v>
      </c>
      <c r="H3036" s="14">
        <v>69.44</v>
      </c>
      <c r="I3036" s="15">
        <v>0.55000000000000004</v>
      </c>
    </row>
    <row r="3037" spans="1:9" x14ac:dyDescent="0.25">
      <c r="A3037" s="12">
        <v>68</v>
      </c>
      <c r="B3037" s="13">
        <v>45143</v>
      </c>
      <c r="C3037" s="14">
        <v>18.100000000000001</v>
      </c>
      <c r="D3037" s="14">
        <v>75</v>
      </c>
      <c r="E3037" s="14">
        <v>655</v>
      </c>
      <c r="F3037" s="14">
        <v>6.5</v>
      </c>
      <c r="G3037" s="14">
        <v>3</v>
      </c>
      <c r="H3037" s="14">
        <v>64.58</v>
      </c>
      <c r="I3037" s="15">
        <v>0.75</v>
      </c>
    </row>
    <row r="3038" spans="1:9" x14ac:dyDescent="0.25">
      <c r="A3038" s="12">
        <v>68</v>
      </c>
      <c r="B3038" s="13">
        <v>45144</v>
      </c>
      <c r="C3038" s="14">
        <v>20.100000000000001</v>
      </c>
      <c r="D3038" s="14">
        <v>57</v>
      </c>
      <c r="E3038" s="14">
        <v>417</v>
      </c>
      <c r="F3038" s="14">
        <v>6.3</v>
      </c>
      <c r="G3038" s="14">
        <v>4</v>
      </c>
      <c r="H3038" s="14">
        <v>68.180000000000007</v>
      </c>
      <c r="I3038" s="15">
        <v>0.56999999999999995</v>
      </c>
    </row>
    <row r="3039" spans="1:9" x14ac:dyDescent="0.25">
      <c r="A3039" s="12">
        <v>68</v>
      </c>
      <c r="B3039" s="13">
        <v>45145</v>
      </c>
      <c r="C3039" s="14">
        <v>23.5</v>
      </c>
      <c r="D3039" s="14">
        <v>80</v>
      </c>
      <c r="E3039" s="14">
        <v>647</v>
      </c>
      <c r="F3039" s="14">
        <v>6.2</v>
      </c>
      <c r="G3039" s="14">
        <v>5</v>
      </c>
      <c r="H3039" s="14">
        <v>74.3</v>
      </c>
      <c r="I3039" s="15">
        <v>0.8</v>
      </c>
    </row>
    <row r="3040" spans="1:9" x14ac:dyDescent="0.25">
      <c r="A3040" s="12">
        <v>68</v>
      </c>
      <c r="B3040" s="13">
        <v>45146</v>
      </c>
      <c r="C3040" s="14">
        <v>22</v>
      </c>
      <c r="D3040" s="14">
        <v>79</v>
      </c>
      <c r="E3040" s="14">
        <v>626</v>
      </c>
      <c r="F3040" s="14">
        <v>6.2</v>
      </c>
      <c r="G3040" s="14">
        <v>6</v>
      </c>
      <c r="H3040" s="14">
        <v>71.599999999999994</v>
      </c>
      <c r="I3040" s="15">
        <v>0.79</v>
      </c>
    </row>
    <row r="3041" spans="1:9" x14ac:dyDescent="0.25">
      <c r="A3041" s="12">
        <v>68</v>
      </c>
      <c r="B3041" s="13">
        <v>45147</v>
      </c>
      <c r="C3041" s="14">
        <v>23.3</v>
      </c>
      <c r="D3041" s="14">
        <v>65</v>
      </c>
      <c r="E3041" s="14">
        <v>417</v>
      </c>
      <c r="F3041" s="14">
        <v>6.3</v>
      </c>
      <c r="G3041" s="14">
        <v>7</v>
      </c>
      <c r="H3041" s="14">
        <v>73.94</v>
      </c>
      <c r="I3041" s="15">
        <v>0.65</v>
      </c>
    </row>
    <row r="3042" spans="1:9" x14ac:dyDescent="0.25">
      <c r="A3042" s="12">
        <v>68</v>
      </c>
      <c r="B3042" s="13">
        <v>45148</v>
      </c>
      <c r="C3042" s="14">
        <v>21.3</v>
      </c>
      <c r="D3042" s="14">
        <v>74</v>
      </c>
      <c r="E3042" s="14">
        <v>663</v>
      </c>
      <c r="F3042" s="14">
        <v>6.7</v>
      </c>
      <c r="G3042" s="14">
        <v>8</v>
      </c>
      <c r="H3042" s="14">
        <v>70.34</v>
      </c>
      <c r="I3042" s="15">
        <v>0.74</v>
      </c>
    </row>
    <row r="3043" spans="1:9" x14ac:dyDescent="0.25">
      <c r="A3043" s="12">
        <v>68</v>
      </c>
      <c r="B3043" s="13">
        <v>45149</v>
      </c>
      <c r="C3043" s="14">
        <v>20.3</v>
      </c>
      <c r="D3043" s="14">
        <v>67</v>
      </c>
      <c r="E3043" s="14">
        <v>407</v>
      </c>
      <c r="F3043" s="14">
        <v>6.1</v>
      </c>
      <c r="G3043" s="14">
        <v>9</v>
      </c>
      <c r="H3043" s="14">
        <v>68.540000000000006</v>
      </c>
      <c r="I3043" s="15">
        <v>0.67</v>
      </c>
    </row>
    <row r="3044" spans="1:9" x14ac:dyDescent="0.25">
      <c r="A3044" s="12">
        <v>68</v>
      </c>
      <c r="B3044" s="13">
        <v>45150</v>
      </c>
      <c r="C3044" s="14">
        <v>24.5</v>
      </c>
      <c r="D3044" s="14">
        <v>69</v>
      </c>
      <c r="E3044" s="14">
        <v>563</v>
      </c>
      <c r="F3044" s="14">
        <v>6.4</v>
      </c>
      <c r="G3044" s="14">
        <v>10</v>
      </c>
      <c r="H3044" s="14">
        <v>76.099999999999994</v>
      </c>
      <c r="I3044" s="15">
        <v>0.69</v>
      </c>
    </row>
    <row r="3045" spans="1:9" x14ac:dyDescent="0.25">
      <c r="A3045" s="12">
        <v>68</v>
      </c>
      <c r="B3045" s="13">
        <v>45151</v>
      </c>
      <c r="C3045" s="14">
        <v>20.8</v>
      </c>
      <c r="D3045" s="14">
        <v>54</v>
      </c>
      <c r="E3045" s="14">
        <v>760</v>
      </c>
      <c r="F3045" s="14">
        <v>6</v>
      </c>
      <c r="G3045" s="14">
        <v>11</v>
      </c>
      <c r="H3045" s="14">
        <v>69.44</v>
      </c>
      <c r="I3045" s="15">
        <v>0.54</v>
      </c>
    </row>
    <row r="3046" spans="1:9" x14ac:dyDescent="0.25">
      <c r="A3046" s="12">
        <v>68</v>
      </c>
      <c r="B3046" s="13">
        <v>45152</v>
      </c>
      <c r="C3046" s="14">
        <v>23</v>
      </c>
      <c r="D3046" s="14">
        <v>51</v>
      </c>
      <c r="E3046" s="14">
        <v>737</v>
      </c>
      <c r="F3046" s="14">
        <v>6.6</v>
      </c>
      <c r="G3046" s="14">
        <v>12</v>
      </c>
      <c r="H3046" s="14">
        <v>73.400000000000006</v>
      </c>
      <c r="I3046" s="15">
        <v>0.51</v>
      </c>
    </row>
    <row r="3047" spans="1:9" x14ac:dyDescent="0.25">
      <c r="A3047" s="12">
        <v>68</v>
      </c>
      <c r="B3047" s="13">
        <v>45153</v>
      </c>
      <c r="C3047" s="14">
        <v>22.1</v>
      </c>
      <c r="D3047" s="14">
        <v>70</v>
      </c>
      <c r="E3047" s="14">
        <v>636</v>
      </c>
      <c r="F3047" s="14">
        <v>6.5</v>
      </c>
      <c r="G3047" s="14">
        <v>13</v>
      </c>
      <c r="H3047" s="14">
        <v>71.78</v>
      </c>
      <c r="I3047" s="15">
        <v>0.7</v>
      </c>
    </row>
    <row r="3048" spans="1:9" x14ac:dyDescent="0.25">
      <c r="A3048" s="12">
        <v>68</v>
      </c>
      <c r="B3048" s="13">
        <v>45154</v>
      </c>
      <c r="C3048" s="14">
        <v>19.600000000000001</v>
      </c>
      <c r="D3048" s="14">
        <v>68</v>
      </c>
      <c r="E3048" s="14">
        <v>533</v>
      </c>
      <c r="F3048" s="14">
        <v>6.3</v>
      </c>
      <c r="G3048" s="14">
        <v>14</v>
      </c>
      <c r="H3048" s="14">
        <v>67.28</v>
      </c>
      <c r="I3048" s="15">
        <v>0.68</v>
      </c>
    </row>
    <row r="3049" spans="1:9" x14ac:dyDescent="0.25">
      <c r="A3049" s="12">
        <v>68</v>
      </c>
      <c r="B3049" s="13">
        <v>45155</v>
      </c>
      <c r="C3049" s="14">
        <v>20</v>
      </c>
      <c r="D3049" s="14">
        <v>51</v>
      </c>
      <c r="E3049" s="14">
        <v>566</v>
      </c>
      <c r="F3049" s="14">
        <v>6.4</v>
      </c>
      <c r="G3049" s="14">
        <v>15</v>
      </c>
      <c r="H3049" s="14">
        <v>68</v>
      </c>
      <c r="I3049" s="15">
        <v>0.51</v>
      </c>
    </row>
    <row r="3050" spans="1:9" x14ac:dyDescent="0.25">
      <c r="A3050" s="12">
        <v>68</v>
      </c>
      <c r="B3050" s="13">
        <v>45156</v>
      </c>
      <c r="C3050" s="14">
        <v>22.5</v>
      </c>
      <c r="D3050" s="14">
        <v>61</v>
      </c>
      <c r="E3050" s="14">
        <v>583</v>
      </c>
      <c r="F3050" s="14">
        <v>6.5</v>
      </c>
      <c r="G3050" s="14">
        <v>16</v>
      </c>
      <c r="H3050" s="14">
        <v>72.5</v>
      </c>
      <c r="I3050" s="15">
        <v>0.61</v>
      </c>
    </row>
    <row r="3051" spans="1:9" x14ac:dyDescent="0.25">
      <c r="A3051" s="12">
        <v>68</v>
      </c>
      <c r="B3051" s="13">
        <v>45157</v>
      </c>
      <c r="C3051" s="14">
        <v>22.5</v>
      </c>
      <c r="D3051" s="14">
        <v>53</v>
      </c>
      <c r="E3051" s="14">
        <v>600</v>
      </c>
      <c r="F3051" s="14">
        <v>6.5</v>
      </c>
      <c r="G3051" s="14">
        <v>17</v>
      </c>
      <c r="H3051" s="14">
        <v>72.5</v>
      </c>
      <c r="I3051" s="15">
        <v>0.53</v>
      </c>
    </row>
    <row r="3052" spans="1:9" x14ac:dyDescent="0.25">
      <c r="A3052" s="12">
        <v>68</v>
      </c>
      <c r="B3052" s="13">
        <v>45158</v>
      </c>
      <c r="C3052" s="14">
        <v>20.2</v>
      </c>
      <c r="D3052" s="14">
        <v>58</v>
      </c>
      <c r="E3052" s="14">
        <v>559</v>
      </c>
      <c r="F3052" s="14">
        <v>6.6</v>
      </c>
      <c r="G3052" s="14">
        <v>18</v>
      </c>
      <c r="H3052" s="14">
        <v>68.36</v>
      </c>
      <c r="I3052" s="15">
        <v>0.57999999999999996</v>
      </c>
    </row>
    <row r="3053" spans="1:9" x14ac:dyDescent="0.25">
      <c r="A3053" s="12">
        <v>68</v>
      </c>
      <c r="B3053" s="13">
        <v>45159</v>
      </c>
      <c r="C3053" s="14">
        <v>19.7</v>
      </c>
      <c r="D3053" s="14">
        <v>57</v>
      </c>
      <c r="E3053" s="14">
        <v>513</v>
      </c>
      <c r="F3053" s="14">
        <v>6.2</v>
      </c>
      <c r="G3053" s="14">
        <v>19</v>
      </c>
      <c r="H3053" s="14">
        <v>67.459999999999994</v>
      </c>
      <c r="I3053" s="15">
        <v>0.56999999999999995</v>
      </c>
    </row>
    <row r="3054" spans="1:9" x14ac:dyDescent="0.25">
      <c r="A3054" s="12">
        <v>68</v>
      </c>
      <c r="B3054" s="13">
        <v>45160</v>
      </c>
      <c r="C3054" s="14">
        <v>24.8</v>
      </c>
      <c r="D3054" s="14">
        <v>61</v>
      </c>
      <c r="E3054" s="14">
        <v>791</v>
      </c>
      <c r="F3054" s="14">
        <v>6.2</v>
      </c>
      <c r="G3054" s="14">
        <v>20</v>
      </c>
      <c r="H3054" s="14">
        <v>76.64</v>
      </c>
      <c r="I3054" s="15">
        <v>0.61</v>
      </c>
    </row>
    <row r="3055" spans="1:9" x14ac:dyDescent="0.25">
      <c r="A3055" s="12">
        <v>68</v>
      </c>
      <c r="B3055" s="13">
        <v>45161</v>
      </c>
      <c r="C3055" s="14">
        <v>24.1</v>
      </c>
      <c r="D3055" s="14">
        <v>79</v>
      </c>
      <c r="E3055" s="14">
        <v>751</v>
      </c>
      <c r="F3055" s="14">
        <v>6.7</v>
      </c>
      <c r="G3055" s="14">
        <v>21</v>
      </c>
      <c r="H3055" s="14">
        <v>75.38</v>
      </c>
      <c r="I3055" s="15">
        <v>0.79</v>
      </c>
    </row>
    <row r="3056" spans="1:9" x14ac:dyDescent="0.25">
      <c r="A3056" s="12">
        <v>68</v>
      </c>
      <c r="B3056" s="13">
        <v>45162</v>
      </c>
      <c r="C3056" s="14">
        <v>20</v>
      </c>
      <c r="D3056" s="14">
        <v>69</v>
      </c>
      <c r="E3056" s="14">
        <v>708</v>
      </c>
      <c r="F3056" s="14">
        <v>6.4</v>
      </c>
      <c r="G3056" s="14">
        <v>22</v>
      </c>
      <c r="H3056" s="14">
        <v>68</v>
      </c>
      <c r="I3056" s="15">
        <v>0.69</v>
      </c>
    </row>
    <row r="3057" spans="1:9" x14ac:dyDescent="0.25">
      <c r="A3057" s="12">
        <v>68</v>
      </c>
      <c r="B3057" s="13">
        <v>45163</v>
      </c>
      <c r="C3057" s="14">
        <v>20.9</v>
      </c>
      <c r="D3057" s="14">
        <v>73</v>
      </c>
      <c r="E3057" s="14">
        <v>648</v>
      </c>
      <c r="F3057" s="14">
        <v>6.2</v>
      </c>
      <c r="G3057" s="14">
        <v>23</v>
      </c>
      <c r="H3057" s="14">
        <v>69.62</v>
      </c>
      <c r="I3057" s="15">
        <v>0.73</v>
      </c>
    </row>
    <row r="3058" spans="1:9" x14ac:dyDescent="0.25">
      <c r="A3058" s="12">
        <v>68</v>
      </c>
      <c r="B3058" s="13">
        <v>45164</v>
      </c>
      <c r="C3058" s="14">
        <v>22.9</v>
      </c>
      <c r="D3058" s="14">
        <v>58</v>
      </c>
      <c r="E3058" s="14">
        <v>702</v>
      </c>
      <c r="F3058" s="14">
        <v>6.5</v>
      </c>
      <c r="G3058" s="14">
        <v>24</v>
      </c>
      <c r="H3058" s="14">
        <v>73.22</v>
      </c>
      <c r="I3058" s="15">
        <v>0.57999999999999996</v>
      </c>
    </row>
    <row r="3059" spans="1:9" x14ac:dyDescent="0.25">
      <c r="A3059" s="12">
        <v>68</v>
      </c>
      <c r="B3059" s="13">
        <v>45165</v>
      </c>
      <c r="C3059" s="14">
        <v>23.6</v>
      </c>
      <c r="D3059" s="14">
        <v>57</v>
      </c>
      <c r="E3059" s="14">
        <v>629</v>
      </c>
      <c r="F3059" s="14">
        <v>6.1</v>
      </c>
      <c r="G3059" s="14">
        <v>25</v>
      </c>
      <c r="H3059" s="14">
        <v>74.48</v>
      </c>
      <c r="I3059" s="15">
        <v>0.56999999999999995</v>
      </c>
    </row>
    <row r="3060" spans="1:9" x14ac:dyDescent="0.25">
      <c r="A3060" s="12">
        <v>68</v>
      </c>
      <c r="B3060" s="13">
        <v>45166</v>
      </c>
      <c r="C3060" s="14">
        <v>20.399999999999999</v>
      </c>
      <c r="D3060" s="14">
        <v>55</v>
      </c>
      <c r="E3060" s="14">
        <v>752</v>
      </c>
      <c r="F3060" s="14">
        <v>6.7</v>
      </c>
      <c r="G3060" s="14">
        <v>26</v>
      </c>
      <c r="H3060" s="14">
        <v>68.72</v>
      </c>
      <c r="I3060" s="15">
        <v>0.55000000000000004</v>
      </c>
    </row>
    <row r="3061" spans="1:9" x14ac:dyDescent="0.25">
      <c r="A3061" s="12">
        <v>68</v>
      </c>
      <c r="B3061" s="13">
        <v>45167</v>
      </c>
      <c r="C3061" s="14">
        <v>24.4</v>
      </c>
      <c r="D3061" s="14">
        <v>64</v>
      </c>
      <c r="E3061" s="14">
        <v>616</v>
      </c>
      <c r="F3061" s="14">
        <v>6.4</v>
      </c>
      <c r="G3061" s="14">
        <v>27</v>
      </c>
      <c r="H3061" s="14">
        <v>75.92</v>
      </c>
      <c r="I3061" s="15">
        <v>0.64</v>
      </c>
    </row>
    <row r="3062" spans="1:9" x14ac:dyDescent="0.25">
      <c r="A3062" s="12">
        <v>68</v>
      </c>
      <c r="B3062" s="13">
        <v>45168</v>
      </c>
      <c r="C3062" s="14">
        <v>19</v>
      </c>
      <c r="D3062" s="14">
        <v>76</v>
      </c>
      <c r="E3062" s="14">
        <v>710</v>
      </c>
      <c r="F3062" s="14">
        <v>6.6</v>
      </c>
      <c r="G3062" s="14">
        <v>28</v>
      </c>
      <c r="H3062" s="14">
        <v>66.2</v>
      </c>
      <c r="I3062" s="15">
        <v>0.76</v>
      </c>
    </row>
    <row r="3063" spans="1:9" x14ac:dyDescent="0.25">
      <c r="A3063" s="12">
        <v>68</v>
      </c>
      <c r="B3063" s="13">
        <v>45169</v>
      </c>
      <c r="C3063" s="14">
        <v>18.3</v>
      </c>
      <c r="D3063" s="14">
        <v>78</v>
      </c>
      <c r="E3063" s="14">
        <v>663</v>
      </c>
      <c r="F3063" s="14">
        <v>6.2</v>
      </c>
      <c r="G3063" s="14">
        <v>29</v>
      </c>
      <c r="H3063" s="14">
        <v>64.94</v>
      </c>
      <c r="I3063" s="15">
        <v>0.78</v>
      </c>
    </row>
    <row r="3064" spans="1:9" x14ac:dyDescent="0.25">
      <c r="A3064" s="12">
        <v>68</v>
      </c>
      <c r="B3064" s="13">
        <v>45170</v>
      </c>
      <c r="C3064" s="14">
        <v>24.2</v>
      </c>
      <c r="D3064" s="14">
        <v>59</v>
      </c>
      <c r="E3064" s="14">
        <v>617</v>
      </c>
      <c r="F3064" s="14">
        <v>6.2</v>
      </c>
      <c r="G3064" s="14">
        <v>30</v>
      </c>
      <c r="H3064" s="14">
        <v>75.56</v>
      </c>
      <c r="I3064" s="15">
        <v>0.59</v>
      </c>
    </row>
    <row r="3065" spans="1:9" x14ac:dyDescent="0.25">
      <c r="A3065" s="12">
        <v>68</v>
      </c>
      <c r="B3065" s="13">
        <v>45171</v>
      </c>
      <c r="C3065" s="14">
        <v>21.6</v>
      </c>
      <c r="D3065" s="14">
        <v>62</v>
      </c>
      <c r="E3065" s="14">
        <v>606</v>
      </c>
      <c r="F3065" s="14">
        <v>6.1</v>
      </c>
      <c r="G3065" s="14">
        <v>31</v>
      </c>
      <c r="H3065" s="14">
        <v>70.88</v>
      </c>
      <c r="I3065" s="15">
        <v>0.62</v>
      </c>
    </row>
    <row r="3066" spans="1:9" x14ac:dyDescent="0.25">
      <c r="A3066" s="12">
        <v>68</v>
      </c>
      <c r="B3066" s="13">
        <v>45172</v>
      </c>
      <c r="C3066" s="14">
        <v>24.1</v>
      </c>
      <c r="D3066" s="14">
        <v>77</v>
      </c>
      <c r="E3066" s="14">
        <v>429</v>
      </c>
      <c r="F3066" s="14">
        <v>6.6</v>
      </c>
      <c r="G3066" s="14">
        <v>32</v>
      </c>
      <c r="H3066" s="14">
        <v>75.38</v>
      </c>
      <c r="I3066" s="15">
        <v>0.77</v>
      </c>
    </row>
    <row r="3067" spans="1:9" x14ac:dyDescent="0.25">
      <c r="A3067" s="12">
        <v>68</v>
      </c>
      <c r="B3067" s="13">
        <v>45173</v>
      </c>
      <c r="C3067" s="14">
        <v>19.100000000000001</v>
      </c>
      <c r="D3067" s="14">
        <v>75</v>
      </c>
      <c r="E3067" s="14">
        <v>525</v>
      </c>
      <c r="F3067" s="14">
        <v>6.5</v>
      </c>
      <c r="G3067" s="14">
        <v>33</v>
      </c>
      <c r="H3067" s="14">
        <v>66.38</v>
      </c>
      <c r="I3067" s="15">
        <v>0.75</v>
      </c>
    </row>
    <row r="3068" spans="1:9" x14ac:dyDescent="0.25">
      <c r="A3068" s="12">
        <v>68</v>
      </c>
      <c r="B3068" s="13">
        <v>45174</v>
      </c>
      <c r="C3068" s="14">
        <v>21.8</v>
      </c>
      <c r="D3068" s="14">
        <v>56</v>
      </c>
      <c r="E3068" s="14">
        <v>576</v>
      </c>
      <c r="F3068" s="14">
        <v>6.7</v>
      </c>
      <c r="G3068" s="14">
        <v>34</v>
      </c>
      <c r="H3068" s="14">
        <v>71.239999999999995</v>
      </c>
      <c r="I3068" s="15">
        <v>0.56000000000000005</v>
      </c>
    </row>
    <row r="3069" spans="1:9" x14ac:dyDescent="0.25">
      <c r="A3069" s="12">
        <v>68</v>
      </c>
      <c r="B3069" s="13">
        <v>45175</v>
      </c>
      <c r="C3069" s="14">
        <v>19.5</v>
      </c>
      <c r="D3069" s="14">
        <v>77</v>
      </c>
      <c r="E3069" s="14">
        <v>468</v>
      </c>
      <c r="F3069" s="14">
        <v>6.6</v>
      </c>
      <c r="G3069" s="14">
        <v>35</v>
      </c>
      <c r="H3069" s="14">
        <v>67.099999999999994</v>
      </c>
      <c r="I3069" s="15">
        <v>0.77</v>
      </c>
    </row>
    <row r="3070" spans="1:9" x14ac:dyDescent="0.25">
      <c r="A3070" s="12">
        <v>68</v>
      </c>
      <c r="B3070" s="13">
        <v>45176</v>
      </c>
      <c r="C3070" s="14">
        <v>24.3</v>
      </c>
      <c r="D3070" s="14">
        <v>53</v>
      </c>
      <c r="E3070" s="14">
        <v>434</v>
      </c>
      <c r="F3070" s="14">
        <v>6.1</v>
      </c>
      <c r="G3070" s="14">
        <v>36</v>
      </c>
      <c r="H3070" s="14">
        <v>75.739999999999995</v>
      </c>
      <c r="I3070" s="15">
        <v>0.53</v>
      </c>
    </row>
    <row r="3071" spans="1:9" x14ac:dyDescent="0.25">
      <c r="A3071" s="12">
        <v>68</v>
      </c>
      <c r="B3071" s="13">
        <v>45177</v>
      </c>
      <c r="C3071" s="14">
        <v>19.899999999999999</v>
      </c>
      <c r="D3071" s="14">
        <v>73</v>
      </c>
      <c r="E3071" s="14">
        <v>481</v>
      </c>
      <c r="F3071" s="14">
        <v>6.7</v>
      </c>
      <c r="G3071" s="14">
        <v>37</v>
      </c>
      <c r="H3071" s="14">
        <v>67.819999999999993</v>
      </c>
      <c r="I3071" s="15">
        <v>0.73</v>
      </c>
    </row>
    <row r="3072" spans="1:9" x14ac:dyDescent="0.25">
      <c r="A3072" s="12">
        <v>68</v>
      </c>
      <c r="B3072" s="13">
        <v>45178</v>
      </c>
      <c r="C3072" s="14">
        <v>24.2</v>
      </c>
      <c r="D3072" s="14">
        <v>71</v>
      </c>
      <c r="E3072" s="14">
        <v>707</v>
      </c>
      <c r="F3072" s="14">
        <v>6.3</v>
      </c>
      <c r="G3072" s="14">
        <v>38</v>
      </c>
      <c r="H3072" s="14">
        <v>75.56</v>
      </c>
      <c r="I3072" s="15">
        <v>0.71</v>
      </c>
    </row>
    <row r="3073" spans="1:9" x14ac:dyDescent="0.25">
      <c r="A3073" s="12">
        <v>68</v>
      </c>
      <c r="B3073" s="13">
        <v>45179</v>
      </c>
      <c r="C3073" s="14">
        <v>18.2</v>
      </c>
      <c r="D3073" s="14">
        <v>58</v>
      </c>
      <c r="E3073" s="14">
        <v>736</v>
      </c>
      <c r="F3073" s="14">
        <v>6.4</v>
      </c>
      <c r="G3073" s="14">
        <v>39</v>
      </c>
      <c r="H3073" s="14">
        <v>64.760000000000005</v>
      </c>
      <c r="I3073" s="15">
        <v>0.57999999999999996</v>
      </c>
    </row>
    <row r="3074" spans="1:9" x14ac:dyDescent="0.25">
      <c r="A3074" s="12">
        <v>68</v>
      </c>
      <c r="B3074" s="13">
        <v>45180</v>
      </c>
      <c r="C3074" s="14">
        <v>18.899999999999999</v>
      </c>
      <c r="D3074" s="14">
        <v>60</v>
      </c>
      <c r="E3074" s="14">
        <v>436</v>
      </c>
      <c r="F3074" s="14">
        <v>6.4</v>
      </c>
      <c r="G3074" s="14">
        <v>40</v>
      </c>
      <c r="H3074" s="14">
        <v>66.02</v>
      </c>
      <c r="I3074" s="15">
        <v>0.6</v>
      </c>
    </row>
    <row r="3075" spans="1:9" x14ac:dyDescent="0.25">
      <c r="A3075" s="12">
        <v>68</v>
      </c>
      <c r="B3075" s="13">
        <v>45181</v>
      </c>
      <c r="C3075" s="14">
        <v>24.9</v>
      </c>
      <c r="D3075" s="14">
        <v>77</v>
      </c>
      <c r="E3075" s="14">
        <v>500</v>
      </c>
      <c r="F3075" s="14">
        <v>6.8</v>
      </c>
      <c r="G3075" s="14">
        <v>41</v>
      </c>
      <c r="H3075" s="14">
        <v>76.819999999999993</v>
      </c>
      <c r="I3075" s="15">
        <v>0.77</v>
      </c>
    </row>
    <row r="3076" spans="1:9" x14ac:dyDescent="0.25">
      <c r="A3076" s="12">
        <v>68</v>
      </c>
      <c r="B3076" s="13">
        <v>45182</v>
      </c>
      <c r="C3076" s="14">
        <v>22.5</v>
      </c>
      <c r="D3076" s="14">
        <v>69</v>
      </c>
      <c r="E3076" s="14">
        <v>551</v>
      </c>
      <c r="F3076" s="14">
        <v>6.1</v>
      </c>
      <c r="G3076" s="14">
        <v>42</v>
      </c>
      <c r="H3076" s="14">
        <v>72.5</v>
      </c>
      <c r="I3076" s="15">
        <v>0.69</v>
      </c>
    </row>
    <row r="3077" spans="1:9" x14ac:dyDescent="0.25">
      <c r="A3077" s="12">
        <v>68</v>
      </c>
      <c r="B3077" s="13">
        <v>45183</v>
      </c>
      <c r="C3077" s="14">
        <v>20.6</v>
      </c>
      <c r="D3077" s="14">
        <v>57</v>
      </c>
      <c r="E3077" s="14">
        <v>494</v>
      </c>
      <c r="F3077" s="14">
        <v>6.6</v>
      </c>
      <c r="G3077" s="14">
        <v>43</v>
      </c>
      <c r="H3077" s="14">
        <v>69.08</v>
      </c>
      <c r="I3077" s="15">
        <v>0.56999999999999995</v>
      </c>
    </row>
    <row r="3078" spans="1:9" x14ac:dyDescent="0.25">
      <c r="A3078" s="12">
        <v>68</v>
      </c>
      <c r="B3078" s="13">
        <v>45184</v>
      </c>
      <c r="C3078" s="14">
        <v>24.6</v>
      </c>
      <c r="D3078" s="14">
        <v>74</v>
      </c>
      <c r="E3078" s="14">
        <v>507</v>
      </c>
      <c r="F3078" s="14">
        <v>6.5</v>
      </c>
      <c r="G3078" s="14">
        <v>44</v>
      </c>
      <c r="H3078" s="14">
        <v>76.28</v>
      </c>
      <c r="I3078" s="15">
        <v>0.74</v>
      </c>
    </row>
    <row r="3079" spans="1:9" x14ac:dyDescent="0.25">
      <c r="A3079" s="12">
        <v>68</v>
      </c>
      <c r="B3079" s="13">
        <v>45185</v>
      </c>
      <c r="C3079" s="14">
        <v>21.2</v>
      </c>
      <c r="D3079" s="14">
        <v>63</v>
      </c>
      <c r="E3079" s="14">
        <v>777</v>
      </c>
      <c r="F3079" s="14">
        <v>6.7</v>
      </c>
      <c r="G3079" s="14">
        <v>45</v>
      </c>
      <c r="H3079" s="14">
        <v>70.16</v>
      </c>
      <c r="I3079" s="15">
        <v>0.63</v>
      </c>
    </row>
    <row r="3080" spans="1:9" x14ac:dyDescent="0.25">
      <c r="A3080" s="12">
        <v>69</v>
      </c>
      <c r="B3080" s="13">
        <v>45141</v>
      </c>
      <c r="C3080" s="14">
        <v>20.100000000000001</v>
      </c>
      <c r="D3080" s="14">
        <v>75</v>
      </c>
      <c r="E3080" s="14">
        <v>478</v>
      </c>
      <c r="F3080" s="14">
        <v>6.1</v>
      </c>
      <c r="G3080" s="14">
        <v>1</v>
      </c>
      <c r="H3080" s="14">
        <v>68.180000000000007</v>
      </c>
      <c r="I3080" s="15">
        <v>0.75</v>
      </c>
    </row>
    <row r="3081" spans="1:9" x14ac:dyDescent="0.25">
      <c r="A3081" s="12">
        <v>69</v>
      </c>
      <c r="B3081" s="13">
        <v>45142</v>
      </c>
      <c r="C3081" s="14">
        <v>21.5</v>
      </c>
      <c r="D3081" s="14">
        <v>69</v>
      </c>
      <c r="E3081" s="14">
        <v>749</v>
      </c>
      <c r="F3081" s="14">
        <v>6.3</v>
      </c>
      <c r="G3081" s="14">
        <v>2</v>
      </c>
      <c r="H3081" s="14">
        <v>70.7</v>
      </c>
      <c r="I3081" s="15">
        <v>0.69</v>
      </c>
    </row>
    <row r="3082" spans="1:9" x14ac:dyDescent="0.25">
      <c r="A3082" s="12">
        <v>69</v>
      </c>
      <c r="B3082" s="13">
        <v>45143</v>
      </c>
      <c r="C3082" s="14">
        <v>22</v>
      </c>
      <c r="D3082" s="14">
        <v>55</v>
      </c>
      <c r="E3082" s="14">
        <v>631</v>
      </c>
      <c r="F3082" s="14">
        <v>6</v>
      </c>
      <c r="G3082" s="14">
        <v>3</v>
      </c>
      <c r="H3082" s="14">
        <v>71.599999999999994</v>
      </c>
      <c r="I3082" s="15">
        <v>0.55000000000000004</v>
      </c>
    </row>
    <row r="3083" spans="1:9" x14ac:dyDescent="0.25">
      <c r="A3083" s="12">
        <v>69</v>
      </c>
      <c r="B3083" s="13">
        <v>45144</v>
      </c>
      <c r="C3083" s="14">
        <v>22</v>
      </c>
      <c r="D3083" s="14">
        <v>73</v>
      </c>
      <c r="E3083" s="14">
        <v>673</v>
      </c>
      <c r="F3083" s="14">
        <v>6.5</v>
      </c>
      <c r="G3083" s="14">
        <v>4</v>
      </c>
      <c r="H3083" s="14">
        <v>71.599999999999994</v>
      </c>
      <c r="I3083" s="15">
        <v>0.73</v>
      </c>
    </row>
    <row r="3084" spans="1:9" x14ac:dyDescent="0.25">
      <c r="A3084" s="12">
        <v>69</v>
      </c>
      <c r="B3084" s="13">
        <v>45145</v>
      </c>
      <c r="C3084" s="14">
        <v>21</v>
      </c>
      <c r="D3084" s="14">
        <v>64</v>
      </c>
      <c r="E3084" s="14">
        <v>531</v>
      </c>
      <c r="F3084" s="14">
        <v>6.3</v>
      </c>
      <c r="G3084" s="14">
        <v>5</v>
      </c>
      <c r="H3084" s="14">
        <v>69.8</v>
      </c>
      <c r="I3084" s="15">
        <v>0.64</v>
      </c>
    </row>
    <row r="3085" spans="1:9" x14ac:dyDescent="0.25">
      <c r="A3085" s="12">
        <v>69</v>
      </c>
      <c r="B3085" s="13">
        <v>45146</v>
      </c>
      <c r="C3085" s="14">
        <v>20.5</v>
      </c>
      <c r="D3085" s="14">
        <v>63</v>
      </c>
      <c r="E3085" s="14">
        <v>633</v>
      </c>
      <c r="F3085" s="14">
        <v>6.6</v>
      </c>
      <c r="G3085" s="14">
        <v>6</v>
      </c>
      <c r="H3085" s="14">
        <v>68.900000000000006</v>
      </c>
      <c r="I3085" s="15">
        <v>0.63</v>
      </c>
    </row>
    <row r="3086" spans="1:9" x14ac:dyDescent="0.25">
      <c r="A3086" s="12">
        <v>69</v>
      </c>
      <c r="B3086" s="13">
        <v>45147</v>
      </c>
      <c r="C3086" s="14">
        <v>24.2</v>
      </c>
      <c r="D3086" s="14">
        <v>80</v>
      </c>
      <c r="E3086" s="14">
        <v>658</v>
      </c>
      <c r="F3086" s="14">
        <v>6.1</v>
      </c>
      <c r="G3086" s="14">
        <v>7</v>
      </c>
      <c r="H3086" s="14">
        <v>75.56</v>
      </c>
      <c r="I3086" s="15">
        <v>0.8</v>
      </c>
    </row>
    <row r="3087" spans="1:9" x14ac:dyDescent="0.25">
      <c r="A3087" s="12">
        <v>69</v>
      </c>
      <c r="B3087" s="13">
        <v>45148</v>
      </c>
      <c r="C3087" s="14">
        <v>19.5</v>
      </c>
      <c r="D3087" s="14">
        <v>69</v>
      </c>
      <c r="E3087" s="14">
        <v>614</v>
      </c>
      <c r="F3087" s="14">
        <v>6.8</v>
      </c>
      <c r="G3087" s="14">
        <v>8</v>
      </c>
      <c r="H3087" s="14">
        <v>67.099999999999994</v>
      </c>
      <c r="I3087" s="15">
        <v>0.69</v>
      </c>
    </row>
    <row r="3088" spans="1:9" x14ac:dyDescent="0.25">
      <c r="A3088" s="12">
        <v>69</v>
      </c>
      <c r="B3088" s="13">
        <v>45149</v>
      </c>
      <c r="C3088" s="14">
        <v>20.3</v>
      </c>
      <c r="D3088" s="14">
        <v>69</v>
      </c>
      <c r="E3088" s="14">
        <v>793</v>
      </c>
      <c r="F3088" s="14">
        <v>6.4</v>
      </c>
      <c r="G3088" s="14">
        <v>9</v>
      </c>
      <c r="H3088" s="14">
        <v>68.540000000000006</v>
      </c>
      <c r="I3088" s="15">
        <v>0.69</v>
      </c>
    </row>
    <row r="3089" spans="1:9" x14ac:dyDescent="0.25">
      <c r="A3089" s="12">
        <v>69</v>
      </c>
      <c r="B3089" s="13">
        <v>45150</v>
      </c>
      <c r="C3089" s="14">
        <v>22.3</v>
      </c>
      <c r="D3089" s="14">
        <v>79</v>
      </c>
      <c r="E3089" s="14">
        <v>405</v>
      </c>
      <c r="F3089" s="14">
        <v>6.2</v>
      </c>
      <c r="G3089" s="14">
        <v>10</v>
      </c>
      <c r="H3089" s="14">
        <v>72.14</v>
      </c>
      <c r="I3089" s="15">
        <v>0.79</v>
      </c>
    </row>
    <row r="3090" spans="1:9" x14ac:dyDescent="0.25">
      <c r="A3090" s="12">
        <v>69</v>
      </c>
      <c r="B3090" s="13">
        <v>45151</v>
      </c>
      <c r="C3090" s="14">
        <v>24.8</v>
      </c>
      <c r="D3090" s="14">
        <v>68</v>
      </c>
      <c r="E3090" s="14">
        <v>473</v>
      </c>
      <c r="F3090" s="14">
        <v>6.4</v>
      </c>
      <c r="G3090" s="14">
        <v>11</v>
      </c>
      <c r="H3090" s="14">
        <v>76.64</v>
      </c>
      <c r="I3090" s="15">
        <v>0.68</v>
      </c>
    </row>
    <row r="3091" spans="1:9" x14ac:dyDescent="0.25">
      <c r="A3091" s="12">
        <v>69</v>
      </c>
      <c r="B3091" s="13">
        <v>45152</v>
      </c>
      <c r="C3091" s="14">
        <v>22.5</v>
      </c>
      <c r="D3091" s="14">
        <v>58</v>
      </c>
      <c r="E3091" s="14">
        <v>703</v>
      </c>
      <c r="F3091" s="14">
        <v>6.4</v>
      </c>
      <c r="G3091" s="14">
        <v>12</v>
      </c>
      <c r="H3091" s="14">
        <v>72.5</v>
      </c>
      <c r="I3091" s="15">
        <v>0.57999999999999996</v>
      </c>
    </row>
    <row r="3092" spans="1:9" x14ac:dyDescent="0.25">
      <c r="A3092" s="12">
        <v>69</v>
      </c>
      <c r="B3092" s="13">
        <v>45153</v>
      </c>
      <c r="C3092" s="14">
        <v>20.8</v>
      </c>
      <c r="D3092" s="14">
        <v>59</v>
      </c>
      <c r="E3092" s="14">
        <v>473</v>
      </c>
      <c r="F3092" s="14">
        <v>6.1</v>
      </c>
      <c r="G3092" s="14">
        <v>13</v>
      </c>
      <c r="H3092" s="14">
        <v>69.44</v>
      </c>
      <c r="I3092" s="15">
        <v>0.59</v>
      </c>
    </row>
    <row r="3093" spans="1:9" x14ac:dyDescent="0.25">
      <c r="A3093" s="12">
        <v>69</v>
      </c>
      <c r="B3093" s="13">
        <v>45154</v>
      </c>
      <c r="C3093" s="14">
        <v>21.9</v>
      </c>
      <c r="D3093" s="14">
        <v>66</v>
      </c>
      <c r="E3093" s="14">
        <v>547</v>
      </c>
      <c r="F3093" s="14">
        <v>6.5</v>
      </c>
      <c r="G3093" s="14">
        <v>14</v>
      </c>
      <c r="H3093" s="14">
        <v>71.42</v>
      </c>
      <c r="I3093" s="15">
        <v>0.66</v>
      </c>
    </row>
    <row r="3094" spans="1:9" x14ac:dyDescent="0.25">
      <c r="A3094" s="12">
        <v>69</v>
      </c>
      <c r="B3094" s="13">
        <v>45155</v>
      </c>
      <c r="C3094" s="14">
        <v>20.6</v>
      </c>
      <c r="D3094" s="14">
        <v>53</v>
      </c>
      <c r="E3094" s="14">
        <v>592</v>
      </c>
      <c r="F3094" s="14">
        <v>6.3</v>
      </c>
      <c r="G3094" s="14">
        <v>15</v>
      </c>
      <c r="H3094" s="14">
        <v>69.08</v>
      </c>
      <c r="I3094" s="15">
        <v>0.53</v>
      </c>
    </row>
    <row r="3095" spans="1:9" x14ac:dyDescent="0.25">
      <c r="A3095" s="12">
        <v>69</v>
      </c>
      <c r="B3095" s="13">
        <v>45156</v>
      </c>
      <c r="C3095" s="14">
        <v>24.8</v>
      </c>
      <c r="D3095" s="14">
        <v>53</v>
      </c>
      <c r="E3095" s="14">
        <v>496</v>
      </c>
      <c r="F3095" s="14">
        <v>6.6</v>
      </c>
      <c r="G3095" s="14">
        <v>16</v>
      </c>
      <c r="H3095" s="14">
        <v>76.64</v>
      </c>
      <c r="I3095" s="15">
        <v>0.53</v>
      </c>
    </row>
    <row r="3096" spans="1:9" x14ac:dyDescent="0.25">
      <c r="A3096" s="12">
        <v>69</v>
      </c>
      <c r="B3096" s="13">
        <v>45157</v>
      </c>
      <c r="C3096" s="14">
        <v>22.7</v>
      </c>
      <c r="D3096" s="14">
        <v>53</v>
      </c>
      <c r="E3096" s="14">
        <v>531</v>
      </c>
      <c r="F3096" s="14">
        <v>6.6</v>
      </c>
      <c r="G3096" s="14">
        <v>17</v>
      </c>
      <c r="H3096" s="14">
        <v>72.86</v>
      </c>
      <c r="I3096" s="15">
        <v>0.53</v>
      </c>
    </row>
    <row r="3097" spans="1:9" x14ac:dyDescent="0.25">
      <c r="A3097" s="12">
        <v>69</v>
      </c>
      <c r="B3097" s="13">
        <v>45158</v>
      </c>
      <c r="C3097" s="14">
        <v>19.5</v>
      </c>
      <c r="D3097" s="14">
        <v>55</v>
      </c>
      <c r="E3097" s="14">
        <v>473</v>
      </c>
      <c r="F3097" s="14">
        <v>6.2</v>
      </c>
      <c r="G3097" s="14">
        <v>18</v>
      </c>
      <c r="H3097" s="14">
        <v>67.099999999999994</v>
      </c>
      <c r="I3097" s="15">
        <v>0.55000000000000004</v>
      </c>
    </row>
    <row r="3098" spans="1:9" x14ac:dyDescent="0.25">
      <c r="A3098" s="12">
        <v>69</v>
      </c>
      <c r="B3098" s="13">
        <v>45159</v>
      </c>
      <c r="C3098" s="14">
        <v>21.8</v>
      </c>
      <c r="D3098" s="14">
        <v>64</v>
      </c>
      <c r="E3098" s="14">
        <v>583</v>
      </c>
      <c r="F3098" s="14">
        <v>6.6</v>
      </c>
      <c r="G3098" s="14">
        <v>19</v>
      </c>
      <c r="H3098" s="14">
        <v>71.239999999999995</v>
      </c>
      <c r="I3098" s="15">
        <v>0.64</v>
      </c>
    </row>
    <row r="3099" spans="1:9" x14ac:dyDescent="0.25">
      <c r="A3099" s="12">
        <v>69</v>
      </c>
      <c r="B3099" s="13">
        <v>45160</v>
      </c>
      <c r="C3099" s="14">
        <v>23.8</v>
      </c>
      <c r="D3099" s="14">
        <v>66</v>
      </c>
      <c r="E3099" s="14">
        <v>495</v>
      </c>
      <c r="F3099" s="14">
        <v>6.3</v>
      </c>
      <c r="G3099" s="14">
        <v>20</v>
      </c>
      <c r="H3099" s="14">
        <v>74.84</v>
      </c>
      <c r="I3099" s="15">
        <v>0.66</v>
      </c>
    </row>
    <row r="3100" spans="1:9" x14ac:dyDescent="0.25">
      <c r="A3100" s="12">
        <v>69</v>
      </c>
      <c r="B3100" s="13">
        <v>45161</v>
      </c>
      <c r="C3100" s="14">
        <v>19.7</v>
      </c>
      <c r="D3100" s="14">
        <v>50</v>
      </c>
      <c r="E3100" s="14">
        <v>613</v>
      </c>
      <c r="F3100" s="14">
        <v>6.4</v>
      </c>
      <c r="G3100" s="14">
        <v>21</v>
      </c>
      <c r="H3100" s="14">
        <v>67.459999999999994</v>
      </c>
      <c r="I3100" s="15">
        <v>0.5</v>
      </c>
    </row>
    <row r="3101" spans="1:9" x14ac:dyDescent="0.25">
      <c r="A3101" s="12">
        <v>69</v>
      </c>
      <c r="B3101" s="13">
        <v>45162</v>
      </c>
      <c r="C3101" s="14">
        <v>22.5</v>
      </c>
      <c r="D3101" s="14">
        <v>54</v>
      </c>
      <c r="E3101" s="14">
        <v>428</v>
      </c>
      <c r="F3101" s="14">
        <v>6.7</v>
      </c>
      <c r="G3101" s="14">
        <v>22</v>
      </c>
      <c r="H3101" s="14">
        <v>72.5</v>
      </c>
      <c r="I3101" s="15">
        <v>0.54</v>
      </c>
    </row>
    <row r="3102" spans="1:9" x14ac:dyDescent="0.25">
      <c r="A3102" s="12">
        <v>69</v>
      </c>
      <c r="B3102" s="13">
        <v>45163</v>
      </c>
      <c r="C3102" s="14">
        <v>18.5</v>
      </c>
      <c r="D3102" s="14">
        <v>52</v>
      </c>
      <c r="E3102" s="14">
        <v>655</v>
      </c>
      <c r="F3102" s="14">
        <v>6.4</v>
      </c>
      <c r="G3102" s="14">
        <v>23</v>
      </c>
      <c r="H3102" s="14">
        <v>65.3</v>
      </c>
      <c r="I3102" s="15">
        <v>0.52</v>
      </c>
    </row>
    <row r="3103" spans="1:9" x14ac:dyDescent="0.25">
      <c r="A3103" s="12">
        <v>69</v>
      </c>
      <c r="B3103" s="13">
        <v>45164</v>
      </c>
      <c r="C3103" s="14">
        <v>21.6</v>
      </c>
      <c r="D3103" s="14">
        <v>50</v>
      </c>
      <c r="E3103" s="14">
        <v>547</v>
      </c>
      <c r="F3103" s="14">
        <v>6.2</v>
      </c>
      <c r="G3103" s="14">
        <v>24</v>
      </c>
      <c r="H3103" s="14">
        <v>70.88</v>
      </c>
      <c r="I3103" s="15">
        <v>0.5</v>
      </c>
    </row>
    <row r="3104" spans="1:9" x14ac:dyDescent="0.25">
      <c r="A3104" s="12">
        <v>69</v>
      </c>
      <c r="B3104" s="13">
        <v>45165</v>
      </c>
      <c r="C3104" s="14">
        <v>22.9</v>
      </c>
      <c r="D3104" s="14">
        <v>77</v>
      </c>
      <c r="E3104" s="14">
        <v>727</v>
      </c>
      <c r="F3104" s="14">
        <v>6.7</v>
      </c>
      <c r="G3104" s="14">
        <v>25</v>
      </c>
      <c r="H3104" s="14">
        <v>73.22</v>
      </c>
      <c r="I3104" s="15">
        <v>0.77</v>
      </c>
    </row>
    <row r="3105" spans="1:9" x14ac:dyDescent="0.25">
      <c r="A3105" s="12">
        <v>69</v>
      </c>
      <c r="B3105" s="13">
        <v>45166</v>
      </c>
      <c r="C3105" s="14">
        <v>23</v>
      </c>
      <c r="D3105" s="14">
        <v>52</v>
      </c>
      <c r="E3105" s="14">
        <v>592</v>
      </c>
      <c r="F3105" s="14">
        <v>6.1</v>
      </c>
      <c r="G3105" s="14">
        <v>26</v>
      </c>
      <c r="H3105" s="14">
        <v>73.400000000000006</v>
      </c>
      <c r="I3105" s="15">
        <v>0.52</v>
      </c>
    </row>
    <row r="3106" spans="1:9" x14ac:dyDescent="0.25">
      <c r="A3106" s="12">
        <v>69</v>
      </c>
      <c r="B3106" s="13">
        <v>45167</v>
      </c>
      <c r="C3106" s="14">
        <v>22.2</v>
      </c>
      <c r="D3106" s="14">
        <v>61</v>
      </c>
      <c r="E3106" s="14">
        <v>562</v>
      </c>
      <c r="F3106" s="14">
        <v>6.1</v>
      </c>
      <c r="G3106" s="14">
        <v>27</v>
      </c>
      <c r="H3106" s="14">
        <v>71.959999999999994</v>
      </c>
      <c r="I3106" s="15">
        <v>0.61</v>
      </c>
    </row>
    <row r="3107" spans="1:9" x14ac:dyDescent="0.25">
      <c r="A3107" s="12">
        <v>69</v>
      </c>
      <c r="B3107" s="13">
        <v>45168</v>
      </c>
      <c r="C3107" s="14">
        <v>21.1</v>
      </c>
      <c r="D3107" s="14">
        <v>78</v>
      </c>
      <c r="E3107" s="14">
        <v>508</v>
      </c>
      <c r="F3107" s="14">
        <v>6.2</v>
      </c>
      <c r="G3107" s="14">
        <v>28</v>
      </c>
      <c r="H3107" s="14">
        <v>69.98</v>
      </c>
      <c r="I3107" s="15">
        <v>0.78</v>
      </c>
    </row>
    <row r="3108" spans="1:9" x14ac:dyDescent="0.25">
      <c r="A3108" s="12">
        <v>69</v>
      </c>
      <c r="B3108" s="13">
        <v>45169</v>
      </c>
      <c r="C3108" s="14">
        <v>20.5</v>
      </c>
      <c r="D3108" s="14">
        <v>56</v>
      </c>
      <c r="E3108" s="14">
        <v>404</v>
      </c>
      <c r="F3108" s="14">
        <v>6.5</v>
      </c>
      <c r="G3108" s="14">
        <v>29</v>
      </c>
      <c r="H3108" s="14">
        <v>68.900000000000006</v>
      </c>
      <c r="I3108" s="15">
        <v>0.56000000000000005</v>
      </c>
    </row>
    <row r="3109" spans="1:9" x14ac:dyDescent="0.25">
      <c r="A3109" s="12">
        <v>69</v>
      </c>
      <c r="B3109" s="13">
        <v>45170</v>
      </c>
      <c r="C3109" s="14">
        <v>20.2</v>
      </c>
      <c r="D3109" s="14">
        <v>55</v>
      </c>
      <c r="E3109" s="14">
        <v>746</v>
      </c>
      <c r="F3109" s="14">
        <v>6.6</v>
      </c>
      <c r="G3109" s="14">
        <v>30</v>
      </c>
      <c r="H3109" s="14">
        <v>68.36</v>
      </c>
      <c r="I3109" s="15">
        <v>0.55000000000000004</v>
      </c>
    </row>
    <row r="3110" spans="1:9" x14ac:dyDescent="0.25">
      <c r="A3110" s="12">
        <v>69</v>
      </c>
      <c r="B3110" s="13">
        <v>45171</v>
      </c>
      <c r="C3110" s="14">
        <v>20</v>
      </c>
      <c r="D3110" s="14">
        <v>63</v>
      </c>
      <c r="E3110" s="14">
        <v>418</v>
      </c>
      <c r="F3110" s="14">
        <v>6.6</v>
      </c>
      <c r="G3110" s="14">
        <v>31</v>
      </c>
      <c r="H3110" s="14">
        <v>68</v>
      </c>
      <c r="I3110" s="15">
        <v>0.63</v>
      </c>
    </row>
    <row r="3111" spans="1:9" x14ac:dyDescent="0.25">
      <c r="A3111" s="12">
        <v>69</v>
      </c>
      <c r="B3111" s="13">
        <v>45172</v>
      </c>
      <c r="C3111" s="14">
        <v>18.2</v>
      </c>
      <c r="D3111" s="14">
        <v>51</v>
      </c>
      <c r="E3111" s="14">
        <v>429</v>
      </c>
      <c r="F3111" s="14">
        <v>6</v>
      </c>
      <c r="G3111" s="14">
        <v>32</v>
      </c>
      <c r="H3111" s="14">
        <v>64.760000000000005</v>
      </c>
      <c r="I3111" s="15">
        <v>0.51</v>
      </c>
    </row>
    <row r="3112" spans="1:9" x14ac:dyDescent="0.25">
      <c r="A3112" s="12">
        <v>69</v>
      </c>
      <c r="B3112" s="13">
        <v>45173</v>
      </c>
      <c r="C3112" s="14">
        <v>19.7</v>
      </c>
      <c r="D3112" s="14">
        <v>73</v>
      </c>
      <c r="E3112" s="14">
        <v>764</v>
      </c>
      <c r="F3112" s="14">
        <v>6.3</v>
      </c>
      <c r="G3112" s="14">
        <v>33</v>
      </c>
      <c r="H3112" s="14">
        <v>67.459999999999994</v>
      </c>
      <c r="I3112" s="15">
        <v>0.73</v>
      </c>
    </row>
    <row r="3113" spans="1:9" x14ac:dyDescent="0.25">
      <c r="A3113" s="12">
        <v>69</v>
      </c>
      <c r="B3113" s="13">
        <v>45174</v>
      </c>
      <c r="C3113" s="14">
        <v>24.5</v>
      </c>
      <c r="D3113" s="14">
        <v>74</v>
      </c>
      <c r="E3113" s="14">
        <v>674</v>
      </c>
      <c r="F3113" s="14">
        <v>6.3</v>
      </c>
      <c r="G3113" s="14">
        <v>34</v>
      </c>
      <c r="H3113" s="14">
        <v>76.099999999999994</v>
      </c>
      <c r="I3113" s="15">
        <v>0.74</v>
      </c>
    </row>
    <row r="3114" spans="1:9" x14ac:dyDescent="0.25">
      <c r="A3114" s="12">
        <v>69</v>
      </c>
      <c r="B3114" s="13">
        <v>45175</v>
      </c>
      <c r="C3114" s="14">
        <v>19.7</v>
      </c>
      <c r="D3114" s="14">
        <v>50</v>
      </c>
      <c r="E3114" s="14">
        <v>773</v>
      </c>
      <c r="F3114" s="14">
        <v>6.5</v>
      </c>
      <c r="G3114" s="14">
        <v>35</v>
      </c>
      <c r="H3114" s="14">
        <v>67.459999999999994</v>
      </c>
      <c r="I3114" s="15">
        <v>0.5</v>
      </c>
    </row>
    <row r="3115" spans="1:9" x14ac:dyDescent="0.25">
      <c r="A3115" s="12">
        <v>69</v>
      </c>
      <c r="B3115" s="13">
        <v>45176</v>
      </c>
      <c r="C3115" s="14">
        <v>18.5</v>
      </c>
      <c r="D3115" s="14">
        <v>69</v>
      </c>
      <c r="E3115" s="14">
        <v>790</v>
      </c>
      <c r="F3115" s="14">
        <v>6.7</v>
      </c>
      <c r="G3115" s="14">
        <v>36</v>
      </c>
      <c r="H3115" s="14">
        <v>65.3</v>
      </c>
      <c r="I3115" s="15">
        <v>0.69</v>
      </c>
    </row>
    <row r="3116" spans="1:9" x14ac:dyDescent="0.25">
      <c r="A3116" s="12">
        <v>69</v>
      </c>
      <c r="B3116" s="13">
        <v>45177</v>
      </c>
      <c r="C3116" s="14">
        <v>19.600000000000001</v>
      </c>
      <c r="D3116" s="14">
        <v>77</v>
      </c>
      <c r="E3116" s="14">
        <v>622</v>
      </c>
      <c r="F3116" s="14">
        <v>6.8</v>
      </c>
      <c r="G3116" s="14">
        <v>37</v>
      </c>
      <c r="H3116" s="14">
        <v>67.28</v>
      </c>
      <c r="I3116" s="15">
        <v>0.77</v>
      </c>
    </row>
    <row r="3117" spans="1:9" x14ac:dyDescent="0.25">
      <c r="A3117" s="12">
        <v>69</v>
      </c>
      <c r="B3117" s="13">
        <v>45178</v>
      </c>
      <c r="C3117" s="14">
        <v>19.8</v>
      </c>
      <c r="D3117" s="14">
        <v>62</v>
      </c>
      <c r="E3117" s="14">
        <v>784</v>
      </c>
      <c r="F3117" s="14">
        <v>6.6</v>
      </c>
      <c r="G3117" s="14">
        <v>38</v>
      </c>
      <c r="H3117" s="14">
        <v>67.64</v>
      </c>
      <c r="I3117" s="15">
        <v>0.62</v>
      </c>
    </row>
    <row r="3118" spans="1:9" x14ac:dyDescent="0.25">
      <c r="A3118" s="12">
        <v>69</v>
      </c>
      <c r="B3118" s="13">
        <v>45179</v>
      </c>
      <c r="C3118" s="14">
        <v>18.399999999999999</v>
      </c>
      <c r="D3118" s="14">
        <v>55</v>
      </c>
      <c r="E3118" s="14">
        <v>492</v>
      </c>
      <c r="F3118" s="14">
        <v>6.4</v>
      </c>
      <c r="G3118" s="14">
        <v>39</v>
      </c>
      <c r="H3118" s="14">
        <v>65.12</v>
      </c>
      <c r="I3118" s="15">
        <v>0.55000000000000004</v>
      </c>
    </row>
    <row r="3119" spans="1:9" x14ac:dyDescent="0.25">
      <c r="A3119" s="12">
        <v>69</v>
      </c>
      <c r="B3119" s="13">
        <v>45180</v>
      </c>
      <c r="C3119" s="14">
        <v>23.6</v>
      </c>
      <c r="D3119" s="14">
        <v>80</v>
      </c>
      <c r="E3119" s="14">
        <v>757</v>
      </c>
      <c r="F3119" s="14">
        <v>6.3</v>
      </c>
      <c r="G3119" s="14">
        <v>40</v>
      </c>
      <c r="H3119" s="14">
        <v>74.48</v>
      </c>
      <c r="I3119" s="15">
        <v>0.8</v>
      </c>
    </row>
    <row r="3120" spans="1:9" x14ac:dyDescent="0.25">
      <c r="A3120" s="12">
        <v>69</v>
      </c>
      <c r="B3120" s="13">
        <v>45181</v>
      </c>
      <c r="C3120" s="14">
        <v>22.5</v>
      </c>
      <c r="D3120" s="14">
        <v>51</v>
      </c>
      <c r="E3120" s="14">
        <v>688</v>
      </c>
      <c r="F3120" s="14">
        <v>6.7</v>
      </c>
      <c r="G3120" s="14">
        <v>41</v>
      </c>
      <c r="H3120" s="14">
        <v>72.5</v>
      </c>
      <c r="I3120" s="15">
        <v>0.51</v>
      </c>
    </row>
    <row r="3121" spans="1:9" x14ac:dyDescent="0.25">
      <c r="A3121" s="12">
        <v>69</v>
      </c>
      <c r="B3121" s="13">
        <v>45182</v>
      </c>
      <c r="C3121" s="14">
        <v>23.3</v>
      </c>
      <c r="D3121" s="14">
        <v>61</v>
      </c>
      <c r="E3121" s="14">
        <v>687</v>
      </c>
      <c r="F3121" s="14">
        <v>6.3</v>
      </c>
      <c r="G3121" s="14">
        <v>42</v>
      </c>
      <c r="H3121" s="14">
        <v>73.94</v>
      </c>
      <c r="I3121" s="15">
        <v>0.61</v>
      </c>
    </row>
    <row r="3122" spans="1:9" x14ac:dyDescent="0.25">
      <c r="A3122" s="12">
        <v>69</v>
      </c>
      <c r="B3122" s="13">
        <v>45183</v>
      </c>
      <c r="C3122" s="14">
        <v>24.9</v>
      </c>
      <c r="D3122" s="14">
        <v>59</v>
      </c>
      <c r="E3122" s="14">
        <v>494</v>
      </c>
      <c r="F3122" s="14">
        <v>6.8</v>
      </c>
      <c r="G3122" s="14">
        <v>43</v>
      </c>
      <c r="H3122" s="14">
        <v>76.819999999999993</v>
      </c>
      <c r="I3122" s="15">
        <v>0.59</v>
      </c>
    </row>
    <row r="3123" spans="1:9" x14ac:dyDescent="0.25">
      <c r="A3123" s="12">
        <v>69</v>
      </c>
      <c r="B3123" s="13">
        <v>45184</v>
      </c>
      <c r="C3123" s="14">
        <v>19.2</v>
      </c>
      <c r="D3123" s="14">
        <v>60</v>
      </c>
      <c r="E3123" s="14">
        <v>681</v>
      </c>
      <c r="F3123" s="14">
        <v>6.3</v>
      </c>
      <c r="G3123" s="14">
        <v>44</v>
      </c>
      <c r="H3123" s="14">
        <v>66.56</v>
      </c>
      <c r="I3123" s="15">
        <v>0.6</v>
      </c>
    </row>
    <row r="3124" spans="1:9" x14ac:dyDescent="0.25">
      <c r="A3124" s="12">
        <v>69</v>
      </c>
      <c r="B3124" s="13">
        <v>45185</v>
      </c>
      <c r="C3124" s="14">
        <v>21.2</v>
      </c>
      <c r="D3124" s="14">
        <v>70</v>
      </c>
      <c r="E3124" s="14">
        <v>703</v>
      </c>
      <c r="F3124" s="14">
        <v>6.1</v>
      </c>
      <c r="G3124" s="14">
        <v>45</v>
      </c>
      <c r="H3124" s="14">
        <v>70.16</v>
      </c>
      <c r="I3124" s="15">
        <v>0.7</v>
      </c>
    </row>
    <row r="3125" spans="1:9" x14ac:dyDescent="0.25">
      <c r="A3125" s="12">
        <v>70</v>
      </c>
      <c r="B3125" s="13">
        <v>45141</v>
      </c>
      <c r="C3125" s="14">
        <v>24.7</v>
      </c>
      <c r="D3125" s="14">
        <v>65</v>
      </c>
      <c r="E3125" s="14">
        <v>752</v>
      </c>
      <c r="F3125" s="14">
        <v>6.3</v>
      </c>
      <c r="G3125" s="14">
        <v>1</v>
      </c>
      <c r="H3125" s="14">
        <v>76.459999999999994</v>
      </c>
      <c r="I3125" s="15">
        <v>0.65</v>
      </c>
    </row>
    <row r="3126" spans="1:9" x14ac:dyDescent="0.25">
      <c r="A3126" s="12">
        <v>70</v>
      </c>
      <c r="B3126" s="13">
        <v>45142</v>
      </c>
      <c r="C3126" s="14">
        <v>23.8</v>
      </c>
      <c r="D3126" s="14">
        <v>77</v>
      </c>
      <c r="E3126" s="14">
        <v>617</v>
      </c>
      <c r="F3126" s="14">
        <v>6.7</v>
      </c>
      <c r="G3126" s="14">
        <v>2</v>
      </c>
      <c r="H3126" s="14">
        <v>74.84</v>
      </c>
      <c r="I3126" s="15">
        <v>0.77</v>
      </c>
    </row>
    <row r="3127" spans="1:9" x14ac:dyDescent="0.25">
      <c r="A3127" s="12">
        <v>70</v>
      </c>
      <c r="B3127" s="13">
        <v>45143</v>
      </c>
      <c r="C3127" s="14">
        <v>19</v>
      </c>
      <c r="D3127" s="14">
        <v>68</v>
      </c>
      <c r="E3127" s="14">
        <v>454</v>
      </c>
      <c r="F3127" s="14">
        <v>6.2</v>
      </c>
      <c r="G3127" s="14">
        <v>3</v>
      </c>
      <c r="H3127" s="14">
        <v>66.2</v>
      </c>
      <c r="I3127" s="15">
        <v>0.68</v>
      </c>
    </row>
    <row r="3128" spans="1:9" x14ac:dyDescent="0.25">
      <c r="A3128" s="12">
        <v>70</v>
      </c>
      <c r="B3128" s="13">
        <v>45144</v>
      </c>
      <c r="C3128" s="14">
        <v>19.899999999999999</v>
      </c>
      <c r="D3128" s="14">
        <v>61</v>
      </c>
      <c r="E3128" s="14">
        <v>593</v>
      </c>
      <c r="F3128" s="14">
        <v>6.4</v>
      </c>
      <c r="G3128" s="14">
        <v>4</v>
      </c>
      <c r="H3128" s="14">
        <v>67.819999999999993</v>
      </c>
      <c r="I3128" s="15">
        <v>0.61</v>
      </c>
    </row>
    <row r="3129" spans="1:9" x14ac:dyDescent="0.25">
      <c r="A3129" s="12">
        <v>70</v>
      </c>
      <c r="B3129" s="13">
        <v>45145</v>
      </c>
      <c r="C3129" s="14">
        <v>20</v>
      </c>
      <c r="D3129" s="14">
        <v>51</v>
      </c>
      <c r="E3129" s="14">
        <v>766</v>
      </c>
      <c r="F3129" s="14">
        <v>6.3</v>
      </c>
      <c r="G3129" s="14">
        <v>5</v>
      </c>
      <c r="H3129" s="14">
        <v>68</v>
      </c>
      <c r="I3129" s="15">
        <v>0.51</v>
      </c>
    </row>
    <row r="3130" spans="1:9" x14ac:dyDescent="0.25">
      <c r="A3130" s="12">
        <v>70</v>
      </c>
      <c r="B3130" s="13">
        <v>45146</v>
      </c>
      <c r="C3130" s="14">
        <v>22.2</v>
      </c>
      <c r="D3130" s="14">
        <v>67</v>
      </c>
      <c r="E3130" s="14">
        <v>577</v>
      </c>
      <c r="F3130" s="14">
        <v>6.3</v>
      </c>
      <c r="G3130" s="14">
        <v>6</v>
      </c>
      <c r="H3130" s="14">
        <v>71.959999999999994</v>
      </c>
      <c r="I3130" s="15">
        <v>0.67</v>
      </c>
    </row>
    <row r="3131" spans="1:9" x14ac:dyDescent="0.25">
      <c r="A3131" s="12">
        <v>70</v>
      </c>
      <c r="B3131" s="13">
        <v>45147</v>
      </c>
      <c r="C3131" s="14">
        <v>23.8</v>
      </c>
      <c r="D3131" s="14">
        <v>50</v>
      </c>
      <c r="E3131" s="14">
        <v>599</v>
      </c>
      <c r="F3131" s="14">
        <v>6.4</v>
      </c>
      <c r="G3131" s="14">
        <v>7</v>
      </c>
      <c r="H3131" s="14">
        <v>74.84</v>
      </c>
      <c r="I3131" s="15">
        <v>0.5</v>
      </c>
    </row>
    <row r="3132" spans="1:9" x14ac:dyDescent="0.25">
      <c r="A3132" s="12">
        <v>70</v>
      </c>
      <c r="B3132" s="13">
        <v>45148</v>
      </c>
      <c r="C3132" s="14">
        <v>19.3</v>
      </c>
      <c r="D3132" s="14">
        <v>74</v>
      </c>
      <c r="E3132" s="14">
        <v>645</v>
      </c>
      <c r="F3132" s="14">
        <v>6.5</v>
      </c>
      <c r="G3132" s="14">
        <v>8</v>
      </c>
      <c r="H3132" s="14">
        <v>66.739999999999995</v>
      </c>
      <c r="I3132" s="15">
        <v>0.74</v>
      </c>
    </row>
    <row r="3133" spans="1:9" x14ac:dyDescent="0.25">
      <c r="A3133" s="12">
        <v>70</v>
      </c>
      <c r="B3133" s="13">
        <v>45149</v>
      </c>
      <c r="C3133" s="14">
        <v>23</v>
      </c>
      <c r="D3133" s="14">
        <v>54</v>
      </c>
      <c r="E3133" s="14">
        <v>650</v>
      </c>
      <c r="F3133" s="14">
        <v>6.6</v>
      </c>
      <c r="G3133" s="14">
        <v>9</v>
      </c>
      <c r="H3133" s="14">
        <v>73.400000000000006</v>
      </c>
      <c r="I3133" s="15">
        <v>0.54</v>
      </c>
    </row>
    <row r="3134" spans="1:9" x14ac:dyDescent="0.25">
      <c r="A3134" s="12">
        <v>70</v>
      </c>
      <c r="B3134" s="13">
        <v>45150</v>
      </c>
      <c r="C3134" s="14">
        <v>24.3</v>
      </c>
      <c r="D3134" s="14">
        <v>64</v>
      </c>
      <c r="E3134" s="14">
        <v>656</v>
      </c>
      <c r="F3134" s="14">
        <v>6.3</v>
      </c>
      <c r="G3134" s="14">
        <v>10</v>
      </c>
      <c r="H3134" s="14">
        <v>75.739999999999995</v>
      </c>
      <c r="I3134" s="15">
        <v>0.64</v>
      </c>
    </row>
    <row r="3135" spans="1:9" x14ac:dyDescent="0.25">
      <c r="A3135" s="12">
        <v>70</v>
      </c>
      <c r="B3135" s="13">
        <v>45151</v>
      </c>
      <c r="C3135" s="14">
        <v>20</v>
      </c>
      <c r="D3135" s="14">
        <v>50</v>
      </c>
      <c r="E3135" s="14">
        <v>556</v>
      </c>
      <c r="F3135" s="14">
        <v>6.5</v>
      </c>
      <c r="G3135" s="14">
        <v>11</v>
      </c>
      <c r="H3135" s="14">
        <v>68</v>
      </c>
      <c r="I3135" s="15">
        <v>0.5</v>
      </c>
    </row>
    <row r="3136" spans="1:9" x14ac:dyDescent="0.25">
      <c r="A3136" s="12">
        <v>70</v>
      </c>
      <c r="B3136" s="13">
        <v>45152</v>
      </c>
      <c r="C3136" s="14">
        <v>20.100000000000001</v>
      </c>
      <c r="D3136" s="14">
        <v>53</v>
      </c>
      <c r="E3136" s="14">
        <v>593</v>
      </c>
      <c r="F3136" s="14">
        <v>6</v>
      </c>
      <c r="G3136" s="14">
        <v>12</v>
      </c>
      <c r="H3136" s="14">
        <v>68.180000000000007</v>
      </c>
      <c r="I3136" s="15">
        <v>0.53</v>
      </c>
    </row>
    <row r="3137" spans="1:9" x14ac:dyDescent="0.25">
      <c r="A3137" s="12">
        <v>70</v>
      </c>
      <c r="B3137" s="13">
        <v>45153</v>
      </c>
      <c r="C3137" s="14">
        <v>21.7</v>
      </c>
      <c r="D3137" s="14">
        <v>77</v>
      </c>
      <c r="E3137" s="14">
        <v>479</v>
      </c>
      <c r="F3137" s="14">
        <v>6.1</v>
      </c>
      <c r="G3137" s="14">
        <v>13</v>
      </c>
      <c r="H3137" s="14">
        <v>71.06</v>
      </c>
      <c r="I3137" s="15">
        <v>0.77</v>
      </c>
    </row>
    <row r="3138" spans="1:9" x14ac:dyDescent="0.25">
      <c r="A3138" s="12">
        <v>70</v>
      </c>
      <c r="B3138" s="13">
        <v>45154</v>
      </c>
      <c r="C3138" s="14">
        <v>19.899999999999999</v>
      </c>
      <c r="D3138" s="14">
        <v>75</v>
      </c>
      <c r="E3138" s="14">
        <v>517</v>
      </c>
      <c r="F3138" s="14">
        <v>6.6</v>
      </c>
      <c r="G3138" s="14">
        <v>14</v>
      </c>
      <c r="H3138" s="14">
        <v>67.819999999999993</v>
      </c>
      <c r="I3138" s="15">
        <v>0.75</v>
      </c>
    </row>
    <row r="3139" spans="1:9" x14ac:dyDescent="0.25">
      <c r="A3139" s="12">
        <v>70</v>
      </c>
      <c r="B3139" s="13">
        <v>45155</v>
      </c>
      <c r="C3139" s="14">
        <v>19.5</v>
      </c>
      <c r="D3139" s="14">
        <v>77</v>
      </c>
      <c r="E3139" s="14">
        <v>791</v>
      </c>
      <c r="F3139" s="14">
        <v>6.4</v>
      </c>
      <c r="G3139" s="14">
        <v>15</v>
      </c>
      <c r="H3139" s="14">
        <v>67.099999999999994</v>
      </c>
      <c r="I3139" s="15">
        <v>0.77</v>
      </c>
    </row>
    <row r="3140" spans="1:9" x14ac:dyDescent="0.25">
      <c r="A3140" s="12">
        <v>70</v>
      </c>
      <c r="B3140" s="13">
        <v>45156</v>
      </c>
      <c r="C3140" s="14">
        <v>19.399999999999999</v>
      </c>
      <c r="D3140" s="14">
        <v>51</v>
      </c>
      <c r="E3140" s="14">
        <v>423</v>
      </c>
      <c r="F3140" s="14">
        <v>6.4</v>
      </c>
      <c r="G3140" s="14">
        <v>16</v>
      </c>
      <c r="H3140" s="14">
        <v>66.92</v>
      </c>
      <c r="I3140" s="15">
        <v>0.51</v>
      </c>
    </row>
    <row r="3141" spans="1:9" x14ac:dyDescent="0.25">
      <c r="A3141" s="12">
        <v>70</v>
      </c>
      <c r="B3141" s="13">
        <v>45157</v>
      </c>
      <c r="C3141" s="14">
        <v>20.7</v>
      </c>
      <c r="D3141" s="14">
        <v>51</v>
      </c>
      <c r="E3141" s="14">
        <v>795</v>
      </c>
      <c r="F3141" s="14">
        <v>6.5</v>
      </c>
      <c r="G3141" s="14">
        <v>17</v>
      </c>
      <c r="H3141" s="14">
        <v>69.260000000000005</v>
      </c>
      <c r="I3141" s="15">
        <v>0.51</v>
      </c>
    </row>
    <row r="3142" spans="1:9" x14ac:dyDescent="0.25">
      <c r="A3142" s="12">
        <v>70</v>
      </c>
      <c r="B3142" s="13">
        <v>45158</v>
      </c>
      <c r="C3142" s="14">
        <v>21.3</v>
      </c>
      <c r="D3142" s="14">
        <v>72</v>
      </c>
      <c r="E3142" s="14">
        <v>698</v>
      </c>
      <c r="F3142" s="14">
        <v>6.2</v>
      </c>
      <c r="G3142" s="14">
        <v>18</v>
      </c>
      <c r="H3142" s="14">
        <v>70.34</v>
      </c>
      <c r="I3142" s="15">
        <v>0.72</v>
      </c>
    </row>
    <row r="3143" spans="1:9" x14ac:dyDescent="0.25">
      <c r="A3143" s="12">
        <v>70</v>
      </c>
      <c r="B3143" s="13">
        <v>45159</v>
      </c>
      <c r="C3143" s="14">
        <v>24.6</v>
      </c>
      <c r="D3143" s="14">
        <v>62</v>
      </c>
      <c r="E3143" s="14">
        <v>634</v>
      </c>
      <c r="F3143" s="14">
        <v>6.7</v>
      </c>
      <c r="G3143" s="14">
        <v>19</v>
      </c>
      <c r="H3143" s="14">
        <v>76.28</v>
      </c>
      <c r="I3143" s="15">
        <v>0.62</v>
      </c>
    </row>
    <row r="3144" spans="1:9" x14ac:dyDescent="0.25">
      <c r="A3144" s="12">
        <v>70</v>
      </c>
      <c r="B3144" s="13">
        <v>45160</v>
      </c>
      <c r="C3144" s="14">
        <v>22.2</v>
      </c>
      <c r="D3144" s="14">
        <v>57</v>
      </c>
      <c r="E3144" s="14">
        <v>425</v>
      </c>
      <c r="F3144" s="14">
        <v>6.6</v>
      </c>
      <c r="G3144" s="14">
        <v>20</v>
      </c>
      <c r="H3144" s="14">
        <v>71.959999999999994</v>
      </c>
      <c r="I3144" s="15">
        <v>0.56999999999999995</v>
      </c>
    </row>
    <row r="3145" spans="1:9" x14ac:dyDescent="0.25">
      <c r="A3145" s="12">
        <v>70</v>
      </c>
      <c r="B3145" s="13">
        <v>45161</v>
      </c>
      <c r="C3145" s="14">
        <v>24.9</v>
      </c>
      <c r="D3145" s="14">
        <v>54</v>
      </c>
      <c r="E3145" s="14">
        <v>407</v>
      </c>
      <c r="F3145" s="14">
        <v>6.7</v>
      </c>
      <c r="G3145" s="14">
        <v>21</v>
      </c>
      <c r="H3145" s="14">
        <v>76.819999999999993</v>
      </c>
      <c r="I3145" s="15">
        <v>0.54</v>
      </c>
    </row>
    <row r="3146" spans="1:9" x14ac:dyDescent="0.25">
      <c r="A3146" s="12">
        <v>70</v>
      </c>
      <c r="B3146" s="13">
        <v>45162</v>
      </c>
      <c r="C3146" s="14">
        <v>19.2</v>
      </c>
      <c r="D3146" s="14">
        <v>56</v>
      </c>
      <c r="E3146" s="14">
        <v>515</v>
      </c>
      <c r="F3146" s="14">
        <v>6.4</v>
      </c>
      <c r="G3146" s="14">
        <v>22</v>
      </c>
      <c r="H3146" s="14">
        <v>66.56</v>
      </c>
      <c r="I3146" s="15">
        <v>0.56000000000000005</v>
      </c>
    </row>
    <row r="3147" spans="1:9" x14ac:dyDescent="0.25">
      <c r="A3147" s="12">
        <v>70</v>
      </c>
      <c r="B3147" s="13">
        <v>45163</v>
      </c>
      <c r="C3147" s="14">
        <v>18.399999999999999</v>
      </c>
      <c r="D3147" s="14">
        <v>51</v>
      </c>
      <c r="E3147" s="14">
        <v>750</v>
      </c>
      <c r="F3147" s="14">
        <v>6.5</v>
      </c>
      <c r="G3147" s="14">
        <v>23</v>
      </c>
      <c r="H3147" s="14">
        <v>65.12</v>
      </c>
      <c r="I3147" s="15">
        <v>0.51</v>
      </c>
    </row>
    <row r="3148" spans="1:9" x14ac:dyDescent="0.25">
      <c r="A3148" s="12">
        <v>70</v>
      </c>
      <c r="B3148" s="13">
        <v>45164</v>
      </c>
      <c r="C3148" s="14">
        <v>19.7</v>
      </c>
      <c r="D3148" s="14">
        <v>67</v>
      </c>
      <c r="E3148" s="14">
        <v>757</v>
      </c>
      <c r="F3148" s="14">
        <v>6.2</v>
      </c>
      <c r="G3148" s="14">
        <v>24</v>
      </c>
      <c r="H3148" s="14">
        <v>67.459999999999994</v>
      </c>
      <c r="I3148" s="15">
        <v>0.67</v>
      </c>
    </row>
    <row r="3149" spans="1:9" x14ac:dyDescent="0.25">
      <c r="A3149" s="12">
        <v>70</v>
      </c>
      <c r="B3149" s="13">
        <v>45165</v>
      </c>
      <c r="C3149" s="14">
        <v>21.5</v>
      </c>
      <c r="D3149" s="14">
        <v>78</v>
      </c>
      <c r="E3149" s="14">
        <v>621</v>
      </c>
      <c r="F3149" s="14">
        <v>6.7</v>
      </c>
      <c r="G3149" s="14">
        <v>25</v>
      </c>
      <c r="H3149" s="14">
        <v>70.7</v>
      </c>
      <c r="I3149" s="15">
        <v>0.78</v>
      </c>
    </row>
    <row r="3150" spans="1:9" x14ac:dyDescent="0.25">
      <c r="A3150" s="12">
        <v>70</v>
      </c>
      <c r="B3150" s="13">
        <v>45166</v>
      </c>
      <c r="C3150" s="14">
        <v>21.9</v>
      </c>
      <c r="D3150" s="14">
        <v>76</v>
      </c>
      <c r="E3150" s="14">
        <v>752</v>
      </c>
      <c r="F3150" s="14">
        <v>6.7</v>
      </c>
      <c r="G3150" s="14">
        <v>26</v>
      </c>
      <c r="H3150" s="14">
        <v>71.42</v>
      </c>
      <c r="I3150" s="15">
        <v>0.76</v>
      </c>
    </row>
    <row r="3151" spans="1:9" x14ac:dyDescent="0.25">
      <c r="A3151" s="12">
        <v>70</v>
      </c>
      <c r="B3151" s="13">
        <v>45167</v>
      </c>
      <c r="C3151" s="14">
        <v>21.9</v>
      </c>
      <c r="D3151" s="14">
        <v>71</v>
      </c>
      <c r="E3151" s="14">
        <v>638</v>
      </c>
      <c r="F3151" s="14">
        <v>6.1</v>
      </c>
      <c r="G3151" s="14">
        <v>27</v>
      </c>
      <c r="H3151" s="14">
        <v>71.42</v>
      </c>
      <c r="I3151" s="15">
        <v>0.71</v>
      </c>
    </row>
    <row r="3152" spans="1:9" x14ac:dyDescent="0.25">
      <c r="A3152" s="12">
        <v>70</v>
      </c>
      <c r="B3152" s="13">
        <v>45168</v>
      </c>
      <c r="C3152" s="14">
        <v>21.1</v>
      </c>
      <c r="D3152" s="14">
        <v>80</v>
      </c>
      <c r="E3152" s="14">
        <v>589</v>
      </c>
      <c r="F3152" s="14">
        <v>6.3</v>
      </c>
      <c r="G3152" s="14">
        <v>28</v>
      </c>
      <c r="H3152" s="14">
        <v>69.98</v>
      </c>
      <c r="I3152" s="15">
        <v>0.8</v>
      </c>
    </row>
    <row r="3153" spans="1:9" x14ac:dyDescent="0.25">
      <c r="A3153" s="12">
        <v>70</v>
      </c>
      <c r="B3153" s="13">
        <v>45169</v>
      </c>
      <c r="C3153" s="14">
        <v>23.6</v>
      </c>
      <c r="D3153" s="14">
        <v>58</v>
      </c>
      <c r="E3153" s="14">
        <v>404</v>
      </c>
      <c r="F3153" s="14">
        <v>6.1</v>
      </c>
      <c r="G3153" s="14">
        <v>29</v>
      </c>
      <c r="H3153" s="14">
        <v>74.48</v>
      </c>
      <c r="I3153" s="15">
        <v>0.57999999999999996</v>
      </c>
    </row>
    <row r="3154" spans="1:9" x14ac:dyDescent="0.25">
      <c r="A3154" s="12">
        <v>70</v>
      </c>
      <c r="B3154" s="13">
        <v>45170</v>
      </c>
      <c r="C3154" s="14">
        <v>20.2</v>
      </c>
      <c r="D3154" s="14">
        <v>60</v>
      </c>
      <c r="E3154" s="14">
        <v>490</v>
      </c>
      <c r="F3154" s="14">
        <v>6.5</v>
      </c>
      <c r="G3154" s="14">
        <v>30</v>
      </c>
      <c r="H3154" s="14">
        <v>68.36</v>
      </c>
      <c r="I3154" s="15">
        <v>0.6</v>
      </c>
    </row>
    <row r="3155" spans="1:9" x14ac:dyDescent="0.25">
      <c r="A3155" s="12">
        <v>70</v>
      </c>
      <c r="B3155" s="13">
        <v>45171</v>
      </c>
      <c r="C3155" s="14">
        <v>22.7</v>
      </c>
      <c r="D3155" s="14">
        <v>65</v>
      </c>
      <c r="E3155" s="14">
        <v>566</v>
      </c>
      <c r="F3155" s="14">
        <v>6.3</v>
      </c>
      <c r="G3155" s="14">
        <v>31</v>
      </c>
      <c r="H3155" s="14">
        <v>72.86</v>
      </c>
      <c r="I3155" s="15">
        <v>0.65</v>
      </c>
    </row>
    <row r="3156" spans="1:9" x14ac:dyDescent="0.25">
      <c r="A3156" s="12">
        <v>70</v>
      </c>
      <c r="B3156" s="13">
        <v>45172</v>
      </c>
      <c r="C3156" s="14">
        <v>21.4</v>
      </c>
      <c r="D3156" s="14">
        <v>62</v>
      </c>
      <c r="E3156" s="14">
        <v>467</v>
      </c>
      <c r="F3156" s="14">
        <v>6.6</v>
      </c>
      <c r="G3156" s="14">
        <v>32</v>
      </c>
      <c r="H3156" s="14">
        <v>70.52</v>
      </c>
      <c r="I3156" s="15">
        <v>0.62</v>
      </c>
    </row>
    <row r="3157" spans="1:9" x14ac:dyDescent="0.25">
      <c r="A3157" s="12">
        <v>70</v>
      </c>
      <c r="B3157" s="13">
        <v>45173</v>
      </c>
      <c r="C3157" s="14">
        <v>21.3</v>
      </c>
      <c r="D3157" s="14">
        <v>74</v>
      </c>
      <c r="E3157" s="14">
        <v>577</v>
      </c>
      <c r="F3157" s="14">
        <v>6.2</v>
      </c>
      <c r="G3157" s="14">
        <v>33</v>
      </c>
      <c r="H3157" s="14">
        <v>70.34</v>
      </c>
      <c r="I3157" s="15">
        <v>0.74</v>
      </c>
    </row>
    <row r="3158" spans="1:9" x14ac:dyDescent="0.25">
      <c r="A3158" s="12">
        <v>70</v>
      </c>
      <c r="B3158" s="13">
        <v>45174</v>
      </c>
      <c r="C3158" s="14">
        <v>24.4</v>
      </c>
      <c r="D3158" s="14">
        <v>56</v>
      </c>
      <c r="E3158" s="14">
        <v>588</v>
      </c>
      <c r="F3158" s="14">
        <v>6.8</v>
      </c>
      <c r="G3158" s="14">
        <v>34</v>
      </c>
      <c r="H3158" s="14">
        <v>75.92</v>
      </c>
      <c r="I3158" s="15">
        <v>0.56000000000000005</v>
      </c>
    </row>
    <row r="3159" spans="1:9" x14ac:dyDescent="0.25">
      <c r="A3159" s="12">
        <v>70</v>
      </c>
      <c r="B3159" s="13">
        <v>45175</v>
      </c>
      <c r="C3159" s="14">
        <v>20.3</v>
      </c>
      <c r="D3159" s="14">
        <v>62</v>
      </c>
      <c r="E3159" s="14">
        <v>525</v>
      </c>
      <c r="F3159" s="14">
        <v>6.8</v>
      </c>
      <c r="G3159" s="14">
        <v>35</v>
      </c>
      <c r="H3159" s="14">
        <v>68.540000000000006</v>
      </c>
      <c r="I3159" s="15">
        <v>0.62</v>
      </c>
    </row>
    <row r="3160" spans="1:9" x14ac:dyDescent="0.25">
      <c r="A3160" s="12">
        <v>70</v>
      </c>
      <c r="B3160" s="13">
        <v>45176</v>
      </c>
      <c r="C3160" s="14">
        <v>24.5</v>
      </c>
      <c r="D3160" s="14">
        <v>79</v>
      </c>
      <c r="E3160" s="14">
        <v>549</v>
      </c>
      <c r="F3160" s="14">
        <v>6.5</v>
      </c>
      <c r="G3160" s="14">
        <v>36</v>
      </c>
      <c r="H3160" s="14">
        <v>76.099999999999994</v>
      </c>
      <c r="I3160" s="15">
        <v>0.79</v>
      </c>
    </row>
    <row r="3161" spans="1:9" x14ac:dyDescent="0.25">
      <c r="A3161" s="12">
        <v>70</v>
      </c>
      <c r="B3161" s="13">
        <v>45177</v>
      </c>
      <c r="C3161" s="14">
        <v>23.6</v>
      </c>
      <c r="D3161" s="14">
        <v>54</v>
      </c>
      <c r="E3161" s="14">
        <v>649</v>
      </c>
      <c r="F3161" s="14">
        <v>6.1</v>
      </c>
      <c r="G3161" s="14">
        <v>37</v>
      </c>
      <c r="H3161" s="14">
        <v>74.48</v>
      </c>
      <c r="I3161" s="15">
        <v>0.54</v>
      </c>
    </row>
    <row r="3162" spans="1:9" x14ac:dyDescent="0.25">
      <c r="A3162" s="12">
        <v>70</v>
      </c>
      <c r="B3162" s="13">
        <v>45178</v>
      </c>
      <c r="C3162" s="14">
        <v>21.6</v>
      </c>
      <c r="D3162" s="14">
        <v>80</v>
      </c>
      <c r="E3162" s="14">
        <v>506</v>
      </c>
      <c r="F3162" s="14">
        <v>6.7</v>
      </c>
      <c r="G3162" s="14">
        <v>38</v>
      </c>
      <c r="H3162" s="14">
        <v>70.88</v>
      </c>
      <c r="I3162" s="15">
        <v>0.8</v>
      </c>
    </row>
    <row r="3163" spans="1:9" x14ac:dyDescent="0.25">
      <c r="A3163" s="12">
        <v>70</v>
      </c>
      <c r="B3163" s="13">
        <v>45179</v>
      </c>
      <c r="C3163" s="14">
        <v>24.6</v>
      </c>
      <c r="D3163" s="14">
        <v>67</v>
      </c>
      <c r="E3163" s="14">
        <v>407</v>
      </c>
      <c r="F3163" s="14">
        <v>6.1</v>
      </c>
      <c r="G3163" s="14">
        <v>39</v>
      </c>
      <c r="H3163" s="14">
        <v>76.28</v>
      </c>
      <c r="I3163" s="15">
        <v>0.67</v>
      </c>
    </row>
    <row r="3164" spans="1:9" x14ac:dyDescent="0.25">
      <c r="A3164" s="12">
        <v>70</v>
      </c>
      <c r="B3164" s="13">
        <v>45180</v>
      </c>
      <c r="C3164" s="14">
        <v>21.2</v>
      </c>
      <c r="D3164" s="14">
        <v>66</v>
      </c>
      <c r="E3164" s="14">
        <v>500</v>
      </c>
      <c r="F3164" s="14">
        <v>6.8</v>
      </c>
      <c r="G3164" s="14">
        <v>40</v>
      </c>
      <c r="H3164" s="14">
        <v>70.16</v>
      </c>
      <c r="I3164" s="15">
        <v>0.66</v>
      </c>
    </row>
    <row r="3165" spans="1:9" x14ac:dyDescent="0.25">
      <c r="A3165" s="12">
        <v>70</v>
      </c>
      <c r="B3165" s="13">
        <v>45181</v>
      </c>
      <c r="C3165" s="14">
        <v>22.6</v>
      </c>
      <c r="D3165" s="14">
        <v>58</v>
      </c>
      <c r="E3165" s="14">
        <v>799</v>
      </c>
      <c r="F3165" s="14">
        <v>6.3</v>
      </c>
      <c r="G3165" s="14">
        <v>41</v>
      </c>
      <c r="H3165" s="14">
        <v>72.680000000000007</v>
      </c>
      <c r="I3165" s="15">
        <v>0.57999999999999996</v>
      </c>
    </row>
    <row r="3166" spans="1:9" x14ac:dyDescent="0.25">
      <c r="A3166" s="12">
        <v>70</v>
      </c>
      <c r="B3166" s="13">
        <v>45182</v>
      </c>
      <c r="C3166" s="14">
        <v>19.399999999999999</v>
      </c>
      <c r="D3166" s="14">
        <v>72</v>
      </c>
      <c r="E3166" s="14">
        <v>475</v>
      </c>
      <c r="F3166" s="14">
        <v>6.1</v>
      </c>
      <c r="G3166" s="14">
        <v>42</v>
      </c>
      <c r="H3166" s="14">
        <v>66.92</v>
      </c>
      <c r="I3166" s="15">
        <v>0.72</v>
      </c>
    </row>
    <row r="3167" spans="1:9" x14ac:dyDescent="0.25">
      <c r="A3167" s="12">
        <v>70</v>
      </c>
      <c r="B3167" s="13">
        <v>45183</v>
      </c>
      <c r="C3167" s="14">
        <v>22.5</v>
      </c>
      <c r="D3167" s="14">
        <v>80</v>
      </c>
      <c r="E3167" s="14">
        <v>668</v>
      </c>
      <c r="F3167" s="14">
        <v>6.7</v>
      </c>
      <c r="G3167" s="14">
        <v>43</v>
      </c>
      <c r="H3167" s="14">
        <v>72.5</v>
      </c>
      <c r="I3167" s="15">
        <v>0.8</v>
      </c>
    </row>
    <row r="3168" spans="1:9" x14ac:dyDescent="0.25">
      <c r="A3168" s="12">
        <v>70</v>
      </c>
      <c r="B3168" s="13">
        <v>45184</v>
      </c>
      <c r="C3168" s="14">
        <v>22.5</v>
      </c>
      <c r="D3168" s="14">
        <v>62</v>
      </c>
      <c r="E3168" s="14">
        <v>476</v>
      </c>
      <c r="F3168" s="14">
        <v>6.6</v>
      </c>
      <c r="G3168" s="14">
        <v>44</v>
      </c>
      <c r="H3168" s="14">
        <v>72.5</v>
      </c>
      <c r="I3168" s="15">
        <v>0.62</v>
      </c>
    </row>
    <row r="3169" spans="1:9" x14ac:dyDescent="0.25">
      <c r="A3169" s="12">
        <v>70</v>
      </c>
      <c r="B3169" s="13">
        <v>45185</v>
      </c>
      <c r="C3169" s="14">
        <v>24.6</v>
      </c>
      <c r="D3169" s="14">
        <v>79</v>
      </c>
      <c r="E3169" s="14">
        <v>621</v>
      </c>
      <c r="F3169" s="14">
        <v>6</v>
      </c>
      <c r="G3169" s="14">
        <v>45</v>
      </c>
      <c r="H3169" s="14">
        <v>76.28</v>
      </c>
      <c r="I3169" s="15">
        <v>0.79</v>
      </c>
    </row>
    <row r="3170" spans="1:9" x14ac:dyDescent="0.25">
      <c r="A3170" s="16">
        <v>70</v>
      </c>
      <c r="B3170" s="17">
        <v>45186</v>
      </c>
      <c r="C3170" s="18">
        <v>22.6</v>
      </c>
      <c r="D3170" s="18">
        <v>69</v>
      </c>
      <c r="E3170" s="18">
        <v>521</v>
      </c>
      <c r="F3170" s="18">
        <v>6.5</v>
      </c>
      <c r="G3170" s="18">
        <v>46</v>
      </c>
      <c r="H3170" s="18">
        <v>72.680000000000007</v>
      </c>
      <c r="I3170" s="19">
        <v>0.69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B600-ECE1-46FE-8513-D108D00D7573}">
  <dimension ref="A1:N3170"/>
  <sheetViews>
    <sheetView workbookViewId="0">
      <selection activeCell="R24" sqref="R24"/>
    </sheetView>
  </sheetViews>
  <sheetFormatPr defaultRowHeight="15" x14ac:dyDescent="0.25"/>
  <cols>
    <col min="1" max="1" width="10.7109375" bestFit="1" customWidth="1"/>
    <col min="2" max="2" width="15.140625" customWidth="1"/>
    <col min="3" max="3" width="16.5703125" customWidth="1"/>
    <col min="4" max="4" width="19.140625" style="21" bestFit="1" customWidth="1"/>
    <col min="5" max="5" width="15" style="21" bestFit="1" customWidth="1"/>
    <col min="6" max="6" width="18.28515625" style="21" bestFit="1" customWidth="1"/>
    <col min="7" max="7" width="11.140625" style="21" bestFit="1" customWidth="1"/>
    <col min="8" max="8" width="14.7109375" bestFit="1" customWidth="1"/>
    <col min="9" max="9" width="17.85546875" bestFit="1" customWidth="1"/>
    <col min="10" max="10" width="11.5703125" bestFit="1" customWidth="1"/>
    <col min="11" max="11" width="15.42578125" bestFit="1" customWidth="1"/>
    <col min="12" max="12" width="20.28515625" bestFit="1" customWidth="1"/>
  </cols>
  <sheetData>
    <row r="1" spans="1:14" x14ac:dyDescent="0.25">
      <c r="A1" t="s">
        <v>0</v>
      </c>
      <c r="B1" t="s">
        <v>1</v>
      </c>
      <c r="C1" t="s">
        <v>19</v>
      </c>
      <c r="D1" s="21" t="s">
        <v>2</v>
      </c>
      <c r="E1" s="21" t="s">
        <v>3</v>
      </c>
      <c r="F1" s="21" t="s">
        <v>4</v>
      </c>
      <c r="G1" s="21" t="s">
        <v>5</v>
      </c>
      <c r="H1" t="s">
        <v>6</v>
      </c>
      <c r="I1" t="s">
        <v>7</v>
      </c>
      <c r="J1" t="s">
        <v>8</v>
      </c>
      <c r="K1" t="s">
        <v>28</v>
      </c>
      <c r="L1" t="s">
        <v>20</v>
      </c>
    </row>
    <row r="2" spans="1:14" x14ac:dyDescent="0.25">
      <c r="A2">
        <v>1</v>
      </c>
      <c r="B2" s="1">
        <v>45145</v>
      </c>
      <c r="C2" s="1" t="str">
        <f>TEXT(Table4_2[[#This Row],[Date]],"dddd")</f>
        <v>Monday</v>
      </c>
      <c r="D2" s="21">
        <v>33.4</v>
      </c>
      <c r="E2" s="21">
        <v>74</v>
      </c>
      <c r="F2" s="21">
        <v>637</v>
      </c>
      <c r="G2" s="21">
        <v>6.5</v>
      </c>
      <c r="H2">
        <v>5</v>
      </c>
      <c r="I2">
        <v>92.12</v>
      </c>
      <c r="J2">
        <v>0.74</v>
      </c>
      <c r="K2" t="str" cm="1">
        <f t="array" ref="K2">_xlfn.IFS(Table4_2[[#This Row],[Growth Days]]&lt;=14,"Seedling",Table4_2[[#This Row],[Growth Days]]&lt;=35, "Vegetative",Table4_2[[#This Row],[Growth Days]]&lt;=50, "Maturity")</f>
        <v>Seedling</v>
      </c>
      <c r="L2" t="str">
        <f>IF(Table4_2[[#This Row],[TDS Value (ppm)]]&lt;560, "Low", IF(Table4_2[[#This Row],[TDS Value (ppm)]]&lt;=800,"Optimal","High"))</f>
        <v>Optimal</v>
      </c>
    </row>
    <row r="3" spans="1:14" x14ac:dyDescent="0.25">
      <c r="A3">
        <v>1</v>
      </c>
      <c r="B3" s="1">
        <v>45152</v>
      </c>
      <c r="C3" s="1" t="str">
        <f>TEXT(Table4_2[[#This Row],[Date]],"dddd")</f>
        <v>Monday</v>
      </c>
      <c r="D3" s="21">
        <v>30.1</v>
      </c>
      <c r="E3" s="21">
        <v>54</v>
      </c>
      <c r="F3" s="21">
        <v>535</v>
      </c>
      <c r="G3" s="21">
        <v>6.4</v>
      </c>
      <c r="H3">
        <v>12</v>
      </c>
      <c r="I3">
        <v>86.18</v>
      </c>
      <c r="J3">
        <v>0.54</v>
      </c>
      <c r="K3" t="str" cm="1">
        <f t="array" ref="K3">_xlfn.IFS(Table4_2[[#This Row],[Growth Days]]&lt;=14,"Seedling",Table4_2[[#This Row],[Growth Days]]&lt;=35, "Vegetative",Table4_2[[#This Row],[Growth Days]]&lt;=50, "Maturity")</f>
        <v>Seedling</v>
      </c>
      <c r="L3" t="str">
        <f>IF(Table4_2[[#This Row],[TDS Value (ppm)]]&lt;560, "Low", IF(Table4_2[[#This Row],[TDS Value (ppm)]]&lt;=800,"Optimal","High"))</f>
        <v>Low</v>
      </c>
    </row>
    <row r="4" spans="1:14" x14ac:dyDescent="0.25">
      <c r="A4">
        <v>1</v>
      </c>
      <c r="B4" s="1">
        <v>45159</v>
      </c>
      <c r="C4" s="1" t="str">
        <f>TEXT(Table4_2[[#This Row],[Date]],"dddd")</f>
        <v>Monday</v>
      </c>
      <c r="D4" s="21">
        <v>30.2</v>
      </c>
      <c r="E4" s="21">
        <v>63</v>
      </c>
      <c r="F4" s="21">
        <v>516</v>
      </c>
      <c r="G4" s="21">
        <v>6</v>
      </c>
      <c r="H4">
        <v>19</v>
      </c>
      <c r="I4">
        <v>86.36</v>
      </c>
      <c r="J4">
        <v>0.63</v>
      </c>
      <c r="K4" t="str" cm="1">
        <f t="array" ref="K4">_xlfn.IFS(Table4_2[[#This Row],[Growth Days]]&lt;=14,"Seedling",Table4_2[[#This Row],[Growth Days]]&lt;=35, "Vegetative",Table4_2[[#This Row],[Growth Days]]&lt;=50, "Maturity")</f>
        <v>Vegetative</v>
      </c>
      <c r="L4" t="str">
        <f>IF(Table4_2[[#This Row],[TDS Value (ppm)]]&lt;560, "Low", IF(Table4_2[[#This Row],[TDS Value (ppm)]]&lt;=800,"Optimal","High"))</f>
        <v>Low</v>
      </c>
    </row>
    <row r="5" spans="1:14" x14ac:dyDescent="0.25">
      <c r="A5">
        <v>1</v>
      </c>
      <c r="B5" s="1">
        <v>45166</v>
      </c>
      <c r="C5" s="1" t="str">
        <f>TEXT(Table4_2[[#This Row],[Date]],"dddd")</f>
        <v>Monday</v>
      </c>
      <c r="D5" s="21">
        <v>29.4</v>
      </c>
      <c r="E5" s="21">
        <v>71</v>
      </c>
      <c r="F5" s="21">
        <v>654</v>
      </c>
      <c r="G5" s="21">
        <v>6.4</v>
      </c>
      <c r="H5">
        <v>26</v>
      </c>
      <c r="I5">
        <v>84.92</v>
      </c>
      <c r="J5">
        <v>0.71</v>
      </c>
      <c r="K5" t="str" cm="1">
        <f t="array" ref="K5">_xlfn.IFS(Table4_2[[#This Row],[Growth Days]]&lt;=14,"Seedling",Table4_2[[#This Row],[Growth Days]]&lt;=35, "Vegetative",Table4_2[[#This Row],[Growth Days]]&lt;=50, "Maturity")</f>
        <v>Vegetative</v>
      </c>
      <c r="L5" t="str">
        <f>IF(Table4_2[[#This Row],[TDS Value (ppm)]]&lt;560, "Low", IF(Table4_2[[#This Row],[TDS Value (ppm)]]&lt;=800,"Optimal","High"))</f>
        <v>Optimal</v>
      </c>
    </row>
    <row r="6" spans="1:14" x14ac:dyDescent="0.25">
      <c r="A6">
        <v>1</v>
      </c>
      <c r="B6" s="1">
        <v>45173</v>
      </c>
      <c r="C6" s="1" t="str">
        <f>TEXT(Table4_2[[#This Row],[Date]],"dddd")</f>
        <v>Monday</v>
      </c>
      <c r="D6" s="21">
        <v>31.7</v>
      </c>
      <c r="E6" s="21">
        <v>55</v>
      </c>
      <c r="F6" s="21">
        <v>517</v>
      </c>
      <c r="G6" s="21">
        <v>6</v>
      </c>
      <c r="H6">
        <v>33</v>
      </c>
      <c r="I6">
        <v>89.06</v>
      </c>
      <c r="J6">
        <v>0.55000000000000004</v>
      </c>
      <c r="K6" t="str" cm="1">
        <f t="array" ref="K6">_xlfn.IFS(Table4_2[[#This Row],[Growth Days]]&lt;=14,"Seedling",Table4_2[[#This Row],[Growth Days]]&lt;=35, "Vegetative",Table4_2[[#This Row],[Growth Days]]&lt;=50, "Maturity")</f>
        <v>Vegetative</v>
      </c>
      <c r="L6" t="str">
        <f>IF(Table4_2[[#This Row],[TDS Value (ppm)]]&lt;560, "Low", IF(Table4_2[[#This Row],[TDS Value (ppm)]]&lt;=800,"Optimal","High"))</f>
        <v>Low</v>
      </c>
    </row>
    <row r="7" spans="1:14" x14ac:dyDescent="0.25">
      <c r="A7">
        <v>1</v>
      </c>
      <c r="B7" s="1">
        <v>45180</v>
      </c>
      <c r="C7" s="1" t="str">
        <f>TEXT(Table4_2[[#This Row],[Date]],"dddd")</f>
        <v>Monday</v>
      </c>
      <c r="D7" s="21">
        <v>31.2</v>
      </c>
      <c r="E7" s="21">
        <v>79</v>
      </c>
      <c r="F7" s="21">
        <v>672</v>
      </c>
      <c r="G7" s="21">
        <v>6.3</v>
      </c>
      <c r="H7">
        <v>40</v>
      </c>
      <c r="I7">
        <v>88.16</v>
      </c>
      <c r="J7">
        <v>0.79</v>
      </c>
      <c r="K7" t="str" cm="1">
        <f t="array" ref="K7">_xlfn.IFS(Table4_2[[#This Row],[Growth Days]]&lt;=14,"Seedling",Table4_2[[#This Row],[Growth Days]]&lt;=35, "Vegetative",Table4_2[[#This Row],[Growth Days]]&lt;=50, "Maturity")</f>
        <v>Maturity</v>
      </c>
      <c r="L7" t="str">
        <f>IF(Table4_2[[#This Row],[TDS Value (ppm)]]&lt;560, "Low", IF(Table4_2[[#This Row],[TDS Value (ppm)]]&lt;=800,"Optimal","High"))</f>
        <v>Optimal</v>
      </c>
      <c r="N7">
        <f>AVERAGE(Table4_2[Temperature (°C)])</f>
        <v>28.142221520984446</v>
      </c>
    </row>
    <row r="8" spans="1:14" x14ac:dyDescent="0.25">
      <c r="A8">
        <v>2</v>
      </c>
      <c r="B8" s="1">
        <v>45145</v>
      </c>
      <c r="C8" s="1" t="str">
        <f>TEXT(Table4_2[[#This Row],[Date]],"dddd")</f>
        <v>Monday</v>
      </c>
      <c r="D8" s="21">
        <v>33.4</v>
      </c>
      <c r="E8" s="21">
        <v>50</v>
      </c>
      <c r="F8" s="21">
        <v>488</v>
      </c>
      <c r="G8" s="21">
        <v>6.4</v>
      </c>
      <c r="H8">
        <v>5</v>
      </c>
      <c r="I8">
        <v>92.12</v>
      </c>
      <c r="J8">
        <v>0.5</v>
      </c>
      <c r="K8" t="str" cm="1">
        <f t="array" ref="K8">_xlfn.IFS(Table4_2[[#This Row],[Growth Days]]&lt;=14,"Seedling",Table4_2[[#This Row],[Growth Days]]&lt;=35, "Vegetative",Table4_2[[#This Row],[Growth Days]]&lt;=50, "Maturity")</f>
        <v>Seedling</v>
      </c>
      <c r="L8" t="str">
        <f>IF(Table4_2[[#This Row],[TDS Value (ppm)]]&lt;560, "Low", IF(Table4_2[[#This Row],[TDS Value (ppm)]]&lt;=800,"Optimal","High"))</f>
        <v>Low</v>
      </c>
    </row>
    <row r="9" spans="1:14" x14ac:dyDescent="0.25">
      <c r="A9">
        <v>2</v>
      </c>
      <c r="B9" s="1">
        <v>45152</v>
      </c>
      <c r="C9" s="1" t="str">
        <f>TEXT(Table4_2[[#This Row],[Date]],"dddd")</f>
        <v>Monday</v>
      </c>
      <c r="D9" s="21">
        <v>30.1</v>
      </c>
      <c r="E9" s="21">
        <v>65</v>
      </c>
      <c r="F9" s="21">
        <v>746</v>
      </c>
      <c r="G9" s="21">
        <v>6.8</v>
      </c>
      <c r="H9">
        <v>12</v>
      </c>
      <c r="I9">
        <v>86.18</v>
      </c>
      <c r="J9">
        <v>0.65</v>
      </c>
      <c r="K9" t="str" cm="1">
        <f t="array" ref="K9">_xlfn.IFS(Table4_2[[#This Row],[Growth Days]]&lt;=14,"Seedling",Table4_2[[#This Row],[Growth Days]]&lt;=35, "Vegetative",Table4_2[[#This Row],[Growth Days]]&lt;=50, "Maturity")</f>
        <v>Seedling</v>
      </c>
      <c r="L9" t="str">
        <f>IF(Table4_2[[#This Row],[TDS Value (ppm)]]&lt;560, "Low", IF(Table4_2[[#This Row],[TDS Value (ppm)]]&lt;=800,"Optimal","High"))</f>
        <v>Optimal</v>
      </c>
    </row>
    <row r="10" spans="1:14" x14ac:dyDescent="0.25">
      <c r="A10">
        <v>2</v>
      </c>
      <c r="B10" s="1">
        <v>45159</v>
      </c>
      <c r="C10" s="1" t="str">
        <f>TEXT(Table4_2[[#This Row],[Date]],"dddd")</f>
        <v>Monday</v>
      </c>
      <c r="D10" s="21">
        <v>30.2</v>
      </c>
      <c r="E10" s="21">
        <v>51</v>
      </c>
      <c r="F10" s="21">
        <v>704</v>
      </c>
      <c r="G10" s="21">
        <v>6.3</v>
      </c>
      <c r="H10">
        <v>19</v>
      </c>
      <c r="I10">
        <v>86.36</v>
      </c>
      <c r="J10">
        <v>0.51</v>
      </c>
      <c r="K10" t="str" cm="1">
        <f t="array" ref="K10">_xlfn.IFS(Table4_2[[#This Row],[Growth Days]]&lt;=14,"Seedling",Table4_2[[#This Row],[Growth Days]]&lt;=35, "Vegetative",Table4_2[[#This Row],[Growth Days]]&lt;=50, "Maturity")</f>
        <v>Vegetative</v>
      </c>
      <c r="L10" t="str">
        <f>IF(Table4_2[[#This Row],[TDS Value (ppm)]]&lt;560, "Low", IF(Table4_2[[#This Row],[TDS Value (ppm)]]&lt;=800,"Optimal","High"))</f>
        <v>Optimal</v>
      </c>
    </row>
    <row r="11" spans="1:14" x14ac:dyDescent="0.25">
      <c r="A11">
        <v>2</v>
      </c>
      <c r="B11" s="1">
        <v>45166</v>
      </c>
      <c r="C11" s="1" t="str">
        <f>TEXT(Table4_2[[#This Row],[Date]],"dddd")</f>
        <v>Monday</v>
      </c>
      <c r="D11" s="21">
        <v>29.4</v>
      </c>
      <c r="E11" s="21">
        <v>57</v>
      </c>
      <c r="F11" s="21">
        <v>780</v>
      </c>
      <c r="G11" s="21">
        <v>6.4</v>
      </c>
      <c r="H11">
        <v>26</v>
      </c>
      <c r="I11">
        <v>84.92</v>
      </c>
      <c r="J11">
        <v>0.56999999999999995</v>
      </c>
      <c r="K11" t="str" cm="1">
        <f t="array" ref="K11">_xlfn.IFS(Table4_2[[#This Row],[Growth Days]]&lt;=14,"Seedling",Table4_2[[#This Row],[Growth Days]]&lt;=35, "Vegetative",Table4_2[[#This Row],[Growth Days]]&lt;=50, "Maturity")</f>
        <v>Vegetative</v>
      </c>
      <c r="L11" t="str">
        <f>IF(Table4_2[[#This Row],[TDS Value (ppm)]]&lt;560, "Low", IF(Table4_2[[#This Row],[TDS Value (ppm)]]&lt;=800,"Optimal","High"))</f>
        <v>Optimal</v>
      </c>
    </row>
    <row r="12" spans="1:14" x14ac:dyDescent="0.25">
      <c r="A12">
        <v>2</v>
      </c>
      <c r="B12" s="1">
        <v>45173</v>
      </c>
      <c r="C12" s="1" t="str">
        <f>TEXT(Table4_2[[#This Row],[Date]],"dddd")</f>
        <v>Monday</v>
      </c>
      <c r="D12" s="21">
        <v>31.7</v>
      </c>
      <c r="E12" s="21">
        <v>61</v>
      </c>
      <c r="F12" s="21">
        <v>498</v>
      </c>
      <c r="G12" s="21">
        <v>6</v>
      </c>
      <c r="H12">
        <v>33</v>
      </c>
      <c r="I12">
        <v>89.06</v>
      </c>
      <c r="J12">
        <v>0.61</v>
      </c>
      <c r="K12" t="str" cm="1">
        <f t="array" ref="K12">_xlfn.IFS(Table4_2[[#This Row],[Growth Days]]&lt;=14,"Seedling",Table4_2[[#This Row],[Growth Days]]&lt;=35, "Vegetative",Table4_2[[#This Row],[Growth Days]]&lt;=50, "Maturity")</f>
        <v>Vegetative</v>
      </c>
      <c r="L12" t="str">
        <f>IF(Table4_2[[#This Row],[TDS Value (ppm)]]&lt;560, "Low", IF(Table4_2[[#This Row],[TDS Value (ppm)]]&lt;=800,"Optimal","High"))</f>
        <v>Low</v>
      </c>
    </row>
    <row r="13" spans="1:14" x14ac:dyDescent="0.25">
      <c r="A13">
        <v>2</v>
      </c>
      <c r="B13" s="1">
        <v>45180</v>
      </c>
      <c r="C13" s="1" t="str">
        <f>TEXT(Table4_2[[#This Row],[Date]],"dddd")</f>
        <v>Monday</v>
      </c>
      <c r="D13" s="21">
        <v>31.2</v>
      </c>
      <c r="E13" s="21">
        <v>56</v>
      </c>
      <c r="F13" s="21">
        <v>797</v>
      </c>
      <c r="G13" s="21">
        <v>6.8</v>
      </c>
      <c r="H13">
        <v>40</v>
      </c>
      <c r="I13">
        <v>88.16</v>
      </c>
      <c r="J13">
        <v>0.56000000000000005</v>
      </c>
      <c r="K13" t="str" cm="1">
        <f t="array" ref="K13">_xlfn.IFS(Table4_2[[#This Row],[Growth Days]]&lt;=14,"Seedling",Table4_2[[#This Row],[Growth Days]]&lt;=35, "Vegetative",Table4_2[[#This Row],[Growth Days]]&lt;=50, "Maturity")</f>
        <v>Maturity</v>
      </c>
      <c r="L13" t="str">
        <f>IF(Table4_2[[#This Row],[TDS Value (ppm)]]&lt;560, "Low", IF(Table4_2[[#This Row],[TDS Value (ppm)]]&lt;=800,"Optimal","High"))</f>
        <v>Optimal</v>
      </c>
    </row>
    <row r="14" spans="1:14" x14ac:dyDescent="0.25">
      <c r="A14">
        <v>3</v>
      </c>
      <c r="B14" s="1">
        <v>45145</v>
      </c>
      <c r="C14" s="1" t="str">
        <f>TEXT(Table4_2[[#This Row],[Date]],"dddd")</f>
        <v>Monday</v>
      </c>
      <c r="D14" s="21">
        <v>33.4</v>
      </c>
      <c r="E14" s="21">
        <v>65</v>
      </c>
      <c r="F14" s="21">
        <v>735</v>
      </c>
      <c r="G14" s="21">
        <v>6</v>
      </c>
      <c r="H14">
        <v>5</v>
      </c>
      <c r="I14">
        <v>92.12</v>
      </c>
      <c r="J14">
        <v>0.65</v>
      </c>
      <c r="K14" t="str" cm="1">
        <f t="array" ref="K14">_xlfn.IFS(Table4_2[[#This Row],[Growth Days]]&lt;=14,"Seedling",Table4_2[[#This Row],[Growth Days]]&lt;=35, "Vegetative",Table4_2[[#This Row],[Growth Days]]&lt;=50, "Maturity")</f>
        <v>Seedling</v>
      </c>
      <c r="L14" t="str">
        <f>IF(Table4_2[[#This Row],[TDS Value (ppm)]]&lt;560, "Low", IF(Table4_2[[#This Row],[TDS Value (ppm)]]&lt;=800,"Optimal","High"))</f>
        <v>Optimal</v>
      </c>
    </row>
    <row r="15" spans="1:14" x14ac:dyDescent="0.25">
      <c r="A15">
        <v>3</v>
      </c>
      <c r="B15" s="1">
        <v>45152</v>
      </c>
      <c r="C15" s="1" t="str">
        <f>TEXT(Table4_2[[#This Row],[Date]],"dddd")</f>
        <v>Monday</v>
      </c>
      <c r="D15" s="21">
        <v>30.1</v>
      </c>
      <c r="E15" s="21">
        <v>80</v>
      </c>
      <c r="F15" s="21">
        <v>569</v>
      </c>
      <c r="G15" s="21">
        <v>6.3</v>
      </c>
      <c r="H15">
        <v>12</v>
      </c>
      <c r="I15">
        <v>86.18</v>
      </c>
      <c r="J15">
        <v>0.8</v>
      </c>
      <c r="K15" t="str" cm="1">
        <f t="array" ref="K15">_xlfn.IFS(Table4_2[[#This Row],[Growth Days]]&lt;=14,"Seedling",Table4_2[[#This Row],[Growth Days]]&lt;=35, "Vegetative",Table4_2[[#This Row],[Growth Days]]&lt;=50, "Maturity")</f>
        <v>Seedling</v>
      </c>
      <c r="L15" t="str">
        <f>IF(Table4_2[[#This Row],[TDS Value (ppm)]]&lt;560, "Low", IF(Table4_2[[#This Row],[TDS Value (ppm)]]&lt;=800,"Optimal","High"))</f>
        <v>Optimal</v>
      </c>
    </row>
    <row r="16" spans="1:14" x14ac:dyDescent="0.25">
      <c r="A16">
        <v>3</v>
      </c>
      <c r="B16" s="1">
        <v>45159</v>
      </c>
      <c r="C16" s="1" t="str">
        <f>TEXT(Table4_2[[#This Row],[Date]],"dddd")</f>
        <v>Monday</v>
      </c>
      <c r="D16" s="21">
        <v>30.2</v>
      </c>
      <c r="E16" s="21">
        <v>58</v>
      </c>
      <c r="F16" s="21">
        <v>714</v>
      </c>
      <c r="G16" s="21">
        <v>6.7</v>
      </c>
      <c r="H16">
        <v>19</v>
      </c>
      <c r="I16">
        <v>86.36</v>
      </c>
      <c r="J16">
        <v>0.57999999999999996</v>
      </c>
      <c r="K16" t="str" cm="1">
        <f t="array" ref="K16">_xlfn.IFS(Table4_2[[#This Row],[Growth Days]]&lt;=14,"Seedling",Table4_2[[#This Row],[Growth Days]]&lt;=35, "Vegetative",Table4_2[[#This Row],[Growth Days]]&lt;=50, "Maturity")</f>
        <v>Vegetative</v>
      </c>
      <c r="L16" t="str">
        <f>IF(Table4_2[[#This Row],[TDS Value (ppm)]]&lt;560, "Low", IF(Table4_2[[#This Row],[TDS Value (ppm)]]&lt;=800,"Optimal","High"))</f>
        <v>Optimal</v>
      </c>
    </row>
    <row r="17" spans="1:12" x14ac:dyDescent="0.25">
      <c r="A17">
        <v>3</v>
      </c>
      <c r="B17" s="1">
        <v>45166</v>
      </c>
      <c r="C17" s="1" t="str">
        <f>TEXT(Table4_2[[#This Row],[Date]],"dddd")</f>
        <v>Monday</v>
      </c>
      <c r="D17" s="21">
        <v>29.4</v>
      </c>
      <c r="E17" s="21">
        <v>75</v>
      </c>
      <c r="F17" s="21">
        <v>535</v>
      </c>
      <c r="G17" s="21">
        <v>6.1</v>
      </c>
      <c r="H17">
        <v>26</v>
      </c>
      <c r="I17">
        <v>84.92</v>
      </c>
      <c r="J17">
        <v>0.75</v>
      </c>
      <c r="K17" t="str" cm="1">
        <f t="array" ref="K17">_xlfn.IFS(Table4_2[[#This Row],[Growth Days]]&lt;=14,"Seedling",Table4_2[[#This Row],[Growth Days]]&lt;=35, "Vegetative",Table4_2[[#This Row],[Growth Days]]&lt;=50, "Maturity")</f>
        <v>Vegetative</v>
      </c>
      <c r="L17" t="str">
        <f>IF(Table4_2[[#This Row],[TDS Value (ppm)]]&lt;560, "Low", IF(Table4_2[[#This Row],[TDS Value (ppm)]]&lt;=800,"Optimal","High"))</f>
        <v>Low</v>
      </c>
    </row>
    <row r="18" spans="1:12" x14ac:dyDescent="0.25">
      <c r="A18">
        <v>3</v>
      </c>
      <c r="B18" s="1">
        <v>45173</v>
      </c>
      <c r="C18" s="1" t="str">
        <f>TEXT(Table4_2[[#This Row],[Date]],"dddd")</f>
        <v>Monday</v>
      </c>
      <c r="D18" s="21">
        <v>31.7</v>
      </c>
      <c r="E18" s="21">
        <v>50</v>
      </c>
      <c r="F18" s="21">
        <v>516</v>
      </c>
      <c r="G18" s="21">
        <v>6.5</v>
      </c>
      <c r="H18">
        <v>33</v>
      </c>
      <c r="I18">
        <v>89.06</v>
      </c>
      <c r="J18">
        <v>0.5</v>
      </c>
      <c r="K18" t="str" cm="1">
        <f t="array" ref="K18">_xlfn.IFS(Table4_2[[#This Row],[Growth Days]]&lt;=14,"Seedling",Table4_2[[#This Row],[Growth Days]]&lt;=35, "Vegetative",Table4_2[[#This Row],[Growth Days]]&lt;=50, "Maturity")</f>
        <v>Vegetative</v>
      </c>
      <c r="L18" t="str">
        <f>IF(Table4_2[[#This Row],[TDS Value (ppm)]]&lt;560, "Low", IF(Table4_2[[#This Row],[TDS Value (ppm)]]&lt;=800,"Optimal","High"))</f>
        <v>Low</v>
      </c>
    </row>
    <row r="19" spans="1:12" x14ac:dyDescent="0.25">
      <c r="A19">
        <v>3</v>
      </c>
      <c r="B19" s="1">
        <v>45180</v>
      </c>
      <c r="C19" s="1" t="str">
        <f>TEXT(Table4_2[[#This Row],[Date]],"dddd")</f>
        <v>Monday</v>
      </c>
      <c r="D19" s="21">
        <v>31.2</v>
      </c>
      <c r="E19" s="21">
        <v>73</v>
      </c>
      <c r="F19" s="21">
        <v>460</v>
      </c>
      <c r="G19" s="21">
        <v>6.7</v>
      </c>
      <c r="H19">
        <v>40</v>
      </c>
      <c r="I19">
        <v>88.16</v>
      </c>
      <c r="J19">
        <v>0.73</v>
      </c>
      <c r="K19" t="str" cm="1">
        <f t="array" ref="K19">_xlfn.IFS(Table4_2[[#This Row],[Growth Days]]&lt;=14,"Seedling",Table4_2[[#This Row],[Growth Days]]&lt;=35, "Vegetative",Table4_2[[#This Row],[Growth Days]]&lt;=50, "Maturity")</f>
        <v>Maturity</v>
      </c>
      <c r="L19" t="str">
        <f>IF(Table4_2[[#This Row],[TDS Value (ppm)]]&lt;560, "Low", IF(Table4_2[[#This Row],[TDS Value (ppm)]]&lt;=800,"Optimal","High"))</f>
        <v>Low</v>
      </c>
    </row>
    <row r="20" spans="1:12" x14ac:dyDescent="0.25">
      <c r="A20">
        <v>3</v>
      </c>
      <c r="B20" s="1">
        <v>45187</v>
      </c>
      <c r="C20" s="1" t="str">
        <f>TEXT(Table4_2[[#This Row],[Date]],"dddd")</f>
        <v>Monday</v>
      </c>
      <c r="D20" s="21">
        <v>29.7</v>
      </c>
      <c r="E20" s="21">
        <v>72</v>
      </c>
      <c r="F20" s="21">
        <v>549</v>
      </c>
      <c r="G20" s="21">
        <v>6.6</v>
      </c>
      <c r="H20">
        <v>47</v>
      </c>
      <c r="I20">
        <v>85.46</v>
      </c>
      <c r="J20">
        <v>0.72</v>
      </c>
      <c r="K20" t="str" cm="1">
        <f t="array" ref="K20">_xlfn.IFS(Table4_2[[#This Row],[Growth Days]]&lt;=14,"Seedling",Table4_2[[#This Row],[Growth Days]]&lt;=35, "Vegetative",Table4_2[[#This Row],[Growth Days]]&lt;=50, "Maturity")</f>
        <v>Maturity</v>
      </c>
      <c r="L20" t="str">
        <f>IF(Table4_2[[#This Row],[TDS Value (ppm)]]&lt;560, "Low", IF(Table4_2[[#This Row],[TDS Value (ppm)]]&lt;=800,"Optimal","High"))</f>
        <v>Low</v>
      </c>
    </row>
    <row r="21" spans="1:12" x14ac:dyDescent="0.25">
      <c r="A21">
        <v>4</v>
      </c>
      <c r="B21" s="1">
        <v>45145</v>
      </c>
      <c r="C21" s="1" t="str">
        <f>TEXT(Table4_2[[#This Row],[Date]],"dddd")</f>
        <v>Monday</v>
      </c>
      <c r="D21" s="21">
        <v>33.4</v>
      </c>
      <c r="E21" s="21">
        <v>57</v>
      </c>
      <c r="F21" s="21">
        <v>726</v>
      </c>
      <c r="G21" s="21">
        <v>6.1</v>
      </c>
      <c r="H21">
        <v>5</v>
      </c>
      <c r="I21">
        <v>92.12</v>
      </c>
      <c r="J21">
        <v>0.56999999999999995</v>
      </c>
      <c r="K21" t="str" cm="1">
        <f t="array" ref="K21">_xlfn.IFS(Table4_2[[#This Row],[Growth Days]]&lt;=14,"Seedling",Table4_2[[#This Row],[Growth Days]]&lt;=35, "Vegetative",Table4_2[[#This Row],[Growth Days]]&lt;=50, "Maturity")</f>
        <v>Seedling</v>
      </c>
      <c r="L21" t="str">
        <f>IF(Table4_2[[#This Row],[TDS Value (ppm)]]&lt;560, "Low", IF(Table4_2[[#This Row],[TDS Value (ppm)]]&lt;=800,"Optimal","High"))</f>
        <v>Optimal</v>
      </c>
    </row>
    <row r="22" spans="1:12" x14ac:dyDescent="0.25">
      <c r="A22">
        <v>4</v>
      </c>
      <c r="B22" s="1">
        <v>45152</v>
      </c>
      <c r="C22" s="1" t="str">
        <f>TEXT(Table4_2[[#This Row],[Date]],"dddd")</f>
        <v>Monday</v>
      </c>
      <c r="D22" s="21">
        <v>30.1</v>
      </c>
      <c r="E22" s="21">
        <v>64</v>
      </c>
      <c r="F22" s="21">
        <v>525</v>
      </c>
      <c r="G22" s="21">
        <v>6.2</v>
      </c>
      <c r="H22">
        <v>12</v>
      </c>
      <c r="I22">
        <v>86.18</v>
      </c>
      <c r="J22">
        <v>0.64</v>
      </c>
      <c r="K22" t="str" cm="1">
        <f t="array" ref="K22">_xlfn.IFS(Table4_2[[#This Row],[Growth Days]]&lt;=14,"Seedling",Table4_2[[#This Row],[Growth Days]]&lt;=35, "Vegetative",Table4_2[[#This Row],[Growth Days]]&lt;=50, "Maturity")</f>
        <v>Seedling</v>
      </c>
      <c r="L22" t="str">
        <f>IF(Table4_2[[#This Row],[TDS Value (ppm)]]&lt;560, "Low", IF(Table4_2[[#This Row],[TDS Value (ppm)]]&lt;=800,"Optimal","High"))</f>
        <v>Low</v>
      </c>
    </row>
    <row r="23" spans="1:12" x14ac:dyDescent="0.25">
      <c r="A23">
        <v>4</v>
      </c>
      <c r="B23" s="1">
        <v>45159</v>
      </c>
      <c r="C23" s="1" t="str">
        <f>TEXT(Table4_2[[#This Row],[Date]],"dddd")</f>
        <v>Monday</v>
      </c>
      <c r="D23" s="21">
        <v>30.2</v>
      </c>
      <c r="E23" s="21">
        <v>71</v>
      </c>
      <c r="F23" s="21">
        <v>502</v>
      </c>
      <c r="G23" s="21">
        <v>6.7</v>
      </c>
      <c r="H23">
        <v>19</v>
      </c>
      <c r="I23">
        <v>86.36</v>
      </c>
      <c r="J23">
        <v>0.71</v>
      </c>
      <c r="K23" t="str" cm="1">
        <f t="array" ref="K23">_xlfn.IFS(Table4_2[[#This Row],[Growth Days]]&lt;=14,"Seedling",Table4_2[[#This Row],[Growth Days]]&lt;=35, "Vegetative",Table4_2[[#This Row],[Growth Days]]&lt;=50, "Maturity")</f>
        <v>Vegetative</v>
      </c>
      <c r="L23" t="str">
        <f>IF(Table4_2[[#This Row],[TDS Value (ppm)]]&lt;560, "Low", IF(Table4_2[[#This Row],[TDS Value (ppm)]]&lt;=800,"Optimal","High"))</f>
        <v>Low</v>
      </c>
    </row>
    <row r="24" spans="1:12" x14ac:dyDescent="0.25">
      <c r="A24">
        <v>4</v>
      </c>
      <c r="B24" s="1">
        <v>45166</v>
      </c>
      <c r="C24" s="1" t="str">
        <f>TEXT(Table4_2[[#This Row],[Date]],"dddd")</f>
        <v>Monday</v>
      </c>
      <c r="D24" s="21">
        <v>29.4</v>
      </c>
      <c r="E24" s="21">
        <v>56</v>
      </c>
      <c r="F24" s="21">
        <v>437</v>
      </c>
      <c r="G24" s="21">
        <v>6.7</v>
      </c>
      <c r="H24">
        <v>26</v>
      </c>
      <c r="I24">
        <v>84.92</v>
      </c>
      <c r="J24">
        <v>0.56000000000000005</v>
      </c>
      <c r="K24" t="str" cm="1">
        <f t="array" ref="K24">_xlfn.IFS(Table4_2[[#This Row],[Growth Days]]&lt;=14,"Seedling",Table4_2[[#This Row],[Growth Days]]&lt;=35, "Vegetative",Table4_2[[#This Row],[Growth Days]]&lt;=50, "Maturity")</f>
        <v>Vegetative</v>
      </c>
      <c r="L24" t="str">
        <f>IF(Table4_2[[#This Row],[TDS Value (ppm)]]&lt;560, "Low", IF(Table4_2[[#This Row],[TDS Value (ppm)]]&lt;=800,"Optimal","High"))</f>
        <v>Low</v>
      </c>
    </row>
    <row r="25" spans="1:12" x14ac:dyDescent="0.25">
      <c r="A25">
        <v>4</v>
      </c>
      <c r="B25" s="1">
        <v>45173</v>
      </c>
      <c r="C25" s="1" t="str">
        <f>TEXT(Table4_2[[#This Row],[Date]],"dddd")</f>
        <v>Monday</v>
      </c>
      <c r="D25" s="21">
        <v>31.7</v>
      </c>
      <c r="E25" s="21">
        <v>71</v>
      </c>
      <c r="F25" s="21">
        <v>485</v>
      </c>
      <c r="G25" s="21">
        <v>6.2</v>
      </c>
      <c r="H25">
        <v>33</v>
      </c>
      <c r="I25">
        <v>89.06</v>
      </c>
      <c r="J25">
        <v>0.71</v>
      </c>
      <c r="K25" t="str" cm="1">
        <f t="array" ref="K25">_xlfn.IFS(Table4_2[[#This Row],[Growth Days]]&lt;=14,"Seedling",Table4_2[[#This Row],[Growth Days]]&lt;=35, "Vegetative",Table4_2[[#This Row],[Growth Days]]&lt;=50, "Maturity")</f>
        <v>Vegetative</v>
      </c>
      <c r="L25" t="str">
        <f>IF(Table4_2[[#This Row],[TDS Value (ppm)]]&lt;560, "Low", IF(Table4_2[[#This Row],[TDS Value (ppm)]]&lt;=800,"Optimal","High"))</f>
        <v>Low</v>
      </c>
    </row>
    <row r="26" spans="1:12" x14ac:dyDescent="0.25">
      <c r="A26">
        <v>4</v>
      </c>
      <c r="B26" s="1">
        <v>45180</v>
      </c>
      <c r="C26" s="1" t="str">
        <f>TEXT(Table4_2[[#This Row],[Date]],"dddd")</f>
        <v>Monday</v>
      </c>
      <c r="D26" s="21">
        <v>31.2</v>
      </c>
      <c r="E26" s="21">
        <v>50</v>
      </c>
      <c r="F26" s="21">
        <v>491</v>
      </c>
      <c r="G26" s="21">
        <v>6.2</v>
      </c>
      <c r="H26">
        <v>40</v>
      </c>
      <c r="I26">
        <v>88.16</v>
      </c>
      <c r="J26">
        <v>0.5</v>
      </c>
      <c r="K26" t="str" cm="1">
        <f t="array" ref="K26">_xlfn.IFS(Table4_2[[#This Row],[Growth Days]]&lt;=14,"Seedling",Table4_2[[#This Row],[Growth Days]]&lt;=35, "Vegetative",Table4_2[[#This Row],[Growth Days]]&lt;=50, "Maturity")</f>
        <v>Maturity</v>
      </c>
      <c r="L26" t="str">
        <f>IF(Table4_2[[#This Row],[TDS Value (ppm)]]&lt;560, "Low", IF(Table4_2[[#This Row],[TDS Value (ppm)]]&lt;=800,"Optimal","High"))</f>
        <v>Low</v>
      </c>
    </row>
    <row r="27" spans="1:12" x14ac:dyDescent="0.25">
      <c r="A27">
        <v>4</v>
      </c>
      <c r="B27" s="1">
        <v>45187</v>
      </c>
      <c r="C27" s="1" t="str">
        <f>TEXT(Table4_2[[#This Row],[Date]],"dddd")</f>
        <v>Monday</v>
      </c>
      <c r="D27" s="21">
        <v>30.8</v>
      </c>
      <c r="E27" s="21">
        <v>63</v>
      </c>
      <c r="F27" s="21">
        <v>754</v>
      </c>
      <c r="G27" s="21">
        <v>6.1</v>
      </c>
      <c r="H27">
        <v>47</v>
      </c>
      <c r="I27">
        <v>87.44</v>
      </c>
      <c r="J27">
        <v>0.63</v>
      </c>
      <c r="K27" t="str" cm="1">
        <f t="array" ref="K27">_xlfn.IFS(Table4_2[[#This Row],[Growth Days]]&lt;=14,"Seedling",Table4_2[[#This Row],[Growth Days]]&lt;=35, "Vegetative",Table4_2[[#This Row],[Growth Days]]&lt;=50, "Maturity")</f>
        <v>Maturity</v>
      </c>
      <c r="L27" t="str">
        <f>IF(Table4_2[[#This Row],[TDS Value (ppm)]]&lt;560, "Low", IF(Table4_2[[#This Row],[TDS Value (ppm)]]&lt;=800,"Optimal","High"))</f>
        <v>Optimal</v>
      </c>
    </row>
    <row r="28" spans="1:12" x14ac:dyDescent="0.25">
      <c r="A28">
        <v>5</v>
      </c>
      <c r="B28" s="1">
        <v>45145</v>
      </c>
      <c r="C28" s="1" t="str">
        <f>TEXT(Table4_2[[#This Row],[Date]],"dddd")</f>
        <v>Monday</v>
      </c>
      <c r="D28" s="21">
        <v>33.4</v>
      </c>
      <c r="E28" s="21">
        <v>67</v>
      </c>
      <c r="F28" s="21">
        <v>571</v>
      </c>
      <c r="G28" s="21">
        <v>6.7</v>
      </c>
      <c r="H28">
        <v>5</v>
      </c>
      <c r="I28">
        <v>92.12</v>
      </c>
      <c r="J28">
        <v>0.67</v>
      </c>
      <c r="K28" t="str" cm="1">
        <f t="array" ref="K28">_xlfn.IFS(Table4_2[[#This Row],[Growth Days]]&lt;=14,"Seedling",Table4_2[[#This Row],[Growth Days]]&lt;=35, "Vegetative",Table4_2[[#This Row],[Growth Days]]&lt;=50, "Maturity")</f>
        <v>Seedling</v>
      </c>
      <c r="L28" t="str">
        <f>IF(Table4_2[[#This Row],[TDS Value (ppm)]]&lt;560, "Low", IF(Table4_2[[#This Row],[TDS Value (ppm)]]&lt;=800,"Optimal","High"))</f>
        <v>Optimal</v>
      </c>
    </row>
    <row r="29" spans="1:12" x14ac:dyDescent="0.25">
      <c r="A29">
        <v>5</v>
      </c>
      <c r="B29" s="1">
        <v>45152</v>
      </c>
      <c r="C29" s="1" t="str">
        <f>TEXT(Table4_2[[#This Row],[Date]],"dddd")</f>
        <v>Monday</v>
      </c>
      <c r="D29" s="21">
        <v>30.1</v>
      </c>
      <c r="E29" s="21">
        <v>63</v>
      </c>
      <c r="F29" s="21">
        <v>500</v>
      </c>
      <c r="G29" s="21">
        <v>6.5</v>
      </c>
      <c r="H29">
        <v>12</v>
      </c>
      <c r="I29">
        <v>86.18</v>
      </c>
      <c r="J29">
        <v>0.63</v>
      </c>
      <c r="K29" t="str" cm="1">
        <f t="array" ref="K29">_xlfn.IFS(Table4_2[[#This Row],[Growth Days]]&lt;=14,"Seedling",Table4_2[[#This Row],[Growth Days]]&lt;=35, "Vegetative",Table4_2[[#This Row],[Growth Days]]&lt;=50, "Maturity")</f>
        <v>Seedling</v>
      </c>
      <c r="L29" t="str">
        <f>IF(Table4_2[[#This Row],[TDS Value (ppm)]]&lt;560, "Low", IF(Table4_2[[#This Row],[TDS Value (ppm)]]&lt;=800,"Optimal","High"))</f>
        <v>Low</v>
      </c>
    </row>
    <row r="30" spans="1:12" x14ac:dyDescent="0.25">
      <c r="A30">
        <v>5</v>
      </c>
      <c r="B30" s="1">
        <v>45159</v>
      </c>
      <c r="C30" s="1" t="str">
        <f>TEXT(Table4_2[[#This Row],[Date]],"dddd")</f>
        <v>Monday</v>
      </c>
      <c r="D30" s="21">
        <v>30.2</v>
      </c>
      <c r="E30" s="21">
        <v>67</v>
      </c>
      <c r="F30" s="21">
        <v>766</v>
      </c>
      <c r="G30" s="21">
        <v>6.1</v>
      </c>
      <c r="H30">
        <v>19</v>
      </c>
      <c r="I30">
        <v>86.36</v>
      </c>
      <c r="J30">
        <v>0.67</v>
      </c>
      <c r="K30" t="str" cm="1">
        <f t="array" ref="K30">_xlfn.IFS(Table4_2[[#This Row],[Growth Days]]&lt;=14,"Seedling",Table4_2[[#This Row],[Growth Days]]&lt;=35, "Vegetative",Table4_2[[#This Row],[Growth Days]]&lt;=50, "Maturity")</f>
        <v>Vegetative</v>
      </c>
      <c r="L30" t="str">
        <f>IF(Table4_2[[#This Row],[TDS Value (ppm)]]&lt;560, "Low", IF(Table4_2[[#This Row],[TDS Value (ppm)]]&lt;=800,"Optimal","High"))</f>
        <v>Optimal</v>
      </c>
    </row>
    <row r="31" spans="1:12" x14ac:dyDescent="0.25">
      <c r="A31">
        <v>5</v>
      </c>
      <c r="B31" s="1">
        <v>45166</v>
      </c>
      <c r="C31" s="1" t="str">
        <f>TEXT(Table4_2[[#This Row],[Date]],"dddd")</f>
        <v>Monday</v>
      </c>
      <c r="D31" s="21">
        <v>29.4</v>
      </c>
      <c r="E31" s="21">
        <v>67</v>
      </c>
      <c r="F31" s="21">
        <v>470</v>
      </c>
      <c r="G31" s="21">
        <v>6.4</v>
      </c>
      <c r="H31">
        <v>26</v>
      </c>
      <c r="I31">
        <v>84.92</v>
      </c>
      <c r="J31">
        <v>0.67</v>
      </c>
      <c r="K31" t="str" cm="1">
        <f t="array" ref="K31">_xlfn.IFS(Table4_2[[#This Row],[Growth Days]]&lt;=14,"Seedling",Table4_2[[#This Row],[Growth Days]]&lt;=35, "Vegetative",Table4_2[[#This Row],[Growth Days]]&lt;=50, "Maturity")</f>
        <v>Vegetative</v>
      </c>
      <c r="L31" t="str">
        <f>IF(Table4_2[[#This Row],[TDS Value (ppm)]]&lt;560, "Low", IF(Table4_2[[#This Row],[TDS Value (ppm)]]&lt;=800,"Optimal","High"))</f>
        <v>Low</v>
      </c>
    </row>
    <row r="32" spans="1:12" x14ac:dyDescent="0.25">
      <c r="A32">
        <v>5</v>
      </c>
      <c r="B32" s="1">
        <v>45173</v>
      </c>
      <c r="C32" s="1" t="str">
        <f>TEXT(Table4_2[[#This Row],[Date]],"dddd")</f>
        <v>Monday</v>
      </c>
      <c r="D32" s="21">
        <v>31.7</v>
      </c>
      <c r="E32" s="21">
        <v>66</v>
      </c>
      <c r="F32" s="21">
        <v>422</v>
      </c>
      <c r="G32" s="21">
        <v>6.5</v>
      </c>
      <c r="H32">
        <v>33</v>
      </c>
      <c r="I32">
        <v>89.06</v>
      </c>
      <c r="J32">
        <v>0.66</v>
      </c>
      <c r="K32" t="str" cm="1">
        <f t="array" ref="K32">_xlfn.IFS(Table4_2[[#This Row],[Growth Days]]&lt;=14,"Seedling",Table4_2[[#This Row],[Growth Days]]&lt;=35, "Vegetative",Table4_2[[#This Row],[Growth Days]]&lt;=50, "Maturity")</f>
        <v>Vegetative</v>
      </c>
      <c r="L32" t="str">
        <f>IF(Table4_2[[#This Row],[TDS Value (ppm)]]&lt;560, "Low", IF(Table4_2[[#This Row],[TDS Value (ppm)]]&lt;=800,"Optimal","High"))</f>
        <v>Low</v>
      </c>
    </row>
    <row r="33" spans="1:12" x14ac:dyDescent="0.25">
      <c r="A33">
        <v>5</v>
      </c>
      <c r="B33" s="1">
        <v>45180</v>
      </c>
      <c r="C33" s="1" t="str">
        <f>TEXT(Table4_2[[#This Row],[Date]],"dddd")</f>
        <v>Monday</v>
      </c>
      <c r="D33" s="21">
        <v>31.2</v>
      </c>
      <c r="E33" s="21">
        <v>52</v>
      </c>
      <c r="F33" s="21">
        <v>471</v>
      </c>
      <c r="G33" s="21">
        <v>6.7</v>
      </c>
      <c r="H33">
        <v>40</v>
      </c>
      <c r="I33">
        <v>88.16</v>
      </c>
      <c r="J33">
        <v>0.52</v>
      </c>
      <c r="K33" t="str" cm="1">
        <f t="array" ref="K33">_xlfn.IFS(Table4_2[[#This Row],[Growth Days]]&lt;=14,"Seedling",Table4_2[[#This Row],[Growth Days]]&lt;=35, "Vegetative",Table4_2[[#This Row],[Growth Days]]&lt;=50, "Maturity")</f>
        <v>Maturity</v>
      </c>
      <c r="L33" t="str">
        <f>IF(Table4_2[[#This Row],[TDS Value (ppm)]]&lt;560, "Low", IF(Table4_2[[#This Row],[TDS Value (ppm)]]&lt;=800,"Optimal","High"))</f>
        <v>Low</v>
      </c>
    </row>
    <row r="34" spans="1:12" x14ac:dyDescent="0.25">
      <c r="A34">
        <v>6</v>
      </c>
      <c r="B34" s="1">
        <v>45145</v>
      </c>
      <c r="C34" s="1" t="str">
        <f>TEXT(Table4_2[[#This Row],[Date]],"dddd")</f>
        <v>Monday</v>
      </c>
      <c r="D34" s="21">
        <v>33.4</v>
      </c>
      <c r="E34" s="21">
        <v>62</v>
      </c>
      <c r="F34" s="21">
        <v>521</v>
      </c>
      <c r="G34" s="21">
        <v>6.7</v>
      </c>
      <c r="H34">
        <v>5</v>
      </c>
      <c r="I34">
        <v>92.12</v>
      </c>
      <c r="J34">
        <v>0.62</v>
      </c>
      <c r="K34" t="str" cm="1">
        <f t="array" ref="K34">_xlfn.IFS(Table4_2[[#This Row],[Growth Days]]&lt;=14,"Seedling",Table4_2[[#This Row],[Growth Days]]&lt;=35, "Vegetative",Table4_2[[#This Row],[Growth Days]]&lt;=50, "Maturity")</f>
        <v>Seedling</v>
      </c>
      <c r="L34" t="str">
        <f>IF(Table4_2[[#This Row],[TDS Value (ppm)]]&lt;560, "Low", IF(Table4_2[[#This Row],[TDS Value (ppm)]]&lt;=800,"Optimal","High"))</f>
        <v>Low</v>
      </c>
    </row>
    <row r="35" spans="1:12" x14ac:dyDescent="0.25">
      <c r="A35">
        <v>6</v>
      </c>
      <c r="B35" s="1">
        <v>45152</v>
      </c>
      <c r="C35" s="1" t="str">
        <f>TEXT(Table4_2[[#This Row],[Date]],"dddd")</f>
        <v>Monday</v>
      </c>
      <c r="D35" s="21">
        <v>30.1</v>
      </c>
      <c r="E35" s="21">
        <v>64</v>
      </c>
      <c r="F35" s="21">
        <v>490</v>
      </c>
      <c r="G35" s="21">
        <v>6.6</v>
      </c>
      <c r="H35">
        <v>12</v>
      </c>
      <c r="I35">
        <v>86.18</v>
      </c>
      <c r="J35">
        <v>0.64</v>
      </c>
      <c r="K35" t="str" cm="1">
        <f t="array" ref="K35">_xlfn.IFS(Table4_2[[#This Row],[Growth Days]]&lt;=14,"Seedling",Table4_2[[#This Row],[Growth Days]]&lt;=35, "Vegetative",Table4_2[[#This Row],[Growth Days]]&lt;=50, "Maturity")</f>
        <v>Seedling</v>
      </c>
      <c r="L35" t="str">
        <f>IF(Table4_2[[#This Row],[TDS Value (ppm)]]&lt;560, "Low", IF(Table4_2[[#This Row],[TDS Value (ppm)]]&lt;=800,"Optimal","High"))</f>
        <v>Low</v>
      </c>
    </row>
    <row r="36" spans="1:12" x14ac:dyDescent="0.25">
      <c r="A36">
        <v>6</v>
      </c>
      <c r="B36" s="1">
        <v>45159</v>
      </c>
      <c r="C36" s="1" t="str">
        <f>TEXT(Table4_2[[#This Row],[Date]],"dddd")</f>
        <v>Monday</v>
      </c>
      <c r="D36" s="21">
        <v>30.2</v>
      </c>
      <c r="E36" s="21">
        <v>73</v>
      </c>
      <c r="F36" s="21">
        <v>662</v>
      </c>
      <c r="G36" s="21">
        <v>6.2</v>
      </c>
      <c r="H36">
        <v>19</v>
      </c>
      <c r="I36">
        <v>86.36</v>
      </c>
      <c r="J36">
        <v>0.73</v>
      </c>
      <c r="K36" t="str" cm="1">
        <f t="array" ref="K36">_xlfn.IFS(Table4_2[[#This Row],[Growth Days]]&lt;=14,"Seedling",Table4_2[[#This Row],[Growth Days]]&lt;=35, "Vegetative",Table4_2[[#This Row],[Growth Days]]&lt;=50, "Maturity")</f>
        <v>Vegetative</v>
      </c>
      <c r="L36" t="str">
        <f>IF(Table4_2[[#This Row],[TDS Value (ppm)]]&lt;560, "Low", IF(Table4_2[[#This Row],[TDS Value (ppm)]]&lt;=800,"Optimal","High"))</f>
        <v>Optimal</v>
      </c>
    </row>
    <row r="37" spans="1:12" x14ac:dyDescent="0.25">
      <c r="A37">
        <v>6</v>
      </c>
      <c r="B37" s="1">
        <v>45166</v>
      </c>
      <c r="C37" s="1" t="str">
        <f>TEXT(Table4_2[[#This Row],[Date]],"dddd")</f>
        <v>Monday</v>
      </c>
      <c r="D37" s="21">
        <v>29.4</v>
      </c>
      <c r="E37" s="21">
        <v>76</v>
      </c>
      <c r="F37" s="21">
        <v>515</v>
      </c>
      <c r="G37" s="21">
        <v>6.5</v>
      </c>
      <c r="H37">
        <v>26</v>
      </c>
      <c r="I37">
        <v>84.92</v>
      </c>
      <c r="J37">
        <v>0.76</v>
      </c>
      <c r="K37" t="str" cm="1">
        <f t="array" ref="K37">_xlfn.IFS(Table4_2[[#This Row],[Growth Days]]&lt;=14,"Seedling",Table4_2[[#This Row],[Growth Days]]&lt;=35, "Vegetative",Table4_2[[#This Row],[Growth Days]]&lt;=50, "Maturity")</f>
        <v>Vegetative</v>
      </c>
      <c r="L37" t="str">
        <f>IF(Table4_2[[#This Row],[TDS Value (ppm)]]&lt;560, "Low", IF(Table4_2[[#This Row],[TDS Value (ppm)]]&lt;=800,"Optimal","High"))</f>
        <v>Low</v>
      </c>
    </row>
    <row r="38" spans="1:12" x14ac:dyDescent="0.25">
      <c r="A38">
        <v>6</v>
      </c>
      <c r="B38" s="1">
        <v>45173</v>
      </c>
      <c r="C38" s="1" t="str">
        <f>TEXT(Table4_2[[#This Row],[Date]],"dddd")</f>
        <v>Monday</v>
      </c>
      <c r="D38" s="21">
        <v>31.7</v>
      </c>
      <c r="E38" s="21">
        <v>77</v>
      </c>
      <c r="F38" s="21">
        <v>456</v>
      </c>
      <c r="G38" s="21">
        <v>6.8</v>
      </c>
      <c r="H38">
        <v>33</v>
      </c>
      <c r="I38">
        <v>89.06</v>
      </c>
      <c r="J38">
        <v>0.77</v>
      </c>
      <c r="K38" t="str" cm="1">
        <f t="array" ref="K38">_xlfn.IFS(Table4_2[[#This Row],[Growth Days]]&lt;=14,"Seedling",Table4_2[[#This Row],[Growth Days]]&lt;=35, "Vegetative",Table4_2[[#This Row],[Growth Days]]&lt;=50, "Maturity")</f>
        <v>Vegetative</v>
      </c>
      <c r="L38" t="str">
        <f>IF(Table4_2[[#This Row],[TDS Value (ppm)]]&lt;560, "Low", IF(Table4_2[[#This Row],[TDS Value (ppm)]]&lt;=800,"Optimal","High"))</f>
        <v>Low</v>
      </c>
    </row>
    <row r="39" spans="1:12" x14ac:dyDescent="0.25">
      <c r="A39">
        <v>6</v>
      </c>
      <c r="B39" s="1">
        <v>45180</v>
      </c>
      <c r="C39" s="1" t="str">
        <f>TEXT(Table4_2[[#This Row],[Date]],"dddd")</f>
        <v>Monday</v>
      </c>
      <c r="D39" s="21">
        <v>31.2</v>
      </c>
      <c r="E39" s="21">
        <v>56</v>
      </c>
      <c r="F39" s="21">
        <v>549</v>
      </c>
      <c r="G39" s="21">
        <v>6.5</v>
      </c>
      <c r="H39">
        <v>40</v>
      </c>
      <c r="I39">
        <v>88.16</v>
      </c>
      <c r="J39">
        <v>0.56000000000000005</v>
      </c>
      <c r="K39" t="str" cm="1">
        <f t="array" ref="K39">_xlfn.IFS(Table4_2[[#This Row],[Growth Days]]&lt;=14,"Seedling",Table4_2[[#This Row],[Growth Days]]&lt;=35, "Vegetative",Table4_2[[#This Row],[Growth Days]]&lt;=50, "Maturity")</f>
        <v>Maturity</v>
      </c>
      <c r="L39" t="str">
        <f>IF(Table4_2[[#This Row],[TDS Value (ppm)]]&lt;560, "Low", IF(Table4_2[[#This Row],[TDS Value (ppm)]]&lt;=800,"Optimal","High"))</f>
        <v>Low</v>
      </c>
    </row>
    <row r="40" spans="1:12" x14ac:dyDescent="0.25">
      <c r="A40">
        <v>7</v>
      </c>
      <c r="B40" s="1">
        <v>45145</v>
      </c>
      <c r="C40" s="1" t="str">
        <f>TEXT(Table4_2[[#This Row],[Date]],"dddd")</f>
        <v>Monday</v>
      </c>
      <c r="D40" s="21">
        <v>33.4</v>
      </c>
      <c r="E40" s="21">
        <v>75</v>
      </c>
      <c r="F40" s="21">
        <v>555</v>
      </c>
      <c r="G40" s="21">
        <v>6.2</v>
      </c>
      <c r="H40">
        <v>5</v>
      </c>
      <c r="I40">
        <v>92.12</v>
      </c>
      <c r="J40">
        <v>0.75</v>
      </c>
      <c r="K40" t="str" cm="1">
        <f t="array" ref="K40">_xlfn.IFS(Table4_2[[#This Row],[Growth Days]]&lt;=14,"Seedling",Table4_2[[#This Row],[Growth Days]]&lt;=35, "Vegetative",Table4_2[[#This Row],[Growth Days]]&lt;=50, "Maturity")</f>
        <v>Seedling</v>
      </c>
      <c r="L40" t="str">
        <f>IF(Table4_2[[#This Row],[TDS Value (ppm)]]&lt;560, "Low", IF(Table4_2[[#This Row],[TDS Value (ppm)]]&lt;=800,"Optimal","High"))</f>
        <v>Low</v>
      </c>
    </row>
    <row r="41" spans="1:12" x14ac:dyDescent="0.25">
      <c r="A41">
        <v>7</v>
      </c>
      <c r="B41" s="1">
        <v>45152</v>
      </c>
      <c r="C41" s="1" t="str">
        <f>TEXT(Table4_2[[#This Row],[Date]],"dddd")</f>
        <v>Monday</v>
      </c>
      <c r="D41" s="21">
        <v>30.1</v>
      </c>
      <c r="E41" s="21">
        <v>56</v>
      </c>
      <c r="F41" s="21">
        <v>676</v>
      </c>
      <c r="G41" s="21">
        <v>6.8</v>
      </c>
      <c r="H41">
        <v>12</v>
      </c>
      <c r="I41">
        <v>86.18</v>
      </c>
      <c r="J41">
        <v>0.56000000000000005</v>
      </c>
      <c r="K41" t="str" cm="1">
        <f t="array" ref="K41">_xlfn.IFS(Table4_2[[#This Row],[Growth Days]]&lt;=14,"Seedling",Table4_2[[#This Row],[Growth Days]]&lt;=35, "Vegetative",Table4_2[[#This Row],[Growth Days]]&lt;=50, "Maturity")</f>
        <v>Seedling</v>
      </c>
      <c r="L41" t="str">
        <f>IF(Table4_2[[#This Row],[TDS Value (ppm)]]&lt;560, "Low", IF(Table4_2[[#This Row],[TDS Value (ppm)]]&lt;=800,"Optimal","High"))</f>
        <v>Optimal</v>
      </c>
    </row>
    <row r="42" spans="1:12" x14ac:dyDescent="0.25">
      <c r="A42">
        <v>7</v>
      </c>
      <c r="B42" s="1">
        <v>45159</v>
      </c>
      <c r="C42" s="1" t="str">
        <f>TEXT(Table4_2[[#This Row],[Date]],"dddd")</f>
        <v>Monday</v>
      </c>
      <c r="D42" s="21">
        <v>30.2</v>
      </c>
      <c r="E42" s="21">
        <v>51</v>
      </c>
      <c r="F42" s="21">
        <v>619</v>
      </c>
      <c r="G42" s="21">
        <v>6.3</v>
      </c>
      <c r="H42">
        <v>19</v>
      </c>
      <c r="I42">
        <v>86.36</v>
      </c>
      <c r="J42">
        <v>0.51</v>
      </c>
      <c r="K42" t="str" cm="1">
        <f t="array" ref="K42">_xlfn.IFS(Table4_2[[#This Row],[Growth Days]]&lt;=14,"Seedling",Table4_2[[#This Row],[Growth Days]]&lt;=35, "Vegetative",Table4_2[[#This Row],[Growth Days]]&lt;=50, "Maturity")</f>
        <v>Vegetative</v>
      </c>
      <c r="L42" t="str">
        <f>IF(Table4_2[[#This Row],[TDS Value (ppm)]]&lt;560, "Low", IF(Table4_2[[#This Row],[TDS Value (ppm)]]&lt;=800,"Optimal","High"))</f>
        <v>Optimal</v>
      </c>
    </row>
    <row r="43" spans="1:12" x14ac:dyDescent="0.25">
      <c r="A43">
        <v>7</v>
      </c>
      <c r="B43" s="1">
        <v>45166</v>
      </c>
      <c r="C43" s="1" t="str">
        <f>TEXT(Table4_2[[#This Row],[Date]],"dddd")</f>
        <v>Monday</v>
      </c>
      <c r="D43" s="21">
        <v>29.4</v>
      </c>
      <c r="E43" s="21">
        <v>79</v>
      </c>
      <c r="F43" s="21">
        <v>670</v>
      </c>
      <c r="G43" s="21">
        <v>6.7</v>
      </c>
      <c r="H43">
        <v>26</v>
      </c>
      <c r="I43">
        <v>84.92</v>
      </c>
      <c r="J43">
        <v>0.79</v>
      </c>
      <c r="K43" t="str" cm="1">
        <f t="array" ref="K43">_xlfn.IFS(Table4_2[[#This Row],[Growth Days]]&lt;=14,"Seedling",Table4_2[[#This Row],[Growth Days]]&lt;=35, "Vegetative",Table4_2[[#This Row],[Growth Days]]&lt;=50, "Maturity")</f>
        <v>Vegetative</v>
      </c>
      <c r="L43" t="str">
        <f>IF(Table4_2[[#This Row],[TDS Value (ppm)]]&lt;560, "Low", IF(Table4_2[[#This Row],[TDS Value (ppm)]]&lt;=800,"Optimal","High"))</f>
        <v>Optimal</v>
      </c>
    </row>
    <row r="44" spans="1:12" x14ac:dyDescent="0.25">
      <c r="A44">
        <v>7</v>
      </c>
      <c r="B44" s="1">
        <v>45173</v>
      </c>
      <c r="C44" s="1" t="str">
        <f>TEXT(Table4_2[[#This Row],[Date]],"dddd")</f>
        <v>Monday</v>
      </c>
      <c r="D44" s="21">
        <v>31.7</v>
      </c>
      <c r="E44" s="21">
        <v>79</v>
      </c>
      <c r="F44" s="21">
        <v>436</v>
      </c>
      <c r="G44" s="21">
        <v>6.7</v>
      </c>
      <c r="H44">
        <v>33</v>
      </c>
      <c r="I44">
        <v>89.06</v>
      </c>
      <c r="J44">
        <v>0.79</v>
      </c>
      <c r="K44" t="str" cm="1">
        <f t="array" ref="K44">_xlfn.IFS(Table4_2[[#This Row],[Growth Days]]&lt;=14,"Seedling",Table4_2[[#This Row],[Growth Days]]&lt;=35, "Vegetative",Table4_2[[#This Row],[Growth Days]]&lt;=50, "Maturity")</f>
        <v>Vegetative</v>
      </c>
      <c r="L44" t="str">
        <f>IF(Table4_2[[#This Row],[TDS Value (ppm)]]&lt;560, "Low", IF(Table4_2[[#This Row],[TDS Value (ppm)]]&lt;=800,"Optimal","High"))</f>
        <v>Low</v>
      </c>
    </row>
    <row r="45" spans="1:12" x14ac:dyDescent="0.25">
      <c r="A45">
        <v>7</v>
      </c>
      <c r="B45" s="1">
        <v>45180</v>
      </c>
      <c r="C45" s="1" t="str">
        <f>TEXT(Table4_2[[#This Row],[Date]],"dddd")</f>
        <v>Monday</v>
      </c>
      <c r="D45" s="21">
        <v>31.2</v>
      </c>
      <c r="E45" s="21">
        <v>53</v>
      </c>
      <c r="F45" s="21">
        <v>800</v>
      </c>
      <c r="G45" s="21">
        <v>6.7</v>
      </c>
      <c r="H45">
        <v>40</v>
      </c>
      <c r="I45">
        <v>88.16</v>
      </c>
      <c r="J45">
        <v>0.53</v>
      </c>
      <c r="K45" t="str" cm="1">
        <f t="array" ref="K45">_xlfn.IFS(Table4_2[[#This Row],[Growth Days]]&lt;=14,"Seedling",Table4_2[[#This Row],[Growth Days]]&lt;=35, "Vegetative",Table4_2[[#This Row],[Growth Days]]&lt;=50, "Maturity")</f>
        <v>Maturity</v>
      </c>
      <c r="L45" t="str">
        <f>IF(Table4_2[[#This Row],[TDS Value (ppm)]]&lt;560, "Low", IF(Table4_2[[#This Row],[TDS Value (ppm)]]&lt;=800,"Optimal","High"))</f>
        <v>Optimal</v>
      </c>
    </row>
    <row r="46" spans="1:12" x14ac:dyDescent="0.25">
      <c r="A46">
        <v>7</v>
      </c>
      <c r="B46" s="1">
        <v>45187</v>
      </c>
      <c r="C46" s="1" t="str">
        <f>TEXT(Table4_2[[#This Row],[Date]],"dddd")</f>
        <v>Monday</v>
      </c>
      <c r="D46" s="21">
        <v>30.5</v>
      </c>
      <c r="E46" s="21">
        <v>58</v>
      </c>
      <c r="F46" s="21">
        <v>600</v>
      </c>
      <c r="G46" s="21">
        <v>6.2</v>
      </c>
      <c r="H46">
        <v>47</v>
      </c>
      <c r="I46">
        <v>86.9</v>
      </c>
      <c r="J46">
        <v>0.57999999999999996</v>
      </c>
      <c r="K46" t="str" cm="1">
        <f t="array" ref="K46">_xlfn.IFS(Table4_2[[#This Row],[Growth Days]]&lt;=14,"Seedling",Table4_2[[#This Row],[Growth Days]]&lt;=35, "Vegetative",Table4_2[[#This Row],[Growth Days]]&lt;=50, "Maturity")</f>
        <v>Maturity</v>
      </c>
      <c r="L46" t="str">
        <f>IF(Table4_2[[#This Row],[TDS Value (ppm)]]&lt;560, "Low", IF(Table4_2[[#This Row],[TDS Value (ppm)]]&lt;=800,"Optimal","High"))</f>
        <v>Optimal</v>
      </c>
    </row>
    <row r="47" spans="1:12" x14ac:dyDescent="0.25">
      <c r="A47">
        <v>8</v>
      </c>
      <c r="B47" s="1">
        <v>45145</v>
      </c>
      <c r="C47" s="1" t="str">
        <f>TEXT(Table4_2[[#This Row],[Date]],"dddd")</f>
        <v>Monday</v>
      </c>
      <c r="D47" s="21">
        <v>33.4</v>
      </c>
      <c r="E47" s="21">
        <v>78</v>
      </c>
      <c r="F47" s="21">
        <v>700</v>
      </c>
      <c r="G47" s="21">
        <v>6</v>
      </c>
      <c r="H47">
        <v>5</v>
      </c>
      <c r="I47">
        <v>92.12</v>
      </c>
      <c r="J47">
        <v>0.78</v>
      </c>
      <c r="K47" t="str" cm="1">
        <f t="array" ref="K47">_xlfn.IFS(Table4_2[[#This Row],[Growth Days]]&lt;=14,"Seedling",Table4_2[[#This Row],[Growth Days]]&lt;=35, "Vegetative",Table4_2[[#This Row],[Growth Days]]&lt;=50, "Maturity")</f>
        <v>Seedling</v>
      </c>
      <c r="L47" t="str">
        <f>IF(Table4_2[[#This Row],[TDS Value (ppm)]]&lt;560, "Low", IF(Table4_2[[#This Row],[TDS Value (ppm)]]&lt;=800,"Optimal","High"))</f>
        <v>Optimal</v>
      </c>
    </row>
    <row r="48" spans="1:12" x14ac:dyDescent="0.25">
      <c r="A48">
        <v>8</v>
      </c>
      <c r="B48" s="1">
        <v>45152</v>
      </c>
      <c r="C48" s="1" t="str">
        <f>TEXT(Table4_2[[#This Row],[Date]],"dddd")</f>
        <v>Monday</v>
      </c>
      <c r="D48" s="21">
        <v>30.1</v>
      </c>
      <c r="E48" s="21">
        <v>57</v>
      </c>
      <c r="F48" s="21">
        <v>763</v>
      </c>
      <c r="G48" s="21">
        <v>6.3</v>
      </c>
      <c r="H48">
        <v>12</v>
      </c>
      <c r="I48">
        <v>86.18</v>
      </c>
      <c r="J48">
        <v>0.56999999999999995</v>
      </c>
      <c r="K48" t="str" cm="1">
        <f t="array" ref="K48">_xlfn.IFS(Table4_2[[#This Row],[Growth Days]]&lt;=14,"Seedling",Table4_2[[#This Row],[Growth Days]]&lt;=35, "Vegetative",Table4_2[[#This Row],[Growth Days]]&lt;=50, "Maturity")</f>
        <v>Seedling</v>
      </c>
      <c r="L48" t="str">
        <f>IF(Table4_2[[#This Row],[TDS Value (ppm)]]&lt;560, "Low", IF(Table4_2[[#This Row],[TDS Value (ppm)]]&lt;=800,"Optimal","High"))</f>
        <v>Optimal</v>
      </c>
    </row>
    <row r="49" spans="1:12" x14ac:dyDescent="0.25">
      <c r="A49">
        <v>8</v>
      </c>
      <c r="B49" s="1">
        <v>45159</v>
      </c>
      <c r="C49" s="1" t="str">
        <f>TEXT(Table4_2[[#This Row],[Date]],"dddd")</f>
        <v>Monday</v>
      </c>
      <c r="D49" s="21">
        <v>30.2</v>
      </c>
      <c r="E49" s="21">
        <v>79</v>
      </c>
      <c r="F49" s="21">
        <v>742</v>
      </c>
      <c r="G49" s="21">
        <v>6.7</v>
      </c>
      <c r="H49">
        <v>19</v>
      </c>
      <c r="I49">
        <v>86.36</v>
      </c>
      <c r="J49">
        <v>0.79</v>
      </c>
      <c r="K49" t="str" cm="1">
        <f t="array" ref="K49">_xlfn.IFS(Table4_2[[#This Row],[Growth Days]]&lt;=14,"Seedling",Table4_2[[#This Row],[Growth Days]]&lt;=35, "Vegetative",Table4_2[[#This Row],[Growth Days]]&lt;=50, "Maturity")</f>
        <v>Vegetative</v>
      </c>
      <c r="L49" t="str">
        <f>IF(Table4_2[[#This Row],[TDS Value (ppm)]]&lt;560, "Low", IF(Table4_2[[#This Row],[TDS Value (ppm)]]&lt;=800,"Optimal","High"))</f>
        <v>Optimal</v>
      </c>
    </row>
    <row r="50" spans="1:12" x14ac:dyDescent="0.25">
      <c r="A50">
        <v>8</v>
      </c>
      <c r="B50" s="1">
        <v>45166</v>
      </c>
      <c r="C50" s="1" t="str">
        <f>TEXT(Table4_2[[#This Row],[Date]],"dddd")</f>
        <v>Monday</v>
      </c>
      <c r="D50" s="21">
        <v>29.4</v>
      </c>
      <c r="E50" s="21">
        <v>54</v>
      </c>
      <c r="F50" s="21">
        <v>559</v>
      </c>
      <c r="G50" s="21">
        <v>6.2</v>
      </c>
      <c r="H50">
        <v>26</v>
      </c>
      <c r="I50">
        <v>84.92</v>
      </c>
      <c r="J50">
        <v>0.54</v>
      </c>
      <c r="K50" t="str" cm="1">
        <f t="array" ref="K50">_xlfn.IFS(Table4_2[[#This Row],[Growth Days]]&lt;=14,"Seedling",Table4_2[[#This Row],[Growth Days]]&lt;=35, "Vegetative",Table4_2[[#This Row],[Growth Days]]&lt;=50, "Maturity")</f>
        <v>Vegetative</v>
      </c>
      <c r="L50" t="str">
        <f>IF(Table4_2[[#This Row],[TDS Value (ppm)]]&lt;560, "Low", IF(Table4_2[[#This Row],[TDS Value (ppm)]]&lt;=800,"Optimal","High"))</f>
        <v>Low</v>
      </c>
    </row>
    <row r="51" spans="1:12" x14ac:dyDescent="0.25">
      <c r="A51">
        <v>8</v>
      </c>
      <c r="B51" s="1">
        <v>45173</v>
      </c>
      <c r="C51" s="1" t="str">
        <f>TEXT(Table4_2[[#This Row],[Date]],"dddd")</f>
        <v>Monday</v>
      </c>
      <c r="D51" s="21">
        <v>31.7</v>
      </c>
      <c r="E51" s="21">
        <v>63</v>
      </c>
      <c r="F51" s="21">
        <v>538</v>
      </c>
      <c r="G51" s="21">
        <v>6.4</v>
      </c>
      <c r="H51">
        <v>33</v>
      </c>
      <c r="I51">
        <v>89.06</v>
      </c>
      <c r="J51">
        <v>0.63</v>
      </c>
      <c r="K51" t="str" cm="1">
        <f t="array" ref="K51">_xlfn.IFS(Table4_2[[#This Row],[Growth Days]]&lt;=14,"Seedling",Table4_2[[#This Row],[Growth Days]]&lt;=35, "Vegetative",Table4_2[[#This Row],[Growth Days]]&lt;=50, "Maturity")</f>
        <v>Vegetative</v>
      </c>
      <c r="L51" t="str">
        <f>IF(Table4_2[[#This Row],[TDS Value (ppm)]]&lt;560, "Low", IF(Table4_2[[#This Row],[TDS Value (ppm)]]&lt;=800,"Optimal","High"))</f>
        <v>Low</v>
      </c>
    </row>
    <row r="52" spans="1:12" x14ac:dyDescent="0.25">
      <c r="A52">
        <v>8</v>
      </c>
      <c r="B52" s="1">
        <v>45180</v>
      </c>
      <c r="C52" s="1" t="str">
        <f>TEXT(Table4_2[[#This Row],[Date]],"dddd")</f>
        <v>Monday</v>
      </c>
      <c r="D52" s="21">
        <v>31.2</v>
      </c>
      <c r="E52" s="21">
        <v>76</v>
      </c>
      <c r="F52" s="21">
        <v>720</v>
      </c>
      <c r="G52" s="21">
        <v>6.5</v>
      </c>
      <c r="H52">
        <v>40</v>
      </c>
      <c r="I52">
        <v>88.16</v>
      </c>
      <c r="J52">
        <v>0.76</v>
      </c>
      <c r="K52" t="str" cm="1">
        <f t="array" ref="K52">_xlfn.IFS(Table4_2[[#This Row],[Growth Days]]&lt;=14,"Seedling",Table4_2[[#This Row],[Growth Days]]&lt;=35, "Vegetative",Table4_2[[#This Row],[Growth Days]]&lt;=50, "Maturity")</f>
        <v>Maturity</v>
      </c>
      <c r="L52" t="str">
        <f>IF(Table4_2[[#This Row],[TDS Value (ppm)]]&lt;560, "Low", IF(Table4_2[[#This Row],[TDS Value (ppm)]]&lt;=800,"Optimal","High"))</f>
        <v>Optimal</v>
      </c>
    </row>
    <row r="53" spans="1:12" x14ac:dyDescent="0.25">
      <c r="A53">
        <v>9</v>
      </c>
      <c r="B53" s="1">
        <v>45145</v>
      </c>
      <c r="C53" s="1" t="str">
        <f>TEXT(Table4_2[[#This Row],[Date]],"dddd")</f>
        <v>Monday</v>
      </c>
      <c r="D53" s="21">
        <v>33.4</v>
      </c>
      <c r="E53" s="21">
        <v>79</v>
      </c>
      <c r="F53" s="21">
        <v>731</v>
      </c>
      <c r="G53" s="21">
        <v>6.3</v>
      </c>
      <c r="H53">
        <v>5</v>
      </c>
      <c r="I53">
        <v>92.12</v>
      </c>
      <c r="J53">
        <v>0.79</v>
      </c>
      <c r="K53" t="str" cm="1">
        <f t="array" ref="K53">_xlfn.IFS(Table4_2[[#This Row],[Growth Days]]&lt;=14,"Seedling",Table4_2[[#This Row],[Growth Days]]&lt;=35, "Vegetative",Table4_2[[#This Row],[Growth Days]]&lt;=50, "Maturity")</f>
        <v>Seedling</v>
      </c>
      <c r="L53" t="str">
        <f>IF(Table4_2[[#This Row],[TDS Value (ppm)]]&lt;560, "Low", IF(Table4_2[[#This Row],[TDS Value (ppm)]]&lt;=800,"Optimal","High"))</f>
        <v>Optimal</v>
      </c>
    </row>
    <row r="54" spans="1:12" x14ac:dyDescent="0.25">
      <c r="A54">
        <v>9</v>
      </c>
      <c r="B54" s="1">
        <v>45152</v>
      </c>
      <c r="C54" s="1" t="str">
        <f>TEXT(Table4_2[[#This Row],[Date]],"dddd")</f>
        <v>Monday</v>
      </c>
      <c r="D54" s="21">
        <v>30.1</v>
      </c>
      <c r="E54" s="21">
        <v>72</v>
      </c>
      <c r="F54" s="21">
        <v>473</v>
      </c>
      <c r="G54" s="21">
        <v>6.6</v>
      </c>
      <c r="H54">
        <v>12</v>
      </c>
      <c r="I54">
        <v>86.18</v>
      </c>
      <c r="J54">
        <v>0.72</v>
      </c>
      <c r="K54" t="str" cm="1">
        <f t="array" ref="K54">_xlfn.IFS(Table4_2[[#This Row],[Growth Days]]&lt;=14,"Seedling",Table4_2[[#This Row],[Growth Days]]&lt;=35, "Vegetative",Table4_2[[#This Row],[Growth Days]]&lt;=50, "Maturity")</f>
        <v>Seedling</v>
      </c>
      <c r="L54" t="str">
        <f>IF(Table4_2[[#This Row],[TDS Value (ppm)]]&lt;560, "Low", IF(Table4_2[[#This Row],[TDS Value (ppm)]]&lt;=800,"Optimal","High"))</f>
        <v>Low</v>
      </c>
    </row>
    <row r="55" spans="1:12" x14ac:dyDescent="0.25">
      <c r="A55">
        <v>9</v>
      </c>
      <c r="B55" s="1">
        <v>45159</v>
      </c>
      <c r="C55" s="1" t="str">
        <f>TEXT(Table4_2[[#This Row],[Date]],"dddd")</f>
        <v>Monday</v>
      </c>
      <c r="D55" s="21">
        <v>30.2</v>
      </c>
      <c r="E55" s="21">
        <v>66</v>
      </c>
      <c r="F55" s="21">
        <v>607</v>
      </c>
      <c r="G55" s="21">
        <v>6.1</v>
      </c>
      <c r="H55">
        <v>19</v>
      </c>
      <c r="I55">
        <v>86.36</v>
      </c>
      <c r="J55">
        <v>0.66</v>
      </c>
      <c r="K55" t="str" cm="1">
        <f t="array" ref="K55">_xlfn.IFS(Table4_2[[#This Row],[Growth Days]]&lt;=14,"Seedling",Table4_2[[#This Row],[Growth Days]]&lt;=35, "Vegetative",Table4_2[[#This Row],[Growth Days]]&lt;=50, "Maturity")</f>
        <v>Vegetative</v>
      </c>
      <c r="L55" t="str">
        <f>IF(Table4_2[[#This Row],[TDS Value (ppm)]]&lt;560, "Low", IF(Table4_2[[#This Row],[TDS Value (ppm)]]&lt;=800,"Optimal","High"))</f>
        <v>Optimal</v>
      </c>
    </row>
    <row r="56" spans="1:12" x14ac:dyDescent="0.25">
      <c r="A56">
        <v>9</v>
      </c>
      <c r="B56" s="1">
        <v>45166</v>
      </c>
      <c r="C56" s="1" t="str">
        <f>TEXT(Table4_2[[#This Row],[Date]],"dddd")</f>
        <v>Monday</v>
      </c>
      <c r="D56" s="21">
        <v>29.4</v>
      </c>
      <c r="E56" s="21">
        <v>74</v>
      </c>
      <c r="F56" s="21">
        <v>445</v>
      </c>
      <c r="G56" s="21">
        <v>6.1</v>
      </c>
      <c r="H56">
        <v>26</v>
      </c>
      <c r="I56">
        <v>84.92</v>
      </c>
      <c r="J56">
        <v>0.74</v>
      </c>
      <c r="K56" t="str" cm="1">
        <f t="array" ref="K56">_xlfn.IFS(Table4_2[[#This Row],[Growth Days]]&lt;=14,"Seedling",Table4_2[[#This Row],[Growth Days]]&lt;=35, "Vegetative",Table4_2[[#This Row],[Growth Days]]&lt;=50, "Maturity")</f>
        <v>Vegetative</v>
      </c>
      <c r="L56" t="str">
        <f>IF(Table4_2[[#This Row],[TDS Value (ppm)]]&lt;560, "Low", IF(Table4_2[[#This Row],[TDS Value (ppm)]]&lt;=800,"Optimal","High"))</f>
        <v>Low</v>
      </c>
    </row>
    <row r="57" spans="1:12" x14ac:dyDescent="0.25">
      <c r="A57">
        <v>9</v>
      </c>
      <c r="B57" s="1">
        <v>45173</v>
      </c>
      <c r="C57" s="1" t="str">
        <f>TEXT(Table4_2[[#This Row],[Date]],"dddd")</f>
        <v>Monday</v>
      </c>
      <c r="D57" s="21">
        <v>31.7</v>
      </c>
      <c r="E57" s="21">
        <v>55</v>
      </c>
      <c r="F57" s="21">
        <v>468</v>
      </c>
      <c r="G57" s="21">
        <v>6.2</v>
      </c>
      <c r="H57">
        <v>33</v>
      </c>
      <c r="I57">
        <v>89.06</v>
      </c>
      <c r="J57">
        <v>0.55000000000000004</v>
      </c>
      <c r="K57" t="str" cm="1">
        <f t="array" ref="K57">_xlfn.IFS(Table4_2[[#This Row],[Growth Days]]&lt;=14,"Seedling",Table4_2[[#This Row],[Growth Days]]&lt;=35, "Vegetative",Table4_2[[#This Row],[Growth Days]]&lt;=50, "Maturity")</f>
        <v>Vegetative</v>
      </c>
      <c r="L57" t="str">
        <f>IF(Table4_2[[#This Row],[TDS Value (ppm)]]&lt;560, "Low", IF(Table4_2[[#This Row],[TDS Value (ppm)]]&lt;=800,"Optimal","High"))</f>
        <v>Low</v>
      </c>
    </row>
    <row r="58" spans="1:12" x14ac:dyDescent="0.25">
      <c r="A58">
        <v>9</v>
      </c>
      <c r="B58" s="1">
        <v>45180</v>
      </c>
      <c r="C58" s="1" t="str">
        <f>TEXT(Table4_2[[#This Row],[Date]],"dddd")</f>
        <v>Monday</v>
      </c>
      <c r="D58" s="21">
        <v>31.2</v>
      </c>
      <c r="E58" s="21">
        <v>65</v>
      </c>
      <c r="F58" s="21">
        <v>573</v>
      </c>
      <c r="G58" s="21">
        <v>6.2</v>
      </c>
      <c r="H58">
        <v>40</v>
      </c>
      <c r="I58">
        <v>88.16</v>
      </c>
      <c r="J58">
        <v>0.65</v>
      </c>
      <c r="K58" t="str" cm="1">
        <f t="array" ref="K58">_xlfn.IFS(Table4_2[[#This Row],[Growth Days]]&lt;=14,"Seedling",Table4_2[[#This Row],[Growth Days]]&lt;=35, "Vegetative",Table4_2[[#This Row],[Growth Days]]&lt;=50, "Maturity")</f>
        <v>Maturity</v>
      </c>
      <c r="L58" t="str">
        <f>IF(Table4_2[[#This Row],[TDS Value (ppm)]]&lt;560, "Low", IF(Table4_2[[#This Row],[TDS Value (ppm)]]&lt;=800,"Optimal","High"))</f>
        <v>Optimal</v>
      </c>
    </row>
    <row r="59" spans="1:12" x14ac:dyDescent="0.25">
      <c r="A59">
        <v>10</v>
      </c>
      <c r="B59" s="1">
        <v>45145</v>
      </c>
      <c r="C59" s="1" t="str">
        <f>TEXT(Table4_2[[#This Row],[Date]],"dddd")</f>
        <v>Monday</v>
      </c>
      <c r="D59" s="21">
        <v>33.4</v>
      </c>
      <c r="E59" s="21">
        <v>53</v>
      </c>
      <c r="F59" s="21">
        <v>527</v>
      </c>
      <c r="G59" s="21">
        <v>6.3</v>
      </c>
      <c r="H59">
        <v>5</v>
      </c>
      <c r="I59">
        <v>92.12</v>
      </c>
      <c r="J59">
        <v>0.53</v>
      </c>
      <c r="K59" t="str" cm="1">
        <f t="array" ref="K59">_xlfn.IFS(Table4_2[[#This Row],[Growth Days]]&lt;=14,"Seedling",Table4_2[[#This Row],[Growth Days]]&lt;=35, "Vegetative",Table4_2[[#This Row],[Growth Days]]&lt;=50, "Maturity")</f>
        <v>Seedling</v>
      </c>
      <c r="L59" t="str">
        <f>IF(Table4_2[[#This Row],[TDS Value (ppm)]]&lt;560, "Low", IF(Table4_2[[#This Row],[TDS Value (ppm)]]&lt;=800,"Optimal","High"))</f>
        <v>Low</v>
      </c>
    </row>
    <row r="60" spans="1:12" x14ac:dyDescent="0.25">
      <c r="A60">
        <v>10</v>
      </c>
      <c r="B60" s="1">
        <v>45152</v>
      </c>
      <c r="C60" s="1" t="str">
        <f>TEXT(Table4_2[[#This Row],[Date]],"dddd")</f>
        <v>Monday</v>
      </c>
      <c r="D60" s="21">
        <v>30.1</v>
      </c>
      <c r="E60" s="21">
        <v>62</v>
      </c>
      <c r="F60" s="21">
        <v>552</v>
      </c>
      <c r="G60" s="21">
        <v>6.8</v>
      </c>
      <c r="H60">
        <v>12</v>
      </c>
      <c r="I60">
        <v>86.18</v>
      </c>
      <c r="J60">
        <v>0.62</v>
      </c>
      <c r="K60" t="str" cm="1">
        <f t="array" ref="K60">_xlfn.IFS(Table4_2[[#This Row],[Growth Days]]&lt;=14,"Seedling",Table4_2[[#This Row],[Growth Days]]&lt;=35, "Vegetative",Table4_2[[#This Row],[Growth Days]]&lt;=50, "Maturity")</f>
        <v>Seedling</v>
      </c>
      <c r="L60" t="str">
        <f>IF(Table4_2[[#This Row],[TDS Value (ppm)]]&lt;560, "Low", IF(Table4_2[[#This Row],[TDS Value (ppm)]]&lt;=800,"Optimal","High"))</f>
        <v>Low</v>
      </c>
    </row>
    <row r="61" spans="1:12" x14ac:dyDescent="0.25">
      <c r="A61">
        <v>10</v>
      </c>
      <c r="B61" s="1">
        <v>45159</v>
      </c>
      <c r="C61" s="1" t="str">
        <f>TEXT(Table4_2[[#This Row],[Date]],"dddd")</f>
        <v>Monday</v>
      </c>
      <c r="D61" s="21">
        <v>30.2</v>
      </c>
      <c r="E61" s="21">
        <v>77</v>
      </c>
      <c r="F61" s="21">
        <v>778</v>
      </c>
      <c r="G61" s="21">
        <v>6.2</v>
      </c>
      <c r="H61">
        <v>19</v>
      </c>
      <c r="I61">
        <v>86.36</v>
      </c>
      <c r="J61">
        <v>0.77</v>
      </c>
      <c r="K61" t="str" cm="1">
        <f t="array" ref="K61">_xlfn.IFS(Table4_2[[#This Row],[Growth Days]]&lt;=14,"Seedling",Table4_2[[#This Row],[Growth Days]]&lt;=35, "Vegetative",Table4_2[[#This Row],[Growth Days]]&lt;=50, "Maturity")</f>
        <v>Vegetative</v>
      </c>
      <c r="L61" t="str">
        <f>IF(Table4_2[[#This Row],[TDS Value (ppm)]]&lt;560, "Low", IF(Table4_2[[#This Row],[TDS Value (ppm)]]&lt;=800,"Optimal","High"))</f>
        <v>Optimal</v>
      </c>
    </row>
    <row r="62" spans="1:12" x14ac:dyDescent="0.25">
      <c r="A62">
        <v>10</v>
      </c>
      <c r="B62" s="1">
        <v>45166</v>
      </c>
      <c r="C62" s="1" t="str">
        <f>TEXT(Table4_2[[#This Row],[Date]],"dddd")</f>
        <v>Monday</v>
      </c>
      <c r="D62" s="21">
        <v>29.4</v>
      </c>
      <c r="E62" s="21">
        <v>74</v>
      </c>
      <c r="F62" s="21">
        <v>597</v>
      </c>
      <c r="G62" s="21">
        <v>6.6</v>
      </c>
      <c r="H62">
        <v>26</v>
      </c>
      <c r="I62">
        <v>84.92</v>
      </c>
      <c r="J62">
        <v>0.74</v>
      </c>
      <c r="K62" t="str" cm="1">
        <f t="array" ref="K62">_xlfn.IFS(Table4_2[[#This Row],[Growth Days]]&lt;=14,"Seedling",Table4_2[[#This Row],[Growth Days]]&lt;=35, "Vegetative",Table4_2[[#This Row],[Growth Days]]&lt;=50, "Maturity")</f>
        <v>Vegetative</v>
      </c>
      <c r="L62" t="str">
        <f>IF(Table4_2[[#This Row],[TDS Value (ppm)]]&lt;560, "Low", IF(Table4_2[[#This Row],[TDS Value (ppm)]]&lt;=800,"Optimal","High"))</f>
        <v>Optimal</v>
      </c>
    </row>
    <row r="63" spans="1:12" x14ac:dyDescent="0.25">
      <c r="A63">
        <v>10</v>
      </c>
      <c r="B63" s="1">
        <v>45173</v>
      </c>
      <c r="C63" s="1" t="str">
        <f>TEXT(Table4_2[[#This Row],[Date]],"dddd")</f>
        <v>Monday</v>
      </c>
      <c r="D63" s="21">
        <v>31.7</v>
      </c>
      <c r="E63" s="21">
        <v>69</v>
      </c>
      <c r="F63" s="21">
        <v>649</v>
      </c>
      <c r="G63" s="21">
        <v>6.4</v>
      </c>
      <c r="H63">
        <v>33</v>
      </c>
      <c r="I63">
        <v>89.06</v>
      </c>
      <c r="J63">
        <v>0.69</v>
      </c>
      <c r="K63" t="str" cm="1">
        <f t="array" ref="K63">_xlfn.IFS(Table4_2[[#This Row],[Growth Days]]&lt;=14,"Seedling",Table4_2[[#This Row],[Growth Days]]&lt;=35, "Vegetative",Table4_2[[#This Row],[Growth Days]]&lt;=50, "Maturity")</f>
        <v>Vegetative</v>
      </c>
      <c r="L63" t="str">
        <f>IF(Table4_2[[#This Row],[TDS Value (ppm)]]&lt;560, "Low", IF(Table4_2[[#This Row],[TDS Value (ppm)]]&lt;=800,"Optimal","High"))</f>
        <v>Optimal</v>
      </c>
    </row>
    <row r="64" spans="1:12" x14ac:dyDescent="0.25">
      <c r="A64">
        <v>10</v>
      </c>
      <c r="B64" s="1">
        <v>45180</v>
      </c>
      <c r="C64" s="1" t="str">
        <f>TEXT(Table4_2[[#This Row],[Date]],"dddd")</f>
        <v>Monday</v>
      </c>
      <c r="D64" s="21">
        <v>31.2</v>
      </c>
      <c r="E64" s="21">
        <v>71</v>
      </c>
      <c r="F64" s="21">
        <v>586</v>
      </c>
      <c r="G64" s="21">
        <v>6.1</v>
      </c>
      <c r="H64">
        <v>40</v>
      </c>
      <c r="I64">
        <v>88.16</v>
      </c>
      <c r="J64">
        <v>0.71</v>
      </c>
      <c r="K64" t="str" cm="1">
        <f t="array" ref="K64">_xlfn.IFS(Table4_2[[#This Row],[Growth Days]]&lt;=14,"Seedling",Table4_2[[#This Row],[Growth Days]]&lt;=35, "Vegetative",Table4_2[[#This Row],[Growth Days]]&lt;=50, "Maturity")</f>
        <v>Maturity</v>
      </c>
      <c r="L64" t="str">
        <f>IF(Table4_2[[#This Row],[TDS Value (ppm)]]&lt;560, "Low", IF(Table4_2[[#This Row],[TDS Value (ppm)]]&lt;=800,"Optimal","High"))</f>
        <v>Optimal</v>
      </c>
    </row>
    <row r="65" spans="1:12" x14ac:dyDescent="0.25">
      <c r="A65">
        <v>11</v>
      </c>
      <c r="B65" s="1">
        <v>45145</v>
      </c>
      <c r="C65" s="1" t="str">
        <f>TEXT(Table4_2[[#This Row],[Date]],"dddd")</f>
        <v>Monday</v>
      </c>
      <c r="D65" s="21">
        <v>33.4</v>
      </c>
      <c r="E65" s="21">
        <v>55</v>
      </c>
      <c r="F65" s="21">
        <v>431</v>
      </c>
      <c r="G65" s="21">
        <v>6.2</v>
      </c>
      <c r="H65">
        <v>5</v>
      </c>
      <c r="I65">
        <v>92.12</v>
      </c>
      <c r="J65">
        <v>0.55000000000000004</v>
      </c>
      <c r="K65" t="str" cm="1">
        <f t="array" ref="K65">_xlfn.IFS(Table4_2[[#This Row],[Growth Days]]&lt;=14,"Seedling",Table4_2[[#This Row],[Growth Days]]&lt;=35, "Vegetative",Table4_2[[#This Row],[Growth Days]]&lt;=50, "Maturity")</f>
        <v>Seedling</v>
      </c>
      <c r="L65" t="str">
        <f>IF(Table4_2[[#This Row],[TDS Value (ppm)]]&lt;560, "Low", IF(Table4_2[[#This Row],[TDS Value (ppm)]]&lt;=800,"Optimal","High"))</f>
        <v>Low</v>
      </c>
    </row>
    <row r="66" spans="1:12" x14ac:dyDescent="0.25">
      <c r="A66">
        <v>11</v>
      </c>
      <c r="B66" s="1">
        <v>45152</v>
      </c>
      <c r="C66" s="1" t="str">
        <f>TEXT(Table4_2[[#This Row],[Date]],"dddd")</f>
        <v>Monday</v>
      </c>
      <c r="D66" s="21">
        <v>30.1</v>
      </c>
      <c r="E66" s="21">
        <v>50</v>
      </c>
      <c r="F66" s="21">
        <v>620</v>
      </c>
      <c r="G66" s="21">
        <v>6.1</v>
      </c>
      <c r="H66">
        <v>12</v>
      </c>
      <c r="I66">
        <v>86.18</v>
      </c>
      <c r="J66">
        <v>0.5</v>
      </c>
      <c r="K66" t="str" cm="1">
        <f t="array" ref="K66">_xlfn.IFS(Table4_2[[#This Row],[Growth Days]]&lt;=14,"Seedling",Table4_2[[#This Row],[Growth Days]]&lt;=35, "Vegetative",Table4_2[[#This Row],[Growth Days]]&lt;=50, "Maturity")</f>
        <v>Seedling</v>
      </c>
      <c r="L66" t="str">
        <f>IF(Table4_2[[#This Row],[TDS Value (ppm)]]&lt;560, "Low", IF(Table4_2[[#This Row],[TDS Value (ppm)]]&lt;=800,"Optimal","High"))</f>
        <v>Optimal</v>
      </c>
    </row>
    <row r="67" spans="1:12" x14ac:dyDescent="0.25">
      <c r="A67">
        <v>11</v>
      </c>
      <c r="B67" s="1">
        <v>45159</v>
      </c>
      <c r="C67" s="1" t="str">
        <f>TEXT(Table4_2[[#This Row],[Date]],"dddd")</f>
        <v>Monday</v>
      </c>
      <c r="D67" s="21">
        <v>30.2</v>
      </c>
      <c r="E67" s="21">
        <v>75</v>
      </c>
      <c r="F67" s="21">
        <v>602</v>
      </c>
      <c r="G67" s="21">
        <v>6.2</v>
      </c>
      <c r="H67">
        <v>19</v>
      </c>
      <c r="I67">
        <v>86.36</v>
      </c>
      <c r="J67">
        <v>0.75</v>
      </c>
      <c r="K67" t="str" cm="1">
        <f t="array" ref="K67">_xlfn.IFS(Table4_2[[#This Row],[Growth Days]]&lt;=14,"Seedling",Table4_2[[#This Row],[Growth Days]]&lt;=35, "Vegetative",Table4_2[[#This Row],[Growth Days]]&lt;=50, "Maturity")</f>
        <v>Vegetative</v>
      </c>
      <c r="L67" t="str">
        <f>IF(Table4_2[[#This Row],[TDS Value (ppm)]]&lt;560, "Low", IF(Table4_2[[#This Row],[TDS Value (ppm)]]&lt;=800,"Optimal","High"))</f>
        <v>Optimal</v>
      </c>
    </row>
    <row r="68" spans="1:12" x14ac:dyDescent="0.25">
      <c r="A68">
        <v>11</v>
      </c>
      <c r="B68" s="1">
        <v>45166</v>
      </c>
      <c r="C68" s="1" t="str">
        <f>TEXT(Table4_2[[#This Row],[Date]],"dddd")</f>
        <v>Monday</v>
      </c>
      <c r="D68" s="21">
        <v>29.4</v>
      </c>
      <c r="E68" s="21">
        <v>52</v>
      </c>
      <c r="F68" s="21">
        <v>589</v>
      </c>
      <c r="G68" s="21">
        <v>6.1</v>
      </c>
      <c r="H68">
        <v>26</v>
      </c>
      <c r="I68">
        <v>84.92</v>
      </c>
      <c r="J68">
        <v>0.52</v>
      </c>
      <c r="K68" t="str" cm="1">
        <f t="array" ref="K68">_xlfn.IFS(Table4_2[[#This Row],[Growth Days]]&lt;=14,"Seedling",Table4_2[[#This Row],[Growth Days]]&lt;=35, "Vegetative",Table4_2[[#This Row],[Growth Days]]&lt;=50, "Maturity")</f>
        <v>Vegetative</v>
      </c>
      <c r="L68" t="str">
        <f>IF(Table4_2[[#This Row],[TDS Value (ppm)]]&lt;560, "Low", IF(Table4_2[[#This Row],[TDS Value (ppm)]]&lt;=800,"Optimal","High"))</f>
        <v>Optimal</v>
      </c>
    </row>
    <row r="69" spans="1:12" x14ac:dyDescent="0.25">
      <c r="A69">
        <v>11</v>
      </c>
      <c r="B69" s="1">
        <v>45173</v>
      </c>
      <c r="C69" s="1" t="str">
        <f>TEXT(Table4_2[[#This Row],[Date]],"dddd")</f>
        <v>Monday</v>
      </c>
      <c r="D69" s="21">
        <v>31.7</v>
      </c>
      <c r="E69" s="21">
        <v>76</v>
      </c>
      <c r="F69" s="21">
        <v>452</v>
      </c>
      <c r="G69" s="21">
        <v>6.3</v>
      </c>
      <c r="H69">
        <v>33</v>
      </c>
      <c r="I69">
        <v>89.06</v>
      </c>
      <c r="J69">
        <v>0.76</v>
      </c>
      <c r="K69" t="str" cm="1">
        <f t="array" ref="K69">_xlfn.IFS(Table4_2[[#This Row],[Growth Days]]&lt;=14,"Seedling",Table4_2[[#This Row],[Growth Days]]&lt;=35, "Vegetative",Table4_2[[#This Row],[Growth Days]]&lt;=50, "Maturity")</f>
        <v>Vegetative</v>
      </c>
      <c r="L69" t="str">
        <f>IF(Table4_2[[#This Row],[TDS Value (ppm)]]&lt;560, "Low", IF(Table4_2[[#This Row],[TDS Value (ppm)]]&lt;=800,"Optimal","High"))</f>
        <v>Low</v>
      </c>
    </row>
    <row r="70" spans="1:12" x14ac:dyDescent="0.25">
      <c r="A70">
        <v>11</v>
      </c>
      <c r="B70" s="1">
        <v>45180</v>
      </c>
      <c r="C70" s="1" t="str">
        <f>TEXT(Table4_2[[#This Row],[Date]],"dddd")</f>
        <v>Monday</v>
      </c>
      <c r="D70" s="21">
        <v>31.2</v>
      </c>
      <c r="E70" s="21">
        <v>52</v>
      </c>
      <c r="F70" s="21">
        <v>671</v>
      </c>
      <c r="G70" s="21">
        <v>6.4</v>
      </c>
      <c r="H70">
        <v>40</v>
      </c>
      <c r="I70">
        <v>88.16</v>
      </c>
      <c r="J70">
        <v>0.52</v>
      </c>
      <c r="K70" t="str" cm="1">
        <f t="array" ref="K70">_xlfn.IFS(Table4_2[[#This Row],[Growth Days]]&lt;=14,"Seedling",Table4_2[[#This Row],[Growth Days]]&lt;=35, "Vegetative",Table4_2[[#This Row],[Growth Days]]&lt;=50, "Maturity")</f>
        <v>Maturity</v>
      </c>
      <c r="L70" t="str">
        <f>IF(Table4_2[[#This Row],[TDS Value (ppm)]]&lt;560, "Low", IF(Table4_2[[#This Row],[TDS Value (ppm)]]&lt;=800,"Optimal","High"))</f>
        <v>Optimal</v>
      </c>
    </row>
    <row r="71" spans="1:12" x14ac:dyDescent="0.25">
      <c r="A71">
        <v>11</v>
      </c>
      <c r="B71" s="1">
        <v>45187</v>
      </c>
      <c r="C71" s="1" t="str">
        <f>TEXT(Table4_2[[#This Row],[Date]],"dddd")</f>
        <v>Monday</v>
      </c>
      <c r="D71" s="21">
        <v>31.2</v>
      </c>
      <c r="E71" s="21">
        <v>75</v>
      </c>
      <c r="F71" s="21">
        <v>519</v>
      </c>
      <c r="G71" s="21">
        <v>6.3</v>
      </c>
      <c r="H71">
        <v>47</v>
      </c>
      <c r="I71">
        <v>88.16</v>
      </c>
      <c r="J71">
        <v>0.75</v>
      </c>
      <c r="K71" t="str" cm="1">
        <f t="array" ref="K71">_xlfn.IFS(Table4_2[[#This Row],[Growth Days]]&lt;=14,"Seedling",Table4_2[[#This Row],[Growth Days]]&lt;=35, "Vegetative",Table4_2[[#This Row],[Growth Days]]&lt;=50, "Maturity")</f>
        <v>Maturity</v>
      </c>
      <c r="L71" t="str">
        <f>IF(Table4_2[[#This Row],[TDS Value (ppm)]]&lt;560, "Low", IF(Table4_2[[#This Row],[TDS Value (ppm)]]&lt;=800,"Optimal","High"))</f>
        <v>Low</v>
      </c>
    </row>
    <row r="72" spans="1:12" x14ac:dyDescent="0.25">
      <c r="A72">
        <v>12</v>
      </c>
      <c r="B72" s="1">
        <v>45145</v>
      </c>
      <c r="C72" s="1" t="str">
        <f>TEXT(Table4_2[[#This Row],[Date]],"dddd")</f>
        <v>Monday</v>
      </c>
      <c r="D72" s="21">
        <v>33.4</v>
      </c>
      <c r="E72" s="21">
        <v>71</v>
      </c>
      <c r="F72" s="21">
        <v>640</v>
      </c>
      <c r="G72" s="21">
        <v>6.3</v>
      </c>
      <c r="H72">
        <v>5</v>
      </c>
      <c r="I72">
        <v>92.12</v>
      </c>
      <c r="J72">
        <v>0.71</v>
      </c>
      <c r="K72" t="str" cm="1">
        <f t="array" ref="K72">_xlfn.IFS(Table4_2[[#This Row],[Growth Days]]&lt;=14,"Seedling",Table4_2[[#This Row],[Growth Days]]&lt;=35, "Vegetative",Table4_2[[#This Row],[Growth Days]]&lt;=50, "Maturity")</f>
        <v>Seedling</v>
      </c>
      <c r="L72" t="str">
        <f>IF(Table4_2[[#This Row],[TDS Value (ppm)]]&lt;560, "Low", IF(Table4_2[[#This Row],[TDS Value (ppm)]]&lt;=800,"Optimal","High"))</f>
        <v>Optimal</v>
      </c>
    </row>
    <row r="73" spans="1:12" x14ac:dyDescent="0.25">
      <c r="A73">
        <v>12</v>
      </c>
      <c r="B73" s="1">
        <v>45152</v>
      </c>
      <c r="C73" s="1" t="str">
        <f>TEXT(Table4_2[[#This Row],[Date]],"dddd")</f>
        <v>Monday</v>
      </c>
      <c r="D73" s="21">
        <v>30.1</v>
      </c>
      <c r="E73" s="21">
        <v>64</v>
      </c>
      <c r="F73" s="21">
        <v>529</v>
      </c>
      <c r="G73" s="21">
        <v>6.8</v>
      </c>
      <c r="H73">
        <v>12</v>
      </c>
      <c r="I73">
        <v>86.18</v>
      </c>
      <c r="J73">
        <v>0.64</v>
      </c>
      <c r="K73" t="str" cm="1">
        <f t="array" ref="K73">_xlfn.IFS(Table4_2[[#This Row],[Growth Days]]&lt;=14,"Seedling",Table4_2[[#This Row],[Growth Days]]&lt;=35, "Vegetative",Table4_2[[#This Row],[Growth Days]]&lt;=50, "Maturity")</f>
        <v>Seedling</v>
      </c>
      <c r="L73" t="str">
        <f>IF(Table4_2[[#This Row],[TDS Value (ppm)]]&lt;560, "Low", IF(Table4_2[[#This Row],[TDS Value (ppm)]]&lt;=800,"Optimal","High"))</f>
        <v>Low</v>
      </c>
    </row>
    <row r="74" spans="1:12" x14ac:dyDescent="0.25">
      <c r="A74">
        <v>12</v>
      </c>
      <c r="B74" s="1">
        <v>45159</v>
      </c>
      <c r="C74" s="1" t="str">
        <f>TEXT(Table4_2[[#This Row],[Date]],"dddd")</f>
        <v>Monday</v>
      </c>
      <c r="D74" s="21">
        <v>30.2</v>
      </c>
      <c r="E74" s="21">
        <v>58</v>
      </c>
      <c r="F74" s="21">
        <v>595</v>
      </c>
      <c r="G74" s="21">
        <v>6.5</v>
      </c>
      <c r="H74">
        <v>19</v>
      </c>
      <c r="I74">
        <v>86.36</v>
      </c>
      <c r="J74">
        <v>0.57999999999999996</v>
      </c>
      <c r="K74" t="str" cm="1">
        <f t="array" ref="K74">_xlfn.IFS(Table4_2[[#This Row],[Growth Days]]&lt;=14,"Seedling",Table4_2[[#This Row],[Growth Days]]&lt;=35, "Vegetative",Table4_2[[#This Row],[Growth Days]]&lt;=50, "Maturity")</f>
        <v>Vegetative</v>
      </c>
      <c r="L74" t="str">
        <f>IF(Table4_2[[#This Row],[TDS Value (ppm)]]&lt;560, "Low", IF(Table4_2[[#This Row],[TDS Value (ppm)]]&lt;=800,"Optimal","High"))</f>
        <v>Optimal</v>
      </c>
    </row>
    <row r="75" spans="1:12" x14ac:dyDescent="0.25">
      <c r="A75">
        <v>12</v>
      </c>
      <c r="B75" s="1">
        <v>45166</v>
      </c>
      <c r="C75" s="1" t="str">
        <f>TEXT(Table4_2[[#This Row],[Date]],"dddd")</f>
        <v>Monday</v>
      </c>
      <c r="D75" s="21">
        <v>29.4</v>
      </c>
      <c r="E75" s="21">
        <v>63</v>
      </c>
      <c r="F75" s="21">
        <v>682</v>
      </c>
      <c r="G75" s="21">
        <v>6.5</v>
      </c>
      <c r="H75">
        <v>26</v>
      </c>
      <c r="I75">
        <v>84.92</v>
      </c>
      <c r="J75">
        <v>0.63</v>
      </c>
      <c r="K75" t="str" cm="1">
        <f t="array" ref="K75">_xlfn.IFS(Table4_2[[#This Row],[Growth Days]]&lt;=14,"Seedling",Table4_2[[#This Row],[Growth Days]]&lt;=35, "Vegetative",Table4_2[[#This Row],[Growth Days]]&lt;=50, "Maturity")</f>
        <v>Vegetative</v>
      </c>
      <c r="L75" t="str">
        <f>IF(Table4_2[[#This Row],[TDS Value (ppm)]]&lt;560, "Low", IF(Table4_2[[#This Row],[TDS Value (ppm)]]&lt;=800,"Optimal","High"))</f>
        <v>Optimal</v>
      </c>
    </row>
    <row r="76" spans="1:12" x14ac:dyDescent="0.25">
      <c r="A76">
        <v>12</v>
      </c>
      <c r="B76" s="1">
        <v>45173</v>
      </c>
      <c r="C76" s="1" t="str">
        <f>TEXT(Table4_2[[#This Row],[Date]],"dddd")</f>
        <v>Monday</v>
      </c>
      <c r="D76" s="21">
        <v>31.7</v>
      </c>
      <c r="E76" s="21">
        <v>73</v>
      </c>
      <c r="F76" s="21">
        <v>693</v>
      </c>
      <c r="G76" s="21">
        <v>6.5</v>
      </c>
      <c r="H76">
        <v>33</v>
      </c>
      <c r="I76">
        <v>89.06</v>
      </c>
      <c r="J76">
        <v>0.73</v>
      </c>
      <c r="K76" t="str" cm="1">
        <f t="array" ref="K76">_xlfn.IFS(Table4_2[[#This Row],[Growth Days]]&lt;=14,"Seedling",Table4_2[[#This Row],[Growth Days]]&lt;=35, "Vegetative",Table4_2[[#This Row],[Growth Days]]&lt;=50, "Maturity")</f>
        <v>Vegetative</v>
      </c>
      <c r="L76" t="str">
        <f>IF(Table4_2[[#This Row],[TDS Value (ppm)]]&lt;560, "Low", IF(Table4_2[[#This Row],[TDS Value (ppm)]]&lt;=800,"Optimal","High"))</f>
        <v>Optimal</v>
      </c>
    </row>
    <row r="77" spans="1:12" x14ac:dyDescent="0.25">
      <c r="A77">
        <v>12</v>
      </c>
      <c r="B77" s="1">
        <v>45180</v>
      </c>
      <c r="C77" s="1" t="str">
        <f>TEXT(Table4_2[[#This Row],[Date]],"dddd")</f>
        <v>Monday</v>
      </c>
      <c r="D77" s="21">
        <v>31.2</v>
      </c>
      <c r="E77" s="21">
        <v>60</v>
      </c>
      <c r="F77" s="21">
        <v>616</v>
      </c>
      <c r="G77" s="21">
        <v>6.5</v>
      </c>
      <c r="H77">
        <v>40</v>
      </c>
      <c r="I77">
        <v>88.16</v>
      </c>
      <c r="J77">
        <v>0.6</v>
      </c>
      <c r="K77" t="str" cm="1">
        <f t="array" ref="K77">_xlfn.IFS(Table4_2[[#This Row],[Growth Days]]&lt;=14,"Seedling",Table4_2[[#This Row],[Growth Days]]&lt;=35, "Vegetative",Table4_2[[#This Row],[Growth Days]]&lt;=50, "Maturity")</f>
        <v>Maturity</v>
      </c>
      <c r="L77" t="str">
        <f>IF(Table4_2[[#This Row],[TDS Value (ppm)]]&lt;560, "Low", IF(Table4_2[[#This Row],[TDS Value (ppm)]]&lt;=800,"Optimal","High"))</f>
        <v>Optimal</v>
      </c>
    </row>
    <row r="78" spans="1:12" x14ac:dyDescent="0.25">
      <c r="A78">
        <v>13</v>
      </c>
      <c r="B78" s="1">
        <v>45145</v>
      </c>
      <c r="C78" s="1" t="str">
        <f>TEXT(Table4_2[[#This Row],[Date]],"dddd")</f>
        <v>Monday</v>
      </c>
      <c r="D78" s="21">
        <v>33.4</v>
      </c>
      <c r="E78" s="21">
        <v>77</v>
      </c>
      <c r="F78" s="21">
        <v>657</v>
      </c>
      <c r="G78" s="21">
        <v>6.5</v>
      </c>
      <c r="H78">
        <v>5</v>
      </c>
      <c r="I78">
        <v>92.12</v>
      </c>
      <c r="J78">
        <v>0.77</v>
      </c>
      <c r="K78" t="str" cm="1">
        <f t="array" ref="K78">_xlfn.IFS(Table4_2[[#This Row],[Growth Days]]&lt;=14,"Seedling",Table4_2[[#This Row],[Growth Days]]&lt;=35, "Vegetative",Table4_2[[#This Row],[Growth Days]]&lt;=50, "Maturity")</f>
        <v>Seedling</v>
      </c>
      <c r="L78" t="str">
        <f>IF(Table4_2[[#This Row],[TDS Value (ppm)]]&lt;560, "Low", IF(Table4_2[[#This Row],[TDS Value (ppm)]]&lt;=800,"Optimal","High"))</f>
        <v>Optimal</v>
      </c>
    </row>
    <row r="79" spans="1:12" x14ac:dyDescent="0.25">
      <c r="A79">
        <v>13</v>
      </c>
      <c r="B79" s="1">
        <v>45152</v>
      </c>
      <c r="C79" s="1" t="str">
        <f>TEXT(Table4_2[[#This Row],[Date]],"dddd")</f>
        <v>Monday</v>
      </c>
      <c r="D79" s="21">
        <v>30.1</v>
      </c>
      <c r="E79" s="21">
        <v>56</v>
      </c>
      <c r="F79" s="21">
        <v>656</v>
      </c>
      <c r="G79" s="21">
        <v>6.6</v>
      </c>
      <c r="H79">
        <v>12</v>
      </c>
      <c r="I79">
        <v>86.18</v>
      </c>
      <c r="J79">
        <v>0.56000000000000005</v>
      </c>
      <c r="K79" t="str" cm="1">
        <f t="array" ref="K79">_xlfn.IFS(Table4_2[[#This Row],[Growth Days]]&lt;=14,"Seedling",Table4_2[[#This Row],[Growth Days]]&lt;=35, "Vegetative",Table4_2[[#This Row],[Growth Days]]&lt;=50, "Maturity")</f>
        <v>Seedling</v>
      </c>
      <c r="L79" t="str">
        <f>IF(Table4_2[[#This Row],[TDS Value (ppm)]]&lt;560, "Low", IF(Table4_2[[#This Row],[TDS Value (ppm)]]&lt;=800,"Optimal","High"))</f>
        <v>Optimal</v>
      </c>
    </row>
    <row r="80" spans="1:12" x14ac:dyDescent="0.25">
      <c r="A80">
        <v>13</v>
      </c>
      <c r="B80" s="1">
        <v>45159</v>
      </c>
      <c r="C80" s="1" t="str">
        <f>TEXT(Table4_2[[#This Row],[Date]],"dddd")</f>
        <v>Monday</v>
      </c>
      <c r="D80" s="21">
        <v>30.2</v>
      </c>
      <c r="E80" s="21">
        <v>63</v>
      </c>
      <c r="F80" s="21">
        <v>458</v>
      </c>
      <c r="G80" s="21">
        <v>6.2</v>
      </c>
      <c r="H80">
        <v>19</v>
      </c>
      <c r="I80">
        <v>86.36</v>
      </c>
      <c r="J80">
        <v>0.63</v>
      </c>
      <c r="K80" t="str" cm="1">
        <f t="array" ref="K80">_xlfn.IFS(Table4_2[[#This Row],[Growth Days]]&lt;=14,"Seedling",Table4_2[[#This Row],[Growth Days]]&lt;=35, "Vegetative",Table4_2[[#This Row],[Growth Days]]&lt;=50, "Maturity")</f>
        <v>Vegetative</v>
      </c>
      <c r="L80" t="str">
        <f>IF(Table4_2[[#This Row],[TDS Value (ppm)]]&lt;560, "Low", IF(Table4_2[[#This Row],[TDS Value (ppm)]]&lt;=800,"Optimal","High"))</f>
        <v>Low</v>
      </c>
    </row>
    <row r="81" spans="1:12" x14ac:dyDescent="0.25">
      <c r="A81">
        <v>13</v>
      </c>
      <c r="B81" s="1">
        <v>45166</v>
      </c>
      <c r="C81" s="1" t="str">
        <f>TEXT(Table4_2[[#This Row],[Date]],"dddd")</f>
        <v>Monday</v>
      </c>
      <c r="D81" s="21">
        <v>29.4</v>
      </c>
      <c r="E81" s="21">
        <v>60</v>
      </c>
      <c r="F81" s="21">
        <v>539</v>
      </c>
      <c r="G81" s="21">
        <v>6.1</v>
      </c>
      <c r="H81">
        <v>26</v>
      </c>
      <c r="I81">
        <v>84.92</v>
      </c>
      <c r="J81">
        <v>0.6</v>
      </c>
      <c r="K81" t="str" cm="1">
        <f t="array" ref="K81">_xlfn.IFS(Table4_2[[#This Row],[Growth Days]]&lt;=14,"Seedling",Table4_2[[#This Row],[Growth Days]]&lt;=35, "Vegetative",Table4_2[[#This Row],[Growth Days]]&lt;=50, "Maturity")</f>
        <v>Vegetative</v>
      </c>
      <c r="L81" t="str">
        <f>IF(Table4_2[[#This Row],[TDS Value (ppm)]]&lt;560, "Low", IF(Table4_2[[#This Row],[TDS Value (ppm)]]&lt;=800,"Optimal","High"))</f>
        <v>Low</v>
      </c>
    </row>
    <row r="82" spans="1:12" x14ac:dyDescent="0.25">
      <c r="A82">
        <v>13</v>
      </c>
      <c r="B82" s="1">
        <v>45173</v>
      </c>
      <c r="C82" s="1" t="str">
        <f>TEXT(Table4_2[[#This Row],[Date]],"dddd")</f>
        <v>Monday</v>
      </c>
      <c r="D82" s="21">
        <v>31.7</v>
      </c>
      <c r="E82" s="21">
        <v>69</v>
      </c>
      <c r="F82" s="21">
        <v>518</v>
      </c>
      <c r="G82" s="21">
        <v>6</v>
      </c>
      <c r="H82">
        <v>33</v>
      </c>
      <c r="I82">
        <v>89.06</v>
      </c>
      <c r="J82">
        <v>0.69</v>
      </c>
      <c r="K82" t="str" cm="1">
        <f t="array" ref="K82">_xlfn.IFS(Table4_2[[#This Row],[Growth Days]]&lt;=14,"Seedling",Table4_2[[#This Row],[Growth Days]]&lt;=35, "Vegetative",Table4_2[[#This Row],[Growth Days]]&lt;=50, "Maturity")</f>
        <v>Vegetative</v>
      </c>
      <c r="L82" t="str">
        <f>IF(Table4_2[[#This Row],[TDS Value (ppm)]]&lt;560, "Low", IF(Table4_2[[#This Row],[TDS Value (ppm)]]&lt;=800,"Optimal","High"))</f>
        <v>Low</v>
      </c>
    </row>
    <row r="83" spans="1:12" x14ac:dyDescent="0.25">
      <c r="A83">
        <v>13</v>
      </c>
      <c r="B83" s="1">
        <v>45180</v>
      </c>
      <c r="C83" s="1" t="str">
        <f>TEXT(Table4_2[[#This Row],[Date]],"dddd")</f>
        <v>Monday</v>
      </c>
      <c r="D83" s="21">
        <v>31.2</v>
      </c>
      <c r="E83" s="21">
        <v>71</v>
      </c>
      <c r="F83" s="21">
        <v>589</v>
      </c>
      <c r="G83" s="21">
        <v>6.7</v>
      </c>
      <c r="H83">
        <v>40</v>
      </c>
      <c r="I83">
        <v>88.16</v>
      </c>
      <c r="J83">
        <v>0.71</v>
      </c>
      <c r="K83" t="str" cm="1">
        <f t="array" ref="K83">_xlfn.IFS(Table4_2[[#This Row],[Growth Days]]&lt;=14,"Seedling",Table4_2[[#This Row],[Growth Days]]&lt;=35, "Vegetative",Table4_2[[#This Row],[Growth Days]]&lt;=50, "Maturity")</f>
        <v>Maturity</v>
      </c>
      <c r="L83" t="str">
        <f>IF(Table4_2[[#This Row],[TDS Value (ppm)]]&lt;560, "Low", IF(Table4_2[[#This Row],[TDS Value (ppm)]]&lt;=800,"Optimal","High"))</f>
        <v>Optimal</v>
      </c>
    </row>
    <row r="84" spans="1:12" x14ac:dyDescent="0.25">
      <c r="A84">
        <v>14</v>
      </c>
      <c r="B84" s="1">
        <v>45145</v>
      </c>
      <c r="C84" s="1" t="str">
        <f>TEXT(Table4_2[[#This Row],[Date]],"dddd")</f>
        <v>Monday</v>
      </c>
      <c r="D84" s="21">
        <v>33.4</v>
      </c>
      <c r="E84" s="21">
        <v>53</v>
      </c>
      <c r="F84" s="21">
        <v>589</v>
      </c>
      <c r="G84" s="21">
        <v>6.3</v>
      </c>
      <c r="H84">
        <v>5</v>
      </c>
      <c r="I84">
        <v>92.12</v>
      </c>
      <c r="J84">
        <v>0.53</v>
      </c>
      <c r="K84" t="str" cm="1">
        <f t="array" ref="K84">_xlfn.IFS(Table4_2[[#This Row],[Growth Days]]&lt;=14,"Seedling",Table4_2[[#This Row],[Growth Days]]&lt;=35, "Vegetative",Table4_2[[#This Row],[Growth Days]]&lt;=50, "Maturity")</f>
        <v>Seedling</v>
      </c>
      <c r="L84" t="str">
        <f>IF(Table4_2[[#This Row],[TDS Value (ppm)]]&lt;560, "Low", IF(Table4_2[[#This Row],[TDS Value (ppm)]]&lt;=800,"Optimal","High"))</f>
        <v>Optimal</v>
      </c>
    </row>
    <row r="85" spans="1:12" x14ac:dyDescent="0.25">
      <c r="A85">
        <v>14</v>
      </c>
      <c r="B85" s="1">
        <v>45152</v>
      </c>
      <c r="C85" s="1" t="str">
        <f>TEXT(Table4_2[[#This Row],[Date]],"dddd")</f>
        <v>Monday</v>
      </c>
      <c r="D85" s="21">
        <v>30.1</v>
      </c>
      <c r="E85" s="21">
        <v>75</v>
      </c>
      <c r="F85" s="21">
        <v>769</v>
      </c>
      <c r="G85" s="21">
        <v>6.5</v>
      </c>
      <c r="H85">
        <v>12</v>
      </c>
      <c r="I85">
        <v>86.18</v>
      </c>
      <c r="J85">
        <v>0.75</v>
      </c>
      <c r="K85" t="str" cm="1">
        <f t="array" ref="K85">_xlfn.IFS(Table4_2[[#This Row],[Growth Days]]&lt;=14,"Seedling",Table4_2[[#This Row],[Growth Days]]&lt;=35, "Vegetative",Table4_2[[#This Row],[Growth Days]]&lt;=50, "Maturity")</f>
        <v>Seedling</v>
      </c>
      <c r="L85" t="str">
        <f>IF(Table4_2[[#This Row],[TDS Value (ppm)]]&lt;560, "Low", IF(Table4_2[[#This Row],[TDS Value (ppm)]]&lt;=800,"Optimal","High"))</f>
        <v>Optimal</v>
      </c>
    </row>
    <row r="86" spans="1:12" x14ac:dyDescent="0.25">
      <c r="A86">
        <v>14</v>
      </c>
      <c r="B86" s="1">
        <v>45159</v>
      </c>
      <c r="C86" s="1" t="str">
        <f>TEXT(Table4_2[[#This Row],[Date]],"dddd")</f>
        <v>Monday</v>
      </c>
      <c r="D86" s="21">
        <v>30.2</v>
      </c>
      <c r="E86" s="21">
        <v>66</v>
      </c>
      <c r="F86" s="21">
        <v>409</v>
      </c>
      <c r="G86" s="21">
        <v>6.4</v>
      </c>
      <c r="H86">
        <v>19</v>
      </c>
      <c r="I86">
        <v>86.36</v>
      </c>
      <c r="J86">
        <v>0.66</v>
      </c>
      <c r="K86" t="str" cm="1">
        <f t="array" ref="K86">_xlfn.IFS(Table4_2[[#This Row],[Growth Days]]&lt;=14,"Seedling",Table4_2[[#This Row],[Growth Days]]&lt;=35, "Vegetative",Table4_2[[#This Row],[Growth Days]]&lt;=50, "Maturity")</f>
        <v>Vegetative</v>
      </c>
      <c r="L86" t="str">
        <f>IF(Table4_2[[#This Row],[TDS Value (ppm)]]&lt;560, "Low", IF(Table4_2[[#This Row],[TDS Value (ppm)]]&lt;=800,"Optimal","High"))</f>
        <v>Low</v>
      </c>
    </row>
    <row r="87" spans="1:12" x14ac:dyDescent="0.25">
      <c r="A87">
        <v>14</v>
      </c>
      <c r="B87" s="1">
        <v>45166</v>
      </c>
      <c r="C87" s="1" t="str">
        <f>TEXT(Table4_2[[#This Row],[Date]],"dddd")</f>
        <v>Monday</v>
      </c>
      <c r="D87" s="21">
        <v>29.4</v>
      </c>
      <c r="E87" s="21">
        <v>65</v>
      </c>
      <c r="F87" s="21">
        <v>573</v>
      </c>
      <c r="G87" s="21">
        <v>6.2</v>
      </c>
      <c r="H87">
        <v>26</v>
      </c>
      <c r="I87">
        <v>84.92</v>
      </c>
      <c r="J87">
        <v>0.65</v>
      </c>
      <c r="K87" t="str" cm="1">
        <f t="array" ref="K87">_xlfn.IFS(Table4_2[[#This Row],[Growth Days]]&lt;=14,"Seedling",Table4_2[[#This Row],[Growth Days]]&lt;=35, "Vegetative",Table4_2[[#This Row],[Growth Days]]&lt;=50, "Maturity")</f>
        <v>Vegetative</v>
      </c>
      <c r="L87" t="str">
        <f>IF(Table4_2[[#This Row],[TDS Value (ppm)]]&lt;560, "Low", IF(Table4_2[[#This Row],[TDS Value (ppm)]]&lt;=800,"Optimal","High"))</f>
        <v>Optimal</v>
      </c>
    </row>
    <row r="88" spans="1:12" x14ac:dyDescent="0.25">
      <c r="A88">
        <v>14</v>
      </c>
      <c r="B88" s="1">
        <v>45173</v>
      </c>
      <c r="C88" s="1" t="str">
        <f>TEXT(Table4_2[[#This Row],[Date]],"dddd")</f>
        <v>Monday</v>
      </c>
      <c r="D88" s="21">
        <v>31.7</v>
      </c>
      <c r="E88" s="21">
        <v>67</v>
      </c>
      <c r="F88" s="21">
        <v>698</v>
      </c>
      <c r="G88" s="21">
        <v>6.4</v>
      </c>
      <c r="H88">
        <v>33</v>
      </c>
      <c r="I88">
        <v>89.06</v>
      </c>
      <c r="J88">
        <v>0.67</v>
      </c>
      <c r="K88" t="str" cm="1">
        <f t="array" ref="K88">_xlfn.IFS(Table4_2[[#This Row],[Growth Days]]&lt;=14,"Seedling",Table4_2[[#This Row],[Growth Days]]&lt;=35, "Vegetative",Table4_2[[#This Row],[Growth Days]]&lt;=50, "Maturity")</f>
        <v>Vegetative</v>
      </c>
      <c r="L88" t="str">
        <f>IF(Table4_2[[#This Row],[TDS Value (ppm)]]&lt;560, "Low", IF(Table4_2[[#This Row],[TDS Value (ppm)]]&lt;=800,"Optimal","High"))</f>
        <v>Optimal</v>
      </c>
    </row>
    <row r="89" spans="1:12" x14ac:dyDescent="0.25">
      <c r="A89">
        <v>14</v>
      </c>
      <c r="B89" s="1">
        <v>45180</v>
      </c>
      <c r="C89" s="1" t="str">
        <f>TEXT(Table4_2[[#This Row],[Date]],"dddd")</f>
        <v>Monday</v>
      </c>
      <c r="D89" s="21">
        <v>31.2</v>
      </c>
      <c r="E89" s="21">
        <v>73</v>
      </c>
      <c r="F89" s="21">
        <v>465</v>
      </c>
      <c r="G89" s="21">
        <v>6.4</v>
      </c>
      <c r="H89">
        <v>40</v>
      </c>
      <c r="I89">
        <v>88.16</v>
      </c>
      <c r="J89">
        <v>0.73</v>
      </c>
      <c r="K89" t="str" cm="1">
        <f t="array" ref="K89">_xlfn.IFS(Table4_2[[#This Row],[Growth Days]]&lt;=14,"Seedling",Table4_2[[#This Row],[Growth Days]]&lt;=35, "Vegetative",Table4_2[[#This Row],[Growth Days]]&lt;=50, "Maturity")</f>
        <v>Maturity</v>
      </c>
      <c r="L89" t="str">
        <f>IF(Table4_2[[#This Row],[TDS Value (ppm)]]&lt;560, "Low", IF(Table4_2[[#This Row],[TDS Value (ppm)]]&lt;=800,"Optimal","High"))</f>
        <v>Low</v>
      </c>
    </row>
    <row r="90" spans="1:12" x14ac:dyDescent="0.25">
      <c r="A90">
        <v>15</v>
      </c>
      <c r="B90" s="1">
        <v>45145</v>
      </c>
      <c r="C90" s="1" t="str">
        <f>TEXT(Table4_2[[#This Row],[Date]],"dddd")</f>
        <v>Monday</v>
      </c>
      <c r="D90" s="21">
        <v>33.4</v>
      </c>
      <c r="E90" s="21">
        <v>73</v>
      </c>
      <c r="F90" s="21">
        <v>767</v>
      </c>
      <c r="G90" s="21">
        <v>6.4</v>
      </c>
      <c r="H90">
        <v>5</v>
      </c>
      <c r="I90">
        <v>92.12</v>
      </c>
      <c r="J90">
        <v>0.73</v>
      </c>
      <c r="K90" t="str" cm="1">
        <f t="array" ref="K90">_xlfn.IFS(Table4_2[[#This Row],[Growth Days]]&lt;=14,"Seedling",Table4_2[[#This Row],[Growth Days]]&lt;=35, "Vegetative",Table4_2[[#This Row],[Growth Days]]&lt;=50, "Maturity")</f>
        <v>Seedling</v>
      </c>
      <c r="L90" t="str">
        <f>IF(Table4_2[[#This Row],[TDS Value (ppm)]]&lt;560, "Low", IF(Table4_2[[#This Row],[TDS Value (ppm)]]&lt;=800,"Optimal","High"))</f>
        <v>Optimal</v>
      </c>
    </row>
    <row r="91" spans="1:12" x14ac:dyDescent="0.25">
      <c r="A91">
        <v>15</v>
      </c>
      <c r="B91" s="1">
        <v>45152</v>
      </c>
      <c r="C91" s="1" t="str">
        <f>TEXT(Table4_2[[#This Row],[Date]],"dddd")</f>
        <v>Monday</v>
      </c>
      <c r="D91" s="21">
        <v>30.1</v>
      </c>
      <c r="E91" s="21">
        <v>55</v>
      </c>
      <c r="F91" s="21">
        <v>770</v>
      </c>
      <c r="G91" s="21">
        <v>6.1</v>
      </c>
      <c r="H91">
        <v>12</v>
      </c>
      <c r="I91">
        <v>86.18</v>
      </c>
      <c r="J91">
        <v>0.55000000000000004</v>
      </c>
      <c r="K91" t="str" cm="1">
        <f t="array" ref="K91">_xlfn.IFS(Table4_2[[#This Row],[Growth Days]]&lt;=14,"Seedling",Table4_2[[#This Row],[Growth Days]]&lt;=35, "Vegetative",Table4_2[[#This Row],[Growth Days]]&lt;=50, "Maturity")</f>
        <v>Seedling</v>
      </c>
      <c r="L91" t="str">
        <f>IF(Table4_2[[#This Row],[TDS Value (ppm)]]&lt;560, "Low", IF(Table4_2[[#This Row],[TDS Value (ppm)]]&lt;=800,"Optimal","High"))</f>
        <v>Optimal</v>
      </c>
    </row>
    <row r="92" spans="1:12" x14ac:dyDescent="0.25">
      <c r="A92">
        <v>15</v>
      </c>
      <c r="B92" s="1">
        <v>45159</v>
      </c>
      <c r="C92" s="1" t="str">
        <f>TEXT(Table4_2[[#This Row],[Date]],"dddd")</f>
        <v>Monday</v>
      </c>
      <c r="D92" s="21">
        <v>30.2</v>
      </c>
      <c r="E92" s="21">
        <v>69</v>
      </c>
      <c r="F92" s="21">
        <v>493</v>
      </c>
      <c r="G92" s="21">
        <v>6</v>
      </c>
      <c r="H92">
        <v>19</v>
      </c>
      <c r="I92">
        <v>86.36</v>
      </c>
      <c r="J92">
        <v>0.69</v>
      </c>
      <c r="K92" t="str" cm="1">
        <f t="array" ref="K92">_xlfn.IFS(Table4_2[[#This Row],[Growth Days]]&lt;=14,"Seedling",Table4_2[[#This Row],[Growth Days]]&lt;=35, "Vegetative",Table4_2[[#This Row],[Growth Days]]&lt;=50, "Maturity")</f>
        <v>Vegetative</v>
      </c>
      <c r="L92" t="str">
        <f>IF(Table4_2[[#This Row],[TDS Value (ppm)]]&lt;560, "Low", IF(Table4_2[[#This Row],[TDS Value (ppm)]]&lt;=800,"Optimal","High"))</f>
        <v>Low</v>
      </c>
    </row>
    <row r="93" spans="1:12" x14ac:dyDescent="0.25">
      <c r="A93">
        <v>15</v>
      </c>
      <c r="B93" s="1">
        <v>45166</v>
      </c>
      <c r="C93" s="1" t="str">
        <f>TEXT(Table4_2[[#This Row],[Date]],"dddd")</f>
        <v>Monday</v>
      </c>
      <c r="D93" s="21">
        <v>29.4</v>
      </c>
      <c r="E93" s="21">
        <v>53</v>
      </c>
      <c r="F93" s="21">
        <v>587</v>
      </c>
      <c r="G93" s="21">
        <v>6.6</v>
      </c>
      <c r="H93">
        <v>26</v>
      </c>
      <c r="I93">
        <v>84.92</v>
      </c>
      <c r="J93">
        <v>0.53</v>
      </c>
      <c r="K93" t="str" cm="1">
        <f t="array" ref="K93">_xlfn.IFS(Table4_2[[#This Row],[Growth Days]]&lt;=14,"Seedling",Table4_2[[#This Row],[Growth Days]]&lt;=35, "Vegetative",Table4_2[[#This Row],[Growth Days]]&lt;=50, "Maturity")</f>
        <v>Vegetative</v>
      </c>
      <c r="L93" t="str">
        <f>IF(Table4_2[[#This Row],[TDS Value (ppm)]]&lt;560, "Low", IF(Table4_2[[#This Row],[TDS Value (ppm)]]&lt;=800,"Optimal","High"))</f>
        <v>Optimal</v>
      </c>
    </row>
    <row r="94" spans="1:12" x14ac:dyDescent="0.25">
      <c r="A94">
        <v>15</v>
      </c>
      <c r="B94" s="1">
        <v>45173</v>
      </c>
      <c r="C94" s="1" t="str">
        <f>TEXT(Table4_2[[#This Row],[Date]],"dddd")</f>
        <v>Monday</v>
      </c>
      <c r="D94" s="21">
        <v>31.7</v>
      </c>
      <c r="E94" s="21">
        <v>72</v>
      </c>
      <c r="F94" s="21">
        <v>415</v>
      </c>
      <c r="G94" s="21">
        <v>6.8</v>
      </c>
      <c r="H94">
        <v>33</v>
      </c>
      <c r="I94">
        <v>89.06</v>
      </c>
      <c r="J94">
        <v>0.72</v>
      </c>
      <c r="K94" t="str" cm="1">
        <f t="array" ref="K94">_xlfn.IFS(Table4_2[[#This Row],[Growth Days]]&lt;=14,"Seedling",Table4_2[[#This Row],[Growth Days]]&lt;=35, "Vegetative",Table4_2[[#This Row],[Growth Days]]&lt;=50, "Maturity")</f>
        <v>Vegetative</v>
      </c>
      <c r="L94" t="str">
        <f>IF(Table4_2[[#This Row],[TDS Value (ppm)]]&lt;560, "Low", IF(Table4_2[[#This Row],[TDS Value (ppm)]]&lt;=800,"Optimal","High"))</f>
        <v>Low</v>
      </c>
    </row>
    <row r="95" spans="1:12" x14ac:dyDescent="0.25">
      <c r="A95">
        <v>15</v>
      </c>
      <c r="B95" s="1">
        <v>45180</v>
      </c>
      <c r="C95" s="1" t="str">
        <f>TEXT(Table4_2[[#This Row],[Date]],"dddd")</f>
        <v>Monday</v>
      </c>
      <c r="D95" s="21">
        <v>31.2</v>
      </c>
      <c r="E95" s="21">
        <v>62</v>
      </c>
      <c r="F95" s="21">
        <v>402</v>
      </c>
      <c r="G95" s="21">
        <v>6.8</v>
      </c>
      <c r="H95">
        <v>40</v>
      </c>
      <c r="I95">
        <v>88.16</v>
      </c>
      <c r="J95">
        <v>0.62</v>
      </c>
      <c r="K95" t="str" cm="1">
        <f t="array" ref="K95">_xlfn.IFS(Table4_2[[#This Row],[Growth Days]]&lt;=14,"Seedling",Table4_2[[#This Row],[Growth Days]]&lt;=35, "Vegetative",Table4_2[[#This Row],[Growth Days]]&lt;=50, "Maturity")</f>
        <v>Maturity</v>
      </c>
      <c r="L95" t="str">
        <f>IF(Table4_2[[#This Row],[TDS Value (ppm)]]&lt;560, "Low", IF(Table4_2[[#This Row],[TDS Value (ppm)]]&lt;=800,"Optimal","High"))</f>
        <v>Low</v>
      </c>
    </row>
    <row r="96" spans="1:12" x14ac:dyDescent="0.25">
      <c r="A96">
        <v>16</v>
      </c>
      <c r="B96" s="1">
        <v>45145</v>
      </c>
      <c r="C96" s="1" t="str">
        <f>TEXT(Table4_2[[#This Row],[Date]],"dddd")</f>
        <v>Monday</v>
      </c>
      <c r="D96" s="21">
        <v>33.4</v>
      </c>
      <c r="E96" s="21">
        <v>68</v>
      </c>
      <c r="F96" s="21">
        <v>554</v>
      </c>
      <c r="G96" s="21">
        <v>6.6</v>
      </c>
      <c r="H96">
        <v>5</v>
      </c>
      <c r="I96">
        <v>92.12</v>
      </c>
      <c r="J96">
        <v>0.68</v>
      </c>
      <c r="K96" t="str" cm="1">
        <f t="array" ref="K96">_xlfn.IFS(Table4_2[[#This Row],[Growth Days]]&lt;=14,"Seedling",Table4_2[[#This Row],[Growth Days]]&lt;=35, "Vegetative",Table4_2[[#This Row],[Growth Days]]&lt;=50, "Maturity")</f>
        <v>Seedling</v>
      </c>
      <c r="L96" t="str">
        <f>IF(Table4_2[[#This Row],[TDS Value (ppm)]]&lt;560, "Low", IF(Table4_2[[#This Row],[TDS Value (ppm)]]&lt;=800,"Optimal","High"))</f>
        <v>Low</v>
      </c>
    </row>
    <row r="97" spans="1:12" x14ac:dyDescent="0.25">
      <c r="A97">
        <v>16</v>
      </c>
      <c r="B97" s="1">
        <v>45152</v>
      </c>
      <c r="C97" s="1" t="str">
        <f>TEXT(Table4_2[[#This Row],[Date]],"dddd")</f>
        <v>Monday</v>
      </c>
      <c r="D97" s="21">
        <v>30.1</v>
      </c>
      <c r="E97" s="21">
        <v>67</v>
      </c>
      <c r="F97" s="21">
        <v>737</v>
      </c>
      <c r="G97" s="21">
        <v>6.4</v>
      </c>
      <c r="H97">
        <v>12</v>
      </c>
      <c r="I97">
        <v>86.18</v>
      </c>
      <c r="J97">
        <v>0.67</v>
      </c>
      <c r="K97" t="str" cm="1">
        <f t="array" ref="K97">_xlfn.IFS(Table4_2[[#This Row],[Growth Days]]&lt;=14,"Seedling",Table4_2[[#This Row],[Growth Days]]&lt;=35, "Vegetative",Table4_2[[#This Row],[Growth Days]]&lt;=50, "Maturity")</f>
        <v>Seedling</v>
      </c>
      <c r="L97" t="str">
        <f>IF(Table4_2[[#This Row],[TDS Value (ppm)]]&lt;560, "Low", IF(Table4_2[[#This Row],[TDS Value (ppm)]]&lt;=800,"Optimal","High"))</f>
        <v>Optimal</v>
      </c>
    </row>
    <row r="98" spans="1:12" x14ac:dyDescent="0.25">
      <c r="A98">
        <v>16</v>
      </c>
      <c r="B98" s="1">
        <v>45159</v>
      </c>
      <c r="C98" s="1" t="str">
        <f>TEXT(Table4_2[[#This Row],[Date]],"dddd")</f>
        <v>Monday</v>
      </c>
      <c r="D98" s="21">
        <v>30.2</v>
      </c>
      <c r="E98" s="21">
        <v>64</v>
      </c>
      <c r="F98" s="21">
        <v>426</v>
      </c>
      <c r="G98" s="21">
        <v>6.6</v>
      </c>
      <c r="H98">
        <v>19</v>
      </c>
      <c r="I98">
        <v>86.36</v>
      </c>
      <c r="J98">
        <v>0.64</v>
      </c>
      <c r="K98" t="str" cm="1">
        <f t="array" ref="K98">_xlfn.IFS(Table4_2[[#This Row],[Growth Days]]&lt;=14,"Seedling",Table4_2[[#This Row],[Growth Days]]&lt;=35, "Vegetative",Table4_2[[#This Row],[Growth Days]]&lt;=50, "Maturity")</f>
        <v>Vegetative</v>
      </c>
      <c r="L98" t="str">
        <f>IF(Table4_2[[#This Row],[TDS Value (ppm)]]&lt;560, "Low", IF(Table4_2[[#This Row],[TDS Value (ppm)]]&lt;=800,"Optimal","High"))</f>
        <v>Low</v>
      </c>
    </row>
    <row r="99" spans="1:12" x14ac:dyDescent="0.25">
      <c r="A99">
        <v>16</v>
      </c>
      <c r="B99" s="1">
        <v>45166</v>
      </c>
      <c r="C99" s="1" t="str">
        <f>TEXT(Table4_2[[#This Row],[Date]],"dddd")</f>
        <v>Monday</v>
      </c>
      <c r="D99" s="21">
        <v>29.4</v>
      </c>
      <c r="E99" s="21">
        <v>50</v>
      </c>
      <c r="F99" s="21">
        <v>502</v>
      </c>
      <c r="G99" s="21">
        <v>6.8</v>
      </c>
      <c r="H99">
        <v>26</v>
      </c>
      <c r="I99">
        <v>84.92</v>
      </c>
      <c r="J99">
        <v>0.5</v>
      </c>
      <c r="K99" t="str" cm="1">
        <f t="array" ref="K99">_xlfn.IFS(Table4_2[[#This Row],[Growth Days]]&lt;=14,"Seedling",Table4_2[[#This Row],[Growth Days]]&lt;=35, "Vegetative",Table4_2[[#This Row],[Growth Days]]&lt;=50, "Maturity")</f>
        <v>Vegetative</v>
      </c>
      <c r="L99" t="str">
        <f>IF(Table4_2[[#This Row],[TDS Value (ppm)]]&lt;560, "Low", IF(Table4_2[[#This Row],[TDS Value (ppm)]]&lt;=800,"Optimal","High"))</f>
        <v>Low</v>
      </c>
    </row>
    <row r="100" spans="1:12" x14ac:dyDescent="0.25">
      <c r="A100">
        <v>16</v>
      </c>
      <c r="B100" s="1">
        <v>45173</v>
      </c>
      <c r="C100" s="1" t="str">
        <f>TEXT(Table4_2[[#This Row],[Date]],"dddd")</f>
        <v>Monday</v>
      </c>
      <c r="D100" s="21">
        <v>31.7</v>
      </c>
      <c r="E100" s="21">
        <v>62</v>
      </c>
      <c r="F100" s="21">
        <v>659</v>
      </c>
      <c r="G100" s="21">
        <v>6.8</v>
      </c>
      <c r="H100">
        <v>33</v>
      </c>
      <c r="I100">
        <v>89.06</v>
      </c>
      <c r="J100">
        <v>0.62</v>
      </c>
      <c r="K100" t="str" cm="1">
        <f t="array" ref="K100">_xlfn.IFS(Table4_2[[#This Row],[Growth Days]]&lt;=14,"Seedling",Table4_2[[#This Row],[Growth Days]]&lt;=35, "Vegetative",Table4_2[[#This Row],[Growth Days]]&lt;=50, "Maturity")</f>
        <v>Vegetative</v>
      </c>
      <c r="L100" t="str">
        <f>IF(Table4_2[[#This Row],[TDS Value (ppm)]]&lt;560, "Low", IF(Table4_2[[#This Row],[TDS Value (ppm)]]&lt;=800,"Optimal","High"))</f>
        <v>Optimal</v>
      </c>
    </row>
    <row r="101" spans="1:12" x14ac:dyDescent="0.25">
      <c r="A101">
        <v>16</v>
      </c>
      <c r="B101" s="1">
        <v>45180</v>
      </c>
      <c r="C101" s="1" t="str">
        <f>TEXT(Table4_2[[#This Row],[Date]],"dddd")</f>
        <v>Monday</v>
      </c>
      <c r="D101" s="21">
        <v>31.2</v>
      </c>
      <c r="E101" s="21">
        <v>65</v>
      </c>
      <c r="F101" s="21">
        <v>572</v>
      </c>
      <c r="G101" s="21">
        <v>6.5</v>
      </c>
      <c r="H101">
        <v>40</v>
      </c>
      <c r="I101">
        <v>88.16</v>
      </c>
      <c r="J101">
        <v>0.65</v>
      </c>
      <c r="K101" t="str" cm="1">
        <f t="array" ref="K101">_xlfn.IFS(Table4_2[[#This Row],[Growth Days]]&lt;=14,"Seedling",Table4_2[[#This Row],[Growth Days]]&lt;=35, "Vegetative",Table4_2[[#This Row],[Growth Days]]&lt;=50, "Maturity")</f>
        <v>Maturity</v>
      </c>
      <c r="L101" t="str">
        <f>IF(Table4_2[[#This Row],[TDS Value (ppm)]]&lt;560, "Low", IF(Table4_2[[#This Row],[TDS Value (ppm)]]&lt;=800,"Optimal","High"))</f>
        <v>Optimal</v>
      </c>
    </row>
    <row r="102" spans="1:12" x14ac:dyDescent="0.25">
      <c r="A102">
        <v>17</v>
      </c>
      <c r="B102" s="1">
        <v>45145</v>
      </c>
      <c r="C102" s="1" t="str">
        <f>TEXT(Table4_2[[#This Row],[Date]],"dddd")</f>
        <v>Monday</v>
      </c>
      <c r="D102" s="21">
        <v>33.4</v>
      </c>
      <c r="E102" s="21">
        <v>61</v>
      </c>
      <c r="F102" s="21">
        <v>505</v>
      </c>
      <c r="G102" s="21">
        <v>6.6</v>
      </c>
      <c r="H102">
        <v>5</v>
      </c>
      <c r="I102">
        <v>92.12</v>
      </c>
      <c r="J102">
        <v>0.61</v>
      </c>
      <c r="K102" t="str" cm="1">
        <f t="array" ref="K102">_xlfn.IFS(Table4_2[[#This Row],[Growth Days]]&lt;=14,"Seedling",Table4_2[[#This Row],[Growth Days]]&lt;=35, "Vegetative",Table4_2[[#This Row],[Growth Days]]&lt;=50, "Maturity")</f>
        <v>Seedling</v>
      </c>
      <c r="L102" t="str">
        <f>IF(Table4_2[[#This Row],[TDS Value (ppm)]]&lt;560, "Low", IF(Table4_2[[#This Row],[TDS Value (ppm)]]&lt;=800,"Optimal","High"))</f>
        <v>Low</v>
      </c>
    </row>
    <row r="103" spans="1:12" x14ac:dyDescent="0.25">
      <c r="A103">
        <v>17</v>
      </c>
      <c r="B103" s="1">
        <v>45152</v>
      </c>
      <c r="C103" s="1" t="str">
        <f>TEXT(Table4_2[[#This Row],[Date]],"dddd")</f>
        <v>Monday</v>
      </c>
      <c r="D103" s="21">
        <v>30.1</v>
      </c>
      <c r="E103" s="21">
        <v>55</v>
      </c>
      <c r="F103" s="21">
        <v>737</v>
      </c>
      <c r="G103" s="21">
        <v>6.6</v>
      </c>
      <c r="H103">
        <v>12</v>
      </c>
      <c r="I103">
        <v>86.18</v>
      </c>
      <c r="J103">
        <v>0.55000000000000004</v>
      </c>
      <c r="K103" t="str" cm="1">
        <f t="array" ref="K103">_xlfn.IFS(Table4_2[[#This Row],[Growth Days]]&lt;=14,"Seedling",Table4_2[[#This Row],[Growth Days]]&lt;=35, "Vegetative",Table4_2[[#This Row],[Growth Days]]&lt;=50, "Maturity")</f>
        <v>Seedling</v>
      </c>
      <c r="L103" t="str">
        <f>IF(Table4_2[[#This Row],[TDS Value (ppm)]]&lt;560, "Low", IF(Table4_2[[#This Row],[TDS Value (ppm)]]&lt;=800,"Optimal","High"))</f>
        <v>Optimal</v>
      </c>
    </row>
    <row r="104" spans="1:12" x14ac:dyDescent="0.25">
      <c r="A104">
        <v>17</v>
      </c>
      <c r="B104" s="1">
        <v>45159</v>
      </c>
      <c r="C104" s="1" t="str">
        <f>TEXT(Table4_2[[#This Row],[Date]],"dddd")</f>
        <v>Monday</v>
      </c>
      <c r="D104" s="21">
        <v>30.2</v>
      </c>
      <c r="E104" s="21">
        <v>57</v>
      </c>
      <c r="F104" s="21">
        <v>736</v>
      </c>
      <c r="G104" s="21">
        <v>6.3</v>
      </c>
      <c r="H104">
        <v>19</v>
      </c>
      <c r="I104">
        <v>86.36</v>
      </c>
      <c r="J104">
        <v>0.56999999999999995</v>
      </c>
      <c r="K104" t="str" cm="1">
        <f t="array" ref="K104">_xlfn.IFS(Table4_2[[#This Row],[Growth Days]]&lt;=14,"Seedling",Table4_2[[#This Row],[Growth Days]]&lt;=35, "Vegetative",Table4_2[[#This Row],[Growth Days]]&lt;=50, "Maturity")</f>
        <v>Vegetative</v>
      </c>
      <c r="L104" t="str">
        <f>IF(Table4_2[[#This Row],[TDS Value (ppm)]]&lt;560, "Low", IF(Table4_2[[#This Row],[TDS Value (ppm)]]&lt;=800,"Optimal","High"))</f>
        <v>Optimal</v>
      </c>
    </row>
    <row r="105" spans="1:12" x14ac:dyDescent="0.25">
      <c r="A105">
        <v>17</v>
      </c>
      <c r="B105" s="1">
        <v>45166</v>
      </c>
      <c r="C105" s="1" t="str">
        <f>TEXT(Table4_2[[#This Row],[Date]],"dddd")</f>
        <v>Monday</v>
      </c>
      <c r="D105" s="21">
        <v>29.4</v>
      </c>
      <c r="E105" s="21">
        <v>73</v>
      </c>
      <c r="F105" s="21">
        <v>762</v>
      </c>
      <c r="G105" s="21">
        <v>6.5</v>
      </c>
      <c r="H105">
        <v>26</v>
      </c>
      <c r="I105">
        <v>84.92</v>
      </c>
      <c r="J105">
        <v>0.73</v>
      </c>
      <c r="K105" t="str" cm="1">
        <f t="array" ref="K105">_xlfn.IFS(Table4_2[[#This Row],[Growth Days]]&lt;=14,"Seedling",Table4_2[[#This Row],[Growth Days]]&lt;=35, "Vegetative",Table4_2[[#This Row],[Growth Days]]&lt;=50, "Maturity")</f>
        <v>Vegetative</v>
      </c>
      <c r="L105" t="str">
        <f>IF(Table4_2[[#This Row],[TDS Value (ppm)]]&lt;560, "Low", IF(Table4_2[[#This Row],[TDS Value (ppm)]]&lt;=800,"Optimal","High"))</f>
        <v>Optimal</v>
      </c>
    </row>
    <row r="106" spans="1:12" x14ac:dyDescent="0.25">
      <c r="A106">
        <v>17</v>
      </c>
      <c r="B106" s="1">
        <v>45173</v>
      </c>
      <c r="C106" s="1" t="str">
        <f>TEXT(Table4_2[[#This Row],[Date]],"dddd")</f>
        <v>Monday</v>
      </c>
      <c r="D106" s="21">
        <v>31.7</v>
      </c>
      <c r="E106" s="21">
        <v>68</v>
      </c>
      <c r="F106" s="21">
        <v>424</v>
      </c>
      <c r="G106" s="21">
        <v>6.6</v>
      </c>
      <c r="H106">
        <v>33</v>
      </c>
      <c r="I106">
        <v>89.06</v>
      </c>
      <c r="J106">
        <v>0.68</v>
      </c>
      <c r="K106" t="str" cm="1">
        <f t="array" ref="K106">_xlfn.IFS(Table4_2[[#This Row],[Growth Days]]&lt;=14,"Seedling",Table4_2[[#This Row],[Growth Days]]&lt;=35, "Vegetative",Table4_2[[#This Row],[Growth Days]]&lt;=50, "Maturity")</f>
        <v>Vegetative</v>
      </c>
      <c r="L106" t="str">
        <f>IF(Table4_2[[#This Row],[TDS Value (ppm)]]&lt;560, "Low", IF(Table4_2[[#This Row],[TDS Value (ppm)]]&lt;=800,"Optimal","High"))</f>
        <v>Low</v>
      </c>
    </row>
    <row r="107" spans="1:12" x14ac:dyDescent="0.25">
      <c r="A107">
        <v>17</v>
      </c>
      <c r="B107" s="1">
        <v>45180</v>
      </c>
      <c r="C107" s="1" t="str">
        <f>TEXT(Table4_2[[#This Row],[Date]],"dddd")</f>
        <v>Monday</v>
      </c>
      <c r="D107" s="21">
        <v>31.2</v>
      </c>
      <c r="E107" s="21">
        <v>72</v>
      </c>
      <c r="F107" s="21">
        <v>786</v>
      </c>
      <c r="G107" s="21">
        <v>6.3</v>
      </c>
      <c r="H107">
        <v>40</v>
      </c>
      <c r="I107">
        <v>88.16</v>
      </c>
      <c r="J107">
        <v>0.72</v>
      </c>
      <c r="K107" t="str" cm="1">
        <f t="array" ref="K107">_xlfn.IFS(Table4_2[[#This Row],[Growth Days]]&lt;=14,"Seedling",Table4_2[[#This Row],[Growth Days]]&lt;=35, "Vegetative",Table4_2[[#This Row],[Growth Days]]&lt;=50, "Maturity")</f>
        <v>Maturity</v>
      </c>
      <c r="L107" t="str">
        <f>IF(Table4_2[[#This Row],[TDS Value (ppm)]]&lt;560, "Low", IF(Table4_2[[#This Row],[TDS Value (ppm)]]&lt;=800,"Optimal","High"))</f>
        <v>Optimal</v>
      </c>
    </row>
    <row r="108" spans="1:12" x14ac:dyDescent="0.25">
      <c r="A108">
        <v>18</v>
      </c>
      <c r="B108" s="1">
        <v>45145</v>
      </c>
      <c r="C108" s="1" t="str">
        <f>TEXT(Table4_2[[#This Row],[Date]],"dddd")</f>
        <v>Monday</v>
      </c>
      <c r="D108" s="21">
        <v>33.4</v>
      </c>
      <c r="E108" s="21">
        <v>51</v>
      </c>
      <c r="F108" s="21">
        <v>798</v>
      </c>
      <c r="G108" s="21">
        <v>6.6</v>
      </c>
      <c r="H108">
        <v>5</v>
      </c>
      <c r="I108">
        <v>92.12</v>
      </c>
      <c r="J108">
        <v>0.51</v>
      </c>
      <c r="K108" t="str" cm="1">
        <f t="array" ref="K108">_xlfn.IFS(Table4_2[[#This Row],[Growth Days]]&lt;=14,"Seedling",Table4_2[[#This Row],[Growth Days]]&lt;=35, "Vegetative",Table4_2[[#This Row],[Growth Days]]&lt;=50, "Maturity")</f>
        <v>Seedling</v>
      </c>
      <c r="L108" t="str">
        <f>IF(Table4_2[[#This Row],[TDS Value (ppm)]]&lt;560, "Low", IF(Table4_2[[#This Row],[TDS Value (ppm)]]&lt;=800,"Optimal","High"))</f>
        <v>Optimal</v>
      </c>
    </row>
    <row r="109" spans="1:12" x14ac:dyDescent="0.25">
      <c r="A109">
        <v>18</v>
      </c>
      <c r="B109" s="1">
        <v>45152</v>
      </c>
      <c r="C109" s="1" t="str">
        <f>TEXT(Table4_2[[#This Row],[Date]],"dddd")</f>
        <v>Monday</v>
      </c>
      <c r="D109" s="21">
        <v>30.1</v>
      </c>
      <c r="E109" s="21">
        <v>67</v>
      </c>
      <c r="F109" s="21">
        <v>769</v>
      </c>
      <c r="G109" s="21">
        <v>6.4</v>
      </c>
      <c r="H109">
        <v>12</v>
      </c>
      <c r="I109">
        <v>86.18</v>
      </c>
      <c r="J109">
        <v>0.67</v>
      </c>
      <c r="K109" t="str" cm="1">
        <f t="array" ref="K109">_xlfn.IFS(Table4_2[[#This Row],[Growth Days]]&lt;=14,"Seedling",Table4_2[[#This Row],[Growth Days]]&lt;=35, "Vegetative",Table4_2[[#This Row],[Growth Days]]&lt;=50, "Maturity")</f>
        <v>Seedling</v>
      </c>
      <c r="L109" t="str">
        <f>IF(Table4_2[[#This Row],[TDS Value (ppm)]]&lt;560, "Low", IF(Table4_2[[#This Row],[TDS Value (ppm)]]&lt;=800,"Optimal","High"))</f>
        <v>Optimal</v>
      </c>
    </row>
    <row r="110" spans="1:12" x14ac:dyDescent="0.25">
      <c r="A110">
        <v>18</v>
      </c>
      <c r="B110" s="1">
        <v>45159</v>
      </c>
      <c r="C110" s="1" t="str">
        <f>TEXT(Table4_2[[#This Row],[Date]],"dddd")</f>
        <v>Monday</v>
      </c>
      <c r="D110" s="21">
        <v>30.2</v>
      </c>
      <c r="E110" s="21">
        <v>57</v>
      </c>
      <c r="F110" s="21">
        <v>540</v>
      </c>
      <c r="G110" s="21">
        <v>6.4</v>
      </c>
      <c r="H110">
        <v>19</v>
      </c>
      <c r="I110">
        <v>86.36</v>
      </c>
      <c r="J110">
        <v>0.56999999999999995</v>
      </c>
      <c r="K110" t="str" cm="1">
        <f t="array" ref="K110">_xlfn.IFS(Table4_2[[#This Row],[Growth Days]]&lt;=14,"Seedling",Table4_2[[#This Row],[Growth Days]]&lt;=35, "Vegetative",Table4_2[[#This Row],[Growth Days]]&lt;=50, "Maturity")</f>
        <v>Vegetative</v>
      </c>
      <c r="L110" t="str">
        <f>IF(Table4_2[[#This Row],[TDS Value (ppm)]]&lt;560, "Low", IF(Table4_2[[#This Row],[TDS Value (ppm)]]&lt;=800,"Optimal","High"))</f>
        <v>Low</v>
      </c>
    </row>
    <row r="111" spans="1:12" x14ac:dyDescent="0.25">
      <c r="A111">
        <v>18</v>
      </c>
      <c r="B111" s="1">
        <v>45166</v>
      </c>
      <c r="C111" s="1" t="str">
        <f>TEXT(Table4_2[[#This Row],[Date]],"dddd")</f>
        <v>Monday</v>
      </c>
      <c r="D111" s="21">
        <v>29.4</v>
      </c>
      <c r="E111" s="21">
        <v>66</v>
      </c>
      <c r="F111" s="21">
        <v>544</v>
      </c>
      <c r="G111" s="21">
        <v>6.1</v>
      </c>
      <c r="H111">
        <v>26</v>
      </c>
      <c r="I111">
        <v>84.92</v>
      </c>
      <c r="J111">
        <v>0.66</v>
      </c>
      <c r="K111" t="str" cm="1">
        <f t="array" ref="K111">_xlfn.IFS(Table4_2[[#This Row],[Growth Days]]&lt;=14,"Seedling",Table4_2[[#This Row],[Growth Days]]&lt;=35, "Vegetative",Table4_2[[#This Row],[Growth Days]]&lt;=50, "Maturity")</f>
        <v>Vegetative</v>
      </c>
      <c r="L111" t="str">
        <f>IF(Table4_2[[#This Row],[TDS Value (ppm)]]&lt;560, "Low", IF(Table4_2[[#This Row],[TDS Value (ppm)]]&lt;=800,"Optimal","High"))</f>
        <v>Low</v>
      </c>
    </row>
    <row r="112" spans="1:12" x14ac:dyDescent="0.25">
      <c r="A112">
        <v>18</v>
      </c>
      <c r="B112" s="1">
        <v>45173</v>
      </c>
      <c r="C112" s="1" t="str">
        <f>TEXT(Table4_2[[#This Row],[Date]],"dddd")</f>
        <v>Monday</v>
      </c>
      <c r="D112" s="21">
        <v>31.7</v>
      </c>
      <c r="E112" s="21">
        <v>68</v>
      </c>
      <c r="F112" s="21">
        <v>442</v>
      </c>
      <c r="G112" s="21">
        <v>6.6</v>
      </c>
      <c r="H112">
        <v>33</v>
      </c>
      <c r="I112">
        <v>89.06</v>
      </c>
      <c r="J112">
        <v>0.68</v>
      </c>
      <c r="K112" t="str" cm="1">
        <f t="array" ref="K112">_xlfn.IFS(Table4_2[[#This Row],[Growth Days]]&lt;=14,"Seedling",Table4_2[[#This Row],[Growth Days]]&lt;=35, "Vegetative",Table4_2[[#This Row],[Growth Days]]&lt;=50, "Maturity")</f>
        <v>Vegetative</v>
      </c>
      <c r="L112" t="str">
        <f>IF(Table4_2[[#This Row],[TDS Value (ppm)]]&lt;560, "Low", IF(Table4_2[[#This Row],[TDS Value (ppm)]]&lt;=800,"Optimal","High"))</f>
        <v>Low</v>
      </c>
    </row>
    <row r="113" spans="1:12" x14ac:dyDescent="0.25">
      <c r="A113">
        <v>18</v>
      </c>
      <c r="B113" s="1">
        <v>45180</v>
      </c>
      <c r="C113" s="1" t="str">
        <f>TEXT(Table4_2[[#This Row],[Date]],"dddd")</f>
        <v>Monday</v>
      </c>
      <c r="D113" s="21">
        <v>31.2</v>
      </c>
      <c r="E113" s="21">
        <v>70</v>
      </c>
      <c r="F113" s="21">
        <v>555</v>
      </c>
      <c r="G113" s="21">
        <v>6.3</v>
      </c>
      <c r="H113">
        <v>40</v>
      </c>
      <c r="I113">
        <v>88.16</v>
      </c>
      <c r="J113">
        <v>0.7</v>
      </c>
      <c r="K113" t="str" cm="1">
        <f t="array" ref="K113">_xlfn.IFS(Table4_2[[#This Row],[Growth Days]]&lt;=14,"Seedling",Table4_2[[#This Row],[Growth Days]]&lt;=35, "Vegetative",Table4_2[[#This Row],[Growth Days]]&lt;=50, "Maturity")</f>
        <v>Maturity</v>
      </c>
      <c r="L113" t="str">
        <f>IF(Table4_2[[#This Row],[TDS Value (ppm)]]&lt;560, "Low", IF(Table4_2[[#This Row],[TDS Value (ppm)]]&lt;=800,"Optimal","High"))</f>
        <v>Low</v>
      </c>
    </row>
    <row r="114" spans="1:12" x14ac:dyDescent="0.25">
      <c r="A114">
        <v>19</v>
      </c>
      <c r="B114" s="1">
        <v>45145</v>
      </c>
      <c r="C114" s="1" t="str">
        <f>TEXT(Table4_2[[#This Row],[Date]],"dddd")</f>
        <v>Monday</v>
      </c>
      <c r="D114" s="21">
        <v>33.4</v>
      </c>
      <c r="E114" s="21">
        <v>65</v>
      </c>
      <c r="F114" s="21">
        <v>661</v>
      </c>
      <c r="G114" s="21">
        <v>6.3</v>
      </c>
      <c r="H114">
        <v>5</v>
      </c>
      <c r="I114">
        <v>92.12</v>
      </c>
      <c r="J114">
        <v>0.65</v>
      </c>
      <c r="K114" t="str" cm="1">
        <f t="array" ref="K114">_xlfn.IFS(Table4_2[[#This Row],[Growth Days]]&lt;=14,"Seedling",Table4_2[[#This Row],[Growth Days]]&lt;=35, "Vegetative",Table4_2[[#This Row],[Growth Days]]&lt;=50, "Maturity")</f>
        <v>Seedling</v>
      </c>
      <c r="L114" t="str">
        <f>IF(Table4_2[[#This Row],[TDS Value (ppm)]]&lt;560, "Low", IF(Table4_2[[#This Row],[TDS Value (ppm)]]&lt;=800,"Optimal","High"))</f>
        <v>Optimal</v>
      </c>
    </row>
    <row r="115" spans="1:12" x14ac:dyDescent="0.25">
      <c r="A115">
        <v>19</v>
      </c>
      <c r="B115" s="1">
        <v>45152</v>
      </c>
      <c r="C115" s="1" t="str">
        <f>TEXT(Table4_2[[#This Row],[Date]],"dddd")</f>
        <v>Monday</v>
      </c>
      <c r="D115" s="21">
        <v>30.1</v>
      </c>
      <c r="E115" s="21">
        <v>71</v>
      </c>
      <c r="F115" s="21">
        <v>503</v>
      </c>
      <c r="G115" s="21">
        <v>6.5</v>
      </c>
      <c r="H115">
        <v>12</v>
      </c>
      <c r="I115">
        <v>86.18</v>
      </c>
      <c r="J115">
        <v>0.71</v>
      </c>
      <c r="K115" t="str" cm="1">
        <f t="array" ref="K115">_xlfn.IFS(Table4_2[[#This Row],[Growth Days]]&lt;=14,"Seedling",Table4_2[[#This Row],[Growth Days]]&lt;=35, "Vegetative",Table4_2[[#This Row],[Growth Days]]&lt;=50, "Maturity")</f>
        <v>Seedling</v>
      </c>
      <c r="L115" t="str">
        <f>IF(Table4_2[[#This Row],[TDS Value (ppm)]]&lt;560, "Low", IF(Table4_2[[#This Row],[TDS Value (ppm)]]&lt;=800,"Optimal","High"))</f>
        <v>Low</v>
      </c>
    </row>
    <row r="116" spans="1:12" x14ac:dyDescent="0.25">
      <c r="A116">
        <v>19</v>
      </c>
      <c r="B116" s="1">
        <v>45159</v>
      </c>
      <c r="C116" s="1" t="str">
        <f>TEXT(Table4_2[[#This Row],[Date]],"dddd")</f>
        <v>Monday</v>
      </c>
      <c r="D116" s="21">
        <v>30.2</v>
      </c>
      <c r="E116" s="21">
        <v>64</v>
      </c>
      <c r="F116" s="21">
        <v>539</v>
      </c>
      <c r="G116" s="21">
        <v>6.3</v>
      </c>
      <c r="H116">
        <v>19</v>
      </c>
      <c r="I116">
        <v>86.36</v>
      </c>
      <c r="J116">
        <v>0.64</v>
      </c>
      <c r="K116" t="str" cm="1">
        <f t="array" ref="K116">_xlfn.IFS(Table4_2[[#This Row],[Growth Days]]&lt;=14,"Seedling",Table4_2[[#This Row],[Growth Days]]&lt;=35, "Vegetative",Table4_2[[#This Row],[Growth Days]]&lt;=50, "Maturity")</f>
        <v>Vegetative</v>
      </c>
      <c r="L116" t="str">
        <f>IF(Table4_2[[#This Row],[TDS Value (ppm)]]&lt;560, "Low", IF(Table4_2[[#This Row],[TDS Value (ppm)]]&lt;=800,"Optimal","High"))</f>
        <v>Low</v>
      </c>
    </row>
    <row r="117" spans="1:12" x14ac:dyDescent="0.25">
      <c r="A117">
        <v>19</v>
      </c>
      <c r="B117" s="1">
        <v>45166</v>
      </c>
      <c r="C117" s="1" t="str">
        <f>TEXT(Table4_2[[#This Row],[Date]],"dddd")</f>
        <v>Monday</v>
      </c>
      <c r="D117" s="21">
        <v>29.4</v>
      </c>
      <c r="E117" s="21">
        <v>80</v>
      </c>
      <c r="F117" s="21">
        <v>623</v>
      </c>
      <c r="G117" s="21">
        <v>6.4</v>
      </c>
      <c r="H117">
        <v>26</v>
      </c>
      <c r="I117">
        <v>84.92</v>
      </c>
      <c r="J117">
        <v>0.8</v>
      </c>
      <c r="K117" t="str" cm="1">
        <f t="array" ref="K117">_xlfn.IFS(Table4_2[[#This Row],[Growth Days]]&lt;=14,"Seedling",Table4_2[[#This Row],[Growth Days]]&lt;=35, "Vegetative",Table4_2[[#This Row],[Growth Days]]&lt;=50, "Maturity")</f>
        <v>Vegetative</v>
      </c>
      <c r="L117" t="str">
        <f>IF(Table4_2[[#This Row],[TDS Value (ppm)]]&lt;560, "Low", IF(Table4_2[[#This Row],[TDS Value (ppm)]]&lt;=800,"Optimal","High"))</f>
        <v>Optimal</v>
      </c>
    </row>
    <row r="118" spans="1:12" x14ac:dyDescent="0.25">
      <c r="A118">
        <v>19</v>
      </c>
      <c r="B118" s="1">
        <v>45173</v>
      </c>
      <c r="C118" s="1" t="str">
        <f>TEXT(Table4_2[[#This Row],[Date]],"dddd")</f>
        <v>Monday</v>
      </c>
      <c r="D118" s="21">
        <v>31.7</v>
      </c>
      <c r="E118" s="21">
        <v>76</v>
      </c>
      <c r="F118" s="21">
        <v>434</v>
      </c>
      <c r="G118" s="21">
        <v>6.8</v>
      </c>
      <c r="H118">
        <v>33</v>
      </c>
      <c r="I118">
        <v>89.06</v>
      </c>
      <c r="J118">
        <v>0.76</v>
      </c>
      <c r="K118" t="str" cm="1">
        <f t="array" ref="K118">_xlfn.IFS(Table4_2[[#This Row],[Growth Days]]&lt;=14,"Seedling",Table4_2[[#This Row],[Growth Days]]&lt;=35, "Vegetative",Table4_2[[#This Row],[Growth Days]]&lt;=50, "Maturity")</f>
        <v>Vegetative</v>
      </c>
      <c r="L118" t="str">
        <f>IF(Table4_2[[#This Row],[TDS Value (ppm)]]&lt;560, "Low", IF(Table4_2[[#This Row],[TDS Value (ppm)]]&lt;=800,"Optimal","High"))</f>
        <v>Low</v>
      </c>
    </row>
    <row r="119" spans="1:12" x14ac:dyDescent="0.25">
      <c r="A119">
        <v>19</v>
      </c>
      <c r="B119" s="1">
        <v>45180</v>
      </c>
      <c r="C119" s="1" t="str">
        <f>TEXT(Table4_2[[#This Row],[Date]],"dddd")</f>
        <v>Monday</v>
      </c>
      <c r="D119" s="21">
        <v>31.2</v>
      </c>
      <c r="E119" s="21">
        <v>53</v>
      </c>
      <c r="F119" s="21">
        <v>503</v>
      </c>
      <c r="G119" s="21">
        <v>6.4</v>
      </c>
      <c r="H119">
        <v>40</v>
      </c>
      <c r="I119">
        <v>88.16</v>
      </c>
      <c r="J119">
        <v>0.53</v>
      </c>
      <c r="K119" t="str" cm="1">
        <f t="array" ref="K119">_xlfn.IFS(Table4_2[[#This Row],[Growth Days]]&lt;=14,"Seedling",Table4_2[[#This Row],[Growth Days]]&lt;=35, "Vegetative",Table4_2[[#This Row],[Growth Days]]&lt;=50, "Maturity")</f>
        <v>Maturity</v>
      </c>
      <c r="L119" t="str">
        <f>IF(Table4_2[[#This Row],[TDS Value (ppm)]]&lt;560, "Low", IF(Table4_2[[#This Row],[TDS Value (ppm)]]&lt;=800,"Optimal","High"))</f>
        <v>Low</v>
      </c>
    </row>
    <row r="120" spans="1:12" x14ac:dyDescent="0.25">
      <c r="A120">
        <v>20</v>
      </c>
      <c r="B120" s="1">
        <v>45145</v>
      </c>
      <c r="C120" s="1" t="str">
        <f>TEXT(Table4_2[[#This Row],[Date]],"dddd")</f>
        <v>Monday</v>
      </c>
      <c r="D120" s="21">
        <v>33.4</v>
      </c>
      <c r="E120" s="21">
        <v>72</v>
      </c>
      <c r="F120" s="21">
        <v>430</v>
      </c>
      <c r="G120" s="21">
        <v>6</v>
      </c>
      <c r="H120">
        <v>5</v>
      </c>
      <c r="I120">
        <v>92.12</v>
      </c>
      <c r="J120">
        <v>0.72</v>
      </c>
      <c r="K120" t="str" cm="1">
        <f t="array" ref="K120">_xlfn.IFS(Table4_2[[#This Row],[Growth Days]]&lt;=14,"Seedling",Table4_2[[#This Row],[Growth Days]]&lt;=35, "Vegetative",Table4_2[[#This Row],[Growth Days]]&lt;=50, "Maturity")</f>
        <v>Seedling</v>
      </c>
      <c r="L120" t="str">
        <f>IF(Table4_2[[#This Row],[TDS Value (ppm)]]&lt;560, "Low", IF(Table4_2[[#This Row],[TDS Value (ppm)]]&lt;=800,"Optimal","High"))</f>
        <v>Low</v>
      </c>
    </row>
    <row r="121" spans="1:12" x14ac:dyDescent="0.25">
      <c r="A121">
        <v>20</v>
      </c>
      <c r="B121" s="1">
        <v>45152</v>
      </c>
      <c r="C121" s="1" t="str">
        <f>TEXT(Table4_2[[#This Row],[Date]],"dddd")</f>
        <v>Monday</v>
      </c>
      <c r="D121" s="21">
        <v>30.1</v>
      </c>
      <c r="E121" s="21">
        <v>75</v>
      </c>
      <c r="F121" s="21">
        <v>611</v>
      </c>
      <c r="G121" s="21">
        <v>6.4</v>
      </c>
      <c r="H121">
        <v>12</v>
      </c>
      <c r="I121">
        <v>86.18</v>
      </c>
      <c r="J121">
        <v>0.75</v>
      </c>
      <c r="K121" t="str" cm="1">
        <f t="array" ref="K121">_xlfn.IFS(Table4_2[[#This Row],[Growth Days]]&lt;=14,"Seedling",Table4_2[[#This Row],[Growth Days]]&lt;=35, "Vegetative",Table4_2[[#This Row],[Growth Days]]&lt;=50, "Maturity")</f>
        <v>Seedling</v>
      </c>
      <c r="L121" t="str">
        <f>IF(Table4_2[[#This Row],[TDS Value (ppm)]]&lt;560, "Low", IF(Table4_2[[#This Row],[TDS Value (ppm)]]&lt;=800,"Optimal","High"))</f>
        <v>Optimal</v>
      </c>
    </row>
    <row r="122" spans="1:12" x14ac:dyDescent="0.25">
      <c r="A122">
        <v>20</v>
      </c>
      <c r="B122" s="1">
        <v>45159</v>
      </c>
      <c r="C122" s="1" t="str">
        <f>TEXT(Table4_2[[#This Row],[Date]],"dddd")</f>
        <v>Monday</v>
      </c>
      <c r="D122" s="21">
        <v>30.2</v>
      </c>
      <c r="E122" s="21">
        <v>61</v>
      </c>
      <c r="F122" s="21">
        <v>458</v>
      </c>
      <c r="G122" s="21">
        <v>6.7</v>
      </c>
      <c r="H122">
        <v>19</v>
      </c>
      <c r="I122">
        <v>86.36</v>
      </c>
      <c r="J122">
        <v>0.61</v>
      </c>
      <c r="K122" t="str" cm="1">
        <f t="array" ref="K122">_xlfn.IFS(Table4_2[[#This Row],[Growth Days]]&lt;=14,"Seedling",Table4_2[[#This Row],[Growth Days]]&lt;=35, "Vegetative",Table4_2[[#This Row],[Growth Days]]&lt;=50, "Maturity")</f>
        <v>Vegetative</v>
      </c>
      <c r="L122" t="str">
        <f>IF(Table4_2[[#This Row],[TDS Value (ppm)]]&lt;560, "Low", IF(Table4_2[[#This Row],[TDS Value (ppm)]]&lt;=800,"Optimal","High"))</f>
        <v>Low</v>
      </c>
    </row>
    <row r="123" spans="1:12" x14ac:dyDescent="0.25">
      <c r="A123">
        <v>20</v>
      </c>
      <c r="B123" s="1">
        <v>45166</v>
      </c>
      <c r="C123" s="1" t="str">
        <f>TEXT(Table4_2[[#This Row],[Date]],"dddd")</f>
        <v>Monday</v>
      </c>
      <c r="D123" s="21">
        <v>29.4</v>
      </c>
      <c r="E123" s="21">
        <v>60</v>
      </c>
      <c r="F123" s="21">
        <v>453</v>
      </c>
      <c r="G123" s="21">
        <v>6.3</v>
      </c>
      <c r="H123">
        <v>26</v>
      </c>
      <c r="I123">
        <v>84.92</v>
      </c>
      <c r="J123">
        <v>0.6</v>
      </c>
      <c r="K123" t="str" cm="1">
        <f t="array" ref="K123">_xlfn.IFS(Table4_2[[#This Row],[Growth Days]]&lt;=14,"Seedling",Table4_2[[#This Row],[Growth Days]]&lt;=35, "Vegetative",Table4_2[[#This Row],[Growth Days]]&lt;=50, "Maturity")</f>
        <v>Vegetative</v>
      </c>
      <c r="L123" t="str">
        <f>IF(Table4_2[[#This Row],[TDS Value (ppm)]]&lt;560, "Low", IF(Table4_2[[#This Row],[TDS Value (ppm)]]&lt;=800,"Optimal","High"))</f>
        <v>Low</v>
      </c>
    </row>
    <row r="124" spans="1:12" x14ac:dyDescent="0.25">
      <c r="A124">
        <v>20</v>
      </c>
      <c r="B124" s="1">
        <v>45173</v>
      </c>
      <c r="C124" s="1" t="str">
        <f>TEXT(Table4_2[[#This Row],[Date]],"dddd")</f>
        <v>Monday</v>
      </c>
      <c r="D124" s="21">
        <v>31.7</v>
      </c>
      <c r="E124" s="21">
        <v>68</v>
      </c>
      <c r="F124" s="21">
        <v>611</v>
      </c>
      <c r="G124" s="21">
        <v>6.2</v>
      </c>
      <c r="H124">
        <v>33</v>
      </c>
      <c r="I124">
        <v>89.06</v>
      </c>
      <c r="J124">
        <v>0.68</v>
      </c>
      <c r="K124" t="str" cm="1">
        <f t="array" ref="K124">_xlfn.IFS(Table4_2[[#This Row],[Growth Days]]&lt;=14,"Seedling",Table4_2[[#This Row],[Growth Days]]&lt;=35, "Vegetative",Table4_2[[#This Row],[Growth Days]]&lt;=50, "Maturity")</f>
        <v>Vegetative</v>
      </c>
      <c r="L124" t="str">
        <f>IF(Table4_2[[#This Row],[TDS Value (ppm)]]&lt;560, "Low", IF(Table4_2[[#This Row],[TDS Value (ppm)]]&lt;=800,"Optimal","High"))</f>
        <v>Optimal</v>
      </c>
    </row>
    <row r="125" spans="1:12" x14ac:dyDescent="0.25">
      <c r="A125">
        <v>20</v>
      </c>
      <c r="B125" s="1">
        <v>45180</v>
      </c>
      <c r="C125" s="1" t="str">
        <f>TEXT(Table4_2[[#This Row],[Date]],"dddd")</f>
        <v>Monday</v>
      </c>
      <c r="D125" s="21">
        <v>31.2</v>
      </c>
      <c r="E125" s="21">
        <v>74</v>
      </c>
      <c r="F125" s="21">
        <v>560</v>
      </c>
      <c r="G125" s="21">
        <v>6.2</v>
      </c>
      <c r="H125">
        <v>40</v>
      </c>
      <c r="I125">
        <v>88.16</v>
      </c>
      <c r="J125">
        <v>0.74</v>
      </c>
      <c r="K125" t="str" cm="1">
        <f t="array" ref="K125">_xlfn.IFS(Table4_2[[#This Row],[Growth Days]]&lt;=14,"Seedling",Table4_2[[#This Row],[Growth Days]]&lt;=35, "Vegetative",Table4_2[[#This Row],[Growth Days]]&lt;=50, "Maturity")</f>
        <v>Maturity</v>
      </c>
      <c r="L125" t="str">
        <f>IF(Table4_2[[#This Row],[TDS Value (ppm)]]&lt;560, "Low", IF(Table4_2[[#This Row],[TDS Value (ppm)]]&lt;=800,"Optimal","High"))</f>
        <v>Optimal</v>
      </c>
    </row>
    <row r="126" spans="1:12" x14ac:dyDescent="0.25">
      <c r="A126">
        <v>21</v>
      </c>
      <c r="B126" s="1">
        <v>45145</v>
      </c>
      <c r="C126" s="1" t="str">
        <f>TEXT(Table4_2[[#This Row],[Date]],"dddd")</f>
        <v>Monday</v>
      </c>
      <c r="D126" s="21">
        <v>33.4</v>
      </c>
      <c r="E126" s="21">
        <v>52</v>
      </c>
      <c r="F126" s="21">
        <v>726</v>
      </c>
      <c r="G126" s="21">
        <v>6.4</v>
      </c>
      <c r="H126">
        <v>5</v>
      </c>
      <c r="I126">
        <v>92.12</v>
      </c>
      <c r="J126">
        <v>0.52</v>
      </c>
      <c r="K126" t="str" cm="1">
        <f t="array" ref="K126">_xlfn.IFS(Table4_2[[#This Row],[Growth Days]]&lt;=14,"Seedling",Table4_2[[#This Row],[Growth Days]]&lt;=35, "Vegetative",Table4_2[[#This Row],[Growth Days]]&lt;=50, "Maturity")</f>
        <v>Seedling</v>
      </c>
      <c r="L126" t="str">
        <f>IF(Table4_2[[#This Row],[TDS Value (ppm)]]&lt;560, "Low", IF(Table4_2[[#This Row],[TDS Value (ppm)]]&lt;=800,"Optimal","High"))</f>
        <v>Optimal</v>
      </c>
    </row>
    <row r="127" spans="1:12" x14ac:dyDescent="0.25">
      <c r="A127">
        <v>21</v>
      </c>
      <c r="B127" s="1">
        <v>45152</v>
      </c>
      <c r="C127" s="1" t="str">
        <f>TEXT(Table4_2[[#This Row],[Date]],"dddd")</f>
        <v>Monday</v>
      </c>
      <c r="D127" s="21">
        <v>30.1</v>
      </c>
      <c r="E127" s="21">
        <v>75</v>
      </c>
      <c r="F127" s="21">
        <v>504</v>
      </c>
      <c r="G127" s="21">
        <v>6.5</v>
      </c>
      <c r="H127">
        <v>12</v>
      </c>
      <c r="I127">
        <v>86.18</v>
      </c>
      <c r="J127">
        <v>0.75</v>
      </c>
      <c r="K127" t="str" cm="1">
        <f t="array" ref="K127">_xlfn.IFS(Table4_2[[#This Row],[Growth Days]]&lt;=14,"Seedling",Table4_2[[#This Row],[Growth Days]]&lt;=35, "Vegetative",Table4_2[[#This Row],[Growth Days]]&lt;=50, "Maturity")</f>
        <v>Seedling</v>
      </c>
      <c r="L127" t="str">
        <f>IF(Table4_2[[#This Row],[TDS Value (ppm)]]&lt;560, "Low", IF(Table4_2[[#This Row],[TDS Value (ppm)]]&lt;=800,"Optimal","High"))</f>
        <v>Low</v>
      </c>
    </row>
    <row r="128" spans="1:12" x14ac:dyDescent="0.25">
      <c r="A128">
        <v>21</v>
      </c>
      <c r="B128" s="1">
        <v>45159</v>
      </c>
      <c r="C128" s="1" t="str">
        <f>TEXT(Table4_2[[#This Row],[Date]],"dddd")</f>
        <v>Monday</v>
      </c>
      <c r="D128" s="21">
        <v>30.2</v>
      </c>
      <c r="E128" s="21">
        <v>74</v>
      </c>
      <c r="F128" s="21">
        <v>636</v>
      </c>
      <c r="G128" s="21">
        <v>6.7</v>
      </c>
      <c r="H128">
        <v>19</v>
      </c>
      <c r="I128">
        <v>86.36</v>
      </c>
      <c r="J128">
        <v>0.74</v>
      </c>
      <c r="K128" t="str" cm="1">
        <f t="array" ref="K128">_xlfn.IFS(Table4_2[[#This Row],[Growth Days]]&lt;=14,"Seedling",Table4_2[[#This Row],[Growth Days]]&lt;=35, "Vegetative",Table4_2[[#This Row],[Growth Days]]&lt;=50, "Maturity")</f>
        <v>Vegetative</v>
      </c>
      <c r="L128" t="str">
        <f>IF(Table4_2[[#This Row],[TDS Value (ppm)]]&lt;560, "Low", IF(Table4_2[[#This Row],[TDS Value (ppm)]]&lt;=800,"Optimal","High"))</f>
        <v>Optimal</v>
      </c>
    </row>
    <row r="129" spans="1:12" x14ac:dyDescent="0.25">
      <c r="A129">
        <v>21</v>
      </c>
      <c r="B129" s="1">
        <v>45166</v>
      </c>
      <c r="C129" s="1" t="str">
        <f>TEXT(Table4_2[[#This Row],[Date]],"dddd")</f>
        <v>Monday</v>
      </c>
      <c r="D129" s="21">
        <v>29.4</v>
      </c>
      <c r="E129" s="21">
        <v>68</v>
      </c>
      <c r="F129" s="21">
        <v>600</v>
      </c>
      <c r="G129" s="21">
        <v>6.1</v>
      </c>
      <c r="H129">
        <v>26</v>
      </c>
      <c r="I129">
        <v>84.92</v>
      </c>
      <c r="J129">
        <v>0.68</v>
      </c>
      <c r="K129" t="str" cm="1">
        <f t="array" ref="K129">_xlfn.IFS(Table4_2[[#This Row],[Growth Days]]&lt;=14,"Seedling",Table4_2[[#This Row],[Growth Days]]&lt;=35, "Vegetative",Table4_2[[#This Row],[Growth Days]]&lt;=50, "Maturity")</f>
        <v>Vegetative</v>
      </c>
      <c r="L129" t="str">
        <f>IF(Table4_2[[#This Row],[TDS Value (ppm)]]&lt;560, "Low", IF(Table4_2[[#This Row],[TDS Value (ppm)]]&lt;=800,"Optimal","High"))</f>
        <v>Optimal</v>
      </c>
    </row>
    <row r="130" spans="1:12" x14ac:dyDescent="0.25">
      <c r="A130">
        <v>21</v>
      </c>
      <c r="B130" s="1">
        <v>45173</v>
      </c>
      <c r="C130" s="1" t="str">
        <f>TEXT(Table4_2[[#This Row],[Date]],"dddd")</f>
        <v>Monday</v>
      </c>
      <c r="D130" s="21">
        <v>31.7</v>
      </c>
      <c r="E130" s="21">
        <v>69</v>
      </c>
      <c r="F130" s="21">
        <v>620</v>
      </c>
      <c r="G130" s="21">
        <v>6.1</v>
      </c>
      <c r="H130">
        <v>33</v>
      </c>
      <c r="I130">
        <v>89.06</v>
      </c>
      <c r="J130">
        <v>0.69</v>
      </c>
      <c r="K130" t="str" cm="1">
        <f t="array" ref="K130">_xlfn.IFS(Table4_2[[#This Row],[Growth Days]]&lt;=14,"Seedling",Table4_2[[#This Row],[Growth Days]]&lt;=35, "Vegetative",Table4_2[[#This Row],[Growth Days]]&lt;=50, "Maturity")</f>
        <v>Vegetative</v>
      </c>
      <c r="L130" t="str">
        <f>IF(Table4_2[[#This Row],[TDS Value (ppm)]]&lt;560, "Low", IF(Table4_2[[#This Row],[TDS Value (ppm)]]&lt;=800,"Optimal","High"))</f>
        <v>Optimal</v>
      </c>
    </row>
    <row r="131" spans="1:12" x14ac:dyDescent="0.25">
      <c r="A131">
        <v>21</v>
      </c>
      <c r="B131" s="1">
        <v>45180</v>
      </c>
      <c r="C131" s="1" t="str">
        <f>TEXT(Table4_2[[#This Row],[Date]],"dddd")</f>
        <v>Monday</v>
      </c>
      <c r="D131" s="21">
        <v>31.2</v>
      </c>
      <c r="E131" s="21">
        <v>77</v>
      </c>
      <c r="F131" s="21">
        <v>610</v>
      </c>
      <c r="G131" s="21">
        <v>6.4</v>
      </c>
      <c r="H131">
        <v>40</v>
      </c>
      <c r="I131">
        <v>88.16</v>
      </c>
      <c r="J131">
        <v>0.77</v>
      </c>
      <c r="K131" t="str" cm="1">
        <f t="array" ref="K131">_xlfn.IFS(Table4_2[[#This Row],[Growth Days]]&lt;=14,"Seedling",Table4_2[[#This Row],[Growth Days]]&lt;=35, "Vegetative",Table4_2[[#This Row],[Growth Days]]&lt;=50, "Maturity")</f>
        <v>Maturity</v>
      </c>
      <c r="L131" t="str">
        <f>IF(Table4_2[[#This Row],[TDS Value (ppm)]]&lt;560, "Low", IF(Table4_2[[#This Row],[TDS Value (ppm)]]&lt;=800,"Optimal","High"))</f>
        <v>Optimal</v>
      </c>
    </row>
    <row r="132" spans="1:12" x14ac:dyDescent="0.25">
      <c r="A132">
        <v>22</v>
      </c>
      <c r="B132" s="1">
        <v>45145</v>
      </c>
      <c r="C132" s="1" t="str">
        <f>TEXT(Table4_2[[#This Row],[Date]],"dddd")</f>
        <v>Monday</v>
      </c>
      <c r="D132" s="21">
        <v>33.4</v>
      </c>
      <c r="E132" s="21">
        <v>65</v>
      </c>
      <c r="F132" s="21">
        <v>571</v>
      </c>
      <c r="G132" s="21">
        <v>6.3</v>
      </c>
      <c r="H132">
        <v>5</v>
      </c>
      <c r="I132">
        <v>92.12</v>
      </c>
      <c r="J132">
        <v>0.65</v>
      </c>
      <c r="K132" t="str" cm="1">
        <f t="array" ref="K132">_xlfn.IFS(Table4_2[[#This Row],[Growth Days]]&lt;=14,"Seedling",Table4_2[[#This Row],[Growth Days]]&lt;=35, "Vegetative",Table4_2[[#This Row],[Growth Days]]&lt;=50, "Maturity")</f>
        <v>Seedling</v>
      </c>
      <c r="L132" t="str">
        <f>IF(Table4_2[[#This Row],[TDS Value (ppm)]]&lt;560, "Low", IF(Table4_2[[#This Row],[TDS Value (ppm)]]&lt;=800,"Optimal","High"))</f>
        <v>Optimal</v>
      </c>
    </row>
    <row r="133" spans="1:12" x14ac:dyDescent="0.25">
      <c r="A133">
        <v>22</v>
      </c>
      <c r="B133" s="1">
        <v>45152</v>
      </c>
      <c r="C133" s="1" t="str">
        <f>TEXT(Table4_2[[#This Row],[Date]],"dddd")</f>
        <v>Monday</v>
      </c>
      <c r="D133" s="21">
        <v>30.1</v>
      </c>
      <c r="E133" s="21">
        <v>75</v>
      </c>
      <c r="F133" s="21">
        <v>713</v>
      </c>
      <c r="G133" s="21">
        <v>6.8</v>
      </c>
      <c r="H133">
        <v>12</v>
      </c>
      <c r="I133">
        <v>86.18</v>
      </c>
      <c r="J133">
        <v>0.75</v>
      </c>
      <c r="K133" t="str" cm="1">
        <f t="array" ref="K133">_xlfn.IFS(Table4_2[[#This Row],[Growth Days]]&lt;=14,"Seedling",Table4_2[[#This Row],[Growth Days]]&lt;=35, "Vegetative",Table4_2[[#This Row],[Growth Days]]&lt;=50, "Maturity")</f>
        <v>Seedling</v>
      </c>
      <c r="L133" t="str">
        <f>IF(Table4_2[[#This Row],[TDS Value (ppm)]]&lt;560, "Low", IF(Table4_2[[#This Row],[TDS Value (ppm)]]&lt;=800,"Optimal","High"))</f>
        <v>Optimal</v>
      </c>
    </row>
    <row r="134" spans="1:12" x14ac:dyDescent="0.25">
      <c r="A134">
        <v>22</v>
      </c>
      <c r="B134" s="1">
        <v>45159</v>
      </c>
      <c r="C134" s="1" t="str">
        <f>TEXT(Table4_2[[#This Row],[Date]],"dddd")</f>
        <v>Monday</v>
      </c>
      <c r="D134" s="21">
        <v>30.2</v>
      </c>
      <c r="E134" s="21">
        <v>55</v>
      </c>
      <c r="F134" s="21">
        <v>678</v>
      </c>
      <c r="G134" s="21">
        <v>6</v>
      </c>
      <c r="H134">
        <v>19</v>
      </c>
      <c r="I134">
        <v>86.36</v>
      </c>
      <c r="J134">
        <v>0.55000000000000004</v>
      </c>
      <c r="K134" t="str" cm="1">
        <f t="array" ref="K134">_xlfn.IFS(Table4_2[[#This Row],[Growth Days]]&lt;=14,"Seedling",Table4_2[[#This Row],[Growth Days]]&lt;=35, "Vegetative",Table4_2[[#This Row],[Growth Days]]&lt;=50, "Maturity")</f>
        <v>Vegetative</v>
      </c>
      <c r="L134" t="str">
        <f>IF(Table4_2[[#This Row],[TDS Value (ppm)]]&lt;560, "Low", IF(Table4_2[[#This Row],[TDS Value (ppm)]]&lt;=800,"Optimal","High"))</f>
        <v>Optimal</v>
      </c>
    </row>
    <row r="135" spans="1:12" x14ac:dyDescent="0.25">
      <c r="A135">
        <v>22</v>
      </c>
      <c r="B135" s="1">
        <v>45166</v>
      </c>
      <c r="C135" s="1" t="str">
        <f>TEXT(Table4_2[[#This Row],[Date]],"dddd")</f>
        <v>Monday</v>
      </c>
      <c r="D135" s="21">
        <v>29.4</v>
      </c>
      <c r="E135" s="21">
        <v>73</v>
      </c>
      <c r="F135" s="21">
        <v>745</v>
      </c>
      <c r="G135" s="21">
        <v>6.4</v>
      </c>
      <c r="H135">
        <v>26</v>
      </c>
      <c r="I135">
        <v>84.92</v>
      </c>
      <c r="J135">
        <v>0.73</v>
      </c>
      <c r="K135" t="str" cm="1">
        <f t="array" ref="K135">_xlfn.IFS(Table4_2[[#This Row],[Growth Days]]&lt;=14,"Seedling",Table4_2[[#This Row],[Growth Days]]&lt;=35, "Vegetative",Table4_2[[#This Row],[Growth Days]]&lt;=50, "Maturity")</f>
        <v>Vegetative</v>
      </c>
      <c r="L135" t="str">
        <f>IF(Table4_2[[#This Row],[TDS Value (ppm)]]&lt;560, "Low", IF(Table4_2[[#This Row],[TDS Value (ppm)]]&lt;=800,"Optimal","High"))</f>
        <v>Optimal</v>
      </c>
    </row>
    <row r="136" spans="1:12" x14ac:dyDescent="0.25">
      <c r="A136">
        <v>22</v>
      </c>
      <c r="B136" s="1">
        <v>45173</v>
      </c>
      <c r="C136" s="1" t="str">
        <f>TEXT(Table4_2[[#This Row],[Date]],"dddd")</f>
        <v>Monday</v>
      </c>
      <c r="D136" s="21">
        <v>31.7</v>
      </c>
      <c r="E136" s="21">
        <v>59</v>
      </c>
      <c r="F136" s="21">
        <v>533</v>
      </c>
      <c r="G136" s="21">
        <v>6.7</v>
      </c>
      <c r="H136">
        <v>33</v>
      </c>
      <c r="I136">
        <v>89.06</v>
      </c>
      <c r="J136">
        <v>0.59</v>
      </c>
      <c r="K136" t="str" cm="1">
        <f t="array" ref="K136">_xlfn.IFS(Table4_2[[#This Row],[Growth Days]]&lt;=14,"Seedling",Table4_2[[#This Row],[Growth Days]]&lt;=35, "Vegetative",Table4_2[[#This Row],[Growth Days]]&lt;=50, "Maturity")</f>
        <v>Vegetative</v>
      </c>
      <c r="L136" t="str">
        <f>IF(Table4_2[[#This Row],[TDS Value (ppm)]]&lt;560, "Low", IF(Table4_2[[#This Row],[TDS Value (ppm)]]&lt;=800,"Optimal","High"))</f>
        <v>Low</v>
      </c>
    </row>
    <row r="137" spans="1:12" x14ac:dyDescent="0.25">
      <c r="A137">
        <v>22</v>
      </c>
      <c r="B137" s="1">
        <v>45180</v>
      </c>
      <c r="C137" s="1" t="str">
        <f>TEXT(Table4_2[[#This Row],[Date]],"dddd")</f>
        <v>Monday</v>
      </c>
      <c r="D137" s="21">
        <v>31.2</v>
      </c>
      <c r="E137" s="21">
        <v>72</v>
      </c>
      <c r="F137" s="21">
        <v>765</v>
      </c>
      <c r="G137" s="21">
        <v>6.2</v>
      </c>
      <c r="H137">
        <v>40</v>
      </c>
      <c r="I137">
        <v>88.16</v>
      </c>
      <c r="J137">
        <v>0.72</v>
      </c>
      <c r="K137" t="str" cm="1">
        <f t="array" ref="K137">_xlfn.IFS(Table4_2[[#This Row],[Growth Days]]&lt;=14,"Seedling",Table4_2[[#This Row],[Growth Days]]&lt;=35, "Vegetative",Table4_2[[#This Row],[Growth Days]]&lt;=50, "Maturity")</f>
        <v>Maturity</v>
      </c>
      <c r="L137" t="str">
        <f>IF(Table4_2[[#This Row],[TDS Value (ppm)]]&lt;560, "Low", IF(Table4_2[[#This Row],[TDS Value (ppm)]]&lt;=800,"Optimal","High"))</f>
        <v>Optimal</v>
      </c>
    </row>
    <row r="138" spans="1:12" x14ac:dyDescent="0.25">
      <c r="A138">
        <v>23</v>
      </c>
      <c r="B138" s="1">
        <v>45145</v>
      </c>
      <c r="C138" s="1" t="str">
        <f>TEXT(Table4_2[[#This Row],[Date]],"dddd")</f>
        <v>Monday</v>
      </c>
      <c r="D138" s="21">
        <v>33.4</v>
      </c>
      <c r="E138" s="21">
        <v>61</v>
      </c>
      <c r="F138" s="21">
        <v>627</v>
      </c>
      <c r="G138" s="21">
        <v>6.4</v>
      </c>
      <c r="H138">
        <v>5</v>
      </c>
      <c r="I138">
        <v>92.12</v>
      </c>
      <c r="J138">
        <v>0.61</v>
      </c>
      <c r="K138" t="str" cm="1">
        <f t="array" ref="K138">_xlfn.IFS(Table4_2[[#This Row],[Growth Days]]&lt;=14,"Seedling",Table4_2[[#This Row],[Growth Days]]&lt;=35, "Vegetative",Table4_2[[#This Row],[Growth Days]]&lt;=50, "Maturity")</f>
        <v>Seedling</v>
      </c>
      <c r="L138" t="str">
        <f>IF(Table4_2[[#This Row],[TDS Value (ppm)]]&lt;560, "Low", IF(Table4_2[[#This Row],[TDS Value (ppm)]]&lt;=800,"Optimal","High"))</f>
        <v>Optimal</v>
      </c>
    </row>
    <row r="139" spans="1:12" x14ac:dyDescent="0.25">
      <c r="A139">
        <v>23</v>
      </c>
      <c r="B139" s="1">
        <v>45152</v>
      </c>
      <c r="C139" s="1" t="str">
        <f>TEXT(Table4_2[[#This Row],[Date]],"dddd")</f>
        <v>Monday</v>
      </c>
      <c r="D139" s="21">
        <v>30.1</v>
      </c>
      <c r="E139" s="21">
        <v>67</v>
      </c>
      <c r="F139" s="21">
        <v>547</v>
      </c>
      <c r="G139" s="21">
        <v>6.8</v>
      </c>
      <c r="H139">
        <v>12</v>
      </c>
      <c r="I139">
        <v>86.18</v>
      </c>
      <c r="J139">
        <v>0.67</v>
      </c>
      <c r="K139" t="str" cm="1">
        <f t="array" ref="K139">_xlfn.IFS(Table4_2[[#This Row],[Growth Days]]&lt;=14,"Seedling",Table4_2[[#This Row],[Growth Days]]&lt;=35, "Vegetative",Table4_2[[#This Row],[Growth Days]]&lt;=50, "Maturity")</f>
        <v>Seedling</v>
      </c>
      <c r="L139" t="str">
        <f>IF(Table4_2[[#This Row],[TDS Value (ppm)]]&lt;560, "Low", IF(Table4_2[[#This Row],[TDS Value (ppm)]]&lt;=800,"Optimal","High"))</f>
        <v>Low</v>
      </c>
    </row>
    <row r="140" spans="1:12" x14ac:dyDescent="0.25">
      <c r="A140">
        <v>23</v>
      </c>
      <c r="B140" s="1">
        <v>45159</v>
      </c>
      <c r="C140" s="1" t="str">
        <f>TEXT(Table4_2[[#This Row],[Date]],"dddd")</f>
        <v>Monday</v>
      </c>
      <c r="D140" s="21">
        <v>30.2</v>
      </c>
      <c r="E140" s="21">
        <v>69</v>
      </c>
      <c r="F140" s="21">
        <v>791</v>
      </c>
      <c r="G140" s="21">
        <v>6.4</v>
      </c>
      <c r="H140">
        <v>19</v>
      </c>
      <c r="I140">
        <v>86.36</v>
      </c>
      <c r="J140">
        <v>0.69</v>
      </c>
      <c r="K140" t="str" cm="1">
        <f t="array" ref="K140">_xlfn.IFS(Table4_2[[#This Row],[Growth Days]]&lt;=14,"Seedling",Table4_2[[#This Row],[Growth Days]]&lt;=35, "Vegetative",Table4_2[[#This Row],[Growth Days]]&lt;=50, "Maturity")</f>
        <v>Vegetative</v>
      </c>
      <c r="L140" t="str">
        <f>IF(Table4_2[[#This Row],[TDS Value (ppm)]]&lt;560, "Low", IF(Table4_2[[#This Row],[TDS Value (ppm)]]&lt;=800,"Optimal","High"))</f>
        <v>Optimal</v>
      </c>
    </row>
    <row r="141" spans="1:12" x14ac:dyDescent="0.25">
      <c r="A141">
        <v>23</v>
      </c>
      <c r="B141" s="1">
        <v>45166</v>
      </c>
      <c r="C141" s="1" t="str">
        <f>TEXT(Table4_2[[#This Row],[Date]],"dddd")</f>
        <v>Monday</v>
      </c>
      <c r="D141" s="21">
        <v>29.4</v>
      </c>
      <c r="E141" s="21">
        <v>75</v>
      </c>
      <c r="F141" s="21">
        <v>685</v>
      </c>
      <c r="G141" s="21">
        <v>6.1</v>
      </c>
      <c r="H141">
        <v>26</v>
      </c>
      <c r="I141">
        <v>84.92</v>
      </c>
      <c r="J141">
        <v>0.75</v>
      </c>
      <c r="K141" t="str" cm="1">
        <f t="array" ref="K141">_xlfn.IFS(Table4_2[[#This Row],[Growth Days]]&lt;=14,"Seedling",Table4_2[[#This Row],[Growth Days]]&lt;=35, "Vegetative",Table4_2[[#This Row],[Growth Days]]&lt;=50, "Maturity")</f>
        <v>Vegetative</v>
      </c>
      <c r="L141" t="str">
        <f>IF(Table4_2[[#This Row],[TDS Value (ppm)]]&lt;560, "Low", IF(Table4_2[[#This Row],[TDS Value (ppm)]]&lt;=800,"Optimal","High"))</f>
        <v>Optimal</v>
      </c>
    </row>
    <row r="142" spans="1:12" x14ac:dyDescent="0.25">
      <c r="A142">
        <v>23</v>
      </c>
      <c r="B142" s="1">
        <v>45173</v>
      </c>
      <c r="C142" s="1" t="str">
        <f>TEXT(Table4_2[[#This Row],[Date]],"dddd")</f>
        <v>Monday</v>
      </c>
      <c r="D142" s="21">
        <v>31.7</v>
      </c>
      <c r="E142" s="21">
        <v>53</v>
      </c>
      <c r="F142" s="21">
        <v>465</v>
      </c>
      <c r="G142" s="21">
        <v>6.5</v>
      </c>
      <c r="H142">
        <v>33</v>
      </c>
      <c r="I142">
        <v>89.06</v>
      </c>
      <c r="J142">
        <v>0.53</v>
      </c>
      <c r="K142" t="str" cm="1">
        <f t="array" ref="K142">_xlfn.IFS(Table4_2[[#This Row],[Growth Days]]&lt;=14,"Seedling",Table4_2[[#This Row],[Growth Days]]&lt;=35, "Vegetative",Table4_2[[#This Row],[Growth Days]]&lt;=50, "Maturity")</f>
        <v>Vegetative</v>
      </c>
      <c r="L142" t="str">
        <f>IF(Table4_2[[#This Row],[TDS Value (ppm)]]&lt;560, "Low", IF(Table4_2[[#This Row],[TDS Value (ppm)]]&lt;=800,"Optimal","High"))</f>
        <v>Low</v>
      </c>
    </row>
    <row r="143" spans="1:12" x14ac:dyDescent="0.25">
      <c r="A143">
        <v>23</v>
      </c>
      <c r="B143" s="1">
        <v>45180</v>
      </c>
      <c r="C143" s="1" t="str">
        <f>TEXT(Table4_2[[#This Row],[Date]],"dddd")</f>
        <v>Monday</v>
      </c>
      <c r="D143" s="21">
        <v>31.2</v>
      </c>
      <c r="E143" s="21">
        <v>66</v>
      </c>
      <c r="F143" s="21">
        <v>530</v>
      </c>
      <c r="G143" s="21">
        <v>6.3</v>
      </c>
      <c r="H143">
        <v>40</v>
      </c>
      <c r="I143">
        <v>88.16</v>
      </c>
      <c r="J143">
        <v>0.66</v>
      </c>
      <c r="K143" t="str" cm="1">
        <f t="array" ref="K143">_xlfn.IFS(Table4_2[[#This Row],[Growth Days]]&lt;=14,"Seedling",Table4_2[[#This Row],[Growth Days]]&lt;=35, "Vegetative",Table4_2[[#This Row],[Growth Days]]&lt;=50, "Maturity")</f>
        <v>Maturity</v>
      </c>
      <c r="L143" t="str">
        <f>IF(Table4_2[[#This Row],[TDS Value (ppm)]]&lt;560, "Low", IF(Table4_2[[#This Row],[TDS Value (ppm)]]&lt;=800,"Optimal","High"))</f>
        <v>Low</v>
      </c>
    </row>
    <row r="144" spans="1:12" x14ac:dyDescent="0.25">
      <c r="A144">
        <v>24</v>
      </c>
      <c r="B144" s="1">
        <v>45145</v>
      </c>
      <c r="C144" s="1" t="str">
        <f>TEXT(Table4_2[[#This Row],[Date]],"dddd")</f>
        <v>Monday</v>
      </c>
      <c r="D144" s="21">
        <v>32.299999999999997</v>
      </c>
      <c r="E144" s="21">
        <v>76</v>
      </c>
      <c r="F144" s="21">
        <v>608</v>
      </c>
      <c r="G144" s="21">
        <v>6.3</v>
      </c>
      <c r="H144">
        <v>5</v>
      </c>
      <c r="I144">
        <v>90.14</v>
      </c>
      <c r="J144">
        <v>0.76</v>
      </c>
      <c r="K144" t="str" cm="1">
        <f t="array" ref="K144">_xlfn.IFS(Table4_2[[#This Row],[Growth Days]]&lt;=14,"Seedling",Table4_2[[#This Row],[Growth Days]]&lt;=35, "Vegetative",Table4_2[[#This Row],[Growth Days]]&lt;=50, "Maturity")</f>
        <v>Seedling</v>
      </c>
      <c r="L144" t="str">
        <f>IF(Table4_2[[#This Row],[TDS Value (ppm)]]&lt;560, "Low", IF(Table4_2[[#This Row],[TDS Value (ppm)]]&lt;=800,"Optimal","High"))</f>
        <v>Optimal</v>
      </c>
    </row>
    <row r="145" spans="1:12" x14ac:dyDescent="0.25">
      <c r="A145">
        <v>24</v>
      </c>
      <c r="B145" s="1">
        <v>45152</v>
      </c>
      <c r="C145" s="1" t="str">
        <f>TEXT(Table4_2[[#This Row],[Date]],"dddd")</f>
        <v>Monday</v>
      </c>
      <c r="D145" s="21">
        <v>30.1</v>
      </c>
      <c r="E145" s="21">
        <v>55</v>
      </c>
      <c r="F145" s="21">
        <v>676</v>
      </c>
      <c r="G145" s="21">
        <v>6.1</v>
      </c>
      <c r="H145">
        <v>12</v>
      </c>
      <c r="I145">
        <v>86.18</v>
      </c>
      <c r="J145">
        <v>0.55000000000000004</v>
      </c>
      <c r="K145" t="str" cm="1">
        <f t="array" ref="K145">_xlfn.IFS(Table4_2[[#This Row],[Growth Days]]&lt;=14,"Seedling",Table4_2[[#This Row],[Growth Days]]&lt;=35, "Vegetative",Table4_2[[#This Row],[Growth Days]]&lt;=50, "Maturity")</f>
        <v>Seedling</v>
      </c>
      <c r="L145" t="str">
        <f>IF(Table4_2[[#This Row],[TDS Value (ppm)]]&lt;560, "Low", IF(Table4_2[[#This Row],[TDS Value (ppm)]]&lt;=800,"Optimal","High"))</f>
        <v>Optimal</v>
      </c>
    </row>
    <row r="146" spans="1:12" x14ac:dyDescent="0.25">
      <c r="A146">
        <v>24</v>
      </c>
      <c r="B146" s="1">
        <v>45159</v>
      </c>
      <c r="C146" s="1" t="str">
        <f>TEXT(Table4_2[[#This Row],[Date]],"dddd")</f>
        <v>Monday</v>
      </c>
      <c r="D146" s="21">
        <v>30.5</v>
      </c>
      <c r="E146" s="21">
        <v>69</v>
      </c>
      <c r="F146" s="21">
        <v>747</v>
      </c>
      <c r="G146" s="21">
        <v>6.7</v>
      </c>
      <c r="H146">
        <v>19</v>
      </c>
      <c r="I146">
        <v>86.9</v>
      </c>
      <c r="J146">
        <v>0.69</v>
      </c>
      <c r="K146" t="str" cm="1">
        <f t="array" ref="K146">_xlfn.IFS(Table4_2[[#This Row],[Growth Days]]&lt;=14,"Seedling",Table4_2[[#This Row],[Growth Days]]&lt;=35, "Vegetative",Table4_2[[#This Row],[Growth Days]]&lt;=50, "Maturity")</f>
        <v>Vegetative</v>
      </c>
      <c r="L146" t="str">
        <f>IF(Table4_2[[#This Row],[TDS Value (ppm)]]&lt;560, "Low", IF(Table4_2[[#This Row],[TDS Value (ppm)]]&lt;=800,"Optimal","High"))</f>
        <v>Optimal</v>
      </c>
    </row>
    <row r="147" spans="1:12" x14ac:dyDescent="0.25">
      <c r="A147">
        <v>24</v>
      </c>
      <c r="B147" s="1">
        <v>45166</v>
      </c>
      <c r="C147" s="1" t="str">
        <f>TEXT(Table4_2[[#This Row],[Date]],"dddd")</f>
        <v>Monday</v>
      </c>
      <c r="D147" s="21">
        <v>28.7</v>
      </c>
      <c r="E147" s="21">
        <v>77</v>
      </c>
      <c r="F147" s="21">
        <v>718</v>
      </c>
      <c r="G147" s="21">
        <v>6.2</v>
      </c>
      <c r="H147">
        <v>26</v>
      </c>
      <c r="I147">
        <v>83.66</v>
      </c>
      <c r="J147">
        <v>0.77</v>
      </c>
      <c r="K147" t="str" cm="1">
        <f t="array" ref="K147">_xlfn.IFS(Table4_2[[#This Row],[Growth Days]]&lt;=14,"Seedling",Table4_2[[#This Row],[Growth Days]]&lt;=35, "Vegetative",Table4_2[[#This Row],[Growth Days]]&lt;=50, "Maturity")</f>
        <v>Vegetative</v>
      </c>
      <c r="L147" t="str">
        <f>IF(Table4_2[[#This Row],[TDS Value (ppm)]]&lt;560, "Low", IF(Table4_2[[#This Row],[TDS Value (ppm)]]&lt;=800,"Optimal","High"))</f>
        <v>Optimal</v>
      </c>
    </row>
    <row r="148" spans="1:12" x14ac:dyDescent="0.25">
      <c r="A148">
        <v>24</v>
      </c>
      <c r="B148" s="1">
        <v>45173</v>
      </c>
      <c r="C148" s="1" t="str">
        <f>TEXT(Table4_2[[#This Row],[Date]],"dddd")</f>
        <v>Monday</v>
      </c>
      <c r="D148" s="21">
        <v>32</v>
      </c>
      <c r="E148" s="21">
        <v>69</v>
      </c>
      <c r="F148" s="21">
        <v>491</v>
      </c>
      <c r="G148" s="21">
        <v>6.1</v>
      </c>
      <c r="H148">
        <v>33</v>
      </c>
      <c r="I148">
        <v>89.6</v>
      </c>
      <c r="J148">
        <v>0.69</v>
      </c>
      <c r="K148" t="str" cm="1">
        <f t="array" ref="K148">_xlfn.IFS(Table4_2[[#This Row],[Growth Days]]&lt;=14,"Seedling",Table4_2[[#This Row],[Growth Days]]&lt;=35, "Vegetative",Table4_2[[#This Row],[Growth Days]]&lt;=50, "Maturity")</f>
        <v>Vegetative</v>
      </c>
      <c r="L148" t="str">
        <f>IF(Table4_2[[#This Row],[TDS Value (ppm)]]&lt;560, "Low", IF(Table4_2[[#This Row],[TDS Value (ppm)]]&lt;=800,"Optimal","High"))</f>
        <v>Low</v>
      </c>
    </row>
    <row r="149" spans="1:12" x14ac:dyDescent="0.25">
      <c r="A149">
        <v>24</v>
      </c>
      <c r="B149" s="1">
        <v>45180</v>
      </c>
      <c r="C149" s="1" t="str">
        <f>TEXT(Table4_2[[#This Row],[Date]],"dddd")</f>
        <v>Monday</v>
      </c>
      <c r="D149" s="21">
        <v>31.2</v>
      </c>
      <c r="E149" s="21">
        <v>70</v>
      </c>
      <c r="F149" s="21">
        <v>402</v>
      </c>
      <c r="G149" s="21">
        <v>6.7</v>
      </c>
      <c r="H149">
        <v>40</v>
      </c>
      <c r="I149">
        <v>88.16</v>
      </c>
      <c r="J149">
        <v>0.7</v>
      </c>
      <c r="K149" t="str" cm="1">
        <f t="array" ref="K149">_xlfn.IFS(Table4_2[[#This Row],[Growth Days]]&lt;=14,"Seedling",Table4_2[[#This Row],[Growth Days]]&lt;=35, "Vegetative",Table4_2[[#This Row],[Growth Days]]&lt;=50, "Maturity")</f>
        <v>Maturity</v>
      </c>
      <c r="L149" t="str">
        <f>IF(Table4_2[[#This Row],[TDS Value (ppm)]]&lt;560, "Low", IF(Table4_2[[#This Row],[TDS Value (ppm)]]&lt;=800,"Optimal","High"))</f>
        <v>Low</v>
      </c>
    </row>
    <row r="150" spans="1:12" x14ac:dyDescent="0.25">
      <c r="A150">
        <v>25</v>
      </c>
      <c r="B150" s="1">
        <v>45145</v>
      </c>
      <c r="C150" s="1" t="str">
        <f>TEXT(Table4_2[[#This Row],[Date]],"dddd")</f>
        <v>Monday</v>
      </c>
      <c r="D150" s="21">
        <v>33.4</v>
      </c>
      <c r="E150" s="21">
        <v>53</v>
      </c>
      <c r="F150" s="21">
        <v>781</v>
      </c>
      <c r="G150" s="21">
        <v>6.2</v>
      </c>
      <c r="H150">
        <v>5</v>
      </c>
      <c r="I150">
        <v>92.12</v>
      </c>
      <c r="J150">
        <v>0.53</v>
      </c>
      <c r="K150" t="str" cm="1">
        <f t="array" ref="K150">_xlfn.IFS(Table4_2[[#This Row],[Growth Days]]&lt;=14,"Seedling",Table4_2[[#This Row],[Growth Days]]&lt;=35, "Vegetative",Table4_2[[#This Row],[Growth Days]]&lt;=50, "Maturity")</f>
        <v>Seedling</v>
      </c>
      <c r="L150" t="str">
        <f>IF(Table4_2[[#This Row],[TDS Value (ppm)]]&lt;560, "Low", IF(Table4_2[[#This Row],[TDS Value (ppm)]]&lt;=800,"Optimal","High"))</f>
        <v>Optimal</v>
      </c>
    </row>
    <row r="151" spans="1:12" x14ac:dyDescent="0.25">
      <c r="A151">
        <v>25</v>
      </c>
      <c r="B151" s="1">
        <v>45152</v>
      </c>
      <c r="C151" s="1" t="str">
        <f>TEXT(Table4_2[[#This Row],[Date]],"dddd")</f>
        <v>Monday</v>
      </c>
      <c r="D151" s="21">
        <v>30.1</v>
      </c>
      <c r="E151" s="21">
        <v>63</v>
      </c>
      <c r="F151" s="21">
        <v>744</v>
      </c>
      <c r="G151" s="21">
        <v>6.2</v>
      </c>
      <c r="H151">
        <v>12</v>
      </c>
      <c r="I151">
        <v>86.18</v>
      </c>
      <c r="J151">
        <v>0.63</v>
      </c>
      <c r="K151" t="str" cm="1">
        <f t="array" ref="K151">_xlfn.IFS(Table4_2[[#This Row],[Growth Days]]&lt;=14,"Seedling",Table4_2[[#This Row],[Growth Days]]&lt;=35, "Vegetative",Table4_2[[#This Row],[Growth Days]]&lt;=50, "Maturity")</f>
        <v>Seedling</v>
      </c>
      <c r="L151" t="str">
        <f>IF(Table4_2[[#This Row],[TDS Value (ppm)]]&lt;560, "Low", IF(Table4_2[[#This Row],[TDS Value (ppm)]]&lt;=800,"Optimal","High"))</f>
        <v>Optimal</v>
      </c>
    </row>
    <row r="152" spans="1:12" x14ac:dyDescent="0.25">
      <c r="A152">
        <v>25</v>
      </c>
      <c r="B152" s="1">
        <v>45159</v>
      </c>
      <c r="C152" s="1" t="str">
        <f>TEXT(Table4_2[[#This Row],[Date]],"dddd")</f>
        <v>Monday</v>
      </c>
      <c r="D152" s="21">
        <v>30.2</v>
      </c>
      <c r="E152" s="21">
        <v>69</v>
      </c>
      <c r="F152" s="21">
        <v>719</v>
      </c>
      <c r="G152" s="21">
        <v>6.4</v>
      </c>
      <c r="H152">
        <v>19</v>
      </c>
      <c r="I152">
        <v>86.36</v>
      </c>
      <c r="J152">
        <v>0.69</v>
      </c>
      <c r="K152" t="str" cm="1">
        <f t="array" ref="K152">_xlfn.IFS(Table4_2[[#This Row],[Growth Days]]&lt;=14,"Seedling",Table4_2[[#This Row],[Growth Days]]&lt;=35, "Vegetative",Table4_2[[#This Row],[Growth Days]]&lt;=50, "Maturity")</f>
        <v>Vegetative</v>
      </c>
      <c r="L152" t="str">
        <f>IF(Table4_2[[#This Row],[TDS Value (ppm)]]&lt;560, "Low", IF(Table4_2[[#This Row],[TDS Value (ppm)]]&lt;=800,"Optimal","High"))</f>
        <v>Optimal</v>
      </c>
    </row>
    <row r="153" spans="1:12" x14ac:dyDescent="0.25">
      <c r="A153">
        <v>25</v>
      </c>
      <c r="B153" s="1">
        <v>45166</v>
      </c>
      <c r="C153" s="1" t="str">
        <f>TEXT(Table4_2[[#This Row],[Date]],"dddd")</f>
        <v>Monday</v>
      </c>
      <c r="D153" s="21">
        <v>29.4</v>
      </c>
      <c r="E153" s="21">
        <v>51</v>
      </c>
      <c r="F153" s="21">
        <v>470</v>
      </c>
      <c r="G153" s="21">
        <v>6.2</v>
      </c>
      <c r="H153">
        <v>26</v>
      </c>
      <c r="I153">
        <v>84.92</v>
      </c>
      <c r="J153">
        <v>0.51</v>
      </c>
      <c r="K153" t="str" cm="1">
        <f t="array" ref="K153">_xlfn.IFS(Table4_2[[#This Row],[Growth Days]]&lt;=14,"Seedling",Table4_2[[#This Row],[Growth Days]]&lt;=35, "Vegetative",Table4_2[[#This Row],[Growth Days]]&lt;=50, "Maturity")</f>
        <v>Vegetative</v>
      </c>
      <c r="L153" t="str">
        <f>IF(Table4_2[[#This Row],[TDS Value (ppm)]]&lt;560, "Low", IF(Table4_2[[#This Row],[TDS Value (ppm)]]&lt;=800,"Optimal","High"))</f>
        <v>Low</v>
      </c>
    </row>
    <row r="154" spans="1:12" x14ac:dyDescent="0.25">
      <c r="A154">
        <v>25</v>
      </c>
      <c r="B154" s="1">
        <v>45173</v>
      </c>
      <c r="C154" s="1" t="str">
        <f>TEXT(Table4_2[[#This Row],[Date]],"dddd")</f>
        <v>Monday</v>
      </c>
      <c r="D154" s="21">
        <v>31.7</v>
      </c>
      <c r="E154" s="21">
        <v>60</v>
      </c>
      <c r="F154" s="21">
        <v>551</v>
      </c>
      <c r="G154" s="21">
        <v>6.3</v>
      </c>
      <c r="H154">
        <v>33</v>
      </c>
      <c r="I154">
        <v>89.06</v>
      </c>
      <c r="J154">
        <v>0.6</v>
      </c>
      <c r="K154" t="str" cm="1">
        <f t="array" ref="K154">_xlfn.IFS(Table4_2[[#This Row],[Growth Days]]&lt;=14,"Seedling",Table4_2[[#This Row],[Growth Days]]&lt;=35, "Vegetative",Table4_2[[#This Row],[Growth Days]]&lt;=50, "Maturity")</f>
        <v>Vegetative</v>
      </c>
      <c r="L154" t="str">
        <f>IF(Table4_2[[#This Row],[TDS Value (ppm)]]&lt;560, "Low", IF(Table4_2[[#This Row],[TDS Value (ppm)]]&lt;=800,"Optimal","High"))</f>
        <v>Low</v>
      </c>
    </row>
    <row r="155" spans="1:12" x14ac:dyDescent="0.25">
      <c r="A155">
        <v>25</v>
      </c>
      <c r="B155" s="1">
        <v>45180</v>
      </c>
      <c r="C155" s="1" t="str">
        <f>TEXT(Table4_2[[#This Row],[Date]],"dddd")</f>
        <v>Monday</v>
      </c>
      <c r="D155" s="21">
        <v>31.2</v>
      </c>
      <c r="E155" s="21">
        <v>77</v>
      </c>
      <c r="F155" s="21">
        <v>680</v>
      </c>
      <c r="G155" s="21">
        <v>6.6</v>
      </c>
      <c r="H155">
        <v>40</v>
      </c>
      <c r="I155">
        <v>88.16</v>
      </c>
      <c r="J155">
        <v>0.77</v>
      </c>
      <c r="K155" t="str" cm="1">
        <f t="array" ref="K155">_xlfn.IFS(Table4_2[[#This Row],[Growth Days]]&lt;=14,"Seedling",Table4_2[[#This Row],[Growth Days]]&lt;=35, "Vegetative",Table4_2[[#This Row],[Growth Days]]&lt;=50, "Maturity")</f>
        <v>Maturity</v>
      </c>
      <c r="L155" t="str">
        <f>IF(Table4_2[[#This Row],[TDS Value (ppm)]]&lt;560, "Low", IF(Table4_2[[#This Row],[TDS Value (ppm)]]&lt;=800,"Optimal","High"))</f>
        <v>Optimal</v>
      </c>
    </row>
    <row r="156" spans="1:12" x14ac:dyDescent="0.25">
      <c r="A156">
        <v>26</v>
      </c>
      <c r="B156" s="1">
        <v>45145</v>
      </c>
      <c r="C156" s="1" t="str">
        <f>TEXT(Table4_2[[#This Row],[Date]],"dddd")</f>
        <v>Monday</v>
      </c>
      <c r="D156" s="21">
        <v>33.4</v>
      </c>
      <c r="E156" s="21">
        <v>70</v>
      </c>
      <c r="F156" s="21">
        <v>410</v>
      </c>
      <c r="G156" s="21">
        <v>6</v>
      </c>
      <c r="H156">
        <v>5</v>
      </c>
      <c r="I156">
        <v>92.12</v>
      </c>
      <c r="J156">
        <v>0.7</v>
      </c>
      <c r="K156" t="str" cm="1">
        <f t="array" ref="K156">_xlfn.IFS(Table4_2[[#This Row],[Growth Days]]&lt;=14,"Seedling",Table4_2[[#This Row],[Growth Days]]&lt;=35, "Vegetative",Table4_2[[#This Row],[Growth Days]]&lt;=50, "Maturity")</f>
        <v>Seedling</v>
      </c>
      <c r="L156" t="str">
        <f>IF(Table4_2[[#This Row],[TDS Value (ppm)]]&lt;560, "Low", IF(Table4_2[[#This Row],[TDS Value (ppm)]]&lt;=800,"Optimal","High"))</f>
        <v>Low</v>
      </c>
    </row>
    <row r="157" spans="1:12" x14ac:dyDescent="0.25">
      <c r="A157">
        <v>26</v>
      </c>
      <c r="B157" s="1">
        <v>45152</v>
      </c>
      <c r="C157" s="1" t="str">
        <f>TEXT(Table4_2[[#This Row],[Date]],"dddd")</f>
        <v>Monday</v>
      </c>
      <c r="D157" s="21">
        <v>30.1</v>
      </c>
      <c r="E157" s="21">
        <v>78</v>
      </c>
      <c r="F157" s="21">
        <v>482</v>
      </c>
      <c r="G157" s="21">
        <v>6.1</v>
      </c>
      <c r="H157">
        <v>12</v>
      </c>
      <c r="I157">
        <v>86.18</v>
      </c>
      <c r="J157">
        <v>0.78</v>
      </c>
      <c r="K157" t="str" cm="1">
        <f t="array" ref="K157">_xlfn.IFS(Table4_2[[#This Row],[Growth Days]]&lt;=14,"Seedling",Table4_2[[#This Row],[Growth Days]]&lt;=35, "Vegetative",Table4_2[[#This Row],[Growth Days]]&lt;=50, "Maturity")</f>
        <v>Seedling</v>
      </c>
      <c r="L157" t="str">
        <f>IF(Table4_2[[#This Row],[TDS Value (ppm)]]&lt;560, "Low", IF(Table4_2[[#This Row],[TDS Value (ppm)]]&lt;=800,"Optimal","High"))</f>
        <v>Low</v>
      </c>
    </row>
    <row r="158" spans="1:12" x14ac:dyDescent="0.25">
      <c r="A158">
        <v>26</v>
      </c>
      <c r="B158" s="1">
        <v>45159</v>
      </c>
      <c r="C158" s="1" t="str">
        <f>TEXT(Table4_2[[#This Row],[Date]],"dddd")</f>
        <v>Monday</v>
      </c>
      <c r="D158" s="21">
        <v>30.2</v>
      </c>
      <c r="E158" s="21">
        <v>52</v>
      </c>
      <c r="F158" s="21">
        <v>513</v>
      </c>
      <c r="G158" s="21">
        <v>6.6</v>
      </c>
      <c r="H158">
        <v>19</v>
      </c>
      <c r="I158">
        <v>86.36</v>
      </c>
      <c r="J158">
        <v>0.52</v>
      </c>
      <c r="K158" t="str" cm="1">
        <f t="array" ref="K158">_xlfn.IFS(Table4_2[[#This Row],[Growth Days]]&lt;=14,"Seedling",Table4_2[[#This Row],[Growth Days]]&lt;=35, "Vegetative",Table4_2[[#This Row],[Growth Days]]&lt;=50, "Maturity")</f>
        <v>Vegetative</v>
      </c>
      <c r="L158" t="str">
        <f>IF(Table4_2[[#This Row],[TDS Value (ppm)]]&lt;560, "Low", IF(Table4_2[[#This Row],[TDS Value (ppm)]]&lt;=800,"Optimal","High"))</f>
        <v>Low</v>
      </c>
    </row>
    <row r="159" spans="1:12" x14ac:dyDescent="0.25">
      <c r="A159">
        <v>26</v>
      </c>
      <c r="B159" s="1">
        <v>45166</v>
      </c>
      <c r="C159" s="1" t="str">
        <f>TEXT(Table4_2[[#This Row],[Date]],"dddd")</f>
        <v>Monday</v>
      </c>
      <c r="D159" s="21">
        <v>29.4</v>
      </c>
      <c r="E159" s="21">
        <v>57</v>
      </c>
      <c r="F159" s="21">
        <v>402</v>
      </c>
      <c r="G159" s="21">
        <v>6.5</v>
      </c>
      <c r="H159">
        <v>26</v>
      </c>
      <c r="I159">
        <v>84.92</v>
      </c>
      <c r="J159">
        <v>0.56999999999999995</v>
      </c>
      <c r="K159" t="str" cm="1">
        <f t="array" ref="K159">_xlfn.IFS(Table4_2[[#This Row],[Growth Days]]&lt;=14,"Seedling",Table4_2[[#This Row],[Growth Days]]&lt;=35, "Vegetative",Table4_2[[#This Row],[Growth Days]]&lt;=50, "Maturity")</f>
        <v>Vegetative</v>
      </c>
      <c r="L159" t="str">
        <f>IF(Table4_2[[#This Row],[TDS Value (ppm)]]&lt;560, "Low", IF(Table4_2[[#This Row],[TDS Value (ppm)]]&lt;=800,"Optimal","High"))</f>
        <v>Low</v>
      </c>
    </row>
    <row r="160" spans="1:12" x14ac:dyDescent="0.25">
      <c r="A160">
        <v>26</v>
      </c>
      <c r="B160" s="1">
        <v>45173</v>
      </c>
      <c r="C160" s="1" t="str">
        <f>TEXT(Table4_2[[#This Row],[Date]],"dddd")</f>
        <v>Monday</v>
      </c>
      <c r="D160" s="21">
        <v>31.7</v>
      </c>
      <c r="E160" s="21">
        <v>57</v>
      </c>
      <c r="F160" s="21">
        <v>662</v>
      </c>
      <c r="G160" s="21">
        <v>6.4</v>
      </c>
      <c r="H160">
        <v>33</v>
      </c>
      <c r="I160">
        <v>89.06</v>
      </c>
      <c r="J160">
        <v>0.56999999999999995</v>
      </c>
      <c r="K160" t="str" cm="1">
        <f t="array" ref="K160">_xlfn.IFS(Table4_2[[#This Row],[Growth Days]]&lt;=14,"Seedling",Table4_2[[#This Row],[Growth Days]]&lt;=35, "Vegetative",Table4_2[[#This Row],[Growth Days]]&lt;=50, "Maturity")</f>
        <v>Vegetative</v>
      </c>
      <c r="L160" t="str">
        <f>IF(Table4_2[[#This Row],[TDS Value (ppm)]]&lt;560, "Low", IF(Table4_2[[#This Row],[TDS Value (ppm)]]&lt;=800,"Optimal","High"))</f>
        <v>Optimal</v>
      </c>
    </row>
    <row r="161" spans="1:12" x14ac:dyDescent="0.25">
      <c r="A161">
        <v>26</v>
      </c>
      <c r="B161" s="1">
        <v>45180</v>
      </c>
      <c r="C161" s="1" t="str">
        <f>TEXT(Table4_2[[#This Row],[Date]],"dddd")</f>
        <v>Monday</v>
      </c>
      <c r="D161" s="21">
        <v>31.2</v>
      </c>
      <c r="E161" s="21">
        <v>58</v>
      </c>
      <c r="F161" s="21">
        <v>503</v>
      </c>
      <c r="G161" s="21">
        <v>6.3</v>
      </c>
      <c r="H161">
        <v>40</v>
      </c>
      <c r="I161">
        <v>88.16</v>
      </c>
      <c r="J161">
        <v>0.57999999999999996</v>
      </c>
      <c r="K161" t="str" cm="1">
        <f t="array" ref="K161">_xlfn.IFS(Table4_2[[#This Row],[Growth Days]]&lt;=14,"Seedling",Table4_2[[#This Row],[Growth Days]]&lt;=35, "Vegetative",Table4_2[[#This Row],[Growth Days]]&lt;=50, "Maturity")</f>
        <v>Maturity</v>
      </c>
      <c r="L161" t="str">
        <f>IF(Table4_2[[#This Row],[TDS Value (ppm)]]&lt;560, "Low", IF(Table4_2[[#This Row],[TDS Value (ppm)]]&lt;=800,"Optimal","High"))</f>
        <v>Low</v>
      </c>
    </row>
    <row r="162" spans="1:12" x14ac:dyDescent="0.25">
      <c r="A162">
        <v>27</v>
      </c>
      <c r="B162" s="1">
        <v>45145</v>
      </c>
      <c r="C162" s="1" t="str">
        <f>TEXT(Table4_2[[#This Row],[Date]],"dddd")</f>
        <v>Monday</v>
      </c>
      <c r="D162" s="21">
        <v>33.4</v>
      </c>
      <c r="E162" s="21">
        <v>67</v>
      </c>
      <c r="F162" s="21">
        <v>480</v>
      </c>
      <c r="G162" s="21">
        <v>6.1</v>
      </c>
      <c r="H162">
        <v>5</v>
      </c>
      <c r="I162">
        <v>92.12</v>
      </c>
      <c r="J162">
        <v>0.67</v>
      </c>
      <c r="K162" t="str" cm="1">
        <f t="array" ref="K162">_xlfn.IFS(Table4_2[[#This Row],[Growth Days]]&lt;=14,"Seedling",Table4_2[[#This Row],[Growth Days]]&lt;=35, "Vegetative",Table4_2[[#This Row],[Growth Days]]&lt;=50, "Maturity")</f>
        <v>Seedling</v>
      </c>
      <c r="L162" t="str">
        <f>IF(Table4_2[[#This Row],[TDS Value (ppm)]]&lt;560, "Low", IF(Table4_2[[#This Row],[TDS Value (ppm)]]&lt;=800,"Optimal","High"))</f>
        <v>Low</v>
      </c>
    </row>
    <row r="163" spans="1:12" x14ac:dyDescent="0.25">
      <c r="A163">
        <v>27</v>
      </c>
      <c r="B163" s="1">
        <v>45152</v>
      </c>
      <c r="C163" s="1" t="str">
        <f>TEXT(Table4_2[[#This Row],[Date]],"dddd")</f>
        <v>Monday</v>
      </c>
      <c r="D163" s="21">
        <v>30.1</v>
      </c>
      <c r="E163" s="21">
        <v>60</v>
      </c>
      <c r="F163" s="21">
        <v>653</v>
      </c>
      <c r="G163" s="21">
        <v>6.6</v>
      </c>
      <c r="H163">
        <v>12</v>
      </c>
      <c r="I163">
        <v>86.18</v>
      </c>
      <c r="J163">
        <v>0.6</v>
      </c>
      <c r="K163" t="str" cm="1">
        <f t="array" ref="K163">_xlfn.IFS(Table4_2[[#This Row],[Growth Days]]&lt;=14,"Seedling",Table4_2[[#This Row],[Growth Days]]&lt;=35, "Vegetative",Table4_2[[#This Row],[Growth Days]]&lt;=50, "Maturity")</f>
        <v>Seedling</v>
      </c>
      <c r="L163" t="str">
        <f>IF(Table4_2[[#This Row],[TDS Value (ppm)]]&lt;560, "Low", IF(Table4_2[[#This Row],[TDS Value (ppm)]]&lt;=800,"Optimal","High"))</f>
        <v>Optimal</v>
      </c>
    </row>
    <row r="164" spans="1:12" x14ac:dyDescent="0.25">
      <c r="A164">
        <v>27</v>
      </c>
      <c r="B164" s="1">
        <v>45159</v>
      </c>
      <c r="C164" s="1" t="str">
        <f>TEXT(Table4_2[[#This Row],[Date]],"dddd")</f>
        <v>Monday</v>
      </c>
      <c r="D164" s="21">
        <v>30.2</v>
      </c>
      <c r="E164" s="21">
        <v>78</v>
      </c>
      <c r="F164" s="21">
        <v>582</v>
      </c>
      <c r="G164" s="21">
        <v>6.7</v>
      </c>
      <c r="H164">
        <v>19</v>
      </c>
      <c r="I164">
        <v>86.36</v>
      </c>
      <c r="J164">
        <v>0.78</v>
      </c>
      <c r="K164" t="str" cm="1">
        <f t="array" ref="K164">_xlfn.IFS(Table4_2[[#This Row],[Growth Days]]&lt;=14,"Seedling",Table4_2[[#This Row],[Growth Days]]&lt;=35, "Vegetative",Table4_2[[#This Row],[Growth Days]]&lt;=50, "Maturity")</f>
        <v>Vegetative</v>
      </c>
      <c r="L164" t="str">
        <f>IF(Table4_2[[#This Row],[TDS Value (ppm)]]&lt;560, "Low", IF(Table4_2[[#This Row],[TDS Value (ppm)]]&lt;=800,"Optimal","High"))</f>
        <v>Optimal</v>
      </c>
    </row>
    <row r="165" spans="1:12" x14ac:dyDescent="0.25">
      <c r="A165">
        <v>27</v>
      </c>
      <c r="B165" s="1">
        <v>45166</v>
      </c>
      <c r="C165" s="1" t="str">
        <f>TEXT(Table4_2[[#This Row],[Date]],"dddd")</f>
        <v>Monday</v>
      </c>
      <c r="D165" s="21">
        <v>29.4</v>
      </c>
      <c r="E165" s="21">
        <v>66</v>
      </c>
      <c r="F165" s="21">
        <v>460</v>
      </c>
      <c r="G165" s="21">
        <v>6.7</v>
      </c>
      <c r="H165">
        <v>26</v>
      </c>
      <c r="I165">
        <v>84.92</v>
      </c>
      <c r="J165">
        <v>0.66</v>
      </c>
      <c r="K165" t="str" cm="1">
        <f t="array" ref="K165">_xlfn.IFS(Table4_2[[#This Row],[Growth Days]]&lt;=14,"Seedling",Table4_2[[#This Row],[Growth Days]]&lt;=35, "Vegetative",Table4_2[[#This Row],[Growth Days]]&lt;=50, "Maturity")</f>
        <v>Vegetative</v>
      </c>
      <c r="L165" t="str">
        <f>IF(Table4_2[[#This Row],[TDS Value (ppm)]]&lt;560, "Low", IF(Table4_2[[#This Row],[TDS Value (ppm)]]&lt;=800,"Optimal","High"))</f>
        <v>Low</v>
      </c>
    </row>
    <row r="166" spans="1:12" x14ac:dyDescent="0.25">
      <c r="A166">
        <v>27</v>
      </c>
      <c r="B166" s="1">
        <v>45173</v>
      </c>
      <c r="C166" s="1" t="str">
        <f>TEXT(Table4_2[[#This Row],[Date]],"dddd")</f>
        <v>Monday</v>
      </c>
      <c r="D166" s="21">
        <v>31.7</v>
      </c>
      <c r="E166" s="21">
        <v>52</v>
      </c>
      <c r="F166" s="21">
        <v>400</v>
      </c>
      <c r="G166" s="21">
        <v>6.5</v>
      </c>
      <c r="H166">
        <v>33</v>
      </c>
      <c r="I166">
        <v>89.06</v>
      </c>
      <c r="J166">
        <v>0.52</v>
      </c>
      <c r="K166" t="str" cm="1">
        <f t="array" ref="K166">_xlfn.IFS(Table4_2[[#This Row],[Growth Days]]&lt;=14,"Seedling",Table4_2[[#This Row],[Growth Days]]&lt;=35, "Vegetative",Table4_2[[#This Row],[Growth Days]]&lt;=50, "Maturity")</f>
        <v>Vegetative</v>
      </c>
      <c r="L166" t="str">
        <f>IF(Table4_2[[#This Row],[TDS Value (ppm)]]&lt;560, "Low", IF(Table4_2[[#This Row],[TDS Value (ppm)]]&lt;=800,"Optimal","High"))</f>
        <v>Low</v>
      </c>
    </row>
    <row r="167" spans="1:12" x14ac:dyDescent="0.25">
      <c r="A167">
        <v>27</v>
      </c>
      <c r="B167" s="1">
        <v>45180</v>
      </c>
      <c r="C167" s="1" t="str">
        <f>TEXT(Table4_2[[#This Row],[Date]],"dddd")</f>
        <v>Monday</v>
      </c>
      <c r="D167" s="21">
        <v>31.2</v>
      </c>
      <c r="E167" s="21">
        <v>61</v>
      </c>
      <c r="F167" s="21">
        <v>681</v>
      </c>
      <c r="G167" s="21">
        <v>6.6</v>
      </c>
      <c r="H167">
        <v>40</v>
      </c>
      <c r="I167">
        <v>88.16</v>
      </c>
      <c r="J167">
        <v>0.61</v>
      </c>
      <c r="K167" t="str" cm="1">
        <f t="array" ref="K167">_xlfn.IFS(Table4_2[[#This Row],[Growth Days]]&lt;=14,"Seedling",Table4_2[[#This Row],[Growth Days]]&lt;=35, "Vegetative",Table4_2[[#This Row],[Growth Days]]&lt;=50, "Maturity")</f>
        <v>Maturity</v>
      </c>
      <c r="L167" t="str">
        <f>IF(Table4_2[[#This Row],[TDS Value (ppm)]]&lt;560, "Low", IF(Table4_2[[#This Row],[TDS Value (ppm)]]&lt;=800,"Optimal","High"))</f>
        <v>Optimal</v>
      </c>
    </row>
    <row r="168" spans="1:12" x14ac:dyDescent="0.25">
      <c r="A168">
        <v>28</v>
      </c>
      <c r="B168" s="1">
        <v>45145</v>
      </c>
      <c r="C168" s="1" t="str">
        <f>TEXT(Table4_2[[#This Row],[Date]],"dddd")</f>
        <v>Monday</v>
      </c>
      <c r="D168" s="21">
        <v>33.4</v>
      </c>
      <c r="E168" s="21">
        <v>68</v>
      </c>
      <c r="F168" s="21">
        <v>598</v>
      </c>
      <c r="G168" s="21">
        <v>6.1</v>
      </c>
      <c r="H168">
        <v>5</v>
      </c>
      <c r="I168">
        <v>92.12</v>
      </c>
      <c r="J168">
        <v>0.68</v>
      </c>
      <c r="K168" t="str" cm="1">
        <f t="array" ref="K168">_xlfn.IFS(Table4_2[[#This Row],[Growth Days]]&lt;=14,"Seedling",Table4_2[[#This Row],[Growth Days]]&lt;=35, "Vegetative",Table4_2[[#This Row],[Growth Days]]&lt;=50, "Maturity")</f>
        <v>Seedling</v>
      </c>
      <c r="L168" t="str">
        <f>IF(Table4_2[[#This Row],[TDS Value (ppm)]]&lt;560, "Low", IF(Table4_2[[#This Row],[TDS Value (ppm)]]&lt;=800,"Optimal","High"))</f>
        <v>Optimal</v>
      </c>
    </row>
    <row r="169" spans="1:12" x14ac:dyDescent="0.25">
      <c r="A169">
        <v>28</v>
      </c>
      <c r="B169" s="1">
        <v>45152</v>
      </c>
      <c r="C169" s="1" t="str">
        <f>TEXT(Table4_2[[#This Row],[Date]],"dddd")</f>
        <v>Monday</v>
      </c>
      <c r="D169" s="21">
        <v>30.1</v>
      </c>
      <c r="E169" s="21">
        <v>79</v>
      </c>
      <c r="F169" s="21">
        <v>601</v>
      </c>
      <c r="G169" s="21">
        <v>6.5</v>
      </c>
      <c r="H169">
        <v>12</v>
      </c>
      <c r="I169">
        <v>86.18</v>
      </c>
      <c r="J169">
        <v>0.79</v>
      </c>
      <c r="K169" t="str" cm="1">
        <f t="array" ref="K169">_xlfn.IFS(Table4_2[[#This Row],[Growth Days]]&lt;=14,"Seedling",Table4_2[[#This Row],[Growth Days]]&lt;=35, "Vegetative",Table4_2[[#This Row],[Growth Days]]&lt;=50, "Maturity")</f>
        <v>Seedling</v>
      </c>
      <c r="L169" t="str">
        <f>IF(Table4_2[[#This Row],[TDS Value (ppm)]]&lt;560, "Low", IF(Table4_2[[#This Row],[TDS Value (ppm)]]&lt;=800,"Optimal","High"))</f>
        <v>Optimal</v>
      </c>
    </row>
    <row r="170" spans="1:12" x14ac:dyDescent="0.25">
      <c r="A170">
        <v>28</v>
      </c>
      <c r="B170" s="1">
        <v>45159</v>
      </c>
      <c r="C170" s="1" t="str">
        <f>TEXT(Table4_2[[#This Row],[Date]],"dddd")</f>
        <v>Monday</v>
      </c>
      <c r="D170" s="21">
        <v>30.2</v>
      </c>
      <c r="E170" s="21">
        <v>75</v>
      </c>
      <c r="F170" s="21">
        <v>643</v>
      </c>
      <c r="G170" s="21">
        <v>6.6</v>
      </c>
      <c r="H170">
        <v>19</v>
      </c>
      <c r="I170">
        <v>86.36</v>
      </c>
      <c r="J170">
        <v>0.75</v>
      </c>
      <c r="K170" t="str" cm="1">
        <f t="array" ref="K170">_xlfn.IFS(Table4_2[[#This Row],[Growth Days]]&lt;=14,"Seedling",Table4_2[[#This Row],[Growth Days]]&lt;=35, "Vegetative",Table4_2[[#This Row],[Growth Days]]&lt;=50, "Maturity")</f>
        <v>Vegetative</v>
      </c>
      <c r="L170" t="str">
        <f>IF(Table4_2[[#This Row],[TDS Value (ppm)]]&lt;560, "Low", IF(Table4_2[[#This Row],[TDS Value (ppm)]]&lt;=800,"Optimal","High"))</f>
        <v>Optimal</v>
      </c>
    </row>
    <row r="171" spans="1:12" x14ac:dyDescent="0.25">
      <c r="A171">
        <v>28</v>
      </c>
      <c r="B171" s="1">
        <v>45166</v>
      </c>
      <c r="C171" s="1" t="str">
        <f>TEXT(Table4_2[[#This Row],[Date]],"dddd")</f>
        <v>Monday</v>
      </c>
      <c r="D171" s="21">
        <v>29.4</v>
      </c>
      <c r="E171" s="21">
        <v>50</v>
      </c>
      <c r="F171" s="21">
        <v>626</v>
      </c>
      <c r="G171" s="21">
        <v>6</v>
      </c>
      <c r="H171">
        <v>26</v>
      </c>
      <c r="I171">
        <v>84.92</v>
      </c>
      <c r="J171">
        <v>0.5</v>
      </c>
      <c r="K171" t="str" cm="1">
        <f t="array" ref="K171">_xlfn.IFS(Table4_2[[#This Row],[Growth Days]]&lt;=14,"Seedling",Table4_2[[#This Row],[Growth Days]]&lt;=35, "Vegetative",Table4_2[[#This Row],[Growth Days]]&lt;=50, "Maturity")</f>
        <v>Vegetative</v>
      </c>
      <c r="L171" t="str">
        <f>IF(Table4_2[[#This Row],[TDS Value (ppm)]]&lt;560, "Low", IF(Table4_2[[#This Row],[TDS Value (ppm)]]&lt;=800,"Optimal","High"))</f>
        <v>Optimal</v>
      </c>
    </row>
    <row r="172" spans="1:12" x14ac:dyDescent="0.25">
      <c r="A172">
        <v>28</v>
      </c>
      <c r="B172" s="1">
        <v>45173</v>
      </c>
      <c r="C172" s="1" t="str">
        <f>TEXT(Table4_2[[#This Row],[Date]],"dddd")</f>
        <v>Monday</v>
      </c>
      <c r="D172" s="21">
        <v>31.7</v>
      </c>
      <c r="E172" s="21">
        <v>70</v>
      </c>
      <c r="F172" s="21">
        <v>689</v>
      </c>
      <c r="G172" s="21">
        <v>6.5</v>
      </c>
      <c r="H172">
        <v>33</v>
      </c>
      <c r="I172">
        <v>89.06</v>
      </c>
      <c r="J172">
        <v>0.7</v>
      </c>
      <c r="K172" t="str" cm="1">
        <f t="array" ref="K172">_xlfn.IFS(Table4_2[[#This Row],[Growth Days]]&lt;=14,"Seedling",Table4_2[[#This Row],[Growth Days]]&lt;=35, "Vegetative",Table4_2[[#This Row],[Growth Days]]&lt;=50, "Maturity")</f>
        <v>Vegetative</v>
      </c>
      <c r="L172" t="str">
        <f>IF(Table4_2[[#This Row],[TDS Value (ppm)]]&lt;560, "Low", IF(Table4_2[[#This Row],[TDS Value (ppm)]]&lt;=800,"Optimal","High"))</f>
        <v>Optimal</v>
      </c>
    </row>
    <row r="173" spans="1:12" x14ac:dyDescent="0.25">
      <c r="A173">
        <v>28</v>
      </c>
      <c r="B173" s="1">
        <v>45180</v>
      </c>
      <c r="C173" s="1" t="str">
        <f>TEXT(Table4_2[[#This Row],[Date]],"dddd")</f>
        <v>Monday</v>
      </c>
      <c r="D173" s="21">
        <v>31.2</v>
      </c>
      <c r="E173" s="21">
        <v>69</v>
      </c>
      <c r="F173" s="21">
        <v>531</v>
      </c>
      <c r="G173" s="21">
        <v>6.1</v>
      </c>
      <c r="H173">
        <v>40</v>
      </c>
      <c r="I173">
        <v>88.16</v>
      </c>
      <c r="J173">
        <v>0.69</v>
      </c>
      <c r="K173" t="str" cm="1">
        <f t="array" ref="K173">_xlfn.IFS(Table4_2[[#This Row],[Growth Days]]&lt;=14,"Seedling",Table4_2[[#This Row],[Growth Days]]&lt;=35, "Vegetative",Table4_2[[#This Row],[Growth Days]]&lt;=50, "Maturity")</f>
        <v>Maturity</v>
      </c>
      <c r="L173" t="str">
        <f>IF(Table4_2[[#This Row],[TDS Value (ppm)]]&lt;560, "Low", IF(Table4_2[[#This Row],[TDS Value (ppm)]]&lt;=800,"Optimal","High"))</f>
        <v>Low</v>
      </c>
    </row>
    <row r="174" spans="1:12" x14ac:dyDescent="0.25">
      <c r="A174">
        <v>29</v>
      </c>
      <c r="B174" s="1">
        <v>45145</v>
      </c>
      <c r="C174" s="1" t="str">
        <f>TEXT(Table4_2[[#This Row],[Date]],"dddd")</f>
        <v>Monday</v>
      </c>
      <c r="D174" s="21">
        <v>33.4</v>
      </c>
      <c r="E174" s="21">
        <v>74</v>
      </c>
      <c r="F174" s="21">
        <v>547</v>
      </c>
      <c r="G174" s="21">
        <v>6.6</v>
      </c>
      <c r="H174">
        <v>5</v>
      </c>
      <c r="I174">
        <v>92.12</v>
      </c>
      <c r="J174">
        <v>0.74</v>
      </c>
      <c r="K174" t="str" cm="1">
        <f t="array" ref="K174">_xlfn.IFS(Table4_2[[#This Row],[Growth Days]]&lt;=14,"Seedling",Table4_2[[#This Row],[Growth Days]]&lt;=35, "Vegetative",Table4_2[[#This Row],[Growth Days]]&lt;=50, "Maturity")</f>
        <v>Seedling</v>
      </c>
      <c r="L174" t="str">
        <f>IF(Table4_2[[#This Row],[TDS Value (ppm)]]&lt;560, "Low", IF(Table4_2[[#This Row],[TDS Value (ppm)]]&lt;=800,"Optimal","High"))</f>
        <v>Low</v>
      </c>
    </row>
    <row r="175" spans="1:12" x14ac:dyDescent="0.25">
      <c r="A175">
        <v>29</v>
      </c>
      <c r="B175" s="1">
        <v>45152</v>
      </c>
      <c r="C175" s="1" t="str">
        <f>TEXT(Table4_2[[#This Row],[Date]],"dddd")</f>
        <v>Monday</v>
      </c>
      <c r="D175" s="21">
        <v>30.1</v>
      </c>
      <c r="E175" s="21">
        <v>58</v>
      </c>
      <c r="F175" s="21">
        <v>789</v>
      </c>
      <c r="G175" s="21">
        <v>6.8</v>
      </c>
      <c r="H175">
        <v>12</v>
      </c>
      <c r="I175">
        <v>86.18</v>
      </c>
      <c r="J175">
        <v>0.57999999999999996</v>
      </c>
      <c r="K175" t="str" cm="1">
        <f t="array" ref="K175">_xlfn.IFS(Table4_2[[#This Row],[Growth Days]]&lt;=14,"Seedling",Table4_2[[#This Row],[Growth Days]]&lt;=35, "Vegetative",Table4_2[[#This Row],[Growth Days]]&lt;=50, "Maturity")</f>
        <v>Seedling</v>
      </c>
      <c r="L175" t="str">
        <f>IF(Table4_2[[#This Row],[TDS Value (ppm)]]&lt;560, "Low", IF(Table4_2[[#This Row],[TDS Value (ppm)]]&lt;=800,"Optimal","High"))</f>
        <v>Optimal</v>
      </c>
    </row>
    <row r="176" spans="1:12" x14ac:dyDescent="0.25">
      <c r="A176">
        <v>29</v>
      </c>
      <c r="B176" s="1">
        <v>45159</v>
      </c>
      <c r="C176" s="1" t="str">
        <f>TEXT(Table4_2[[#This Row],[Date]],"dddd")</f>
        <v>Monday</v>
      </c>
      <c r="D176" s="21">
        <v>30.2</v>
      </c>
      <c r="E176" s="21">
        <v>65</v>
      </c>
      <c r="F176" s="21">
        <v>562</v>
      </c>
      <c r="G176" s="21">
        <v>6.7</v>
      </c>
      <c r="H176">
        <v>19</v>
      </c>
      <c r="I176">
        <v>86.36</v>
      </c>
      <c r="J176">
        <v>0.65</v>
      </c>
      <c r="K176" t="str" cm="1">
        <f t="array" ref="K176">_xlfn.IFS(Table4_2[[#This Row],[Growth Days]]&lt;=14,"Seedling",Table4_2[[#This Row],[Growth Days]]&lt;=35, "Vegetative",Table4_2[[#This Row],[Growth Days]]&lt;=50, "Maturity")</f>
        <v>Vegetative</v>
      </c>
      <c r="L176" t="str">
        <f>IF(Table4_2[[#This Row],[TDS Value (ppm)]]&lt;560, "Low", IF(Table4_2[[#This Row],[TDS Value (ppm)]]&lt;=800,"Optimal","High"))</f>
        <v>Optimal</v>
      </c>
    </row>
    <row r="177" spans="1:12" x14ac:dyDescent="0.25">
      <c r="A177">
        <v>29</v>
      </c>
      <c r="B177" s="1">
        <v>45166</v>
      </c>
      <c r="C177" s="1" t="str">
        <f>TEXT(Table4_2[[#This Row],[Date]],"dddd")</f>
        <v>Monday</v>
      </c>
      <c r="D177" s="21">
        <v>29.4</v>
      </c>
      <c r="E177" s="21">
        <v>59</v>
      </c>
      <c r="F177" s="21">
        <v>795</v>
      </c>
      <c r="G177" s="21">
        <v>6.3</v>
      </c>
      <c r="H177">
        <v>26</v>
      </c>
      <c r="I177">
        <v>84.92</v>
      </c>
      <c r="J177">
        <v>0.59</v>
      </c>
      <c r="K177" t="str" cm="1">
        <f t="array" ref="K177">_xlfn.IFS(Table4_2[[#This Row],[Growth Days]]&lt;=14,"Seedling",Table4_2[[#This Row],[Growth Days]]&lt;=35, "Vegetative",Table4_2[[#This Row],[Growth Days]]&lt;=50, "Maturity")</f>
        <v>Vegetative</v>
      </c>
      <c r="L177" t="str">
        <f>IF(Table4_2[[#This Row],[TDS Value (ppm)]]&lt;560, "Low", IF(Table4_2[[#This Row],[TDS Value (ppm)]]&lt;=800,"Optimal","High"))</f>
        <v>Optimal</v>
      </c>
    </row>
    <row r="178" spans="1:12" x14ac:dyDescent="0.25">
      <c r="A178">
        <v>29</v>
      </c>
      <c r="B178" s="1">
        <v>45173</v>
      </c>
      <c r="C178" s="1" t="str">
        <f>TEXT(Table4_2[[#This Row],[Date]],"dddd")</f>
        <v>Monday</v>
      </c>
      <c r="D178" s="21">
        <v>31.7</v>
      </c>
      <c r="E178" s="21">
        <v>73</v>
      </c>
      <c r="F178" s="21">
        <v>763</v>
      </c>
      <c r="G178" s="21">
        <v>6.6</v>
      </c>
      <c r="H178">
        <v>33</v>
      </c>
      <c r="I178">
        <v>89.06</v>
      </c>
      <c r="J178">
        <v>0.73</v>
      </c>
      <c r="K178" t="str" cm="1">
        <f t="array" ref="K178">_xlfn.IFS(Table4_2[[#This Row],[Growth Days]]&lt;=14,"Seedling",Table4_2[[#This Row],[Growth Days]]&lt;=35, "Vegetative",Table4_2[[#This Row],[Growth Days]]&lt;=50, "Maturity")</f>
        <v>Vegetative</v>
      </c>
      <c r="L178" t="str">
        <f>IF(Table4_2[[#This Row],[TDS Value (ppm)]]&lt;560, "Low", IF(Table4_2[[#This Row],[TDS Value (ppm)]]&lt;=800,"Optimal","High"))</f>
        <v>Optimal</v>
      </c>
    </row>
    <row r="179" spans="1:12" x14ac:dyDescent="0.25">
      <c r="A179">
        <v>29</v>
      </c>
      <c r="B179" s="1">
        <v>45180</v>
      </c>
      <c r="C179" s="1" t="str">
        <f>TEXT(Table4_2[[#This Row],[Date]],"dddd")</f>
        <v>Monday</v>
      </c>
      <c r="D179" s="21">
        <v>31.2</v>
      </c>
      <c r="E179" s="21">
        <v>59</v>
      </c>
      <c r="F179" s="21">
        <v>493</v>
      </c>
      <c r="G179" s="21">
        <v>6.8</v>
      </c>
      <c r="H179">
        <v>40</v>
      </c>
      <c r="I179">
        <v>88.16</v>
      </c>
      <c r="J179">
        <v>0.59</v>
      </c>
      <c r="K179" t="str" cm="1">
        <f t="array" ref="K179">_xlfn.IFS(Table4_2[[#This Row],[Growth Days]]&lt;=14,"Seedling",Table4_2[[#This Row],[Growth Days]]&lt;=35, "Vegetative",Table4_2[[#This Row],[Growth Days]]&lt;=50, "Maturity")</f>
        <v>Maturity</v>
      </c>
      <c r="L179" t="str">
        <f>IF(Table4_2[[#This Row],[TDS Value (ppm)]]&lt;560, "Low", IF(Table4_2[[#This Row],[TDS Value (ppm)]]&lt;=800,"Optimal","High"))</f>
        <v>Low</v>
      </c>
    </row>
    <row r="180" spans="1:12" x14ac:dyDescent="0.25">
      <c r="A180">
        <v>30</v>
      </c>
      <c r="B180" s="1">
        <v>45145</v>
      </c>
      <c r="C180" s="1" t="str">
        <f>TEXT(Table4_2[[#This Row],[Date]],"dddd")</f>
        <v>Monday</v>
      </c>
      <c r="D180" s="21">
        <v>33.4</v>
      </c>
      <c r="E180" s="21">
        <v>50</v>
      </c>
      <c r="F180" s="21">
        <v>547</v>
      </c>
      <c r="G180" s="21">
        <v>6.4</v>
      </c>
      <c r="H180">
        <v>5</v>
      </c>
      <c r="I180">
        <v>92.12</v>
      </c>
      <c r="J180">
        <v>0.5</v>
      </c>
      <c r="K180" t="str" cm="1">
        <f t="array" ref="K180">_xlfn.IFS(Table4_2[[#This Row],[Growth Days]]&lt;=14,"Seedling",Table4_2[[#This Row],[Growth Days]]&lt;=35, "Vegetative",Table4_2[[#This Row],[Growth Days]]&lt;=50, "Maturity")</f>
        <v>Seedling</v>
      </c>
      <c r="L180" t="str">
        <f>IF(Table4_2[[#This Row],[TDS Value (ppm)]]&lt;560, "Low", IF(Table4_2[[#This Row],[TDS Value (ppm)]]&lt;=800,"Optimal","High"))</f>
        <v>Low</v>
      </c>
    </row>
    <row r="181" spans="1:12" x14ac:dyDescent="0.25">
      <c r="A181">
        <v>30</v>
      </c>
      <c r="B181" s="1">
        <v>45152</v>
      </c>
      <c r="C181" s="1" t="str">
        <f>TEXT(Table4_2[[#This Row],[Date]],"dddd")</f>
        <v>Monday</v>
      </c>
      <c r="D181" s="21">
        <v>30.1</v>
      </c>
      <c r="E181" s="21">
        <v>72</v>
      </c>
      <c r="F181" s="21">
        <v>567</v>
      </c>
      <c r="G181" s="21">
        <v>6.6</v>
      </c>
      <c r="H181">
        <v>12</v>
      </c>
      <c r="I181">
        <v>86.18</v>
      </c>
      <c r="J181">
        <v>0.72</v>
      </c>
      <c r="K181" t="str" cm="1">
        <f t="array" ref="K181">_xlfn.IFS(Table4_2[[#This Row],[Growth Days]]&lt;=14,"Seedling",Table4_2[[#This Row],[Growth Days]]&lt;=35, "Vegetative",Table4_2[[#This Row],[Growth Days]]&lt;=50, "Maturity")</f>
        <v>Seedling</v>
      </c>
      <c r="L181" t="str">
        <f>IF(Table4_2[[#This Row],[TDS Value (ppm)]]&lt;560, "Low", IF(Table4_2[[#This Row],[TDS Value (ppm)]]&lt;=800,"Optimal","High"))</f>
        <v>Optimal</v>
      </c>
    </row>
    <row r="182" spans="1:12" x14ac:dyDescent="0.25">
      <c r="A182">
        <v>30</v>
      </c>
      <c r="B182" s="1">
        <v>45159</v>
      </c>
      <c r="C182" s="1" t="str">
        <f>TEXT(Table4_2[[#This Row],[Date]],"dddd")</f>
        <v>Monday</v>
      </c>
      <c r="D182" s="21">
        <v>30.2</v>
      </c>
      <c r="E182" s="21">
        <v>61</v>
      </c>
      <c r="F182" s="21">
        <v>562</v>
      </c>
      <c r="G182" s="21">
        <v>6.6</v>
      </c>
      <c r="H182">
        <v>19</v>
      </c>
      <c r="I182">
        <v>86.36</v>
      </c>
      <c r="J182">
        <v>0.61</v>
      </c>
      <c r="K182" t="str" cm="1">
        <f t="array" ref="K182">_xlfn.IFS(Table4_2[[#This Row],[Growth Days]]&lt;=14,"Seedling",Table4_2[[#This Row],[Growth Days]]&lt;=35, "Vegetative",Table4_2[[#This Row],[Growth Days]]&lt;=50, "Maturity")</f>
        <v>Vegetative</v>
      </c>
      <c r="L182" t="str">
        <f>IF(Table4_2[[#This Row],[TDS Value (ppm)]]&lt;560, "Low", IF(Table4_2[[#This Row],[TDS Value (ppm)]]&lt;=800,"Optimal","High"))</f>
        <v>Optimal</v>
      </c>
    </row>
    <row r="183" spans="1:12" x14ac:dyDescent="0.25">
      <c r="A183">
        <v>30</v>
      </c>
      <c r="B183" s="1">
        <v>45166</v>
      </c>
      <c r="C183" s="1" t="str">
        <f>TEXT(Table4_2[[#This Row],[Date]],"dddd")</f>
        <v>Monday</v>
      </c>
      <c r="D183" s="21">
        <v>29.4</v>
      </c>
      <c r="E183" s="21">
        <v>63</v>
      </c>
      <c r="F183" s="21">
        <v>462</v>
      </c>
      <c r="G183" s="21">
        <v>6.2</v>
      </c>
      <c r="H183">
        <v>26</v>
      </c>
      <c r="I183">
        <v>84.92</v>
      </c>
      <c r="J183">
        <v>0.63</v>
      </c>
      <c r="K183" t="str" cm="1">
        <f t="array" ref="K183">_xlfn.IFS(Table4_2[[#This Row],[Growth Days]]&lt;=14,"Seedling",Table4_2[[#This Row],[Growth Days]]&lt;=35, "Vegetative",Table4_2[[#This Row],[Growth Days]]&lt;=50, "Maturity")</f>
        <v>Vegetative</v>
      </c>
      <c r="L183" t="str">
        <f>IF(Table4_2[[#This Row],[TDS Value (ppm)]]&lt;560, "Low", IF(Table4_2[[#This Row],[TDS Value (ppm)]]&lt;=800,"Optimal","High"))</f>
        <v>Low</v>
      </c>
    </row>
    <row r="184" spans="1:12" x14ac:dyDescent="0.25">
      <c r="A184">
        <v>30</v>
      </c>
      <c r="B184" s="1">
        <v>45173</v>
      </c>
      <c r="C184" s="1" t="str">
        <f>TEXT(Table4_2[[#This Row],[Date]],"dddd")</f>
        <v>Monday</v>
      </c>
      <c r="D184" s="21">
        <v>31.7</v>
      </c>
      <c r="E184" s="21">
        <v>62</v>
      </c>
      <c r="F184" s="21">
        <v>468</v>
      </c>
      <c r="G184" s="21">
        <v>6.1</v>
      </c>
      <c r="H184">
        <v>33</v>
      </c>
      <c r="I184">
        <v>89.06</v>
      </c>
      <c r="J184">
        <v>0.62</v>
      </c>
      <c r="K184" t="str" cm="1">
        <f t="array" ref="K184">_xlfn.IFS(Table4_2[[#This Row],[Growth Days]]&lt;=14,"Seedling",Table4_2[[#This Row],[Growth Days]]&lt;=35, "Vegetative",Table4_2[[#This Row],[Growth Days]]&lt;=50, "Maturity")</f>
        <v>Vegetative</v>
      </c>
      <c r="L184" t="str">
        <f>IF(Table4_2[[#This Row],[TDS Value (ppm)]]&lt;560, "Low", IF(Table4_2[[#This Row],[TDS Value (ppm)]]&lt;=800,"Optimal","High"))</f>
        <v>Low</v>
      </c>
    </row>
    <row r="185" spans="1:12" x14ac:dyDescent="0.25">
      <c r="A185">
        <v>30</v>
      </c>
      <c r="B185" s="1">
        <v>45180</v>
      </c>
      <c r="C185" s="1" t="str">
        <f>TEXT(Table4_2[[#This Row],[Date]],"dddd")</f>
        <v>Monday</v>
      </c>
      <c r="D185" s="21">
        <v>31.2</v>
      </c>
      <c r="E185" s="21">
        <v>64</v>
      </c>
      <c r="F185" s="21">
        <v>692</v>
      </c>
      <c r="G185" s="21">
        <v>6.1</v>
      </c>
      <c r="H185">
        <v>40</v>
      </c>
      <c r="I185">
        <v>88.16</v>
      </c>
      <c r="J185">
        <v>0.64</v>
      </c>
      <c r="K185" t="str" cm="1">
        <f t="array" ref="K185">_xlfn.IFS(Table4_2[[#This Row],[Growth Days]]&lt;=14,"Seedling",Table4_2[[#This Row],[Growth Days]]&lt;=35, "Vegetative",Table4_2[[#This Row],[Growth Days]]&lt;=50, "Maturity")</f>
        <v>Maturity</v>
      </c>
      <c r="L185" t="str">
        <f>IF(Table4_2[[#This Row],[TDS Value (ppm)]]&lt;560, "Low", IF(Table4_2[[#This Row],[TDS Value (ppm)]]&lt;=800,"Optimal","High"))</f>
        <v>Optimal</v>
      </c>
    </row>
    <row r="186" spans="1:12" x14ac:dyDescent="0.25">
      <c r="A186">
        <v>31</v>
      </c>
      <c r="B186" s="1">
        <v>45145</v>
      </c>
      <c r="C186" s="1" t="str">
        <f>TEXT(Table4_2[[#This Row],[Date]],"dddd")</f>
        <v>Monday</v>
      </c>
      <c r="D186" s="21">
        <v>33.4</v>
      </c>
      <c r="E186" s="21">
        <v>69</v>
      </c>
      <c r="F186" s="21">
        <v>513</v>
      </c>
      <c r="G186" s="21">
        <v>6.2</v>
      </c>
      <c r="H186">
        <v>5</v>
      </c>
      <c r="I186">
        <v>92.12</v>
      </c>
      <c r="J186">
        <v>0.69</v>
      </c>
      <c r="K186" t="str" cm="1">
        <f t="array" ref="K186">_xlfn.IFS(Table4_2[[#This Row],[Growth Days]]&lt;=14,"Seedling",Table4_2[[#This Row],[Growth Days]]&lt;=35, "Vegetative",Table4_2[[#This Row],[Growth Days]]&lt;=50, "Maturity")</f>
        <v>Seedling</v>
      </c>
      <c r="L186" t="str">
        <f>IF(Table4_2[[#This Row],[TDS Value (ppm)]]&lt;560, "Low", IF(Table4_2[[#This Row],[TDS Value (ppm)]]&lt;=800,"Optimal","High"))</f>
        <v>Low</v>
      </c>
    </row>
    <row r="187" spans="1:12" x14ac:dyDescent="0.25">
      <c r="A187">
        <v>31</v>
      </c>
      <c r="B187" s="1">
        <v>45152</v>
      </c>
      <c r="C187" s="1" t="str">
        <f>TEXT(Table4_2[[#This Row],[Date]],"dddd")</f>
        <v>Monday</v>
      </c>
      <c r="D187" s="21">
        <v>30.1</v>
      </c>
      <c r="E187" s="21">
        <v>53</v>
      </c>
      <c r="F187" s="21">
        <v>477</v>
      </c>
      <c r="G187" s="21">
        <v>6.8</v>
      </c>
      <c r="H187">
        <v>12</v>
      </c>
      <c r="I187">
        <v>86.18</v>
      </c>
      <c r="J187">
        <v>0.53</v>
      </c>
      <c r="K187" t="str" cm="1">
        <f t="array" ref="K187">_xlfn.IFS(Table4_2[[#This Row],[Growth Days]]&lt;=14,"Seedling",Table4_2[[#This Row],[Growth Days]]&lt;=35, "Vegetative",Table4_2[[#This Row],[Growth Days]]&lt;=50, "Maturity")</f>
        <v>Seedling</v>
      </c>
      <c r="L187" t="str">
        <f>IF(Table4_2[[#This Row],[TDS Value (ppm)]]&lt;560, "Low", IF(Table4_2[[#This Row],[TDS Value (ppm)]]&lt;=800,"Optimal","High"))</f>
        <v>Low</v>
      </c>
    </row>
    <row r="188" spans="1:12" x14ac:dyDescent="0.25">
      <c r="A188">
        <v>31</v>
      </c>
      <c r="B188" s="1">
        <v>45159</v>
      </c>
      <c r="C188" s="1" t="str">
        <f>TEXT(Table4_2[[#This Row],[Date]],"dddd")</f>
        <v>Monday</v>
      </c>
      <c r="D188" s="21">
        <v>30.2</v>
      </c>
      <c r="E188" s="21">
        <v>72</v>
      </c>
      <c r="F188" s="21">
        <v>516</v>
      </c>
      <c r="G188" s="21">
        <v>6.7</v>
      </c>
      <c r="H188">
        <v>19</v>
      </c>
      <c r="I188">
        <v>86.36</v>
      </c>
      <c r="J188">
        <v>0.72</v>
      </c>
      <c r="K188" t="str" cm="1">
        <f t="array" ref="K188">_xlfn.IFS(Table4_2[[#This Row],[Growth Days]]&lt;=14,"Seedling",Table4_2[[#This Row],[Growth Days]]&lt;=35, "Vegetative",Table4_2[[#This Row],[Growth Days]]&lt;=50, "Maturity")</f>
        <v>Vegetative</v>
      </c>
      <c r="L188" t="str">
        <f>IF(Table4_2[[#This Row],[TDS Value (ppm)]]&lt;560, "Low", IF(Table4_2[[#This Row],[TDS Value (ppm)]]&lt;=800,"Optimal","High"))</f>
        <v>Low</v>
      </c>
    </row>
    <row r="189" spans="1:12" x14ac:dyDescent="0.25">
      <c r="A189">
        <v>31</v>
      </c>
      <c r="B189" s="1">
        <v>45166</v>
      </c>
      <c r="C189" s="1" t="str">
        <f>TEXT(Table4_2[[#This Row],[Date]],"dddd")</f>
        <v>Monday</v>
      </c>
      <c r="D189" s="21">
        <v>29.4</v>
      </c>
      <c r="E189" s="21">
        <v>72</v>
      </c>
      <c r="F189" s="21">
        <v>710</v>
      </c>
      <c r="G189" s="21">
        <v>6.3</v>
      </c>
      <c r="H189">
        <v>26</v>
      </c>
      <c r="I189">
        <v>84.92</v>
      </c>
      <c r="J189">
        <v>0.72</v>
      </c>
      <c r="K189" t="str" cm="1">
        <f t="array" ref="K189">_xlfn.IFS(Table4_2[[#This Row],[Growth Days]]&lt;=14,"Seedling",Table4_2[[#This Row],[Growth Days]]&lt;=35, "Vegetative",Table4_2[[#This Row],[Growth Days]]&lt;=50, "Maturity")</f>
        <v>Vegetative</v>
      </c>
      <c r="L189" t="str">
        <f>IF(Table4_2[[#This Row],[TDS Value (ppm)]]&lt;560, "Low", IF(Table4_2[[#This Row],[TDS Value (ppm)]]&lt;=800,"Optimal","High"))</f>
        <v>Optimal</v>
      </c>
    </row>
    <row r="190" spans="1:12" x14ac:dyDescent="0.25">
      <c r="A190">
        <v>31</v>
      </c>
      <c r="B190" s="1">
        <v>45173</v>
      </c>
      <c r="C190" s="1" t="str">
        <f>TEXT(Table4_2[[#This Row],[Date]],"dddd")</f>
        <v>Monday</v>
      </c>
      <c r="D190" s="21">
        <v>31.7</v>
      </c>
      <c r="E190" s="21">
        <v>58</v>
      </c>
      <c r="F190" s="21">
        <v>576</v>
      </c>
      <c r="G190" s="21">
        <v>6.5</v>
      </c>
      <c r="H190">
        <v>33</v>
      </c>
      <c r="I190">
        <v>89.06</v>
      </c>
      <c r="J190">
        <v>0.57999999999999996</v>
      </c>
      <c r="K190" t="str" cm="1">
        <f t="array" ref="K190">_xlfn.IFS(Table4_2[[#This Row],[Growth Days]]&lt;=14,"Seedling",Table4_2[[#This Row],[Growth Days]]&lt;=35, "Vegetative",Table4_2[[#This Row],[Growth Days]]&lt;=50, "Maturity")</f>
        <v>Vegetative</v>
      </c>
      <c r="L190" t="str">
        <f>IF(Table4_2[[#This Row],[TDS Value (ppm)]]&lt;560, "Low", IF(Table4_2[[#This Row],[TDS Value (ppm)]]&lt;=800,"Optimal","High"))</f>
        <v>Optimal</v>
      </c>
    </row>
    <row r="191" spans="1:12" x14ac:dyDescent="0.25">
      <c r="A191">
        <v>31</v>
      </c>
      <c r="B191" s="1">
        <v>45180</v>
      </c>
      <c r="C191" s="1" t="str">
        <f>TEXT(Table4_2[[#This Row],[Date]],"dddd")</f>
        <v>Monday</v>
      </c>
      <c r="D191" s="21">
        <v>31.2</v>
      </c>
      <c r="E191" s="21">
        <v>78</v>
      </c>
      <c r="F191" s="21">
        <v>578</v>
      </c>
      <c r="G191" s="21">
        <v>6.6</v>
      </c>
      <c r="H191">
        <v>40</v>
      </c>
      <c r="I191">
        <v>88.16</v>
      </c>
      <c r="J191">
        <v>0.78</v>
      </c>
      <c r="K191" t="str" cm="1">
        <f t="array" ref="K191">_xlfn.IFS(Table4_2[[#This Row],[Growth Days]]&lt;=14,"Seedling",Table4_2[[#This Row],[Growth Days]]&lt;=35, "Vegetative",Table4_2[[#This Row],[Growth Days]]&lt;=50, "Maturity")</f>
        <v>Maturity</v>
      </c>
      <c r="L191" t="str">
        <f>IF(Table4_2[[#This Row],[TDS Value (ppm)]]&lt;560, "Low", IF(Table4_2[[#This Row],[TDS Value (ppm)]]&lt;=800,"Optimal","High"))</f>
        <v>Optimal</v>
      </c>
    </row>
    <row r="192" spans="1:12" x14ac:dyDescent="0.25">
      <c r="A192">
        <v>32</v>
      </c>
      <c r="B192" s="1">
        <v>45145</v>
      </c>
      <c r="C192" s="1" t="str">
        <f>TEXT(Table4_2[[#This Row],[Date]],"dddd")</f>
        <v>Monday</v>
      </c>
      <c r="D192" s="21">
        <v>33.4</v>
      </c>
      <c r="E192" s="21">
        <v>78</v>
      </c>
      <c r="F192" s="21">
        <v>688</v>
      </c>
      <c r="G192" s="21">
        <v>6.8</v>
      </c>
      <c r="H192">
        <v>5</v>
      </c>
      <c r="I192">
        <v>92.12</v>
      </c>
      <c r="J192">
        <v>0.78</v>
      </c>
      <c r="K192" t="str" cm="1">
        <f t="array" ref="K192">_xlfn.IFS(Table4_2[[#This Row],[Growth Days]]&lt;=14,"Seedling",Table4_2[[#This Row],[Growth Days]]&lt;=35, "Vegetative",Table4_2[[#This Row],[Growth Days]]&lt;=50, "Maturity")</f>
        <v>Seedling</v>
      </c>
      <c r="L192" t="str">
        <f>IF(Table4_2[[#This Row],[TDS Value (ppm)]]&lt;560, "Low", IF(Table4_2[[#This Row],[TDS Value (ppm)]]&lt;=800,"Optimal","High"))</f>
        <v>Optimal</v>
      </c>
    </row>
    <row r="193" spans="1:12" x14ac:dyDescent="0.25">
      <c r="A193">
        <v>32</v>
      </c>
      <c r="B193" s="1">
        <v>45152</v>
      </c>
      <c r="C193" s="1" t="str">
        <f>TEXT(Table4_2[[#This Row],[Date]],"dddd")</f>
        <v>Monday</v>
      </c>
      <c r="D193" s="21">
        <v>30.1</v>
      </c>
      <c r="E193" s="21">
        <v>80</v>
      </c>
      <c r="F193" s="21">
        <v>486</v>
      </c>
      <c r="G193" s="21">
        <v>6.5</v>
      </c>
      <c r="H193">
        <v>12</v>
      </c>
      <c r="I193">
        <v>86.18</v>
      </c>
      <c r="J193">
        <v>0.8</v>
      </c>
      <c r="K193" t="str" cm="1">
        <f t="array" ref="K193">_xlfn.IFS(Table4_2[[#This Row],[Growth Days]]&lt;=14,"Seedling",Table4_2[[#This Row],[Growth Days]]&lt;=35, "Vegetative",Table4_2[[#This Row],[Growth Days]]&lt;=50, "Maturity")</f>
        <v>Seedling</v>
      </c>
      <c r="L193" t="str">
        <f>IF(Table4_2[[#This Row],[TDS Value (ppm)]]&lt;560, "Low", IF(Table4_2[[#This Row],[TDS Value (ppm)]]&lt;=800,"Optimal","High"))</f>
        <v>Low</v>
      </c>
    </row>
    <row r="194" spans="1:12" x14ac:dyDescent="0.25">
      <c r="A194">
        <v>32</v>
      </c>
      <c r="B194" s="1">
        <v>45159</v>
      </c>
      <c r="C194" s="1" t="str">
        <f>TEXT(Table4_2[[#This Row],[Date]],"dddd")</f>
        <v>Monday</v>
      </c>
      <c r="D194" s="21">
        <v>30.2</v>
      </c>
      <c r="E194" s="21">
        <v>70</v>
      </c>
      <c r="F194" s="21">
        <v>686</v>
      </c>
      <c r="G194" s="21">
        <v>6.5</v>
      </c>
      <c r="H194">
        <v>19</v>
      </c>
      <c r="I194">
        <v>86.36</v>
      </c>
      <c r="J194">
        <v>0.7</v>
      </c>
      <c r="K194" t="str" cm="1">
        <f t="array" ref="K194">_xlfn.IFS(Table4_2[[#This Row],[Growth Days]]&lt;=14,"Seedling",Table4_2[[#This Row],[Growth Days]]&lt;=35, "Vegetative",Table4_2[[#This Row],[Growth Days]]&lt;=50, "Maturity")</f>
        <v>Vegetative</v>
      </c>
      <c r="L194" t="str">
        <f>IF(Table4_2[[#This Row],[TDS Value (ppm)]]&lt;560, "Low", IF(Table4_2[[#This Row],[TDS Value (ppm)]]&lt;=800,"Optimal","High"))</f>
        <v>Optimal</v>
      </c>
    </row>
    <row r="195" spans="1:12" x14ac:dyDescent="0.25">
      <c r="A195">
        <v>32</v>
      </c>
      <c r="B195" s="1">
        <v>45166</v>
      </c>
      <c r="C195" s="1" t="str">
        <f>TEXT(Table4_2[[#This Row],[Date]],"dddd")</f>
        <v>Monday</v>
      </c>
      <c r="D195" s="21">
        <v>29.4</v>
      </c>
      <c r="E195" s="21">
        <v>54</v>
      </c>
      <c r="F195" s="21">
        <v>655</v>
      </c>
      <c r="G195" s="21">
        <v>6.3</v>
      </c>
      <c r="H195">
        <v>26</v>
      </c>
      <c r="I195">
        <v>84.92</v>
      </c>
      <c r="J195">
        <v>0.54</v>
      </c>
      <c r="K195" t="str" cm="1">
        <f t="array" ref="K195">_xlfn.IFS(Table4_2[[#This Row],[Growth Days]]&lt;=14,"Seedling",Table4_2[[#This Row],[Growth Days]]&lt;=35, "Vegetative",Table4_2[[#This Row],[Growth Days]]&lt;=50, "Maturity")</f>
        <v>Vegetative</v>
      </c>
      <c r="L195" t="str">
        <f>IF(Table4_2[[#This Row],[TDS Value (ppm)]]&lt;560, "Low", IF(Table4_2[[#This Row],[TDS Value (ppm)]]&lt;=800,"Optimal","High"))</f>
        <v>Optimal</v>
      </c>
    </row>
    <row r="196" spans="1:12" x14ac:dyDescent="0.25">
      <c r="A196">
        <v>32</v>
      </c>
      <c r="B196" s="1">
        <v>45173</v>
      </c>
      <c r="C196" s="1" t="str">
        <f>TEXT(Table4_2[[#This Row],[Date]],"dddd")</f>
        <v>Monday</v>
      </c>
      <c r="D196" s="21">
        <v>31.7</v>
      </c>
      <c r="E196" s="21">
        <v>58</v>
      </c>
      <c r="F196" s="21">
        <v>730</v>
      </c>
      <c r="G196" s="21">
        <v>6</v>
      </c>
      <c r="H196">
        <v>33</v>
      </c>
      <c r="I196">
        <v>89.06</v>
      </c>
      <c r="J196">
        <v>0.57999999999999996</v>
      </c>
      <c r="K196" t="str" cm="1">
        <f t="array" ref="K196">_xlfn.IFS(Table4_2[[#This Row],[Growth Days]]&lt;=14,"Seedling",Table4_2[[#This Row],[Growth Days]]&lt;=35, "Vegetative",Table4_2[[#This Row],[Growth Days]]&lt;=50, "Maturity")</f>
        <v>Vegetative</v>
      </c>
      <c r="L196" t="str">
        <f>IF(Table4_2[[#This Row],[TDS Value (ppm)]]&lt;560, "Low", IF(Table4_2[[#This Row],[TDS Value (ppm)]]&lt;=800,"Optimal","High"))</f>
        <v>Optimal</v>
      </c>
    </row>
    <row r="197" spans="1:12" x14ac:dyDescent="0.25">
      <c r="A197">
        <v>32</v>
      </c>
      <c r="B197" s="1">
        <v>45180</v>
      </c>
      <c r="C197" s="1" t="str">
        <f>TEXT(Table4_2[[#This Row],[Date]],"dddd")</f>
        <v>Monday</v>
      </c>
      <c r="D197" s="21">
        <v>31.2</v>
      </c>
      <c r="E197" s="21">
        <v>51</v>
      </c>
      <c r="F197" s="21">
        <v>717</v>
      </c>
      <c r="G197" s="21">
        <v>6.5</v>
      </c>
      <c r="H197">
        <v>40</v>
      </c>
      <c r="I197">
        <v>88.16</v>
      </c>
      <c r="J197">
        <v>0.51</v>
      </c>
      <c r="K197" t="str" cm="1">
        <f t="array" ref="K197">_xlfn.IFS(Table4_2[[#This Row],[Growth Days]]&lt;=14,"Seedling",Table4_2[[#This Row],[Growth Days]]&lt;=35, "Vegetative",Table4_2[[#This Row],[Growth Days]]&lt;=50, "Maturity")</f>
        <v>Maturity</v>
      </c>
      <c r="L197" t="str">
        <f>IF(Table4_2[[#This Row],[TDS Value (ppm)]]&lt;560, "Low", IF(Table4_2[[#This Row],[TDS Value (ppm)]]&lt;=800,"Optimal","High"))</f>
        <v>Optimal</v>
      </c>
    </row>
    <row r="198" spans="1:12" x14ac:dyDescent="0.25">
      <c r="A198">
        <v>33</v>
      </c>
      <c r="B198" s="1">
        <v>45145</v>
      </c>
      <c r="C198" s="1" t="str">
        <f>TEXT(Table4_2[[#This Row],[Date]],"dddd")</f>
        <v>Monday</v>
      </c>
      <c r="D198" s="21">
        <v>33.4</v>
      </c>
      <c r="E198" s="21">
        <v>74</v>
      </c>
      <c r="F198" s="21">
        <v>464</v>
      </c>
      <c r="G198" s="21">
        <v>6.5</v>
      </c>
      <c r="H198">
        <v>5</v>
      </c>
      <c r="I198">
        <v>92.12</v>
      </c>
      <c r="J198">
        <v>0.74</v>
      </c>
      <c r="K198" t="str" cm="1">
        <f t="array" ref="K198">_xlfn.IFS(Table4_2[[#This Row],[Growth Days]]&lt;=14,"Seedling",Table4_2[[#This Row],[Growth Days]]&lt;=35, "Vegetative",Table4_2[[#This Row],[Growth Days]]&lt;=50, "Maturity")</f>
        <v>Seedling</v>
      </c>
      <c r="L198" t="str">
        <f>IF(Table4_2[[#This Row],[TDS Value (ppm)]]&lt;560, "Low", IF(Table4_2[[#This Row],[TDS Value (ppm)]]&lt;=800,"Optimal","High"))</f>
        <v>Low</v>
      </c>
    </row>
    <row r="199" spans="1:12" x14ac:dyDescent="0.25">
      <c r="A199">
        <v>33</v>
      </c>
      <c r="B199" s="1">
        <v>45152</v>
      </c>
      <c r="C199" s="1" t="str">
        <f>TEXT(Table4_2[[#This Row],[Date]],"dddd")</f>
        <v>Monday</v>
      </c>
      <c r="D199" s="21">
        <v>30.1</v>
      </c>
      <c r="E199" s="21">
        <v>79</v>
      </c>
      <c r="F199" s="21">
        <v>615</v>
      </c>
      <c r="G199" s="21">
        <v>6.5</v>
      </c>
      <c r="H199">
        <v>12</v>
      </c>
      <c r="I199">
        <v>86.18</v>
      </c>
      <c r="J199">
        <v>0.79</v>
      </c>
      <c r="K199" t="str" cm="1">
        <f t="array" ref="K199">_xlfn.IFS(Table4_2[[#This Row],[Growth Days]]&lt;=14,"Seedling",Table4_2[[#This Row],[Growth Days]]&lt;=35, "Vegetative",Table4_2[[#This Row],[Growth Days]]&lt;=50, "Maturity")</f>
        <v>Seedling</v>
      </c>
      <c r="L199" t="str">
        <f>IF(Table4_2[[#This Row],[TDS Value (ppm)]]&lt;560, "Low", IF(Table4_2[[#This Row],[TDS Value (ppm)]]&lt;=800,"Optimal","High"))</f>
        <v>Optimal</v>
      </c>
    </row>
    <row r="200" spans="1:12" x14ac:dyDescent="0.25">
      <c r="A200">
        <v>33</v>
      </c>
      <c r="B200" s="1">
        <v>45159</v>
      </c>
      <c r="C200" s="1" t="str">
        <f>TEXT(Table4_2[[#This Row],[Date]],"dddd")</f>
        <v>Monday</v>
      </c>
      <c r="D200" s="21">
        <v>30.2</v>
      </c>
      <c r="E200" s="21">
        <v>75</v>
      </c>
      <c r="F200" s="21">
        <v>676</v>
      </c>
      <c r="G200" s="21">
        <v>6.2</v>
      </c>
      <c r="H200">
        <v>19</v>
      </c>
      <c r="I200">
        <v>86.36</v>
      </c>
      <c r="J200">
        <v>0.75</v>
      </c>
      <c r="K200" t="str" cm="1">
        <f t="array" ref="K200">_xlfn.IFS(Table4_2[[#This Row],[Growth Days]]&lt;=14,"Seedling",Table4_2[[#This Row],[Growth Days]]&lt;=35, "Vegetative",Table4_2[[#This Row],[Growth Days]]&lt;=50, "Maturity")</f>
        <v>Vegetative</v>
      </c>
      <c r="L200" t="str">
        <f>IF(Table4_2[[#This Row],[TDS Value (ppm)]]&lt;560, "Low", IF(Table4_2[[#This Row],[TDS Value (ppm)]]&lt;=800,"Optimal","High"))</f>
        <v>Optimal</v>
      </c>
    </row>
    <row r="201" spans="1:12" x14ac:dyDescent="0.25">
      <c r="A201">
        <v>33</v>
      </c>
      <c r="B201" s="1">
        <v>45166</v>
      </c>
      <c r="C201" s="1" t="str">
        <f>TEXT(Table4_2[[#This Row],[Date]],"dddd")</f>
        <v>Monday</v>
      </c>
      <c r="D201" s="21">
        <v>29.4</v>
      </c>
      <c r="E201" s="21">
        <v>50</v>
      </c>
      <c r="F201" s="21">
        <v>624</v>
      </c>
      <c r="G201" s="21">
        <v>6</v>
      </c>
      <c r="H201">
        <v>26</v>
      </c>
      <c r="I201">
        <v>84.92</v>
      </c>
      <c r="J201">
        <v>0.5</v>
      </c>
      <c r="K201" t="str" cm="1">
        <f t="array" ref="K201">_xlfn.IFS(Table4_2[[#This Row],[Growth Days]]&lt;=14,"Seedling",Table4_2[[#This Row],[Growth Days]]&lt;=35, "Vegetative",Table4_2[[#This Row],[Growth Days]]&lt;=50, "Maturity")</f>
        <v>Vegetative</v>
      </c>
      <c r="L201" t="str">
        <f>IF(Table4_2[[#This Row],[TDS Value (ppm)]]&lt;560, "Low", IF(Table4_2[[#This Row],[TDS Value (ppm)]]&lt;=800,"Optimal","High"))</f>
        <v>Optimal</v>
      </c>
    </row>
    <row r="202" spans="1:12" x14ac:dyDescent="0.25">
      <c r="A202">
        <v>33</v>
      </c>
      <c r="B202" s="1">
        <v>45173</v>
      </c>
      <c r="C202" s="1" t="str">
        <f>TEXT(Table4_2[[#This Row],[Date]],"dddd")</f>
        <v>Monday</v>
      </c>
      <c r="D202" s="21">
        <v>31.7</v>
      </c>
      <c r="E202" s="21">
        <v>77</v>
      </c>
      <c r="F202" s="21">
        <v>497</v>
      </c>
      <c r="G202" s="21">
        <v>6.7</v>
      </c>
      <c r="H202">
        <v>33</v>
      </c>
      <c r="I202">
        <v>89.06</v>
      </c>
      <c r="J202">
        <v>0.77</v>
      </c>
      <c r="K202" t="str" cm="1">
        <f t="array" ref="K202">_xlfn.IFS(Table4_2[[#This Row],[Growth Days]]&lt;=14,"Seedling",Table4_2[[#This Row],[Growth Days]]&lt;=35, "Vegetative",Table4_2[[#This Row],[Growth Days]]&lt;=50, "Maturity")</f>
        <v>Vegetative</v>
      </c>
      <c r="L202" t="str">
        <f>IF(Table4_2[[#This Row],[TDS Value (ppm)]]&lt;560, "Low", IF(Table4_2[[#This Row],[TDS Value (ppm)]]&lt;=800,"Optimal","High"))</f>
        <v>Low</v>
      </c>
    </row>
    <row r="203" spans="1:12" x14ac:dyDescent="0.25">
      <c r="A203">
        <v>33</v>
      </c>
      <c r="B203" s="1">
        <v>45180</v>
      </c>
      <c r="C203" s="1" t="str">
        <f>TEXT(Table4_2[[#This Row],[Date]],"dddd")</f>
        <v>Monday</v>
      </c>
      <c r="D203" s="21">
        <v>31.2</v>
      </c>
      <c r="E203" s="21">
        <v>69</v>
      </c>
      <c r="F203" s="21">
        <v>483</v>
      </c>
      <c r="G203" s="21">
        <v>6.1</v>
      </c>
      <c r="H203">
        <v>40</v>
      </c>
      <c r="I203">
        <v>88.16</v>
      </c>
      <c r="J203">
        <v>0.69</v>
      </c>
      <c r="K203" t="str" cm="1">
        <f t="array" ref="K203">_xlfn.IFS(Table4_2[[#This Row],[Growth Days]]&lt;=14,"Seedling",Table4_2[[#This Row],[Growth Days]]&lt;=35, "Vegetative",Table4_2[[#This Row],[Growth Days]]&lt;=50, "Maturity")</f>
        <v>Maturity</v>
      </c>
      <c r="L203" t="str">
        <f>IF(Table4_2[[#This Row],[TDS Value (ppm)]]&lt;560, "Low", IF(Table4_2[[#This Row],[TDS Value (ppm)]]&lt;=800,"Optimal","High"))</f>
        <v>Low</v>
      </c>
    </row>
    <row r="204" spans="1:12" x14ac:dyDescent="0.25">
      <c r="A204">
        <v>34</v>
      </c>
      <c r="B204" s="1">
        <v>45145</v>
      </c>
      <c r="C204" s="1" t="str">
        <f>TEXT(Table4_2[[#This Row],[Date]],"dddd")</f>
        <v>Monday</v>
      </c>
      <c r="D204" s="21">
        <v>33.4</v>
      </c>
      <c r="E204" s="21">
        <v>56</v>
      </c>
      <c r="F204" s="21">
        <v>403</v>
      </c>
      <c r="G204" s="21">
        <v>6.4</v>
      </c>
      <c r="H204">
        <v>5</v>
      </c>
      <c r="I204">
        <v>92.12</v>
      </c>
      <c r="J204">
        <v>0.56000000000000005</v>
      </c>
      <c r="K204" t="str" cm="1">
        <f t="array" ref="K204">_xlfn.IFS(Table4_2[[#This Row],[Growth Days]]&lt;=14,"Seedling",Table4_2[[#This Row],[Growth Days]]&lt;=35, "Vegetative",Table4_2[[#This Row],[Growth Days]]&lt;=50, "Maturity")</f>
        <v>Seedling</v>
      </c>
      <c r="L204" t="str">
        <f>IF(Table4_2[[#This Row],[TDS Value (ppm)]]&lt;560, "Low", IF(Table4_2[[#This Row],[TDS Value (ppm)]]&lt;=800,"Optimal","High"))</f>
        <v>Low</v>
      </c>
    </row>
    <row r="205" spans="1:12" x14ac:dyDescent="0.25">
      <c r="A205">
        <v>34</v>
      </c>
      <c r="B205" s="1">
        <v>45152</v>
      </c>
      <c r="C205" s="1" t="str">
        <f>TEXT(Table4_2[[#This Row],[Date]],"dddd")</f>
        <v>Monday</v>
      </c>
      <c r="D205" s="21">
        <v>30.1</v>
      </c>
      <c r="E205" s="21">
        <v>62</v>
      </c>
      <c r="F205" s="21">
        <v>664</v>
      </c>
      <c r="G205" s="21">
        <v>6.3</v>
      </c>
      <c r="H205">
        <v>12</v>
      </c>
      <c r="I205">
        <v>86.18</v>
      </c>
      <c r="J205">
        <v>0.62</v>
      </c>
      <c r="K205" t="str" cm="1">
        <f t="array" ref="K205">_xlfn.IFS(Table4_2[[#This Row],[Growth Days]]&lt;=14,"Seedling",Table4_2[[#This Row],[Growth Days]]&lt;=35, "Vegetative",Table4_2[[#This Row],[Growth Days]]&lt;=50, "Maturity")</f>
        <v>Seedling</v>
      </c>
      <c r="L205" t="str">
        <f>IF(Table4_2[[#This Row],[TDS Value (ppm)]]&lt;560, "Low", IF(Table4_2[[#This Row],[TDS Value (ppm)]]&lt;=800,"Optimal","High"))</f>
        <v>Optimal</v>
      </c>
    </row>
    <row r="206" spans="1:12" x14ac:dyDescent="0.25">
      <c r="A206">
        <v>34</v>
      </c>
      <c r="B206" s="1">
        <v>45159</v>
      </c>
      <c r="C206" s="1" t="str">
        <f>TEXT(Table4_2[[#This Row],[Date]],"dddd")</f>
        <v>Monday</v>
      </c>
      <c r="D206" s="21">
        <v>30.2</v>
      </c>
      <c r="E206" s="21">
        <v>58</v>
      </c>
      <c r="F206" s="21">
        <v>748</v>
      </c>
      <c r="G206" s="21">
        <v>6.2</v>
      </c>
      <c r="H206">
        <v>19</v>
      </c>
      <c r="I206">
        <v>86.36</v>
      </c>
      <c r="J206">
        <v>0.57999999999999996</v>
      </c>
      <c r="K206" t="str" cm="1">
        <f t="array" ref="K206">_xlfn.IFS(Table4_2[[#This Row],[Growth Days]]&lt;=14,"Seedling",Table4_2[[#This Row],[Growth Days]]&lt;=35, "Vegetative",Table4_2[[#This Row],[Growth Days]]&lt;=50, "Maturity")</f>
        <v>Vegetative</v>
      </c>
      <c r="L206" t="str">
        <f>IF(Table4_2[[#This Row],[TDS Value (ppm)]]&lt;560, "Low", IF(Table4_2[[#This Row],[TDS Value (ppm)]]&lt;=800,"Optimal","High"))</f>
        <v>Optimal</v>
      </c>
    </row>
    <row r="207" spans="1:12" x14ac:dyDescent="0.25">
      <c r="A207">
        <v>34</v>
      </c>
      <c r="B207" s="1">
        <v>45166</v>
      </c>
      <c r="C207" s="1" t="str">
        <f>TEXT(Table4_2[[#This Row],[Date]],"dddd")</f>
        <v>Monday</v>
      </c>
      <c r="D207" s="21">
        <v>29.4</v>
      </c>
      <c r="E207" s="21">
        <v>63</v>
      </c>
      <c r="F207" s="21">
        <v>782</v>
      </c>
      <c r="G207" s="21">
        <v>6.3</v>
      </c>
      <c r="H207">
        <v>26</v>
      </c>
      <c r="I207">
        <v>84.92</v>
      </c>
      <c r="J207">
        <v>0.63</v>
      </c>
      <c r="K207" t="str" cm="1">
        <f t="array" ref="K207">_xlfn.IFS(Table4_2[[#This Row],[Growth Days]]&lt;=14,"Seedling",Table4_2[[#This Row],[Growth Days]]&lt;=35, "Vegetative",Table4_2[[#This Row],[Growth Days]]&lt;=50, "Maturity")</f>
        <v>Vegetative</v>
      </c>
      <c r="L207" t="str">
        <f>IF(Table4_2[[#This Row],[TDS Value (ppm)]]&lt;560, "Low", IF(Table4_2[[#This Row],[TDS Value (ppm)]]&lt;=800,"Optimal","High"))</f>
        <v>Optimal</v>
      </c>
    </row>
    <row r="208" spans="1:12" x14ac:dyDescent="0.25">
      <c r="A208">
        <v>34</v>
      </c>
      <c r="B208" s="1">
        <v>45173</v>
      </c>
      <c r="C208" s="1" t="str">
        <f>TEXT(Table4_2[[#This Row],[Date]],"dddd")</f>
        <v>Monday</v>
      </c>
      <c r="D208" s="21">
        <v>31.7</v>
      </c>
      <c r="E208" s="21">
        <v>52</v>
      </c>
      <c r="F208" s="21">
        <v>756</v>
      </c>
      <c r="G208" s="21">
        <v>6.3</v>
      </c>
      <c r="H208">
        <v>33</v>
      </c>
      <c r="I208">
        <v>89.06</v>
      </c>
      <c r="J208">
        <v>0.52</v>
      </c>
      <c r="K208" t="str" cm="1">
        <f t="array" ref="K208">_xlfn.IFS(Table4_2[[#This Row],[Growth Days]]&lt;=14,"Seedling",Table4_2[[#This Row],[Growth Days]]&lt;=35, "Vegetative",Table4_2[[#This Row],[Growth Days]]&lt;=50, "Maturity")</f>
        <v>Vegetative</v>
      </c>
      <c r="L208" t="str">
        <f>IF(Table4_2[[#This Row],[TDS Value (ppm)]]&lt;560, "Low", IF(Table4_2[[#This Row],[TDS Value (ppm)]]&lt;=800,"Optimal","High"))</f>
        <v>Optimal</v>
      </c>
    </row>
    <row r="209" spans="1:12" x14ac:dyDescent="0.25">
      <c r="A209">
        <v>34</v>
      </c>
      <c r="B209" s="1">
        <v>45180</v>
      </c>
      <c r="C209" s="1" t="str">
        <f>TEXT(Table4_2[[#This Row],[Date]],"dddd")</f>
        <v>Monday</v>
      </c>
      <c r="D209" s="21">
        <v>31.2</v>
      </c>
      <c r="E209" s="21">
        <v>66</v>
      </c>
      <c r="F209" s="21">
        <v>623</v>
      </c>
      <c r="G209" s="21">
        <v>6.1</v>
      </c>
      <c r="H209">
        <v>40</v>
      </c>
      <c r="I209">
        <v>88.16</v>
      </c>
      <c r="J209">
        <v>0.66</v>
      </c>
      <c r="K209" t="str" cm="1">
        <f t="array" ref="K209">_xlfn.IFS(Table4_2[[#This Row],[Growth Days]]&lt;=14,"Seedling",Table4_2[[#This Row],[Growth Days]]&lt;=35, "Vegetative",Table4_2[[#This Row],[Growth Days]]&lt;=50, "Maturity")</f>
        <v>Maturity</v>
      </c>
      <c r="L209" t="str">
        <f>IF(Table4_2[[#This Row],[TDS Value (ppm)]]&lt;560, "Low", IF(Table4_2[[#This Row],[TDS Value (ppm)]]&lt;=800,"Optimal","High"))</f>
        <v>Optimal</v>
      </c>
    </row>
    <row r="210" spans="1:12" x14ac:dyDescent="0.25">
      <c r="A210">
        <v>35</v>
      </c>
      <c r="B210" s="1">
        <v>45145</v>
      </c>
      <c r="C210" s="1" t="str">
        <f>TEXT(Table4_2[[#This Row],[Date]],"dddd")</f>
        <v>Monday</v>
      </c>
      <c r="D210" s="21">
        <v>33.4</v>
      </c>
      <c r="E210" s="21">
        <v>64</v>
      </c>
      <c r="F210" s="21">
        <v>546</v>
      </c>
      <c r="G210" s="21">
        <v>6.6</v>
      </c>
      <c r="H210">
        <v>5</v>
      </c>
      <c r="I210">
        <v>92.12</v>
      </c>
      <c r="J210">
        <v>0.64</v>
      </c>
      <c r="K210" t="str" cm="1">
        <f t="array" ref="K210">_xlfn.IFS(Table4_2[[#This Row],[Growth Days]]&lt;=14,"Seedling",Table4_2[[#This Row],[Growth Days]]&lt;=35, "Vegetative",Table4_2[[#This Row],[Growth Days]]&lt;=50, "Maturity")</f>
        <v>Seedling</v>
      </c>
      <c r="L210" t="str">
        <f>IF(Table4_2[[#This Row],[TDS Value (ppm)]]&lt;560, "Low", IF(Table4_2[[#This Row],[TDS Value (ppm)]]&lt;=800,"Optimal","High"))</f>
        <v>Low</v>
      </c>
    </row>
    <row r="211" spans="1:12" x14ac:dyDescent="0.25">
      <c r="A211">
        <v>35</v>
      </c>
      <c r="B211" s="1">
        <v>45152</v>
      </c>
      <c r="C211" s="1" t="str">
        <f>TEXT(Table4_2[[#This Row],[Date]],"dddd")</f>
        <v>Monday</v>
      </c>
      <c r="D211" s="21">
        <v>30.1</v>
      </c>
      <c r="E211" s="21">
        <v>69</v>
      </c>
      <c r="F211" s="21">
        <v>796</v>
      </c>
      <c r="G211" s="21">
        <v>6.7</v>
      </c>
      <c r="H211">
        <v>12</v>
      </c>
      <c r="I211">
        <v>86.18</v>
      </c>
      <c r="J211">
        <v>0.69</v>
      </c>
      <c r="K211" t="str" cm="1">
        <f t="array" ref="K211">_xlfn.IFS(Table4_2[[#This Row],[Growth Days]]&lt;=14,"Seedling",Table4_2[[#This Row],[Growth Days]]&lt;=35, "Vegetative",Table4_2[[#This Row],[Growth Days]]&lt;=50, "Maturity")</f>
        <v>Seedling</v>
      </c>
      <c r="L211" t="str">
        <f>IF(Table4_2[[#This Row],[TDS Value (ppm)]]&lt;560, "Low", IF(Table4_2[[#This Row],[TDS Value (ppm)]]&lt;=800,"Optimal","High"))</f>
        <v>Optimal</v>
      </c>
    </row>
    <row r="212" spans="1:12" x14ac:dyDescent="0.25">
      <c r="A212">
        <v>35</v>
      </c>
      <c r="B212" s="1">
        <v>45159</v>
      </c>
      <c r="C212" s="1" t="str">
        <f>TEXT(Table4_2[[#This Row],[Date]],"dddd")</f>
        <v>Monday</v>
      </c>
      <c r="D212" s="21">
        <v>30.2</v>
      </c>
      <c r="E212" s="21">
        <v>60</v>
      </c>
      <c r="F212" s="21">
        <v>781</v>
      </c>
      <c r="G212" s="21">
        <v>6.2</v>
      </c>
      <c r="H212">
        <v>19</v>
      </c>
      <c r="I212">
        <v>86.36</v>
      </c>
      <c r="J212">
        <v>0.6</v>
      </c>
      <c r="K212" t="str" cm="1">
        <f t="array" ref="K212">_xlfn.IFS(Table4_2[[#This Row],[Growth Days]]&lt;=14,"Seedling",Table4_2[[#This Row],[Growth Days]]&lt;=35, "Vegetative",Table4_2[[#This Row],[Growth Days]]&lt;=50, "Maturity")</f>
        <v>Vegetative</v>
      </c>
      <c r="L212" t="str">
        <f>IF(Table4_2[[#This Row],[TDS Value (ppm)]]&lt;560, "Low", IF(Table4_2[[#This Row],[TDS Value (ppm)]]&lt;=800,"Optimal","High"))</f>
        <v>Optimal</v>
      </c>
    </row>
    <row r="213" spans="1:12" x14ac:dyDescent="0.25">
      <c r="A213">
        <v>35</v>
      </c>
      <c r="B213" s="1">
        <v>45166</v>
      </c>
      <c r="C213" s="1" t="str">
        <f>TEXT(Table4_2[[#This Row],[Date]],"dddd")</f>
        <v>Monday</v>
      </c>
      <c r="D213" s="21">
        <v>29.4</v>
      </c>
      <c r="E213" s="21">
        <v>72</v>
      </c>
      <c r="F213" s="21">
        <v>740</v>
      </c>
      <c r="G213" s="21">
        <v>6.3</v>
      </c>
      <c r="H213">
        <v>26</v>
      </c>
      <c r="I213">
        <v>84.92</v>
      </c>
      <c r="J213">
        <v>0.72</v>
      </c>
      <c r="K213" t="str" cm="1">
        <f t="array" ref="K213">_xlfn.IFS(Table4_2[[#This Row],[Growth Days]]&lt;=14,"Seedling",Table4_2[[#This Row],[Growth Days]]&lt;=35, "Vegetative",Table4_2[[#This Row],[Growth Days]]&lt;=50, "Maturity")</f>
        <v>Vegetative</v>
      </c>
      <c r="L213" t="str">
        <f>IF(Table4_2[[#This Row],[TDS Value (ppm)]]&lt;560, "Low", IF(Table4_2[[#This Row],[TDS Value (ppm)]]&lt;=800,"Optimal","High"))</f>
        <v>Optimal</v>
      </c>
    </row>
    <row r="214" spans="1:12" x14ac:dyDescent="0.25">
      <c r="A214">
        <v>35</v>
      </c>
      <c r="B214" s="1">
        <v>45173</v>
      </c>
      <c r="C214" s="1" t="str">
        <f>TEXT(Table4_2[[#This Row],[Date]],"dddd")</f>
        <v>Monday</v>
      </c>
      <c r="D214" s="21">
        <v>31.7</v>
      </c>
      <c r="E214" s="21">
        <v>60</v>
      </c>
      <c r="F214" s="21">
        <v>495</v>
      </c>
      <c r="G214" s="21">
        <v>6.5</v>
      </c>
      <c r="H214">
        <v>33</v>
      </c>
      <c r="I214">
        <v>89.06</v>
      </c>
      <c r="J214">
        <v>0.6</v>
      </c>
      <c r="K214" t="str" cm="1">
        <f t="array" ref="K214">_xlfn.IFS(Table4_2[[#This Row],[Growth Days]]&lt;=14,"Seedling",Table4_2[[#This Row],[Growth Days]]&lt;=35, "Vegetative",Table4_2[[#This Row],[Growth Days]]&lt;=50, "Maturity")</f>
        <v>Vegetative</v>
      </c>
      <c r="L214" t="str">
        <f>IF(Table4_2[[#This Row],[TDS Value (ppm)]]&lt;560, "Low", IF(Table4_2[[#This Row],[TDS Value (ppm)]]&lt;=800,"Optimal","High"))</f>
        <v>Low</v>
      </c>
    </row>
    <row r="215" spans="1:12" x14ac:dyDescent="0.25">
      <c r="A215">
        <v>35</v>
      </c>
      <c r="B215" s="1">
        <v>45180</v>
      </c>
      <c r="C215" s="1" t="str">
        <f>TEXT(Table4_2[[#This Row],[Date]],"dddd")</f>
        <v>Monday</v>
      </c>
      <c r="D215" s="21">
        <v>31.2</v>
      </c>
      <c r="E215" s="21">
        <v>51</v>
      </c>
      <c r="F215" s="21">
        <v>566</v>
      </c>
      <c r="G215" s="21">
        <v>6</v>
      </c>
      <c r="H215">
        <v>40</v>
      </c>
      <c r="I215">
        <v>88.16</v>
      </c>
      <c r="J215">
        <v>0.51</v>
      </c>
      <c r="K215" t="str" cm="1">
        <f t="array" ref="K215">_xlfn.IFS(Table4_2[[#This Row],[Growth Days]]&lt;=14,"Seedling",Table4_2[[#This Row],[Growth Days]]&lt;=35, "Vegetative",Table4_2[[#This Row],[Growth Days]]&lt;=50, "Maturity")</f>
        <v>Maturity</v>
      </c>
      <c r="L215" t="str">
        <f>IF(Table4_2[[#This Row],[TDS Value (ppm)]]&lt;560, "Low", IF(Table4_2[[#This Row],[TDS Value (ppm)]]&lt;=800,"Optimal","High"))</f>
        <v>Optimal</v>
      </c>
    </row>
    <row r="216" spans="1:12" x14ac:dyDescent="0.25">
      <c r="A216">
        <v>36</v>
      </c>
      <c r="B216" s="1">
        <v>45145</v>
      </c>
      <c r="C216" s="1" t="str">
        <f>TEXT(Table4_2[[#This Row],[Date]],"dddd")</f>
        <v>Monday</v>
      </c>
      <c r="D216" s="21">
        <v>33.4</v>
      </c>
      <c r="E216" s="21">
        <v>74</v>
      </c>
      <c r="F216" s="21">
        <v>796</v>
      </c>
      <c r="G216" s="21">
        <v>6.4</v>
      </c>
      <c r="H216">
        <v>5</v>
      </c>
      <c r="I216">
        <v>92.12</v>
      </c>
      <c r="J216">
        <v>0.74</v>
      </c>
      <c r="K216" t="str" cm="1">
        <f t="array" ref="K216">_xlfn.IFS(Table4_2[[#This Row],[Growth Days]]&lt;=14,"Seedling",Table4_2[[#This Row],[Growth Days]]&lt;=35, "Vegetative",Table4_2[[#This Row],[Growth Days]]&lt;=50, "Maturity")</f>
        <v>Seedling</v>
      </c>
      <c r="L216" t="str">
        <f>IF(Table4_2[[#This Row],[TDS Value (ppm)]]&lt;560, "Low", IF(Table4_2[[#This Row],[TDS Value (ppm)]]&lt;=800,"Optimal","High"))</f>
        <v>Optimal</v>
      </c>
    </row>
    <row r="217" spans="1:12" x14ac:dyDescent="0.25">
      <c r="A217">
        <v>36</v>
      </c>
      <c r="B217" s="1">
        <v>45152</v>
      </c>
      <c r="C217" s="1" t="str">
        <f>TEXT(Table4_2[[#This Row],[Date]],"dddd")</f>
        <v>Monday</v>
      </c>
      <c r="D217" s="21">
        <v>30.1</v>
      </c>
      <c r="E217" s="21">
        <v>65</v>
      </c>
      <c r="F217" s="21">
        <v>639</v>
      </c>
      <c r="G217" s="21">
        <v>6.6</v>
      </c>
      <c r="H217">
        <v>12</v>
      </c>
      <c r="I217">
        <v>86.18</v>
      </c>
      <c r="J217">
        <v>0.65</v>
      </c>
      <c r="K217" t="str" cm="1">
        <f t="array" ref="K217">_xlfn.IFS(Table4_2[[#This Row],[Growth Days]]&lt;=14,"Seedling",Table4_2[[#This Row],[Growth Days]]&lt;=35, "Vegetative",Table4_2[[#This Row],[Growth Days]]&lt;=50, "Maturity")</f>
        <v>Seedling</v>
      </c>
      <c r="L217" t="str">
        <f>IF(Table4_2[[#This Row],[TDS Value (ppm)]]&lt;560, "Low", IF(Table4_2[[#This Row],[TDS Value (ppm)]]&lt;=800,"Optimal","High"))</f>
        <v>Optimal</v>
      </c>
    </row>
    <row r="218" spans="1:12" x14ac:dyDescent="0.25">
      <c r="A218">
        <v>36</v>
      </c>
      <c r="B218" s="1">
        <v>45159</v>
      </c>
      <c r="C218" s="1" t="str">
        <f>TEXT(Table4_2[[#This Row],[Date]],"dddd")</f>
        <v>Monday</v>
      </c>
      <c r="D218" s="21">
        <v>30.2</v>
      </c>
      <c r="E218" s="21">
        <v>55</v>
      </c>
      <c r="F218" s="21">
        <v>492</v>
      </c>
      <c r="G218" s="21">
        <v>6.3</v>
      </c>
      <c r="H218">
        <v>19</v>
      </c>
      <c r="I218">
        <v>86.36</v>
      </c>
      <c r="J218">
        <v>0.55000000000000004</v>
      </c>
      <c r="K218" t="str" cm="1">
        <f t="array" ref="K218">_xlfn.IFS(Table4_2[[#This Row],[Growth Days]]&lt;=14,"Seedling",Table4_2[[#This Row],[Growth Days]]&lt;=35, "Vegetative",Table4_2[[#This Row],[Growth Days]]&lt;=50, "Maturity")</f>
        <v>Vegetative</v>
      </c>
      <c r="L218" t="str">
        <f>IF(Table4_2[[#This Row],[TDS Value (ppm)]]&lt;560, "Low", IF(Table4_2[[#This Row],[TDS Value (ppm)]]&lt;=800,"Optimal","High"))</f>
        <v>Low</v>
      </c>
    </row>
    <row r="219" spans="1:12" x14ac:dyDescent="0.25">
      <c r="A219">
        <v>36</v>
      </c>
      <c r="B219" s="1">
        <v>45166</v>
      </c>
      <c r="C219" s="1" t="str">
        <f>TEXT(Table4_2[[#This Row],[Date]],"dddd")</f>
        <v>Monday</v>
      </c>
      <c r="D219" s="21">
        <v>29.4</v>
      </c>
      <c r="E219" s="21">
        <v>52</v>
      </c>
      <c r="F219" s="21">
        <v>552</v>
      </c>
      <c r="G219" s="21">
        <v>6.2</v>
      </c>
      <c r="H219">
        <v>26</v>
      </c>
      <c r="I219">
        <v>84.92</v>
      </c>
      <c r="J219">
        <v>0.52</v>
      </c>
      <c r="K219" t="str" cm="1">
        <f t="array" ref="K219">_xlfn.IFS(Table4_2[[#This Row],[Growth Days]]&lt;=14,"Seedling",Table4_2[[#This Row],[Growth Days]]&lt;=35, "Vegetative",Table4_2[[#This Row],[Growth Days]]&lt;=50, "Maturity")</f>
        <v>Vegetative</v>
      </c>
      <c r="L219" t="str">
        <f>IF(Table4_2[[#This Row],[TDS Value (ppm)]]&lt;560, "Low", IF(Table4_2[[#This Row],[TDS Value (ppm)]]&lt;=800,"Optimal","High"))</f>
        <v>Low</v>
      </c>
    </row>
    <row r="220" spans="1:12" x14ac:dyDescent="0.25">
      <c r="A220">
        <v>36</v>
      </c>
      <c r="B220" s="1">
        <v>45173</v>
      </c>
      <c r="C220" s="1" t="str">
        <f>TEXT(Table4_2[[#This Row],[Date]],"dddd")</f>
        <v>Monday</v>
      </c>
      <c r="D220" s="21">
        <v>31.7</v>
      </c>
      <c r="E220" s="21">
        <v>68</v>
      </c>
      <c r="F220" s="21">
        <v>639</v>
      </c>
      <c r="G220" s="21">
        <v>6</v>
      </c>
      <c r="H220">
        <v>33</v>
      </c>
      <c r="I220">
        <v>89.06</v>
      </c>
      <c r="J220">
        <v>0.68</v>
      </c>
      <c r="K220" t="str" cm="1">
        <f t="array" ref="K220">_xlfn.IFS(Table4_2[[#This Row],[Growth Days]]&lt;=14,"Seedling",Table4_2[[#This Row],[Growth Days]]&lt;=35, "Vegetative",Table4_2[[#This Row],[Growth Days]]&lt;=50, "Maturity")</f>
        <v>Vegetative</v>
      </c>
      <c r="L220" t="str">
        <f>IF(Table4_2[[#This Row],[TDS Value (ppm)]]&lt;560, "Low", IF(Table4_2[[#This Row],[TDS Value (ppm)]]&lt;=800,"Optimal","High"))</f>
        <v>Optimal</v>
      </c>
    </row>
    <row r="221" spans="1:12" x14ac:dyDescent="0.25">
      <c r="A221">
        <v>36</v>
      </c>
      <c r="B221" s="1">
        <v>45180</v>
      </c>
      <c r="C221" s="1" t="str">
        <f>TEXT(Table4_2[[#This Row],[Date]],"dddd")</f>
        <v>Monday</v>
      </c>
      <c r="D221" s="21">
        <v>31.2</v>
      </c>
      <c r="E221" s="21">
        <v>65</v>
      </c>
      <c r="F221" s="21">
        <v>722</v>
      </c>
      <c r="G221" s="21">
        <v>6.1</v>
      </c>
      <c r="H221">
        <v>40</v>
      </c>
      <c r="I221">
        <v>88.16</v>
      </c>
      <c r="J221">
        <v>0.65</v>
      </c>
      <c r="K221" t="str" cm="1">
        <f t="array" ref="K221">_xlfn.IFS(Table4_2[[#This Row],[Growth Days]]&lt;=14,"Seedling",Table4_2[[#This Row],[Growth Days]]&lt;=35, "Vegetative",Table4_2[[#This Row],[Growth Days]]&lt;=50, "Maturity")</f>
        <v>Maturity</v>
      </c>
      <c r="L221" t="str">
        <f>IF(Table4_2[[#This Row],[TDS Value (ppm)]]&lt;560, "Low", IF(Table4_2[[#This Row],[TDS Value (ppm)]]&lt;=800,"Optimal","High"))</f>
        <v>Optimal</v>
      </c>
    </row>
    <row r="222" spans="1:12" x14ac:dyDescent="0.25">
      <c r="A222">
        <v>37</v>
      </c>
      <c r="B222" s="1">
        <v>45145</v>
      </c>
      <c r="C222" s="1" t="str">
        <f>TEXT(Table4_2[[#This Row],[Date]],"dddd")</f>
        <v>Monday</v>
      </c>
      <c r="D222" s="21">
        <v>33.4</v>
      </c>
      <c r="E222" s="21">
        <v>79</v>
      </c>
      <c r="F222" s="21">
        <v>410</v>
      </c>
      <c r="G222" s="21">
        <v>6.4</v>
      </c>
      <c r="H222">
        <v>5</v>
      </c>
      <c r="I222">
        <v>92.12</v>
      </c>
      <c r="J222">
        <v>0.79</v>
      </c>
      <c r="K222" t="str" cm="1">
        <f t="array" ref="K222">_xlfn.IFS(Table4_2[[#This Row],[Growth Days]]&lt;=14,"Seedling",Table4_2[[#This Row],[Growth Days]]&lt;=35, "Vegetative",Table4_2[[#This Row],[Growth Days]]&lt;=50, "Maturity")</f>
        <v>Seedling</v>
      </c>
      <c r="L222" t="str">
        <f>IF(Table4_2[[#This Row],[TDS Value (ppm)]]&lt;560, "Low", IF(Table4_2[[#This Row],[TDS Value (ppm)]]&lt;=800,"Optimal","High"))</f>
        <v>Low</v>
      </c>
    </row>
    <row r="223" spans="1:12" x14ac:dyDescent="0.25">
      <c r="A223">
        <v>37</v>
      </c>
      <c r="B223" s="1">
        <v>45152</v>
      </c>
      <c r="C223" s="1" t="str">
        <f>TEXT(Table4_2[[#This Row],[Date]],"dddd")</f>
        <v>Monday</v>
      </c>
      <c r="D223" s="21">
        <v>30.1</v>
      </c>
      <c r="E223" s="21">
        <v>79</v>
      </c>
      <c r="F223" s="21">
        <v>780</v>
      </c>
      <c r="G223" s="21">
        <v>6.5</v>
      </c>
      <c r="H223">
        <v>12</v>
      </c>
      <c r="I223">
        <v>86.18</v>
      </c>
      <c r="J223">
        <v>0.79</v>
      </c>
      <c r="K223" t="str" cm="1">
        <f t="array" ref="K223">_xlfn.IFS(Table4_2[[#This Row],[Growth Days]]&lt;=14,"Seedling",Table4_2[[#This Row],[Growth Days]]&lt;=35, "Vegetative",Table4_2[[#This Row],[Growth Days]]&lt;=50, "Maturity")</f>
        <v>Seedling</v>
      </c>
      <c r="L223" t="str">
        <f>IF(Table4_2[[#This Row],[TDS Value (ppm)]]&lt;560, "Low", IF(Table4_2[[#This Row],[TDS Value (ppm)]]&lt;=800,"Optimal","High"))</f>
        <v>Optimal</v>
      </c>
    </row>
    <row r="224" spans="1:12" x14ac:dyDescent="0.25">
      <c r="A224">
        <v>37</v>
      </c>
      <c r="B224" s="1">
        <v>45159</v>
      </c>
      <c r="C224" s="1" t="str">
        <f>TEXT(Table4_2[[#This Row],[Date]],"dddd")</f>
        <v>Monday</v>
      </c>
      <c r="D224" s="21">
        <v>30.2</v>
      </c>
      <c r="E224" s="21">
        <v>71</v>
      </c>
      <c r="F224" s="21">
        <v>472</v>
      </c>
      <c r="G224" s="21">
        <v>6.5</v>
      </c>
      <c r="H224">
        <v>19</v>
      </c>
      <c r="I224">
        <v>86.36</v>
      </c>
      <c r="J224">
        <v>0.71</v>
      </c>
      <c r="K224" t="str" cm="1">
        <f t="array" ref="K224">_xlfn.IFS(Table4_2[[#This Row],[Growth Days]]&lt;=14,"Seedling",Table4_2[[#This Row],[Growth Days]]&lt;=35, "Vegetative",Table4_2[[#This Row],[Growth Days]]&lt;=50, "Maturity")</f>
        <v>Vegetative</v>
      </c>
      <c r="L224" t="str">
        <f>IF(Table4_2[[#This Row],[TDS Value (ppm)]]&lt;560, "Low", IF(Table4_2[[#This Row],[TDS Value (ppm)]]&lt;=800,"Optimal","High"))</f>
        <v>Low</v>
      </c>
    </row>
    <row r="225" spans="1:12" x14ac:dyDescent="0.25">
      <c r="A225">
        <v>37</v>
      </c>
      <c r="B225" s="1">
        <v>45166</v>
      </c>
      <c r="C225" s="1" t="str">
        <f>TEXT(Table4_2[[#This Row],[Date]],"dddd")</f>
        <v>Monday</v>
      </c>
      <c r="D225" s="21">
        <v>29.4</v>
      </c>
      <c r="E225" s="21">
        <v>51</v>
      </c>
      <c r="F225" s="21">
        <v>568</v>
      </c>
      <c r="G225" s="21">
        <v>6.6</v>
      </c>
      <c r="H225">
        <v>26</v>
      </c>
      <c r="I225">
        <v>84.92</v>
      </c>
      <c r="J225">
        <v>0.51</v>
      </c>
      <c r="K225" t="str" cm="1">
        <f t="array" ref="K225">_xlfn.IFS(Table4_2[[#This Row],[Growth Days]]&lt;=14,"Seedling",Table4_2[[#This Row],[Growth Days]]&lt;=35, "Vegetative",Table4_2[[#This Row],[Growth Days]]&lt;=50, "Maturity")</f>
        <v>Vegetative</v>
      </c>
      <c r="L225" t="str">
        <f>IF(Table4_2[[#This Row],[TDS Value (ppm)]]&lt;560, "Low", IF(Table4_2[[#This Row],[TDS Value (ppm)]]&lt;=800,"Optimal","High"))</f>
        <v>Optimal</v>
      </c>
    </row>
    <row r="226" spans="1:12" x14ac:dyDescent="0.25">
      <c r="A226">
        <v>37</v>
      </c>
      <c r="B226" s="1">
        <v>45173</v>
      </c>
      <c r="C226" s="1" t="str">
        <f>TEXT(Table4_2[[#This Row],[Date]],"dddd")</f>
        <v>Monday</v>
      </c>
      <c r="D226" s="21">
        <v>31.7</v>
      </c>
      <c r="E226" s="21">
        <v>68</v>
      </c>
      <c r="F226" s="21">
        <v>416</v>
      </c>
      <c r="G226" s="21">
        <v>6.4</v>
      </c>
      <c r="H226">
        <v>33</v>
      </c>
      <c r="I226">
        <v>89.06</v>
      </c>
      <c r="J226">
        <v>0.68</v>
      </c>
      <c r="K226" t="str" cm="1">
        <f t="array" ref="K226">_xlfn.IFS(Table4_2[[#This Row],[Growth Days]]&lt;=14,"Seedling",Table4_2[[#This Row],[Growth Days]]&lt;=35, "Vegetative",Table4_2[[#This Row],[Growth Days]]&lt;=50, "Maturity")</f>
        <v>Vegetative</v>
      </c>
      <c r="L226" t="str">
        <f>IF(Table4_2[[#This Row],[TDS Value (ppm)]]&lt;560, "Low", IF(Table4_2[[#This Row],[TDS Value (ppm)]]&lt;=800,"Optimal","High"))</f>
        <v>Low</v>
      </c>
    </row>
    <row r="227" spans="1:12" x14ac:dyDescent="0.25">
      <c r="A227">
        <v>37</v>
      </c>
      <c r="B227" s="1">
        <v>45180</v>
      </c>
      <c r="C227" s="1" t="str">
        <f>TEXT(Table4_2[[#This Row],[Date]],"dddd")</f>
        <v>Monday</v>
      </c>
      <c r="D227" s="21">
        <v>31.2</v>
      </c>
      <c r="E227" s="21">
        <v>75</v>
      </c>
      <c r="F227" s="21">
        <v>753</v>
      </c>
      <c r="G227" s="21">
        <v>6.6</v>
      </c>
      <c r="H227">
        <v>40</v>
      </c>
      <c r="I227">
        <v>88.16</v>
      </c>
      <c r="J227">
        <v>0.75</v>
      </c>
      <c r="K227" t="str" cm="1">
        <f t="array" ref="K227">_xlfn.IFS(Table4_2[[#This Row],[Growth Days]]&lt;=14,"Seedling",Table4_2[[#This Row],[Growth Days]]&lt;=35, "Vegetative",Table4_2[[#This Row],[Growth Days]]&lt;=50, "Maturity")</f>
        <v>Maturity</v>
      </c>
      <c r="L227" t="str">
        <f>IF(Table4_2[[#This Row],[TDS Value (ppm)]]&lt;560, "Low", IF(Table4_2[[#This Row],[TDS Value (ppm)]]&lt;=800,"Optimal","High"))</f>
        <v>Optimal</v>
      </c>
    </row>
    <row r="228" spans="1:12" x14ac:dyDescent="0.25">
      <c r="A228">
        <v>38</v>
      </c>
      <c r="B228" s="1">
        <v>45145</v>
      </c>
      <c r="C228" s="1" t="str">
        <f>TEXT(Table4_2[[#This Row],[Date]],"dddd")</f>
        <v>Monday</v>
      </c>
      <c r="D228" s="21">
        <v>33.4</v>
      </c>
      <c r="E228" s="21">
        <v>78</v>
      </c>
      <c r="F228" s="21">
        <v>682</v>
      </c>
      <c r="G228" s="21">
        <v>6.3</v>
      </c>
      <c r="H228">
        <v>5</v>
      </c>
      <c r="I228">
        <v>92.12</v>
      </c>
      <c r="J228">
        <v>0.78</v>
      </c>
      <c r="K228" t="str" cm="1">
        <f t="array" ref="K228">_xlfn.IFS(Table4_2[[#This Row],[Growth Days]]&lt;=14,"Seedling",Table4_2[[#This Row],[Growth Days]]&lt;=35, "Vegetative",Table4_2[[#This Row],[Growth Days]]&lt;=50, "Maturity")</f>
        <v>Seedling</v>
      </c>
      <c r="L228" t="str">
        <f>IF(Table4_2[[#This Row],[TDS Value (ppm)]]&lt;560, "Low", IF(Table4_2[[#This Row],[TDS Value (ppm)]]&lt;=800,"Optimal","High"))</f>
        <v>Optimal</v>
      </c>
    </row>
    <row r="229" spans="1:12" x14ac:dyDescent="0.25">
      <c r="A229">
        <v>38</v>
      </c>
      <c r="B229" s="1">
        <v>45152</v>
      </c>
      <c r="C229" s="1" t="str">
        <f>TEXT(Table4_2[[#This Row],[Date]],"dddd")</f>
        <v>Monday</v>
      </c>
      <c r="D229" s="21">
        <v>30.1</v>
      </c>
      <c r="E229" s="21">
        <v>69</v>
      </c>
      <c r="F229" s="21">
        <v>782</v>
      </c>
      <c r="G229" s="21">
        <v>6.6</v>
      </c>
      <c r="H229">
        <v>12</v>
      </c>
      <c r="I229">
        <v>86.18</v>
      </c>
      <c r="J229">
        <v>0.69</v>
      </c>
      <c r="K229" t="str" cm="1">
        <f t="array" ref="K229">_xlfn.IFS(Table4_2[[#This Row],[Growth Days]]&lt;=14,"Seedling",Table4_2[[#This Row],[Growth Days]]&lt;=35, "Vegetative",Table4_2[[#This Row],[Growth Days]]&lt;=50, "Maturity")</f>
        <v>Seedling</v>
      </c>
      <c r="L229" t="str">
        <f>IF(Table4_2[[#This Row],[TDS Value (ppm)]]&lt;560, "Low", IF(Table4_2[[#This Row],[TDS Value (ppm)]]&lt;=800,"Optimal","High"))</f>
        <v>Optimal</v>
      </c>
    </row>
    <row r="230" spans="1:12" x14ac:dyDescent="0.25">
      <c r="A230">
        <v>38</v>
      </c>
      <c r="B230" s="1">
        <v>45159</v>
      </c>
      <c r="C230" s="1" t="str">
        <f>TEXT(Table4_2[[#This Row],[Date]],"dddd")</f>
        <v>Monday</v>
      </c>
      <c r="D230" s="21">
        <v>30.2</v>
      </c>
      <c r="E230" s="21">
        <v>69</v>
      </c>
      <c r="F230" s="21">
        <v>676</v>
      </c>
      <c r="G230" s="21">
        <v>6</v>
      </c>
      <c r="H230">
        <v>19</v>
      </c>
      <c r="I230">
        <v>86.36</v>
      </c>
      <c r="J230">
        <v>0.69</v>
      </c>
      <c r="K230" t="str" cm="1">
        <f t="array" ref="K230">_xlfn.IFS(Table4_2[[#This Row],[Growth Days]]&lt;=14,"Seedling",Table4_2[[#This Row],[Growth Days]]&lt;=35, "Vegetative",Table4_2[[#This Row],[Growth Days]]&lt;=50, "Maturity")</f>
        <v>Vegetative</v>
      </c>
      <c r="L230" t="str">
        <f>IF(Table4_2[[#This Row],[TDS Value (ppm)]]&lt;560, "Low", IF(Table4_2[[#This Row],[TDS Value (ppm)]]&lt;=800,"Optimal","High"))</f>
        <v>Optimal</v>
      </c>
    </row>
    <row r="231" spans="1:12" x14ac:dyDescent="0.25">
      <c r="A231">
        <v>38</v>
      </c>
      <c r="B231" s="1">
        <v>45166</v>
      </c>
      <c r="C231" s="1" t="str">
        <f>TEXT(Table4_2[[#This Row],[Date]],"dddd")</f>
        <v>Monday</v>
      </c>
      <c r="D231" s="21">
        <v>29.4</v>
      </c>
      <c r="E231" s="21">
        <v>72</v>
      </c>
      <c r="F231" s="21">
        <v>685</v>
      </c>
      <c r="G231" s="21">
        <v>6.5</v>
      </c>
      <c r="H231">
        <v>26</v>
      </c>
      <c r="I231">
        <v>84.92</v>
      </c>
      <c r="J231">
        <v>0.72</v>
      </c>
      <c r="K231" t="str" cm="1">
        <f t="array" ref="K231">_xlfn.IFS(Table4_2[[#This Row],[Growth Days]]&lt;=14,"Seedling",Table4_2[[#This Row],[Growth Days]]&lt;=35, "Vegetative",Table4_2[[#This Row],[Growth Days]]&lt;=50, "Maturity")</f>
        <v>Vegetative</v>
      </c>
      <c r="L231" t="str">
        <f>IF(Table4_2[[#This Row],[TDS Value (ppm)]]&lt;560, "Low", IF(Table4_2[[#This Row],[TDS Value (ppm)]]&lt;=800,"Optimal","High"))</f>
        <v>Optimal</v>
      </c>
    </row>
    <row r="232" spans="1:12" x14ac:dyDescent="0.25">
      <c r="A232">
        <v>38</v>
      </c>
      <c r="B232" s="1">
        <v>45173</v>
      </c>
      <c r="C232" s="1" t="str">
        <f>TEXT(Table4_2[[#This Row],[Date]],"dddd")</f>
        <v>Monday</v>
      </c>
      <c r="D232" s="21">
        <v>31.7</v>
      </c>
      <c r="E232" s="21">
        <v>65</v>
      </c>
      <c r="F232" s="21">
        <v>527</v>
      </c>
      <c r="G232" s="21">
        <v>6.6</v>
      </c>
      <c r="H232">
        <v>33</v>
      </c>
      <c r="I232">
        <v>89.06</v>
      </c>
      <c r="J232">
        <v>0.65</v>
      </c>
      <c r="K232" t="str" cm="1">
        <f t="array" ref="K232">_xlfn.IFS(Table4_2[[#This Row],[Growth Days]]&lt;=14,"Seedling",Table4_2[[#This Row],[Growth Days]]&lt;=35, "Vegetative",Table4_2[[#This Row],[Growth Days]]&lt;=50, "Maturity")</f>
        <v>Vegetative</v>
      </c>
      <c r="L232" t="str">
        <f>IF(Table4_2[[#This Row],[TDS Value (ppm)]]&lt;560, "Low", IF(Table4_2[[#This Row],[TDS Value (ppm)]]&lt;=800,"Optimal","High"))</f>
        <v>Low</v>
      </c>
    </row>
    <row r="233" spans="1:12" x14ac:dyDescent="0.25">
      <c r="A233">
        <v>38</v>
      </c>
      <c r="B233" s="1">
        <v>45180</v>
      </c>
      <c r="C233" s="1" t="str">
        <f>TEXT(Table4_2[[#This Row],[Date]],"dddd")</f>
        <v>Monday</v>
      </c>
      <c r="D233" s="21">
        <v>31.2</v>
      </c>
      <c r="E233" s="21">
        <v>61</v>
      </c>
      <c r="F233" s="21">
        <v>696</v>
      </c>
      <c r="G233" s="21">
        <v>6.1</v>
      </c>
      <c r="H233">
        <v>40</v>
      </c>
      <c r="I233">
        <v>88.16</v>
      </c>
      <c r="J233">
        <v>0.61</v>
      </c>
      <c r="K233" t="str" cm="1">
        <f t="array" ref="K233">_xlfn.IFS(Table4_2[[#This Row],[Growth Days]]&lt;=14,"Seedling",Table4_2[[#This Row],[Growth Days]]&lt;=35, "Vegetative",Table4_2[[#This Row],[Growth Days]]&lt;=50, "Maturity")</f>
        <v>Maturity</v>
      </c>
      <c r="L233" t="str">
        <f>IF(Table4_2[[#This Row],[TDS Value (ppm)]]&lt;560, "Low", IF(Table4_2[[#This Row],[TDS Value (ppm)]]&lt;=800,"Optimal","High"))</f>
        <v>Optimal</v>
      </c>
    </row>
    <row r="234" spans="1:12" x14ac:dyDescent="0.25">
      <c r="A234">
        <v>39</v>
      </c>
      <c r="B234" s="1">
        <v>45145</v>
      </c>
      <c r="C234" s="1" t="str">
        <f>TEXT(Table4_2[[#This Row],[Date]],"dddd")</f>
        <v>Monday</v>
      </c>
      <c r="D234" s="21">
        <v>33.4</v>
      </c>
      <c r="E234" s="21">
        <v>80</v>
      </c>
      <c r="F234" s="21">
        <v>642</v>
      </c>
      <c r="G234" s="21">
        <v>6.7</v>
      </c>
      <c r="H234">
        <v>5</v>
      </c>
      <c r="I234">
        <v>92.12</v>
      </c>
      <c r="J234">
        <v>0.8</v>
      </c>
      <c r="K234" t="str" cm="1">
        <f t="array" ref="K234">_xlfn.IFS(Table4_2[[#This Row],[Growth Days]]&lt;=14,"Seedling",Table4_2[[#This Row],[Growth Days]]&lt;=35, "Vegetative",Table4_2[[#This Row],[Growth Days]]&lt;=50, "Maturity")</f>
        <v>Seedling</v>
      </c>
      <c r="L234" t="str">
        <f>IF(Table4_2[[#This Row],[TDS Value (ppm)]]&lt;560, "Low", IF(Table4_2[[#This Row],[TDS Value (ppm)]]&lt;=800,"Optimal","High"))</f>
        <v>Optimal</v>
      </c>
    </row>
    <row r="235" spans="1:12" x14ac:dyDescent="0.25">
      <c r="A235">
        <v>39</v>
      </c>
      <c r="B235" s="1">
        <v>45152</v>
      </c>
      <c r="C235" s="1" t="str">
        <f>TEXT(Table4_2[[#This Row],[Date]],"dddd")</f>
        <v>Monday</v>
      </c>
      <c r="D235" s="21">
        <v>30.1</v>
      </c>
      <c r="E235" s="21">
        <v>51</v>
      </c>
      <c r="F235" s="21">
        <v>786</v>
      </c>
      <c r="G235" s="21">
        <v>6.2</v>
      </c>
      <c r="H235">
        <v>12</v>
      </c>
      <c r="I235">
        <v>86.18</v>
      </c>
      <c r="J235">
        <v>0.51</v>
      </c>
      <c r="K235" t="str" cm="1">
        <f t="array" ref="K235">_xlfn.IFS(Table4_2[[#This Row],[Growth Days]]&lt;=14,"Seedling",Table4_2[[#This Row],[Growth Days]]&lt;=35, "Vegetative",Table4_2[[#This Row],[Growth Days]]&lt;=50, "Maturity")</f>
        <v>Seedling</v>
      </c>
      <c r="L235" t="str">
        <f>IF(Table4_2[[#This Row],[TDS Value (ppm)]]&lt;560, "Low", IF(Table4_2[[#This Row],[TDS Value (ppm)]]&lt;=800,"Optimal","High"))</f>
        <v>Optimal</v>
      </c>
    </row>
    <row r="236" spans="1:12" x14ac:dyDescent="0.25">
      <c r="A236">
        <v>39</v>
      </c>
      <c r="B236" s="1">
        <v>45159</v>
      </c>
      <c r="C236" s="1" t="str">
        <f>TEXT(Table4_2[[#This Row],[Date]],"dddd")</f>
        <v>Monday</v>
      </c>
      <c r="D236" s="21">
        <v>30.2</v>
      </c>
      <c r="E236" s="21">
        <v>52</v>
      </c>
      <c r="F236" s="21">
        <v>462</v>
      </c>
      <c r="G236" s="21">
        <v>6.5</v>
      </c>
      <c r="H236">
        <v>19</v>
      </c>
      <c r="I236">
        <v>86.36</v>
      </c>
      <c r="J236">
        <v>0.52</v>
      </c>
      <c r="K236" t="str" cm="1">
        <f t="array" ref="K236">_xlfn.IFS(Table4_2[[#This Row],[Growth Days]]&lt;=14,"Seedling",Table4_2[[#This Row],[Growth Days]]&lt;=35, "Vegetative",Table4_2[[#This Row],[Growth Days]]&lt;=50, "Maturity")</f>
        <v>Vegetative</v>
      </c>
      <c r="L236" t="str">
        <f>IF(Table4_2[[#This Row],[TDS Value (ppm)]]&lt;560, "Low", IF(Table4_2[[#This Row],[TDS Value (ppm)]]&lt;=800,"Optimal","High"))</f>
        <v>Low</v>
      </c>
    </row>
    <row r="237" spans="1:12" x14ac:dyDescent="0.25">
      <c r="A237">
        <v>39</v>
      </c>
      <c r="B237" s="1">
        <v>45166</v>
      </c>
      <c r="C237" s="1" t="str">
        <f>TEXT(Table4_2[[#This Row],[Date]],"dddd")</f>
        <v>Monday</v>
      </c>
      <c r="D237" s="21">
        <v>29.4</v>
      </c>
      <c r="E237" s="21">
        <v>76</v>
      </c>
      <c r="F237" s="21">
        <v>422</v>
      </c>
      <c r="G237" s="21">
        <v>6.7</v>
      </c>
      <c r="H237">
        <v>26</v>
      </c>
      <c r="I237">
        <v>84.92</v>
      </c>
      <c r="J237">
        <v>0.76</v>
      </c>
      <c r="K237" t="str" cm="1">
        <f t="array" ref="K237">_xlfn.IFS(Table4_2[[#This Row],[Growth Days]]&lt;=14,"Seedling",Table4_2[[#This Row],[Growth Days]]&lt;=35, "Vegetative",Table4_2[[#This Row],[Growth Days]]&lt;=50, "Maturity")</f>
        <v>Vegetative</v>
      </c>
      <c r="L237" t="str">
        <f>IF(Table4_2[[#This Row],[TDS Value (ppm)]]&lt;560, "Low", IF(Table4_2[[#This Row],[TDS Value (ppm)]]&lt;=800,"Optimal","High"))</f>
        <v>Low</v>
      </c>
    </row>
    <row r="238" spans="1:12" x14ac:dyDescent="0.25">
      <c r="A238">
        <v>39</v>
      </c>
      <c r="B238" s="1">
        <v>45173</v>
      </c>
      <c r="C238" s="1" t="str">
        <f>TEXT(Table4_2[[#This Row],[Date]],"dddd")</f>
        <v>Monday</v>
      </c>
      <c r="D238" s="21">
        <v>31.7</v>
      </c>
      <c r="E238" s="21">
        <v>69</v>
      </c>
      <c r="F238" s="21">
        <v>547</v>
      </c>
      <c r="G238" s="21">
        <v>6.7</v>
      </c>
      <c r="H238">
        <v>33</v>
      </c>
      <c r="I238">
        <v>89.06</v>
      </c>
      <c r="J238">
        <v>0.69</v>
      </c>
      <c r="K238" t="str" cm="1">
        <f t="array" ref="K238">_xlfn.IFS(Table4_2[[#This Row],[Growth Days]]&lt;=14,"Seedling",Table4_2[[#This Row],[Growth Days]]&lt;=35, "Vegetative",Table4_2[[#This Row],[Growth Days]]&lt;=50, "Maturity")</f>
        <v>Vegetative</v>
      </c>
      <c r="L238" t="str">
        <f>IF(Table4_2[[#This Row],[TDS Value (ppm)]]&lt;560, "Low", IF(Table4_2[[#This Row],[TDS Value (ppm)]]&lt;=800,"Optimal","High"))</f>
        <v>Low</v>
      </c>
    </row>
    <row r="239" spans="1:12" x14ac:dyDescent="0.25">
      <c r="A239">
        <v>39</v>
      </c>
      <c r="B239" s="1">
        <v>45180</v>
      </c>
      <c r="C239" s="1" t="str">
        <f>TEXT(Table4_2[[#This Row],[Date]],"dddd")</f>
        <v>Monday</v>
      </c>
      <c r="D239" s="21">
        <v>31.2</v>
      </c>
      <c r="E239" s="21">
        <v>52</v>
      </c>
      <c r="F239" s="21">
        <v>481</v>
      </c>
      <c r="G239" s="21">
        <v>6.1</v>
      </c>
      <c r="H239">
        <v>40</v>
      </c>
      <c r="I239">
        <v>88.16</v>
      </c>
      <c r="J239">
        <v>0.52</v>
      </c>
      <c r="K239" t="str" cm="1">
        <f t="array" ref="K239">_xlfn.IFS(Table4_2[[#This Row],[Growth Days]]&lt;=14,"Seedling",Table4_2[[#This Row],[Growth Days]]&lt;=35, "Vegetative",Table4_2[[#This Row],[Growth Days]]&lt;=50, "Maturity")</f>
        <v>Maturity</v>
      </c>
      <c r="L239" t="str">
        <f>IF(Table4_2[[#This Row],[TDS Value (ppm)]]&lt;560, "Low", IF(Table4_2[[#This Row],[TDS Value (ppm)]]&lt;=800,"Optimal","High"))</f>
        <v>Low</v>
      </c>
    </row>
    <row r="240" spans="1:12" x14ac:dyDescent="0.25">
      <c r="A240">
        <v>40</v>
      </c>
      <c r="B240" s="1">
        <v>45145</v>
      </c>
      <c r="C240" s="1" t="str">
        <f>TEXT(Table4_2[[#This Row],[Date]],"dddd")</f>
        <v>Monday</v>
      </c>
      <c r="D240" s="21">
        <v>33.4</v>
      </c>
      <c r="E240" s="21">
        <v>72</v>
      </c>
      <c r="F240" s="21">
        <v>628</v>
      </c>
      <c r="G240" s="21">
        <v>6.1</v>
      </c>
      <c r="H240">
        <v>5</v>
      </c>
      <c r="I240">
        <v>92.12</v>
      </c>
      <c r="J240">
        <v>0.72</v>
      </c>
      <c r="K240" t="str" cm="1">
        <f t="array" ref="K240">_xlfn.IFS(Table4_2[[#This Row],[Growth Days]]&lt;=14,"Seedling",Table4_2[[#This Row],[Growth Days]]&lt;=35, "Vegetative",Table4_2[[#This Row],[Growth Days]]&lt;=50, "Maturity")</f>
        <v>Seedling</v>
      </c>
      <c r="L240" t="str">
        <f>IF(Table4_2[[#This Row],[TDS Value (ppm)]]&lt;560, "Low", IF(Table4_2[[#This Row],[TDS Value (ppm)]]&lt;=800,"Optimal","High"))</f>
        <v>Optimal</v>
      </c>
    </row>
    <row r="241" spans="1:12" x14ac:dyDescent="0.25">
      <c r="A241">
        <v>40</v>
      </c>
      <c r="B241" s="1">
        <v>45152</v>
      </c>
      <c r="C241" s="1" t="str">
        <f>TEXT(Table4_2[[#This Row],[Date]],"dddd")</f>
        <v>Monday</v>
      </c>
      <c r="D241" s="21">
        <v>30.1</v>
      </c>
      <c r="E241" s="21">
        <v>75</v>
      </c>
      <c r="F241" s="21">
        <v>555</v>
      </c>
      <c r="G241" s="21">
        <v>6.2</v>
      </c>
      <c r="H241">
        <v>12</v>
      </c>
      <c r="I241">
        <v>86.18</v>
      </c>
      <c r="J241">
        <v>0.75</v>
      </c>
      <c r="K241" t="str" cm="1">
        <f t="array" ref="K241">_xlfn.IFS(Table4_2[[#This Row],[Growth Days]]&lt;=14,"Seedling",Table4_2[[#This Row],[Growth Days]]&lt;=35, "Vegetative",Table4_2[[#This Row],[Growth Days]]&lt;=50, "Maturity")</f>
        <v>Seedling</v>
      </c>
      <c r="L241" t="str">
        <f>IF(Table4_2[[#This Row],[TDS Value (ppm)]]&lt;560, "Low", IF(Table4_2[[#This Row],[TDS Value (ppm)]]&lt;=800,"Optimal","High"))</f>
        <v>Low</v>
      </c>
    </row>
    <row r="242" spans="1:12" x14ac:dyDescent="0.25">
      <c r="A242">
        <v>40</v>
      </c>
      <c r="B242" s="1">
        <v>45159</v>
      </c>
      <c r="C242" s="1" t="str">
        <f>TEXT(Table4_2[[#This Row],[Date]],"dddd")</f>
        <v>Monday</v>
      </c>
      <c r="D242" s="21">
        <v>30.2</v>
      </c>
      <c r="E242" s="21">
        <v>78</v>
      </c>
      <c r="F242" s="21">
        <v>735</v>
      </c>
      <c r="G242" s="21">
        <v>6.1</v>
      </c>
      <c r="H242">
        <v>19</v>
      </c>
      <c r="I242">
        <v>86.36</v>
      </c>
      <c r="J242">
        <v>0.78</v>
      </c>
      <c r="K242" t="str" cm="1">
        <f t="array" ref="K242">_xlfn.IFS(Table4_2[[#This Row],[Growth Days]]&lt;=14,"Seedling",Table4_2[[#This Row],[Growth Days]]&lt;=35, "Vegetative",Table4_2[[#This Row],[Growth Days]]&lt;=50, "Maturity")</f>
        <v>Vegetative</v>
      </c>
      <c r="L242" t="str">
        <f>IF(Table4_2[[#This Row],[TDS Value (ppm)]]&lt;560, "Low", IF(Table4_2[[#This Row],[TDS Value (ppm)]]&lt;=800,"Optimal","High"))</f>
        <v>Optimal</v>
      </c>
    </row>
    <row r="243" spans="1:12" x14ac:dyDescent="0.25">
      <c r="A243">
        <v>40</v>
      </c>
      <c r="B243" s="1">
        <v>45166</v>
      </c>
      <c r="C243" s="1" t="str">
        <f>TEXT(Table4_2[[#This Row],[Date]],"dddd")</f>
        <v>Monday</v>
      </c>
      <c r="D243" s="21">
        <v>29.4</v>
      </c>
      <c r="E243" s="21">
        <v>58</v>
      </c>
      <c r="F243" s="21">
        <v>681</v>
      </c>
      <c r="G243" s="21">
        <v>6.8</v>
      </c>
      <c r="H243">
        <v>26</v>
      </c>
      <c r="I243">
        <v>84.92</v>
      </c>
      <c r="J243">
        <v>0.57999999999999996</v>
      </c>
      <c r="K243" t="str" cm="1">
        <f t="array" ref="K243">_xlfn.IFS(Table4_2[[#This Row],[Growth Days]]&lt;=14,"Seedling",Table4_2[[#This Row],[Growth Days]]&lt;=35, "Vegetative",Table4_2[[#This Row],[Growth Days]]&lt;=50, "Maturity")</f>
        <v>Vegetative</v>
      </c>
      <c r="L243" t="str">
        <f>IF(Table4_2[[#This Row],[TDS Value (ppm)]]&lt;560, "Low", IF(Table4_2[[#This Row],[TDS Value (ppm)]]&lt;=800,"Optimal","High"))</f>
        <v>Optimal</v>
      </c>
    </row>
    <row r="244" spans="1:12" x14ac:dyDescent="0.25">
      <c r="A244">
        <v>40</v>
      </c>
      <c r="B244" s="1">
        <v>45173</v>
      </c>
      <c r="C244" s="1" t="str">
        <f>TEXT(Table4_2[[#This Row],[Date]],"dddd")</f>
        <v>Monday</v>
      </c>
      <c r="D244" s="21">
        <v>31.7</v>
      </c>
      <c r="E244" s="21">
        <v>54</v>
      </c>
      <c r="F244" s="21">
        <v>479</v>
      </c>
      <c r="G244" s="21">
        <v>6.2</v>
      </c>
      <c r="H244">
        <v>33</v>
      </c>
      <c r="I244">
        <v>89.06</v>
      </c>
      <c r="J244">
        <v>0.54</v>
      </c>
      <c r="K244" t="str" cm="1">
        <f t="array" ref="K244">_xlfn.IFS(Table4_2[[#This Row],[Growth Days]]&lt;=14,"Seedling",Table4_2[[#This Row],[Growth Days]]&lt;=35, "Vegetative",Table4_2[[#This Row],[Growth Days]]&lt;=50, "Maturity")</f>
        <v>Vegetative</v>
      </c>
      <c r="L244" t="str">
        <f>IF(Table4_2[[#This Row],[TDS Value (ppm)]]&lt;560, "Low", IF(Table4_2[[#This Row],[TDS Value (ppm)]]&lt;=800,"Optimal","High"))</f>
        <v>Low</v>
      </c>
    </row>
    <row r="245" spans="1:12" x14ac:dyDescent="0.25">
      <c r="A245">
        <v>40</v>
      </c>
      <c r="B245" s="1">
        <v>45180</v>
      </c>
      <c r="C245" s="1" t="str">
        <f>TEXT(Table4_2[[#This Row],[Date]],"dddd")</f>
        <v>Monday</v>
      </c>
      <c r="D245" s="21">
        <v>31.2</v>
      </c>
      <c r="E245" s="21">
        <v>60</v>
      </c>
      <c r="F245" s="21">
        <v>673</v>
      </c>
      <c r="G245" s="21">
        <v>6.3</v>
      </c>
      <c r="H245">
        <v>40</v>
      </c>
      <c r="I245">
        <v>88.16</v>
      </c>
      <c r="J245">
        <v>0.6</v>
      </c>
      <c r="K245" t="str" cm="1">
        <f t="array" ref="K245">_xlfn.IFS(Table4_2[[#This Row],[Growth Days]]&lt;=14,"Seedling",Table4_2[[#This Row],[Growth Days]]&lt;=35, "Vegetative",Table4_2[[#This Row],[Growth Days]]&lt;=50, "Maturity")</f>
        <v>Maturity</v>
      </c>
      <c r="L245" t="str">
        <f>IF(Table4_2[[#This Row],[TDS Value (ppm)]]&lt;560, "Low", IF(Table4_2[[#This Row],[TDS Value (ppm)]]&lt;=800,"Optimal","High"))</f>
        <v>Optimal</v>
      </c>
    </row>
    <row r="246" spans="1:12" x14ac:dyDescent="0.25">
      <c r="A246">
        <v>41</v>
      </c>
      <c r="B246" s="1">
        <v>45145</v>
      </c>
      <c r="C246" s="1" t="str">
        <f>TEXT(Table4_2[[#This Row],[Date]],"dddd")</f>
        <v>Monday</v>
      </c>
      <c r="D246" s="21">
        <v>33.4</v>
      </c>
      <c r="E246" s="21">
        <v>58</v>
      </c>
      <c r="F246" s="21">
        <v>601</v>
      </c>
      <c r="G246" s="21">
        <v>6.5</v>
      </c>
      <c r="H246">
        <v>5</v>
      </c>
      <c r="I246">
        <v>92.12</v>
      </c>
      <c r="J246">
        <v>0.57999999999999996</v>
      </c>
      <c r="K246" t="str" cm="1">
        <f t="array" ref="K246">_xlfn.IFS(Table4_2[[#This Row],[Growth Days]]&lt;=14,"Seedling",Table4_2[[#This Row],[Growth Days]]&lt;=35, "Vegetative",Table4_2[[#This Row],[Growth Days]]&lt;=50, "Maturity")</f>
        <v>Seedling</v>
      </c>
      <c r="L246" t="str">
        <f>IF(Table4_2[[#This Row],[TDS Value (ppm)]]&lt;560, "Low", IF(Table4_2[[#This Row],[TDS Value (ppm)]]&lt;=800,"Optimal","High"))</f>
        <v>Optimal</v>
      </c>
    </row>
    <row r="247" spans="1:12" x14ac:dyDescent="0.25">
      <c r="A247">
        <v>41</v>
      </c>
      <c r="B247" s="1">
        <v>45152</v>
      </c>
      <c r="C247" s="1" t="str">
        <f>TEXT(Table4_2[[#This Row],[Date]],"dddd")</f>
        <v>Monday</v>
      </c>
      <c r="D247" s="21">
        <v>30.1</v>
      </c>
      <c r="E247" s="21">
        <v>69</v>
      </c>
      <c r="F247" s="21">
        <v>668</v>
      </c>
      <c r="G247" s="21">
        <v>6.1</v>
      </c>
      <c r="H247">
        <v>12</v>
      </c>
      <c r="I247">
        <v>86.18</v>
      </c>
      <c r="J247">
        <v>0.69</v>
      </c>
      <c r="K247" t="str" cm="1">
        <f t="array" ref="K247">_xlfn.IFS(Table4_2[[#This Row],[Growth Days]]&lt;=14,"Seedling",Table4_2[[#This Row],[Growth Days]]&lt;=35, "Vegetative",Table4_2[[#This Row],[Growth Days]]&lt;=50, "Maturity")</f>
        <v>Seedling</v>
      </c>
      <c r="L247" t="str">
        <f>IF(Table4_2[[#This Row],[TDS Value (ppm)]]&lt;560, "Low", IF(Table4_2[[#This Row],[TDS Value (ppm)]]&lt;=800,"Optimal","High"))</f>
        <v>Optimal</v>
      </c>
    </row>
    <row r="248" spans="1:12" x14ac:dyDescent="0.25">
      <c r="A248">
        <v>41</v>
      </c>
      <c r="B248" s="1">
        <v>45159</v>
      </c>
      <c r="C248" s="1" t="str">
        <f>TEXT(Table4_2[[#This Row],[Date]],"dddd")</f>
        <v>Monday</v>
      </c>
      <c r="D248" s="21">
        <v>30.2</v>
      </c>
      <c r="E248" s="21">
        <v>77</v>
      </c>
      <c r="F248" s="21">
        <v>421</v>
      </c>
      <c r="G248" s="21">
        <v>6.4</v>
      </c>
      <c r="H248">
        <v>19</v>
      </c>
      <c r="I248">
        <v>86.36</v>
      </c>
      <c r="J248">
        <v>0.77</v>
      </c>
      <c r="K248" t="str" cm="1">
        <f t="array" ref="K248">_xlfn.IFS(Table4_2[[#This Row],[Growth Days]]&lt;=14,"Seedling",Table4_2[[#This Row],[Growth Days]]&lt;=35, "Vegetative",Table4_2[[#This Row],[Growth Days]]&lt;=50, "Maturity")</f>
        <v>Vegetative</v>
      </c>
      <c r="L248" t="str">
        <f>IF(Table4_2[[#This Row],[TDS Value (ppm)]]&lt;560, "Low", IF(Table4_2[[#This Row],[TDS Value (ppm)]]&lt;=800,"Optimal","High"))</f>
        <v>Low</v>
      </c>
    </row>
    <row r="249" spans="1:12" x14ac:dyDescent="0.25">
      <c r="A249">
        <v>41</v>
      </c>
      <c r="B249" s="1">
        <v>45166</v>
      </c>
      <c r="C249" s="1" t="str">
        <f>TEXT(Table4_2[[#This Row],[Date]],"dddd")</f>
        <v>Monday</v>
      </c>
      <c r="D249" s="21">
        <v>29.4</v>
      </c>
      <c r="E249" s="21">
        <v>65</v>
      </c>
      <c r="F249" s="21">
        <v>677</v>
      </c>
      <c r="G249" s="21">
        <v>6.4</v>
      </c>
      <c r="H249">
        <v>26</v>
      </c>
      <c r="I249">
        <v>84.92</v>
      </c>
      <c r="J249">
        <v>0.65</v>
      </c>
      <c r="K249" t="str" cm="1">
        <f t="array" ref="K249">_xlfn.IFS(Table4_2[[#This Row],[Growth Days]]&lt;=14,"Seedling",Table4_2[[#This Row],[Growth Days]]&lt;=35, "Vegetative",Table4_2[[#This Row],[Growth Days]]&lt;=50, "Maturity")</f>
        <v>Vegetative</v>
      </c>
      <c r="L249" t="str">
        <f>IF(Table4_2[[#This Row],[TDS Value (ppm)]]&lt;560, "Low", IF(Table4_2[[#This Row],[TDS Value (ppm)]]&lt;=800,"Optimal","High"))</f>
        <v>Optimal</v>
      </c>
    </row>
    <row r="250" spans="1:12" x14ac:dyDescent="0.25">
      <c r="A250">
        <v>41</v>
      </c>
      <c r="B250" s="1">
        <v>45173</v>
      </c>
      <c r="C250" s="1" t="str">
        <f>TEXT(Table4_2[[#This Row],[Date]],"dddd")</f>
        <v>Monday</v>
      </c>
      <c r="D250" s="21">
        <v>31.7</v>
      </c>
      <c r="E250" s="21">
        <v>52</v>
      </c>
      <c r="F250" s="21">
        <v>472</v>
      </c>
      <c r="G250" s="21">
        <v>6</v>
      </c>
      <c r="H250">
        <v>33</v>
      </c>
      <c r="I250">
        <v>89.06</v>
      </c>
      <c r="J250">
        <v>0.52</v>
      </c>
      <c r="K250" t="str" cm="1">
        <f t="array" ref="K250">_xlfn.IFS(Table4_2[[#This Row],[Growth Days]]&lt;=14,"Seedling",Table4_2[[#This Row],[Growth Days]]&lt;=35, "Vegetative",Table4_2[[#This Row],[Growth Days]]&lt;=50, "Maturity")</f>
        <v>Vegetative</v>
      </c>
      <c r="L250" t="str">
        <f>IF(Table4_2[[#This Row],[TDS Value (ppm)]]&lt;560, "Low", IF(Table4_2[[#This Row],[TDS Value (ppm)]]&lt;=800,"Optimal","High"))</f>
        <v>Low</v>
      </c>
    </row>
    <row r="251" spans="1:12" x14ac:dyDescent="0.25">
      <c r="A251">
        <v>41</v>
      </c>
      <c r="B251" s="1">
        <v>45180</v>
      </c>
      <c r="C251" s="1" t="str">
        <f>TEXT(Table4_2[[#This Row],[Date]],"dddd")</f>
        <v>Monday</v>
      </c>
      <c r="D251" s="21">
        <v>31.2</v>
      </c>
      <c r="E251" s="21">
        <v>74</v>
      </c>
      <c r="F251" s="21">
        <v>443</v>
      </c>
      <c r="G251" s="21">
        <v>6.5</v>
      </c>
      <c r="H251">
        <v>40</v>
      </c>
      <c r="I251">
        <v>88.16</v>
      </c>
      <c r="J251">
        <v>0.74</v>
      </c>
      <c r="K251" t="str" cm="1">
        <f t="array" ref="K251">_xlfn.IFS(Table4_2[[#This Row],[Growth Days]]&lt;=14,"Seedling",Table4_2[[#This Row],[Growth Days]]&lt;=35, "Vegetative",Table4_2[[#This Row],[Growth Days]]&lt;=50, "Maturity")</f>
        <v>Maturity</v>
      </c>
      <c r="L251" t="str">
        <f>IF(Table4_2[[#This Row],[TDS Value (ppm)]]&lt;560, "Low", IF(Table4_2[[#This Row],[TDS Value (ppm)]]&lt;=800,"Optimal","High"))</f>
        <v>Low</v>
      </c>
    </row>
    <row r="252" spans="1:12" x14ac:dyDescent="0.25">
      <c r="A252">
        <v>42</v>
      </c>
      <c r="B252" s="1">
        <v>45145</v>
      </c>
      <c r="C252" s="1" t="str">
        <f>TEXT(Table4_2[[#This Row],[Date]],"dddd")</f>
        <v>Monday</v>
      </c>
      <c r="D252" s="21">
        <v>33.4</v>
      </c>
      <c r="E252" s="21">
        <v>53</v>
      </c>
      <c r="F252" s="21">
        <v>586</v>
      </c>
      <c r="G252" s="21">
        <v>6.7</v>
      </c>
      <c r="H252">
        <v>5</v>
      </c>
      <c r="I252">
        <v>92.12</v>
      </c>
      <c r="J252">
        <v>0.53</v>
      </c>
      <c r="K252" t="str" cm="1">
        <f t="array" ref="K252">_xlfn.IFS(Table4_2[[#This Row],[Growth Days]]&lt;=14,"Seedling",Table4_2[[#This Row],[Growth Days]]&lt;=35, "Vegetative",Table4_2[[#This Row],[Growth Days]]&lt;=50, "Maturity")</f>
        <v>Seedling</v>
      </c>
      <c r="L252" t="str">
        <f>IF(Table4_2[[#This Row],[TDS Value (ppm)]]&lt;560, "Low", IF(Table4_2[[#This Row],[TDS Value (ppm)]]&lt;=800,"Optimal","High"))</f>
        <v>Optimal</v>
      </c>
    </row>
    <row r="253" spans="1:12" x14ac:dyDescent="0.25">
      <c r="A253">
        <v>42</v>
      </c>
      <c r="B253" s="1">
        <v>45152</v>
      </c>
      <c r="C253" s="1" t="str">
        <f>TEXT(Table4_2[[#This Row],[Date]],"dddd")</f>
        <v>Monday</v>
      </c>
      <c r="D253" s="21">
        <v>30.1</v>
      </c>
      <c r="E253" s="21">
        <v>58</v>
      </c>
      <c r="F253" s="21">
        <v>594</v>
      </c>
      <c r="G253" s="21">
        <v>6.2</v>
      </c>
      <c r="H253">
        <v>12</v>
      </c>
      <c r="I253">
        <v>86.18</v>
      </c>
      <c r="J253">
        <v>0.57999999999999996</v>
      </c>
      <c r="K253" t="str" cm="1">
        <f t="array" ref="K253">_xlfn.IFS(Table4_2[[#This Row],[Growth Days]]&lt;=14,"Seedling",Table4_2[[#This Row],[Growth Days]]&lt;=35, "Vegetative",Table4_2[[#This Row],[Growth Days]]&lt;=50, "Maturity")</f>
        <v>Seedling</v>
      </c>
      <c r="L253" t="str">
        <f>IF(Table4_2[[#This Row],[TDS Value (ppm)]]&lt;560, "Low", IF(Table4_2[[#This Row],[TDS Value (ppm)]]&lt;=800,"Optimal","High"))</f>
        <v>Optimal</v>
      </c>
    </row>
    <row r="254" spans="1:12" x14ac:dyDescent="0.25">
      <c r="A254">
        <v>42</v>
      </c>
      <c r="B254" s="1">
        <v>45159</v>
      </c>
      <c r="C254" s="1" t="str">
        <f>TEXT(Table4_2[[#This Row],[Date]],"dddd")</f>
        <v>Monday</v>
      </c>
      <c r="D254" s="21">
        <v>30.2</v>
      </c>
      <c r="E254" s="21">
        <v>79</v>
      </c>
      <c r="F254" s="21">
        <v>412</v>
      </c>
      <c r="G254" s="21">
        <v>6.1</v>
      </c>
      <c r="H254">
        <v>19</v>
      </c>
      <c r="I254">
        <v>86.36</v>
      </c>
      <c r="J254">
        <v>0.79</v>
      </c>
      <c r="K254" t="str" cm="1">
        <f t="array" ref="K254">_xlfn.IFS(Table4_2[[#This Row],[Growth Days]]&lt;=14,"Seedling",Table4_2[[#This Row],[Growth Days]]&lt;=35, "Vegetative",Table4_2[[#This Row],[Growth Days]]&lt;=50, "Maturity")</f>
        <v>Vegetative</v>
      </c>
      <c r="L254" t="str">
        <f>IF(Table4_2[[#This Row],[TDS Value (ppm)]]&lt;560, "Low", IF(Table4_2[[#This Row],[TDS Value (ppm)]]&lt;=800,"Optimal","High"))</f>
        <v>Low</v>
      </c>
    </row>
    <row r="255" spans="1:12" x14ac:dyDescent="0.25">
      <c r="A255">
        <v>42</v>
      </c>
      <c r="B255" s="1">
        <v>45166</v>
      </c>
      <c r="C255" s="1" t="str">
        <f>TEXT(Table4_2[[#This Row],[Date]],"dddd")</f>
        <v>Monday</v>
      </c>
      <c r="D255" s="21">
        <v>29.4</v>
      </c>
      <c r="E255" s="21">
        <v>60</v>
      </c>
      <c r="F255" s="21">
        <v>710</v>
      </c>
      <c r="G255" s="21">
        <v>6.2</v>
      </c>
      <c r="H255">
        <v>26</v>
      </c>
      <c r="I255">
        <v>84.92</v>
      </c>
      <c r="J255">
        <v>0.6</v>
      </c>
      <c r="K255" t="str" cm="1">
        <f t="array" ref="K255">_xlfn.IFS(Table4_2[[#This Row],[Growth Days]]&lt;=14,"Seedling",Table4_2[[#This Row],[Growth Days]]&lt;=35, "Vegetative",Table4_2[[#This Row],[Growth Days]]&lt;=50, "Maturity")</f>
        <v>Vegetative</v>
      </c>
      <c r="L255" t="str">
        <f>IF(Table4_2[[#This Row],[TDS Value (ppm)]]&lt;560, "Low", IF(Table4_2[[#This Row],[TDS Value (ppm)]]&lt;=800,"Optimal","High"))</f>
        <v>Optimal</v>
      </c>
    </row>
    <row r="256" spans="1:12" x14ac:dyDescent="0.25">
      <c r="A256">
        <v>42</v>
      </c>
      <c r="B256" s="1">
        <v>45173</v>
      </c>
      <c r="C256" s="1" t="str">
        <f>TEXT(Table4_2[[#This Row],[Date]],"dddd")</f>
        <v>Monday</v>
      </c>
      <c r="D256" s="21">
        <v>31.7</v>
      </c>
      <c r="E256" s="21">
        <v>57</v>
      </c>
      <c r="F256" s="21">
        <v>632</v>
      </c>
      <c r="G256" s="21">
        <v>6.8</v>
      </c>
      <c r="H256">
        <v>33</v>
      </c>
      <c r="I256">
        <v>89.06</v>
      </c>
      <c r="J256">
        <v>0.56999999999999995</v>
      </c>
      <c r="K256" t="str" cm="1">
        <f t="array" ref="K256">_xlfn.IFS(Table4_2[[#This Row],[Growth Days]]&lt;=14,"Seedling",Table4_2[[#This Row],[Growth Days]]&lt;=35, "Vegetative",Table4_2[[#This Row],[Growth Days]]&lt;=50, "Maturity")</f>
        <v>Vegetative</v>
      </c>
      <c r="L256" t="str">
        <f>IF(Table4_2[[#This Row],[TDS Value (ppm)]]&lt;560, "Low", IF(Table4_2[[#This Row],[TDS Value (ppm)]]&lt;=800,"Optimal","High"))</f>
        <v>Optimal</v>
      </c>
    </row>
    <row r="257" spans="1:12" x14ac:dyDescent="0.25">
      <c r="A257">
        <v>42</v>
      </c>
      <c r="B257" s="1">
        <v>45180</v>
      </c>
      <c r="C257" s="1" t="str">
        <f>TEXT(Table4_2[[#This Row],[Date]],"dddd")</f>
        <v>Monday</v>
      </c>
      <c r="D257" s="21">
        <v>31.2</v>
      </c>
      <c r="E257" s="21">
        <v>54</v>
      </c>
      <c r="F257" s="21">
        <v>720</v>
      </c>
      <c r="G257" s="21">
        <v>6.2</v>
      </c>
      <c r="H257">
        <v>40</v>
      </c>
      <c r="I257">
        <v>88.16</v>
      </c>
      <c r="J257">
        <v>0.54</v>
      </c>
      <c r="K257" t="str" cm="1">
        <f t="array" ref="K257">_xlfn.IFS(Table4_2[[#This Row],[Growth Days]]&lt;=14,"Seedling",Table4_2[[#This Row],[Growth Days]]&lt;=35, "Vegetative",Table4_2[[#This Row],[Growth Days]]&lt;=50, "Maturity")</f>
        <v>Maturity</v>
      </c>
      <c r="L257" t="str">
        <f>IF(Table4_2[[#This Row],[TDS Value (ppm)]]&lt;560, "Low", IF(Table4_2[[#This Row],[TDS Value (ppm)]]&lt;=800,"Optimal","High"))</f>
        <v>Optimal</v>
      </c>
    </row>
    <row r="258" spans="1:12" x14ac:dyDescent="0.25">
      <c r="A258">
        <v>43</v>
      </c>
      <c r="B258" s="1">
        <v>45145</v>
      </c>
      <c r="C258" s="1" t="str">
        <f>TEXT(Table4_2[[#This Row],[Date]],"dddd")</f>
        <v>Monday</v>
      </c>
      <c r="D258" s="21">
        <v>33.4</v>
      </c>
      <c r="E258" s="21">
        <v>51</v>
      </c>
      <c r="F258" s="21">
        <v>473</v>
      </c>
      <c r="G258" s="21">
        <v>6.3</v>
      </c>
      <c r="H258">
        <v>5</v>
      </c>
      <c r="I258">
        <v>92.12</v>
      </c>
      <c r="J258">
        <v>0.51</v>
      </c>
      <c r="K258" t="str" cm="1">
        <f t="array" ref="K258">_xlfn.IFS(Table4_2[[#This Row],[Growth Days]]&lt;=14,"Seedling",Table4_2[[#This Row],[Growth Days]]&lt;=35, "Vegetative",Table4_2[[#This Row],[Growth Days]]&lt;=50, "Maturity")</f>
        <v>Seedling</v>
      </c>
      <c r="L258" t="str">
        <f>IF(Table4_2[[#This Row],[TDS Value (ppm)]]&lt;560, "Low", IF(Table4_2[[#This Row],[TDS Value (ppm)]]&lt;=800,"Optimal","High"))</f>
        <v>Low</v>
      </c>
    </row>
    <row r="259" spans="1:12" x14ac:dyDescent="0.25">
      <c r="A259">
        <v>43</v>
      </c>
      <c r="B259" s="1">
        <v>45152</v>
      </c>
      <c r="C259" s="1" t="str">
        <f>TEXT(Table4_2[[#This Row],[Date]],"dddd")</f>
        <v>Monday</v>
      </c>
      <c r="D259" s="21">
        <v>30.1</v>
      </c>
      <c r="E259" s="21">
        <v>52</v>
      </c>
      <c r="F259" s="21">
        <v>466</v>
      </c>
      <c r="G259" s="21">
        <v>6.3</v>
      </c>
      <c r="H259">
        <v>12</v>
      </c>
      <c r="I259">
        <v>86.18</v>
      </c>
      <c r="J259">
        <v>0.52</v>
      </c>
      <c r="K259" t="str" cm="1">
        <f t="array" ref="K259">_xlfn.IFS(Table4_2[[#This Row],[Growth Days]]&lt;=14,"Seedling",Table4_2[[#This Row],[Growth Days]]&lt;=35, "Vegetative",Table4_2[[#This Row],[Growth Days]]&lt;=50, "Maturity")</f>
        <v>Seedling</v>
      </c>
      <c r="L259" t="str">
        <f>IF(Table4_2[[#This Row],[TDS Value (ppm)]]&lt;560, "Low", IF(Table4_2[[#This Row],[TDS Value (ppm)]]&lt;=800,"Optimal","High"))</f>
        <v>Low</v>
      </c>
    </row>
    <row r="260" spans="1:12" x14ac:dyDescent="0.25">
      <c r="A260">
        <v>43</v>
      </c>
      <c r="B260" s="1">
        <v>45159</v>
      </c>
      <c r="C260" s="1" t="str">
        <f>TEXT(Table4_2[[#This Row],[Date]],"dddd")</f>
        <v>Monday</v>
      </c>
      <c r="D260" s="21">
        <v>30.2</v>
      </c>
      <c r="E260" s="21">
        <v>52</v>
      </c>
      <c r="F260" s="21">
        <v>683</v>
      </c>
      <c r="G260" s="21">
        <v>6.1</v>
      </c>
      <c r="H260">
        <v>19</v>
      </c>
      <c r="I260">
        <v>86.36</v>
      </c>
      <c r="J260">
        <v>0.52</v>
      </c>
      <c r="K260" t="str" cm="1">
        <f t="array" ref="K260">_xlfn.IFS(Table4_2[[#This Row],[Growth Days]]&lt;=14,"Seedling",Table4_2[[#This Row],[Growth Days]]&lt;=35, "Vegetative",Table4_2[[#This Row],[Growth Days]]&lt;=50, "Maturity")</f>
        <v>Vegetative</v>
      </c>
      <c r="L260" t="str">
        <f>IF(Table4_2[[#This Row],[TDS Value (ppm)]]&lt;560, "Low", IF(Table4_2[[#This Row],[TDS Value (ppm)]]&lt;=800,"Optimal","High"))</f>
        <v>Optimal</v>
      </c>
    </row>
    <row r="261" spans="1:12" x14ac:dyDescent="0.25">
      <c r="A261">
        <v>43</v>
      </c>
      <c r="B261" s="1">
        <v>45166</v>
      </c>
      <c r="C261" s="1" t="str">
        <f>TEXT(Table4_2[[#This Row],[Date]],"dddd")</f>
        <v>Monday</v>
      </c>
      <c r="D261" s="21">
        <v>29.4</v>
      </c>
      <c r="E261" s="21">
        <v>77</v>
      </c>
      <c r="F261" s="21">
        <v>780</v>
      </c>
      <c r="G261" s="21">
        <v>6.7</v>
      </c>
      <c r="H261">
        <v>26</v>
      </c>
      <c r="I261">
        <v>84.92</v>
      </c>
      <c r="J261">
        <v>0.77</v>
      </c>
      <c r="K261" t="str" cm="1">
        <f t="array" ref="K261">_xlfn.IFS(Table4_2[[#This Row],[Growth Days]]&lt;=14,"Seedling",Table4_2[[#This Row],[Growth Days]]&lt;=35, "Vegetative",Table4_2[[#This Row],[Growth Days]]&lt;=50, "Maturity")</f>
        <v>Vegetative</v>
      </c>
      <c r="L261" t="str">
        <f>IF(Table4_2[[#This Row],[TDS Value (ppm)]]&lt;560, "Low", IF(Table4_2[[#This Row],[TDS Value (ppm)]]&lt;=800,"Optimal","High"))</f>
        <v>Optimal</v>
      </c>
    </row>
    <row r="262" spans="1:12" x14ac:dyDescent="0.25">
      <c r="A262">
        <v>43</v>
      </c>
      <c r="B262" s="1">
        <v>45173</v>
      </c>
      <c r="C262" s="1" t="str">
        <f>TEXT(Table4_2[[#This Row],[Date]],"dddd")</f>
        <v>Monday</v>
      </c>
      <c r="D262" s="21">
        <v>31.7</v>
      </c>
      <c r="E262" s="21">
        <v>59</v>
      </c>
      <c r="F262" s="21">
        <v>458</v>
      </c>
      <c r="G262" s="21">
        <v>6.5</v>
      </c>
      <c r="H262">
        <v>33</v>
      </c>
      <c r="I262">
        <v>89.06</v>
      </c>
      <c r="J262">
        <v>0.59</v>
      </c>
      <c r="K262" t="str" cm="1">
        <f t="array" ref="K262">_xlfn.IFS(Table4_2[[#This Row],[Growth Days]]&lt;=14,"Seedling",Table4_2[[#This Row],[Growth Days]]&lt;=35, "Vegetative",Table4_2[[#This Row],[Growth Days]]&lt;=50, "Maturity")</f>
        <v>Vegetative</v>
      </c>
      <c r="L262" t="str">
        <f>IF(Table4_2[[#This Row],[TDS Value (ppm)]]&lt;560, "Low", IF(Table4_2[[#This Row],[TDS Value (ppm)]]&lt;=800,"Optimal","High"))</f>
        <v>Low</v>
      </c>
    </row>
    <row r="263" spans="1:12" x14ac:dyDescent="0.25">
      <c r="A263">
        <v>43</v>
      </c>
      <c r="B263" s="1">
        <v>45180</v>
      </c>
      <c r="C263" s="1" t="str">
        <f>TEXT(Table4_2[[#This Row],[Date]],"dddd")</f>
        <v>Monday</v>
      </c>
      <c r="D263" s="21">
        <v>31.2</v>
      </c>
      <c r="E263" s="21">
        <v>80</v>
      </c>
      <c r="F263" s="21">
        <v>720</v>
      </c>
      <c r="G263" s="21">
        <v>6.7</v>
      </c>
      <c r="H263">
        <v>40</v>
      </c>
      <c r="I263">
        <v>88.16</v>
      </c>
      <c r="J263">
        <v>0.8</v>
      </c>
      <c r="K263" t="str" cm="1">
        <f t="array" ref="K263">_xlfn.IFS(Table4_2[[#This Row],[Growth Days]]&lt;=14,"Seedling",Table4_2[[#This Row],[Growth Days]]&lt;=35, "Vegetative",Table4_2[[#This Row],[Growth Days]]&lt;=50, "Maturity")</f>
        <v>Maturity</v>
      </c>
      <c r="L263" t="str">
        <f>IF(Table4_2[[#This Row],[TDS Value (ppm)]]&lt;560, "Low", IF(Table4_2[[#This Row],[TDS Value (ppm)]]&lt;=800,"Optimal","High"))</f>
        <v>Optimal</v>
      </c>
    </row>
    <row r="264" spans="1:12" x14ac:dyDescent="0.25">
      <c r="A264">
        <v>44</v>
      </c>
      <c r="B264" s="1">
        <v>45145</v>
      </c>
      <c r="C264" s="1" t="str">
        <f>TEXT(Table4_2[[#This Row],[Date]],"dddd")</f>
        <v>Monday</v>
      </c>
      <c r="D264" s="21">
        <v>33.4</v>
      </c>
      <c r="E264" s="21">
        <v>59</v>
      </c>
      <c r="F264" s="21">
        <v>768</v>
      </c>
      <c r="G264" s="21">
        <v>6.8</v>
      </c>
      <c r="H264">
        <v>5</v>
      </c>
      <c r="I264">
        <v>92.12</v>
      </c>
      <c r="J264">
        <v>0.59</v>
      </c>
      <c r="K264" t="str" cm="1">
        <f t="array" ref="K264">_xlfn.IFS(Table4_2[[#This Row],[Growth Days]]&lt;=14,"Seedling",Table4_2[[#This Row],[Growth Days]]&lt;=35, "Vegetative",Table4_2[[#This Row],[Growth Days]]&lt;=50, "Maturity")</f>
        <v>Seedling</v>
      </c>
      <c r="L264" t="str">
        <f>IF(Table4_2[[#This Row],[TDS Value (ppm)]]&lt;560, "Low", IF(Table4_2[[#This Row],[TDS Value (ppm)]]&lt;=800,"Optimal","High"))</f>
        <v>Optimal</v>
      </c>
    </row>
    <row r="265" spans="1:12" x14ac:dyDescent="0.25">
      <c r="A265">
        <v>44</v>
      </c>
      <c r="B265" s="1">
        <v>45152</v>
      </c>
      <c r="C265" s="1" t="str">
        <f>TEXT(Table4_2[[#This Row],[Date]],"dddd")</f>
        <v>Monday</v>
      </c>
      <c r="D265" s="21">
        <v>30.1</v>
      </c>
      <c r="E265" s="21">
        <v>58</v>
      </c>
      <c r="F265" s="21">
        <v>580</v>
      </c>
      <c r="G265" s="21">
        <v>6</v>
      </c>
      <c r="H265">
        <v>12</v>
      </c>
      <c r="I265">
        <v>86.18</v>
      </c>
      <c r="J265">
        <v>0.57999999999999996</v>
      </c>
      <c r="K265" t="str" cm="1">
        <f t="array" ref="K265">_xlfn.IFS(Table4_2[[#This Row],[Growth Days]]&lt;=14,"Seedling",Table4_2[[#This Row],[Growth Days]]&lt;=35, "Vegetative",Table4_2[[#This Row],[Growth Days]]&lt;=50, "Maturity")</f>
        <v>Seedling</v>
      </c>
      <c r="L265" t="str">
        <f>IF(Table4_2[[#This Row],[TDS Value (ppm)]]&lt;560, "Low", IF(Table4_2[[#This Row],[TDS Value (ppm)]]&lt;=800,"Optimal","High"))</f>
        <v>Optimal</v>
      </c>
    </row>
    <row r="266" spans="1:12" x14ac:dyDescent="0.25">
      <c r="A266">
        <v>44</v>
      </c>
      <c r="B266" s="1">
        <v>45159</v>
      </c>
      <c r="C266" s="1" t="str">
        <f>TEXT(Table4_2[[#This Row],[Date]],"dddd")</f>
        <v>Monday</v>
      </c>
      <c r="D266" s="21">
        <v>30.2</v>
      </c>
      <c r="E266" s="21">
        <v>80</v>
      </c>
      <c r="F266" s="21">
        <v>715</v>
      </c>
      <c r="G266" s="21">
        <v>6.3</v>
      </c>
      <c r="H266">
        <v>19</v>
      </c>
      <c r="I266">
        <v>86.36</v>
      </c>
      <c r="J266">
        <v>0.8</v>
      </c>
      <c r="K266" t="str" cm="1">
        <f t="array" ref="K266">_xlfn.IFS(Table4_2[[#This Row],[Growth Days]]&lt;=14,"Seedling",Table4_2[[#This Row],[Growth Days]]&lt;=35, "Vegetative",Table4_2[[#This Row],[Growth Days]]&lt;=50, "Maturity")</f>
        <v>Vegetative</v>
      </c>
      <c r="L266" t="str">
        <f>IF(Table4_2[[#This Row],[TDS Value (ppm)]]&lt;560, "Low", IF(Table4_2[[#This Row],[TDS Value (ppm)]]&lt;=800,"Optimal","High"))</f>
        <v>Optimal</v>
      </c>
    </row>
    <row r="267" spans="1:12" x14ac:dyDescent="0.25">
      <c r="A267">
        <v>44</v>
      </c>
      <c r="B267" s="1">
        <v>45166</v>
      </c>
      <c r="C267" s="1" t="str">
        <f>TEXT(Table4_2[[#This Row],[Date]],"dddd")</f>
        <v>Monday</v>
      </c>
      <c r="D267" s="21">
        <v>29.4</v>
      </c>
      <c r="E267" s="21">
        <v>70</v>
      </c>
      <c r="F267" s="21">
        <v>556</v>
      </c>
      <c r="G267" s="21">
        <v>6.2</v>
      </c>
      <c r="H267">
        <v>26</v>
      </c>
      <c r="I267">
        <v>84.92</v>
      </c>
      <c r="J267">
        <v>0.7</v>
      </c>
      <c r="K267" t="str" cm="1">
        <f t="array" ref="K267">_xlfn.IFS(Table4_2[[#This Row],[Growth Days]]&lt;=14,"Seedling",Table4_2[[#This Row],[Growth Days]]&lt;=35, "Vegetative",Table4_2[[#This Row],[Growth Days]]&lt;=50, "Maturity")</f>
        <v>Vegetative</v>
      </c>
      <c r="L267" t="str">
        <f>IF(Table4_2[[#This Row],[TDS Value (ppm)]]&lt;560, "Low", IF(Table4_2[[#This Row],[TDS Value (ppm)]]&lt;=800,"Optimal","High"))</f>
        <v>Low</v>
      </c>
    </row>
    <row r="268" spans="1:12" x14ac:dyDescent="0.25">
      <c r="A268">
        <v>44</v>
      </c>
      <c r="B268" s="1">
        <v>45173</v>
      </c>
      <c r="C268" s="1" t="str">
        <f>TEXT(Table4_2[[#This Row],[Date]],"dddd")</f>
        <v>Monday</v>
      </c>
      <c r="D268" s="21">
        <v>31.7</v>
      </c>
      <c r="E268" s="21">
        <v>72</v>
      </c>
      <c r="F268" s="21">
        <v>786</v>
      </c>
      <c r="G268" s="21">
        <v>6</v>
      </c>
      <c r="H268">
        <v>33</v>
      </c>
      <c r="I268">
        <v>89.06</v>
      </c>
      <c r="J268">
        <v>0.72</v>
      </c>
      <c r="K268" t="str" cm="1">
        <f t="array" ref="K268">_xlfn.IFS(Table4_2[[#This Row],[Growth Days]]&lt;=14,"Seedling",Table4_2[[#This Row],[Growth Days]]&lt;=35, "Vegetative",Table4_2[[#This Row],[Growth Days]]&lt;=50, "Maturity")</f>
        <v>Vegetative</v>
      </c>
      <c r="L268" t="str">
        <f>IF(Table4_2[[#This Row],[TDS Value (ppm)]]&lt;560, "Low", IF(Table4_2[[#This Row],[TDS Value (ppm)]]&lt;=800,"Optimal","High"))</f>
        <v>Optimal</v>
      </c>
    </row>
    <row r="269" spans="1:12" x14ac:dyDescent="0.25">
      <c r="A269">
        <v>44</v>
      </c>
      <c r="B269" s="1">
        <v>45180</v>
      </c>
      <c r="C269" s="1" t="str">
        <f>TEXT(Table4_2[[#This Row],[Date]],"dddd")</f>
        <v>Monday</v>
      </c>
      <c r="D269" s="21">
        <v>31.2</v>
      </c>
      <c r="E269" s="21">
        <v>58</v>
      </c>
      <c r="F269" s="21">
        <v>518</v>
      </c>
      <c r="G269" s="21">
        <v>6.6</v>
      </c>
      <c r="H269">
        <v>40</v>
      </c>
      <c r="I269">
        <v>88.16</v>
      </c>
      <c r="J269">
        <v>0.57999999999999996</v>
      </c>
      <c r="K269" t="str" cm="1">
        <f t="array" ref="K269">_xlfn.IFS(Table4_2[[#This Row],[Growth Days]]&lt;=14,"Seedling",Table4_2[[#This Row],[Growth Days]]&lt;=35, "Vegetative",Table4_2[[#This Row],[Growth Days]]&lt;=50, "Maturity")</f>
        <v>Maturity</v>
      </c>
      <c r="L269" t="str">
        <f>IF(Table4_2[[#This Row],[TDS Value (ppm)]]&lt;560, "Low", IF(Table4_2[[#This Row],[TDS Value (ppm)]]&lt;=800,"Optimal","High"))</f>
        <v>Low</v>
      </c>
    </row>
    <row r="270" spans="1:12" x14ac:dyDescent="0.25">
      <c r="A270">
        <v>45</v>
      </c>
      <c r="B270" s="1">
        <v>45145</v>
      </c>
      <c r="C270" s="1" t="str">
        <f>TEXT(Table4_2[[#This Row],[Date]],"dddd")</f>
        <v>Monday</v>
      </c>
      <c r="D270" s="21">
        <v>33.4</v>
      </c>
      <c r="E270" s="21">
        <v>51</v>
      </c>
      <c r="F270" s="21">
        <v>727</v>
      </c>
      <c r="G270" s="21">
        <v>6.5</v>
      </c>
      <c r="H270">
        <v>5</v>
      </c>
      <c r="I270">
        <v>92.12</v>
      </c>
      <c r="J270">
        <v>0.51</v>
      </c>
      <c r="K270" t="str" cm="1">
        <f t="array" ref="K270">_xlfn.IFS(Table4_2[[#This Row],[Growth Days]]&lt;=14,"Seedling",Table4_2[[#This Row],[Growth Days]]&lt;=35, "Vegetative",Table4_2[[#This Row],[Growth Days]]&lt;=50, "Maturity")</f>
        <v>Seedling</v>
      </c>
      <c r="L270" t="str">
        <f>IF(Table4_2[[#This Row],[TDS Value (ppm)]]&lt;560, "Low", IF(Table4_2[[#This Row],[TDS Value (ppm)]]&lt;=800,"Optimal","High"))</f>
        <v>Optimal</v>
      </c>
    </row>
    <row r="271" spans="1:12" x14ac:dyDescent="0.25">
      <c r="A271">
        <v>45</v>
      </c>
      <c r="B271" s="1">
        <v>45152</v>
      </c>
      <c r="C271" s="1" t="str">
        <f>TEXT(Table4_2[[#This Row],[Date]],"dddd")</f>
        <v>Monday</v>
      </c>
      <c r="D271" s="21">
        <v>30.1</v>
      </c>
      <c r="E271" s="21">
        <v>50</v>
      </c>
      <c r="F271" s="21">
        <v>597</v>
      </c>
      <c r="G271" s="21">
        <v>6.3</v>
      </c>
      <c r="H271">
        <v>12</v>
      </c>
      <c r="I271">
        <v>86.18</v>
      </c>
      <c r="J271">
        <v>0.5</v>
      </c>
      <c r="K271" t="str" cm="1">
        <f t="array" ref="K271">_xlfn.IFS(Table4_2[[#This Row],[Growth Days]]&lt;=14,"Seedling",Table4_2[[#This Row],[Growth Days]]&lt;=35, "Vegetative",Table4_2[[#This Row],[Growth Days]]&lt;=50, "Maturity")</f>
        <v>Seedling</v>
      </c>
      <c r="L271" t="str">
        <f>IF(Table4_2[[#This Row],[TDS Value (ppm)]]&lt;560, "Low", IF(Table4_2[[#This Row],[TDS Value (ppm)]]&lt;=800,"Optimal","High"))</f>
        <v>Optimal</v>
      </c>
    </row>
    <row r="272" spans="1:12" x14ac:dyDescent="0.25">
      <c r="A272">
        <v>45</v>
      </c>
      <c r="B272" s="1">
        <v>45159</v>
      </c>
      <c r="C272" s="1" t="str">
        <f>TEXT(Table4_2[[#This Row],[Date]],"dddd")</f>
        <v>Monday</v>
      </c>
      <c r="D272" s="21">
        <v>30.2</v>
      </c>
      <c r="E272" s="21">
        <v>69</v>
      </c>
      <c r="F272" s="21">
        <v>774</v>
      </c>
      <c r="G272" s="21">
        <v>6.1</v>
      </c>
      <c r="H272">
        <v>19</v>
      </c>
      <c r="I272">
        <v>86.36</v>
      </c>
      <c r="J272">
        <v>0.69</v>
      </c>
      <c r="K272" t="str" cm="1">
        <f t="array" ref="K272">_xlfn.IFS(Table4_2[[#This Row],[Growth Days]]&lt;=14,"Seedling",Table4_2[[#This Row],[Growth Days]]&lt;=35, "Vegetative",Table4_2[[#This Row],[Growth Days]]&lt;=50, "Maturity")</f>
        <v>Vegetative</v>
      </c>
      <c r="L272" t="str">
        <f>IF(Table4_2[[#This Row],[TDS Value (ppm)]]&lt;560, "Low", IF(Table4_2[[#This Row],[TDS Value (ppm)]]&lt;=800,"Optimal","High"))</f>
        <v>Optimal</v>
      </c>
    </row>
    <row r="273" spans="1:12" x14ac:dyDescent="0.25">
      <c r="A273">
        <v>45</v>
      </c>
      <c r="B273" s="1">
        <v>45166</v>
      </c>
      <c r="C273" s="1" t="str">
        <f>TEXT(Table4_2[[#This Row],[Date]],"dddd")</f>
        <v>Monday</v>
      </c>
      <c r="D273" s="21">
        <v>29.4</v>
      </c>
      <c r="E273" s="21">
        <v>69</v>
      </c>
      <c r="F273" s="21">
        <v>532</v>
      </c>
      <c r="G273" s="21">
        <v>6.2</v>
      </c>
      <c r="H273">
        <v>26</v>
      </c>
      <c r="I273">
        <v>84.92</v>
      </c>
      <c r="J273">
        <v>0.69</v>
      </c>
      <c r="K273" t="str" cm="1">
        <f t="array" ref="K273">_xlfn.IFS(Table4_2[[#This Row],[Growth Days]]&lt;=14,"Seedling",Table4_2[[#This Row],[Growth Days]]&lt;=35, "Vegetative",Table4_2[[#This Row],[Growth Days]]&lt;=50, "Maturity")</f>
        <v>Vegetative</v>
      </c>
      <c r="L273" t="str">
        <f>IF(Table4_2[[#This Row],[TDS Value (ppm)]]&lt;560, "Low", IF(Table4_2[[#This Row],[TDS Value (ppm)]]&lt;=800,"Optimal","High"))</f>
        <v>Low</v>
      </c>
    </row>
    <row r="274" spans="1:12" x14ac:dyDescent="0.25">
      <c r="A274">
        <v>45</v>
      </c>
      <c r="B274" s="1">
        <v>45173</v>
      </c>
      <c r="C274" s="1" t="str">
        <f>TEXT(Table4_2[[#This Row],[Date]],"dddd")</f>
        <v>Monday</v>
      </c>
      <c r="D274" s="21">
        <v>31.7</v>
      </c>
      <c r="E274" s="21">
        <v>65</v>
      </c>
      <c r="F274" s="21">
        <v>503</v>
      </c>
      <c r="G274" s="21">
        <v>6.7</v>
      </c>
      <c r="H274">
        <v>33</v>
      </c>
      <c r="I274">
        <v>89.06</v>
      </c>
      <c r="J274">
        <v>0.65</v>
      </c>
      <c r="K274" t="str" cm="1">
        <f t="array" ref="K274">_xlfn.IFS(Table4_2[[#This Row],[Growth Days]]&lt;=14,"Seedling",Table4_2[[#This Row],[Growth Days]]&lt;=35, "Vegetative",Table4_2[[#This Row],[Growth Days]]&lt;=50, "Maturity")</f>
        <v>Vegetative</v>
      </c>
      <c r="L274" t="str">
        <f>IF(Table4_2[[#This Row],[TDS Value (ppm)]]&lt;560, "Low", IF(Table4_2[[#This Row],[TDS Value (ppm)]]&lt;=800,"Optimal","High"))</f>
        <v>Low</v>
      </c>
    </row>
    <row r="275" spans="1:12" x14ac:dyDescent="0.25">
      <c r="A275">
        <v>45</v>
      </c>
      <c r="B275" s="1">
        <v>45180</v>
      </c>
      <c r="C275" s="1" t="str">
        <f>TEXT(Table4_2[[#This Row],[Date]],"dddd")</f>
        <v>Monday</v>
      </c>
      <c r="D275" s="21">
        <v>31.2</v>
      </c>
      <c r="E275" s="21">
        <v>50</v>
      </c>
      <c r="F275" s="21">
        <v>605</v>
      </c>
      <c r="G275" s="21">
        <v>6</v>
      </c>
      <c r="H275">
        <v>40</v>
      </c>
      <c r="I275">
        <v>88.16</v>
      </c>
      <c r="J275">
        <v>0.5</v>
      </c>
      <c r="K275" t="str" cm="1">
        <f t="array" ref="K275">_xlfn.IFS(Table4_2[[#This Row],[Growth Days]]&lt;=14,"Seedling",Table4_2[[#This Row],[Growth Days]]&lt;=35, "Vegetative",Table4_2[[#This Row],[Growth Days]]&lt;=50, "Maturity")</f>
        <v>Maturity</v>
      </c>
      <c r="L275" t="str">
        <f>IF(Table4_2[[#This Row],[TDS Value (ppm)]]&lt;560, "Low", IF(Table4_2[[#This Row],[TDS Value (ppm)]]&lt;=800,"Optimal","High"))</f>
        <v>Optimal</v>
      </c>
    </row>
    <row r="276" spans="1:12" x14ac:dyDescent="0.25">
      <c r="A276">
        <v>46</v>
      </c>
      <c r="B276" s="1">
        <v>45145</v>
      </c>
      <c r="C276" s="1" t="str">
        <f>TEXT(Table4_2[[#This Row],[Date]],"dddd")</f>
        <v>Monday</v>
      </c>
      <c r="D276" s="21">
        <v>33.4</v>
      </c>
      <c r="E276" s="21">
        <v>66</v>
      </c>
      <c r="F276" s="21">
        <v>505</v>
      </c>
      <c r="G276" s="21">
        <v>6.6</v>
      </c>
      <c r="H276">
        <v>5</v>
      </c>
      <c r="I276">
        <v>92.12</v>
      </c>
      <c r="J276">
        <v>0.66</v>
      </c>
      <c r="K276" t="str" cm="1">
        <f t="array" ref="K276">_xlfn.IFS(Table4_2[[#This Row],[Growth Days]]&lt;=14,"Seedling",Table4_2[[#This Row],[Growth Days]]&lt;=35, "Vegetative",Table4_2[[#This Row],[Growth Days]]&lt;=50, "Maturity")</f>
        <v>Seedling</v>
      </c>
      <c r="L276" t="str">
        <f>IF(Table4_2[[#This Row],[TDS Value (ppm)]]&lt;560, "Low", IF(Table4_2[[#This Row],[TDS Value (ppm)]]&lt;=800,"Optimal","High"))</f>
        <v>Low</v>
      </c>
    </row>
    <row r="277" spans="1:12" x14ac:dyDescent="0.25">
      <c r="A277">
        <v>46</v>
      </c>
      <c r="B277" s="1">
        <v>45152</v>
      </c>
      <c r="C277" s="1" t="str">
        <f>TEXT(Table4_2[[#This Row],[Date]],"dddd")</f>
        <v>Monday</v>
      </c>
      <c r="D277" s="21">
        <v>30.1</v>
      </c>
      <c r="E277" s="21">
        <v>61</v>
      </c>
      <c r="F277" s="21">
        <v>571</v>
      </c>
      <c r="G277" s="21">
        <v>6.6</v>
      </c>
      <c r="H277">
        <v>12</v>
      </c>
      <c r="I277">
        <v>86.18</v>
      </c>
      <c r="J277">
        <v>0.61</v>
      </c>
      <c r="K277" t="str" cm="1">
        <f t="array" ref="K277">_xlfn.IFS(Table4_2[[#This Row],[Growth Days]]&lt;=14,"Seedling",Table4_2[[#This Row],[Growth Days]]&lt;=35, "Vegetative",Table4_2[[#This Row],[Growth Days]]&lt;=50, "Maturity")</f>
        <v>Seedling</v>
      </c>
      <c r="L277" t="str">
        <f>IF(Table4_2[[#This Row],[TDS Value (ppm)]]&lt;560, "Low", IF(Table4_2[[#This Row],[TDS Value (ppm)]]&lt;=800,"Optimal","High"))</f>
        <v>Optimal</v>
      </c>
    </row>
    <row r="278" spans="1:12" x14ac:dyDescent="0.25">
      <c r="A278">
        <v>46</v>
      </c>
      <c r="B278" s="1">
        <v>45159</v>
      </c>
      <c r="C278" s="1" t="str">
        <f>TEXT(Table4_2[[#This Row],[Date]],"dddd")</f>
        <v>Monday</v>
      </c>
      <c r="D278" s="21">
        <v>30.2</v>
      </c>
      <c r="E278" s="21">
        <v>70</v>
      </c>
      <c r="F278" s="21">
        <v>534</v>
      </c>
      <c r="G278" s="21">
        <v>6.4</v>
      </c>
      <c r="H278">
        <v>19</v>
      </c>
      <c r="I278">
        <v>86.36</v>
      </c>
      <c r="J278">
        <v>0.7</v>
      </c>
      <c r="K278" t="str" cm="1">
        <f t="array" ref="K278">_xlfn.IFS(Table4_2[[#This Row],[Growth Days]]&lt;=14,"Seedling",Table4_2[[#This Row],[Growth Days]]&lt;=35, "Vegetative",Table4_2[[#This Row],[Growth Days]]&lt;=50, "Maturity")</f>
        <v>Vegetative</v>
      </c>
      <c r="L278" t="str">
        <f>IF(Table4_2[[#This Row],[TDS Value (ppm)]]&lt;560, "Low", IF(Table4_2[[#This Row],[TDS Value (ppm)]]&lt;=800,"Optimal","High"))</f>
        <v>Low</v>
      </c>
    </row>
    <row r="279" spans="1:12" x14ac:dyDescent="0.25">
      <c r="A279">
        <v>46</v>
      </c>
      <c r="B279" s="1">
        <v>45166</v>
      </c>
      <c r="C279" s="1" t="str">
        <f>TEXT(Table4_2[[#This Row],[Date]],"dddd")</f>
        <v>Monday</v>
      </c>
      <c r="D279" s="21">
        <v>29.4</v>
      </c>
      <c r="E279" s="21">
        <v>71</v>
      </c>
      <c r="F279" s="21">
        <v>765</v>
      </c>
      <c r="G279" s="21">
        <v>6.1</v>
      </c>
      <c r="H279">
        <v>26</v>
      </c>
      <c r="I279">
        <v>84.92</v>
      </c>
      <c r="J279">
        <v>0.71</v>
      </c>
      <c r="K279" t="str" cm="1">
        <f t="array" ref="K279">_xlfn.IFS(Table4_2[[#This Row],[Growth Days]]&lt;=14,"Seedling",Table4_2[[#This Row],[Growth Days]]&lt;=35, "Vegetative",Table4_2[[#This Row],[Growth Days]]&lt;=50, "Maturity")</f>
        <v>Vegetative</v>
      </c>
      <c r="L279" t="str">
        <f>IF(Table4_2[[#This Row],[TDS Value (ppm)]]&lt;560, "Low", IF(Table4_2[[#This Row],[TDS Value (ppm)]]&lt;=800,"Optimal","High"))</f>
        <v>Optimal</v>
      </c>
    </row>
    <row r="280" spans="1:12" x14ac:dyDescent="0.25">
      <c r="A280">
        <v>46</v>
      </c>
      <c r="B280" s="1">
        <v>45173</v>
      </c>
      <c r="C280" s="1" t="str">
        <f>TEXT(Table4_2[[#This Row],[Date]],"dddd")</f>
        <v>Monday</v>
      </c>
      <c r="D280" s="21">
        <v>31.7</v>
      </c>
      <c r="E280" s="21">
        <v>57</v>
      </c>
      <c r="F280" s="21">
        <v>504</v>
      </c>
      <c r="G280" s="21">
        <v>6</v>
      </c>
      <c r="H280">
        <v>33</v>
      </c>
      <c r="I280">
        <v>89.06</v>
      </c>
      <c r="J280">
        <v>0.56999999999999995</v>
      </c>
      <c r="K280" t="str" cm="1">
        <f t="array" ref="K280">_xlfn.IFS(Table4_2[[#This Row],[Growth Days]]&lt;=14,"Seedling",Table4_2[[#This Row],[Growth Days]]&lt;=35, "Vegetative",Table4_2[[#This Row],[Growth Days]]&lt;=50, "Maturity")</f>
        <v>Vegetative</v>
      </c>
      <c r="L280" t="str">
        <f>IF(Table4_2[[#This Row],[TDS Value (ppm)]]&lt;560, "Low", IF(Table4_2[[#This Row],[TDS Value (ppm)]]&lt;=800,"Optimal","High"))</f>
        <v>Low</v>
      </c>
    </row>
    <row r="281" spans="1:12" x14ac:dyDescent="0.25">
      <c r="A281">
        <v>46</v>
      </c>
      <c r="B281" s="1">
        <v>45180</v>
      </c>
      <c r="C281" s="1" t="str">
        <f>TEXT(Table4_2[[#This Row],[Date]],"dddd")</f>
        <v>Monday</v>
      </c>
      <c r="D281" s="21">
        <v>31.2</v>
      </c>
      <c r="E281" s="21">
        <v>56</v>
      </c>
      <c r="F281" s="21">
        <v>638</v>
      </c>
      <c r="G281" s="21">
        <v>6.6</v>
      </c>
      <c r="H281">
        <v>40</v>
      </c>
      <c r="I281">
        <v>88.16</v>
      </c>
      <c r="J281">
        <v>0.56000000000000005</v>
      </c>
      <c r="K281" t="str" cm="1">
        <f t="array" ref="K281">_xlfn.IFS(Table4_2[[#This Row],[Growth Days]]&lt;=14,"Seedling",Table4_2[[#This Row],[Growth Days]]&lt;=35, "Vegetative",Table4_2[[#This Row],[Growth Days]]&lt;=50, "Maturity")</f>
        <v>Maturity</v>
      </c>
      <c r="L281" t="str">
        <f>IF(Table4_2[[#This Row],[TDS Value (ppm)]]&lt;560, "Low", IF(Table4_2[[#This Row],[TDS Value (ppm)]]&lt;=800,"Optimal","High"))</f>
        <v>Optimal</v>
      </c>
    </row>
    <row r="282" spans="1:12" x14ac:dyDescent="0.25">
      <c r="A282">
        <v>47</v>
      </c>
      <c r="B282" s="1">
        <v>45145</v>
      </c>
      <c r="C282" s="1" t="str">
        <f>TEXT(Table4_2[[#This Row],[Date]],"dddd")</f>
        <v>Monday</v>
      </c>
      <c r="D282" s="21">
        <v>33.4</v>
      </c>
      <c r="E282" s="21">
        <v>76</v>
      </c>
      <c r="F282" s="21">
        <v>745</v>
      </c>
      <c r="G282" s="21">
        <v>6.1</v>
      </c>
      <c r="H282">
        <v>5</v>
      </c>
      <c r="I282">
        <v>92.12</v>
      </c>
      <c r="J282">
        <v>0.76</v>
      </c>
      <c r="K282" t="str" cm="1">
        <f t="array" ref="K282">_xlfn.IFS(Table4_2[[#This Row],[Growth Days]]&lt;=14,"Seedling",Table4_2[[#This Row],[Growth Days]]&lt;=35, "Vegetative",Table4_2[[#This Row],[Growth Days]]&lt;=50, "Maturity")</f>
        <v>Seedling</v>
      </c>
      <c r="L282" t="str">
        <f>IF(Table4_2[[#This Row],[TDS Value (ppm)]]&lt;560, "Low", IF(Table4_2[[#This Row],[TDS Value (ppm)]]&lt;=800,"Optimal","High"))</f>
        <v>Optimal</v>
      </c>
    </row>
    <row r="283" spans="1:12" x14ac:dyDescent="0.25">
      <c r="A283">
        <v>47</v>
      </c>
      <c r="B283" s="1">
        <v>45152</v>
      </c>
      <c r="C283" s="1" t="str">
        <f>TEXT(Table4_2[[#This Row],[Date]],"dddd")</f>
        <v>Monday</v>
      </c>
      <c r="D283" s="21">
        <v>30.1</v>
      </c>
      <c r="E283" s="21">
        <v>63</v>
      </c>
      <c r="F283" s="21">
        <v>611</v>
      </c>
      <c r="G283" s="21">
        <v>6.6</v>
      </c>
      <c r="H283">
        <v>12</v>
      </c>
      <c r="I283">
        <v>86.18</v>
      </c>
      <c r="J283">
        <v>0.63</v>
      </c>
      <c r="K283" t="str" cm="1">
        <f t="array" ref="K283">_xlfn.IFS(Table4_2[[#This Row],[Growth Days]]&lt;=14,"Seedling",Table4_2[[#This Row],[Growth Days]]&lt;=35, "Vegetative",Table4_2[[#This Row],[Growth Days]]&lt;=50, "Maturity")</f>
        <v>Seedling</v>
      </c>
      <c r="L283" t="str">
        <f>IF(Table4_2[[#This Row],[TDS Value (ppm)]]&lt;560, "Low", IF(Table4_2[[#This Row],[TDS Value (ppm)]]&lt;=800,"Optimal","High"))</f>
        <v>Optimal</v>
      </c>
    </row>
    <row r="284" spans="1:12" x14ac:dyDescent="0.25">
      <c r="A284">
        <v>47</v>
      </c>
      <c r="B284" s="1">
        <v>45159</v>
      </c>
      <c r="C284" s="1" t="str">
        <f>TEXT(Table4_2[[#This Row],[Date]],"dddd")</f>
        <v>Monday</v>
      </c>
      <c r="D284" s="21">
        <v>30.2</v>
      </c>
      <c r="E284" s="21">
        <v>56</v>
      </c>
      <c r="F284" s="21">
        <v>656</v>
      </c>
      <c r="G284" s="21">
        <v>6.3</v>
      </c>
      <c r="H284">
        <v>19</v>
      </c>
      <c r="I284">
        <v>86.36</v>
      </c>
      <c r="J284">
        <v>0.56000000000000005</v>
      </c>
      <c r="K284" t="str" cm="1">
        <f t="array" ref="K284">_xlfn.IFS(Table4_2[[#This Row],[Growth Days]]&lt;=14,"Seedling",Table4_2[[#This Row],[Growth Days]]&lt;=35, "Vegetative",Table4_2[[#This Row],[Growth Days]]&lt;=50, "Maturity")</f>
        <v>Vegetative</v>
      </c>
      <c r="L284" t="str">
        <f>IF(Table4_2[[#This Row],[TDS Value (ppm)]]&lt;560, "Low", IF(Table4_2[[#This Row],[TDS Value (ppm)]]&lt;=800,"Optimal","High"))</f>
        <v>Optimal</v>
      </c>
    </row>
    <row r="285" spans="1:12" x14ac:dyDescent="0.25">
      <c r="A285">
        <v>47</v>
      </c>
      <c r="B285" s="1">
        <v>45166</v>
      </c>
      <c r="C285" s="1" t="str">
        <f>TEXT(Table4_2[[#This Row],[Date]],"dddd")</f>
        <v>Monday</v>
      </c>
      <c r="D285" s="21">
        <v>29.4</v>
      </c>
      <c r="E285" s="21">
        <v>51</v>
      </c>
      <c r="F285" s="21">
        <v>647</v>
      </c>
      <c r="G285" s="21">
        <v>6.6</v>
      </c>
      <c r="H285">
        <v>26</v>
      </c>
      <c r="I285">
        <v>84.92</v>
      </c>
      <c r="J285">
        <v>0.51</v>
      </c>
      <c r="K285" t="str" cm="1">
        <f t="array" ref="K285">_xlfn.IFS(Table4_2[[#This Row],[Growth Days]]&lt;=14,"Seedling",Table4_2[[#This Row],[Growth Days]]&lt;=35, "Vegetative",Table4_2[[#This Row],[Growth Days]]&lt;=50, "Maturity")</f>
        <v>Vegetative</v>
      </c>
      <c r="L285" t="str">
        <f>IF(Table4_2[[#This Row],[TDS Value (ppm)]]&lt;560, "Low", IF(Table4_2[[#This Row],[TDS Value (ppm)]]&lt;=800,"Optimal","High"))</f>
        <v>Optimal</v>
      </c>
    </row>
    <row r="286" spans="1:12" x14ac:dyDescent="0.25">
      <c r="A286">
        <v>47</v>
      </c>
      <c r="B286" s="1">
        <v>45173</v>
      </c>
      <c r="C286" s="1" t="str">
        <f>TEXT(Table4_2[[#This Row],[Date]],"dddd")</f>
        <v>Monday</v>
      </c>
      <c r="D286" s="21">
        <v>31.7</v>
      </c>
      <c r="E286" s="21">
        <v>59</v>
      </c>
      <c r="F286" s="21">
        <v>516</v>
      </c>
      <c r="G286" s="21">
        <v>6.2</v>
      </c>
      <c r="H286">
        <v>33</v>
      </c>
      <c r="I286">
        <v>89.06</v>
      </c>
      <c r="J286">
        <v>0.59</v>
      </c>
      <c r="K286" t="str" cm="1">
        <f t="array" ref="K286">_xlfn.IFS(Table4_2[[#This Row],[Growth Days]]&lt;=14,"Seedling",Table4_2[[#This Row],[Growth Days]]&lt;=35, "Vegetative",Table4_2[[#This Row],[Growth Days]]&lt;=50, "Maturity")</f>
        <v>Vegetative</v>
      </c>
      <c r="L286" t="str">
        <f>IF(Table4_2[[#This Row],[TDS Value (ppm)]]&lt;560, "Low", IF(Table4_2[[#This Row],[TDS Value (ppm)]]&lt;=800,"Optimal","High"))</f>
        <v>Low</v>
      </c>
    </row>
    <row r="287" spans="1:12" x14ac:dyDescent="0.25">
      <c r="A287">
        <v>47</v>
      </c>
      <c r="B287" s="1">
        <v>45180</v>
      </c>
      <c r="C287" s="1" t="str">
        <f>TEXT(Table4_2[[#This Row],[Date]],"dddd")</f>
        <v>Monday</v>
      </c>
      <c r="D287" s="21">
        <v>31.2</v>
      </c>
      <c r="E287" s="21">
        <v>72</v>
      </c>
      <c r="F287" s="21">
        <v>725</v>
      </c>
      <c r="G287" s="21">
        <v>6.5</v>
      </c>
      <c r="H287">
        <v>40</v>
      </c>
      <c r="I287">
        <v>88.16</v>
      </c>
      <c r="J287">
        <v>0.72</v>
      </c>
      <c r="K287" t="str" cm="1">
        <f t="array" ref="K287">_xlfn.IFS(Table4_2[[#This Row],[Growth Days]]&lt;=14,"Seedling",Table4_2[[#This Row],[Growth Days]]&lt;=35, "Vegetative",Table4_2[[#This Row],[Growth Days]]&lt;=50, "Maturity")</f>
        <v>Maturity</v>
      </c>
      <c r="L287" t="str">
        <f>IF(Table4_2[[#This Row],[TDS Value (ppm)]]&lt;560, "Low", IF(Table4_2[[#This Row],[TDS Value (ppm)]]&lt;=800,"Optimal","High"))</f>
        <v>Optimal</v>
      </c>
    </row>
    <row r="288" spans="1:12" x14ac:dyDescent="0.25">
      <c r="A288">
        <v>48</v>
      </c>
      <c r="B288" s="1">
        <v>45145</v>
      </c>
      <c r="C288" s="1" t="str">
        <f>TEXT(Table4_2[[#This Row],[Date]],"dddd")</f>
        <v>Monday</v>
      </c>
      <c r="D288" s="21">
        <v>33.4</v>
      </c>
      <c r="E288" s="21">
        <v>63</v>
      </c>
      <c r="F288" s="21">
        <v>723</v>
      </c>
      <c r="G288" s="21">
        <v>6.4</v>
      </c>
      <c r="H288">
        <v>5</v>
      </c>
      <c r="I288">
        <v>92.12</v>
      </c>
      <c r="J288">
        <v>0.63</v>
      </c>
      <c r="K288" t="str" cm="1">
        <f t="array" ref="K288">_xlfn.IFS(Table4_2[[#This Row],[Growth Days]]&lt;=14,"Seedling",Table4_2[[#This Row],[Growth Days]]&lt;=35, "Vegetative",Table4_2[[#This Row],[Growth Days]]&lt;=50, "Maturity")</f>
        <v>Seedling</v>
      </c>
      <c r="L288" t="str">
        <f>IF(Table4_2[[#This Row],[TDS Value (ppm)]]&lt;560, "Low", IF(Table4_2[[#This Row],[TDS Value (ppm)]]&lt;=800,"Optimal","High"))</f>
        <v>Optimal</v>
      </c>
    </row>
    <row r="289" spans="1:12" x14ac:dyDescent="0.25">
      <c r="A289">
        <v>48</v>
      </c>
      <c r="B289" s="1">
        <v>45152</v>
      </c>
      <c r="C289" s="1" t="str">
        <f>TEXT(Table4_2[[#This Row],[Date]],"dddd")</f>
        <v>Monday</v>
      </c>
      <c r="D289" s="21">
        <v>30.1</v>
      </c>
      <c r="E289" s="21">
        <v>70</v>
      </c>
      <c r="F289" s="21">
        <v>489</v>
      </c>
      <c r="G289" s="21">
        <v>6</v>
      </c>
      <c r="H289">
        <v>12</v>
      </c>
      <c r="I289">
        <v>86.18</v>
      </c>
      <c r="J289">
        <v>0.7</v>
      </c>
      <c r="K289" t="str" cm="1">
        <f t="array" ref="K289">_xlfn.IFS(Table4_2[[#This Row],[Growth Days]]&lt;=14,"Seedling",Table4_2[[#This Row],[Growth Days]]&lt;=35, "Vegetative",Table4_2[[#This Row],[Growth Days]]&lt;=50, "Maturity")</f>
        <v>Seedling</v>
      </c>
      <c r="L289" t="str">
        <f>IF(Table4_2[[#This Row],[TDS Value (ppm)]]&lt;560, "Low", IF(Table4_2[[#This Row],[TDS Value (ppm)]]&lt;=800,"Optimal","High"))</f>
        <v>Low</v>
      </c>
    </row>
    <row r="290" spans="1:12" x14ac:dyDescent="0.25">
      <c r="A290">
        <v>48</v>
      </c>
      <c r="B290" s="1">
        <v>45159</v>
      </c>
      <c r="C290" s="1" t="str">
        <f>TEXT(Table4_2[[#This Row],[Date]],"dddd")</f>
        <v>Monday</v>
      </c>
      <c r="D290" s="21">
        <v>30.2</v>
      </c>
      <c r="E290" s="21">
        <v>55</v>
      </c>
      <c r="F290" s="21">
        <v>648</v>
      </c>
      <c r="G290" s="21">
        <v>6.4</v>
      </c>
      <c r="H290">
        <v>19</v>
      </c>
      <c r="I290">
        <v>86.36</v>
      </c>
      <c r="J290">
        <v>0.55000000000000004</v>
      </c>
      <c r="K290" t="str" cm="1">
        <f t="array" ref="K290">_xlfn.IFS(Table4_2[[#This Row],[Growth Days]]&lt;=14,"Seedling",Table4_2[[#This Row],[Growth Days]]&lt;=35, "Vegetative",Table4_2[[#This Row],[Growth Days]]&lt;=50, "Maturity")</f>
        <v>Vegetative</v>
      </c>
      <c r="L290" t="str">
        <f>IF(Table4_2[[#This Row],[TDS Value (ppm)]]&lt;560, "Low", IF(Table4_2[[#This Row],[TDS Value (ppm)]]&lt;=800,"Optimal","High"))</f>
        <v>Optimal</v>
      </c>
    </row>
    <row r="291" spans="1:12" x14ac:dyDescent="0.25">
      <c r="A291">
        <v>48</v>
      </c>
      <c r="B291" s="1">
        <v>45166</v>
      </c>
      <c r="C291" s="1" t="str">
        <f>TEXT(Table4_2[[#This Row],[Date]],"dddd")</f>
        <v>Monday</v>
      </c>
      <c r="D291" s="21">
        <v>29.4</v>
      </c>
      <c r="E291" s="21">
        <v>68</v>
      </c>
      <c r="F291" s="21">
        <v>490</v>
      </c>
      <c r="G291" s="21">
        <v>6.6</v>
      </c>
      <c r="H291">
        <v>26</v>
      </c>
      <c r="I291">
        <v>84.92</v>
      </c>
      <c r="J291">
        <v>0.68</v>
      </c>
      <c r="K291" t="str" cm="1">
        <f t="array" ref="K291">_xlfn.IFS(Table4_2[[#This Row],[Growth Days]]&lt;=14,"Seedling",Table4_2[[#This Row],[Growth Days]]&lt;=35, "Vegetative",Table4_2[[#This Row],[Growth Days]]&lt;=50, "Maturity")</f>
        <v>Vegetative</v>
      </c>
      <c r="L291" t="str">
        <f>IF(Table4_2[[#This Row],[TDS Value (ppm)]]&lt;560, "Low", IF(Table4_2[[#This Row],[TDS Value (ppm)]]&lt;=800,"Optimal","High"))</f>
        <v>Low</v>
      </c>
    </row>
    <row r="292" spans="1:12" x14ac:dyDescent="0.25">
      <c r="A292">
        <v>48</v>
      </c>
      <c r="B292" s="1">
        <v>45173</v>
      </c>
      <c r="C292" s="1" t="str">
        <f>TEXT(Table4_2[[#This Row],[Date]],"dddd")</f>
        <v>Monday</v>
      </c>
      <c r="D292" s="21">
        <v>31.7</v>
      </c>
      <c r="E292" s="21">
        <v>59</v>
      </c>
      <c r="F292" s="21">
        <v>674</v>
      </c>
      <c r="G292" s="21">
        <v>6.5</v>
      </c>
      <c r="H292">
        <v>33</v>
      </c>
      <c r="I292">
        <v>89.06</v>
      </c>
      <c r="J292">
        <v>0.59</v>
      </c>
      <c r="K292" t="str" cm="1">
        <f t="array" ref="K292">_xlfn.IFS(Table4_2[[#This Row],[Growth Days]]&lt;=14,"Seedling",Table4_2[[#This Row],[Growth Days]]&lt;=35, "Vegetative",Table4_2[[#This Row],[Growth Days]]&lt;=50, "Maturity")</f>
        <v>Vegetative</v>
      </c>
      <c r="L292" t="str">
        <f>IF(Table4_2[[#This Row],[TDS Value (ppm)]]&lt;560, "Low", IF(Table4_2[[#This Row],[TDS Value (ppm)]]&lt;=800,"Optimal","High"))</f>
        <v>Optimal</v>
      </c>
    </row>
    <row r="293" spans="1:12" x14ac:dyDescent="0.25">
      <c r="A293">
        <v>48</v>
      </c>
      <c r="B293" s="1">
        <v>45180</v>
      </c>
      <c r="C293" s="1" t="str">
        <f>TEXT(Table4_2[[#This Row],[Date]],"dddd")</f>
        <v>Monday</v>
      </c>
      <c r="D293" s="21">
        <v>31.2</v>
      </c>
      <c r="E293" s="21">
        <v>70</v>
      </c>
      <c r="F293" s="21">
        <v>520</v>
      </c>
      <c r="G293" s="21">
        <v>6.2</v>
      </c>
      <c r="H293">
        <v>40</v>
      </c>
      <c r="I293">
        <v>88.16</v>
      </c>
      <c r="J293">
        <v>0.7</v>
      </c>
      <c r="K293" t="str" cm="1">
        <f t="array" ref="K293">_xlfn.IFS(Table4_2[[#This Row],[Growth Days]]&lt;=14,"Seedling",Table4_2[[#This Row],[Growth Days]]&lt;=35, "Vegetative",Table4_2[[#This Row],[Growth Days]]&lt;=50, "Maturity")</f>
        <v>Maturity</v>
      </c>
      <c r="L293" t="str">
        <f>IF(Table4_2[[#This Row],[TDS Value (ppm)]]&lt;560, "Low", IF(Table4_2[[#This Row],[TDS Value (ppm)]]&lt;=800,"Optimal","High"))</f>
        <v>Low</v>
      </c>
    </row>
    <row r="294" spans="1:12" x14ac:dyDescent="0.25">
      <c r="A294">
        <v>48</v>
      </c>
      <c r="B294" s="1">
        <v>45187</v>
      </c>
      <c r="C294" s="1" t="str">
        <f>TEXT(Table4_2[[#This Row],[Date]],"dddd")</f>
        <v>Monday</v>
      </c>
      <c r="D294" s="21">
        <v>31.5</v>
      </c>
      <c r="E294" s="21">
        <v>51</v>
      </c>
      <c r="F294" s="21">
        <v>527</v>
      </c>
      <c r="G294" s="21">
        <v>6.2</v>
      </c>
      <c r="H294">
        <v>47</v>
      </c>
      <c r="I294">
        <v>88.7</v>
      </c>
      <c r="J294">
        <v>0.51</v>
      </c>
      <c r="K294" t="str" cm="1">
        <f t="array" ref="K294">_xlfn.IFS(Table4_2[[#This Row],[Growth Days]]&lt;=14,"Seedling",Table4_2[[#This Row],[Growth Days]]&lt;=35, "Vegetative",Table4_2[[#This Row],[Growth Days]]&lt;=50, "Maturity")</f>
        <v>Maturity</v>
      </c>
      <c r="L294" t="str">
        <f>IF(Table4_2[[#This Row],[TDS Value (ppm)]]&lt;560, "Low", IF(Table4_2[[#This Row],[TDS Value (ppm)]]&lt;=800,"Optimal","High"))</f>
        <v>Low</v>
      </c>
    </row>
    <row r="295" spans="1:12" x14ac:dyDescent="0.25">
      <c r="A295">
        <v>49</v>
      </c>
      <c r="B295" s="1">
        <v>45145</v>
      </c>
      <c r="C295" s="1" t="str">
        <f>TEXT(Table4_2[[#This Row],[Date]],"dddd")</f>
        <v>Monday</v>
      </c>
      <c r="D295" s="21">
        <v>33.4</v>
      </c>
      <c r="E295" s="21">
        <v>60</v>
      </c>
      <c r="F295" s="21">
        <v>519</v>
      </c>
      <c r="G295" s="21">
        <v>6.8</v>
      </c>
      <c r="H295">
        <v>5</v>
      </c>
      <c r="I295">
        <v>92.12</v>
      </c>
      <c r="J295">
        <v>0.6</v>
      </c>
      <c r="K295" t="str" cm="1">
        <f t="array" ref="K295">_xlfn.IFS(Table4_2[[#This Row],[Growth Days]]&lt;=14,"Seedling",Table4_2[[#This Row],[Growth Days]]&lt;=35, "Vegetative",Table4_2[[#This Row],[Growth Days]]&lt;=50, "Maturity")</f>
        <v>Seedling</v>
      </c>
      <c r="L295" t="str">
        <f>IF(Table4_2[[#This Row],[TDS Value (ppm)]]&lt;560, "Low", IF(Table4_2[[#This Row],[TDS Value (ppm)]]&lt;=800,"Optimal","High"))</f>
        <v>Low</v>
      </c>
    </row>
    <row r="296" spans="1:12" x14ac:dyDescent="0.25">
      <c r="A296">
        <v>49</v>
      </c>
      <c r="B296" s="1">
        <v>45152</v>
      </c>
      <c r="C296" s="1" t="str">
        <f>TEXT(Table4_2[[#This Row],[Date]],"dddd")</f>
        <v>Monday</v>
      </c>
      <c r="D296" s="21">
        <v>30.1</v>
      </c>
      <c r="E296" s="21">
        <v>68</v>
      </c>
      <c r="F296" s="21">
        <v>488</v>
      </c>
      <c r="G296" s="21">
        <v>6.3</v>
      </c>
      <c r="H296">
        <v>12</v>
      </c>
      <c r="I296">
        <v>86.18</v>
      </c>
      <c r="J296">
        <v>0.68</v>
      </c>
      <c r="K296" t="str" cm="1">
        <f t="array" ref="K296">_xlfn.IFS(Table4_2[[#This Row],[Growth Days]]&lt;=14,"Seedling",Table4_2[[#This Row],[Growth Days]]&lt;=35, "Vegetative",Table4_2[[#This Row],[Growth Days]]&lt;=50, "Maturity")</f>
        <v>Seedling</v>
      </c>
      <c r="L296" t="str">
        <f>IF(Table4_2[[#This Row],[TDS Value (ppm)]]&lt;560, "Low", IF(Table4_2[[#This Row],[TDS Value (ppm)]]&lt;=800,"Optimal","High"))</f>
        <v>Low</v>
      </c>
    </row>
    <row r="297" spans="1:12" x14ac:dyDescent="0.25">
      <c r="A297">
        <v>49</v>
      </c>
      <c r="B297" s="1">
        <v>45159</v>
      </c>
      <c r="C297" s="1" t="str">
        <f>TEXT(Table4_2[[#This Row],[Date]],"dddd")</f>
        <v>Monday</v>
      </c>
      <c r="D297" s="21">
        <v>30.2</v>
      </c>
      <c r="E297" s="21">
        <v>60</v>
      </c>
      <c r="F297" s="21">
        <v>699</v>
      </c>
      <c r="G297" s="21">
        <v>6</v>
      </c>
      <c r="H297">
        <v>19</v>
      </c>
      <c r="I297">
        <v>86.36</v>
      </c>
      <c r="J297">
        <v>0.6</v>
      </c>
      <c r="K297" t="str" cm="1">
        <f t="array" ref="K297">_xlfn.IFS(Table4_2[[#This Row],[Growth Days]]&lt;=14,"Seedling",Table4_2[[#This Row],[Growth Days]]&lt;=35, "Vegetative",Table4_2[[#This Row],[Growth Days]]&lt;=50, "Maturity")</f>
        <v>Vegetative</v>
      </c>
      <c r="L297" t="str">
        <f>IF(Table4_2[[#This Row],[TDS Value (ppm)]]&lt;560, "Low", IF(Table4_2[[#This Row],[TDS Value (ppm)]]&lt;=800,"Optimal","High"))</f>
        <v>Optimal</v>
      </c>
    </row>
    <row r="298" spans="1:12" x14ac:dyDescent="0.25">
      <c r="A298">
        <v>49</v>
      </c>
      <c r="B298" s="1">
        <v>45166</v>
      </c>
      <c r="C298" s="1" t="str">
        <f>TEXT(Table4_2[[#This Row],[Date]],"dddd")</f>
        <v>Monday</v>
      </c>
      <c r="D298" s="21">
        <v>29.4</v>
      </c>
      <c r="E298" s="21">
        <v>62</v>
      </c>
      <c r="F298" s="21">
        <v>711</v>
      </c>
      <c r="G298" s="21">
        <v>6.4</v>
      </c>
      <c r="H298">
        <v>26</v>
      </c>
      <c r="I298">
        <v>84.92</v>
      </c>
      <c r="J298">
        <v>0.62</v>
      </c>
      <c r="K298" t="str" cm="1">
        <f t="array" ref="K298">_xlfn.IFS(Table4_2[[#This Row],[Growth Days]]&lt;=14,"Seedling",Table4_2[[#This Row],[Growth Days]]&lt;=35, "Vegetative",Table4_2[[#This Row],[Growth Days]]&lt;=50, "Maturity")</f>
        <v>Vegetative</v>
      </c>
      <c r="L298" t="str">
        <f>IF(Table4_2[[#This Row],[TDS Value (ppm)]]&lt;560, "Low", IF(Table4_2[[#This Row],[TDS Value (ppm)]]&lt;=800,"Optimal","High"))</f>
        <v>Optimal</v>
      </c>
    </row>
    <row r="299" spans="1:12" x14ac:dyDescent="0.25">
      <c r="A299">
        <v>49</v>
      </c>
      <c r="B299" s="1">
        <v>45173</v>
      </c>
      <c r="C299" s="1" t="str">
        <f>TEXT(Table4_2[[#This Row],[Date]],"dddd")</f>
        <v>Monday</v>
      </c>
      <c r="D299" s="21">
        <v>31.7</v>
      </c>
      <c r="E299" s="21">
        <v>61</v>
      </c>
      <c r="F299" s="21">
        <v>518</v>
      </c>
      <c r="G299" s="21">
        <v>6.6</v>
      </c>
      <c r="H299">
        <v>33</v>
      </c>
      <c r="I299">
        <v>89.06</v>
      </c>
      <c r="J299">
        <v>0.61</v>
      </c>
      <c r="K299" t="str" cm="1">
        <f t="array" ref="K299">_xlfn.IFS(Table4_2[[#This Row],[Growth Days]]&lt;=14,"Seedling",Table4_2[[#This Row],[Growth Days]]&lt;=35, "Vegetative",Table4_2[[#This Row],[Growth Days]]&lt;=50, "Maturity")</f>
        <v>Vegetative</v>
      </c>
      <c r="L299" t="str">
        <f>IF(Table4_2[[#This Row],[TDS Value (ppm)]]&lt;560, "Low", IF(Table4_2[[#This Row],[TDS Value (ppm)]]&lt;=800,"Optimal","High"))</f>
        <v>Low</v>
      </c>
    </row>
    <row r="300" spans="1:12" x14ac:dyDescent="0.25">
      <c r="A300">
        <v>49</v>
      </c>
      <c r="B300" s="1">
        <v>45180</v>
      </c>
      <c r="C300" s="1" t="str">
        <f>TEXT(Table4_2[[#This Row],[Date]],"dddd")</f>
        <v>Monday</v>
      </c>
      <c r="D300" s="21">
        <v>31.2</v>
      </c>
      <c r="E300" s="21">
        <v>70</v>
      </c>
      <c r="F300" s="21">
        <v>758</v>
      </c>
      <c r="G300" s="21">
        <v>6.6</v>
      </c>
      <c r="H300">
        <v>40</v>
      </c>
      <c r="I300">
        <v>88.16</v>
      </c>
      <c r="J300">
        <v>0.7</v>
      </c>
      <c r="K300" t="str" cm="1">
        <f t="array" ref="K300">_xlfn.IFS(Table4_2[[#This Row],[Growth Days]]&lt;=14,"Seedling",Table4_2[[#This Row],[Growth Days]]&lt;=35, "Vegetative",Table4_2[[#This Row],[Growth Days]]&lt;=50, "Maturity")</f>
        <v>Maturity</v>
      </c>
      <c r="L300" t="str">
        <f>IF(Table4_2[[#This Row],[TDS Value (ppm)]]&lt;560, "Low", IF(Table4_2[[#This Row],[TDS Value (ppm)]]&lt;=800,"Optimal","High"))</f>
        <v>Optimal</v>
      </c>
    </row>
    <row r="301" spans="1:12" x14ac:dyDescent="0.25">
      <c r="A301">
        <v>50</v>
      </c>
      <c r="B301" s="1">
        <v>45145</v>
      </c>
      <c r="C301" s="1" t="str">
        <f>TEXT(Table4_2[[#This Row],[Date]],"dddd")</f>
        <v>Monday</v>
      </c>
      <c r="D301" s="21">
        <v>33.4</v>
      </c>
      <c r="E301" s="21">
        <v>60</v>
      </c>
      <c r="F301" s="21">
        <v>533</v>
      </c>
      <c r="G301" s="21">
        <v>6.3</v>
      </c>
      <c r="H301">
        <v>5</v>
      </c>
      <c r="I301">
        <v>92.12</v>
      </c>
      <c r="J301">
        <v>0.6</v>
      </c>
      <c r="K301" t="str" cm="1">
        <f t="array" ref="K301">_xlfn.IFS(Table4_2[[#This Row],[Growth Days]]&lt;=14,"Seedling",Table4_2[[#This Row],[Growth Days]]&lt;=35, "Vegetative",Table4_2[[#This Row],[Growth Days]]&lt;=50, "Maturity")</f>
        <v>Seedling</v>
      </c>
      <c r="L301" t="str">
        <f>IF(Table4_2[[#This Row],[TDS Value (ppm)]]&lt;560, "Low", IF(Table4_2[[#This Row],[TDS Value (ppm)]]&lt;=800,"Optimal","High"))</f>
        <v>Low</v>
      </c>
    </row>
    <row r="302" spans="1:12" x14ac:dyDescent="0.25">
      <c r="A302">
        <v>50</v>
      </c>
      <c r="B302" s="1">
        <v>45152</v>
      </c>
      <c r="C302" s="1" t="str">
        <f>TEXT(Table4_2[[#This Row],[Date]],"dddd")</f>
        <v>Monday</v>
      </c>
      <c r="D302" s="21">
        <v>30.1</v>
      </c>
      <c r="E302" s="21">
        <v>72</v>
      </c>
      <c r="F302" s="21">
        <v>400</v>
      </c>
      <c r="G302" s="21">
        <v>6.8</v>
      </c>
      <c r="H302">
        <v>12</v>
      </c>
      <c r="I302">
        <v>86.18</v>
      </c>
      <c r="J302">
        <v>0.72</v>
      </c>
      <c r="K302" t="str" cm="1">
        <f t="array" ref="K302">_xlfn.IFS(Table4_2[[#This Row],[Growth Days]]&lt;=14,"Seedling",Table4_2[[#This Row],[Growth Days]]&lt;=35, "Vegetative",Table4_2[[#This Row],[Growth Days]]&lt;=50, "Maturity")</f>
        <v>Seedling</v>
      </c>
      <c r="L302" t="str">
        <f>IF(Table4_2[[#This Row],[TDS Value (ppm)]]&lt;560, "Low", IF(Table4_2[[#This Row],[TDS Value (ppm)]]&lt;=800,"Optimal","High"))</f>
        <v>Low</v>
      </c>
    </row>
    <row r="303" spans="1:12" x14ac:dyDescent="0.25">
      <c r="A303">
        <v>50</v>
      </c>
      <c r="B303" s="1">
        <v>45159</v>
      </c>
      <c r="C303" s="1" t="str">
        <f>TEXT(Table4_2[[#This Row],[Date]],"dddd")</f>
        <v>Monday</v>
      </c>
      <c r="D303" s="21">
        <v>30.2</v>
      </c>
      <c r="E303" s="21">
        <v>78</v>
      </c>
      <c r="F303" s="21">
        <v>776</v>
      </c>
      <c r="G303" s="21">
        <v>6.6</v>
      </c>
      <c r="H303">
        <v>19</v>
      </c>
      <c r="I303">
        <v>86.36</v>
      </c>
      <c r="J303">
        <v>0.78</v>
      </c>
      <c r="K303" t="str" cm="1">
        <f t="array" ref="K303">_xlfn.IFS(Table4_2[[#This Row],[Growth Days]]&lt;=14,"Seedling",Table4_2[[#This Row],[Growth Days]]&lt;=35, "Vegetative",Table4_2[[#This Row],[Growth Days]]&lt;=50, "Maturity")</f>
        <v>Vegetative</v>
      </c>
      <c r="L303" t="str">
        <f>IF(Table4_2[[#This Row],[TDS Value (ppm)]]&lt;560, "Low", IF(Table4_2[[#This Row],[TDS Value (ppm)]]&lt;=800,"Optimal","High"))</f>
        <v>Optimal</v>
      </c>
    </row>
    <row r="304" spans="1:12" x14ac:dyDescent="0.25">
      <c r="A304">
        <v>50</v>
      </c>
      <c r="B304" s="1">
        <v>45166</v>
      </c>
      <c r="C304" s="1" t="str">
        <f>TEXT(Table4_2[[#This Row],[Date]],"dddd")</f>
        <v>Monday</v>
      </c>
      <c r="D304" s="21">
        <v>29.4</v>
      </c>
      <c r="E304" s="21">
        <v>73</v>
      </c>
      <c r="F304" s="21">
        <v>740</v>
      </c>
      <c r="G304" s="21">
        <v>6.5</v>
      </c>
      <c r="H304">
        <v>26</v>
      </c>
      <c r="I304">
        <v>84.92</v>
      </c>
      <c r="J304">
        <v>0.73</v>
      </c>
      <c r="K304" t="str" cm="1">
        <f t="array" ref="K304">_xlfn.IFS(Table4_2[[#This Row],[Growth Days]]&lt;=14,"Seedling",Table4_2[[#This Row],[Growth Days]]&lt;=35, "Vegetative",Table4_2[[#This Row],[Growth Days]]&lt;=50, "Maturity")</f>
        <v>Vegetative</v>
      </c>
      <c r="L304" t="str">
        <f>IF(Table4_2[[#This Row],[TDS Value (ppm)]]&lt;560, "Low", IF(Table4_2[[#This Row],[TDS Value (ppm)]]&lt;=800,"Optimal","High"))</f>
        <v>Optimal</v>
      </c>
    </row>
    <row r="305" spans="1:12" x14ac:dyDescent="0.25">
      <c r="A305">
        <v>50</v>
      </c>
      <c r="B305" s="1">
        <v>45173</v>
      </c>
      <c r="C305" s="1" t="str">
        <f>TEXT(Table4_2[[#This Row],[Date]],"dddd")</f>
        <v>Monday</v>
      </c>
      <c r="D305" s="21">
        <v>31.7</v>
      </c>
      <c r="E305" s="21">
        <v>52</v>
      </c>
      <c r="F305" s="21">
        <v>516</v>
      </c>
      <c r="G305" s="21">
        <v>6.1</v>
      </c>
      <c r="H305">
        <v>33</v>
      </c>
      <c r="I305">
        <v>89.06</v>
      </c>
      <c r="J305">
        <v>0.52</v>
      </c>
      <c r="K305" t="str" cm="1">
        <f t="array" ref="K305">_xlfn.IFS(Table4_2[[#This Row],[Growth Days]]&lt;=14,"Seedling",Table4_2[[#This Row],[Growth Days]]&lt;=35, "Vegetative",Table4_2[[#This Row],[Growth Days]]&lt;=50, "Maturity")</f>
        <v>Vegetative</v>
      </c>
      <c r="L305" t="str">
        <f>IF(Table4_2[[#This Row],[TDS Value (ppm)]]&lt;560, "Low", IF(Table4_2[[#This Row],[TDS Value (ppm)]]&lt;=800,"Optimal","High"))</f>
        <v>Low</v>
      </c>
    </row>
    <row r="306" spans="1:12" x14ac:dyDescent="0.25">
      <c r="A306">
        <v>50</v>
      </c>
      <c r="B306" s="1">
        <v>45180</v>
      </c>
      <c r="C306" s="1" t="str">
        <f>TEXT(Table4_2[[#This Row],[Date]],"dddd")</f>
        <v>Monday</v>
      </c>
      <c r="D306" s="21">
        <v>31.2</v>
      </c>
      <c r="E306" s="21">
        <v>80</v>
      </c>
      <c r="F306" s="21">
        <v>566</v>
      </c>
      <c r="G306" s="21">
        <v>6.2</v>
      </c>
      <c r="H306">
        <v>40</v>
      </c>
      <c r="I306">
        <v>88.16</v>
      </c>
      <c r="J306">
        <v>0.8</v>
      </c>
      <c r="K306" t="str" cm="1">
        <f t="array" ref="K306">_xlfn.IFS(Table4_2[[#This Row],[Growth Days]]&lt;=14,"Seedling",Table4_2[[#This Row],[Growth Days]]&lt;=35, "Vegetative",Table4_2[[#This Row],[Growth Days]]&lt;=50, "Maturity")</f>
        <v>Maturity</v>
      </c>
      <c r="L306" t="str">
        <f>IF(Table4_2[[#This Row],[TDS Value (ppm)]]&lt;560, "Low", IF(Table4_2[[#This Row],[TDS Value (ppm)]]&lt;=800,"Optimal","High"))</f>
        <v>Optimal</v>
      </c>
    </row>
    <row r="307" spans="1:12" x14ac:dyDescent="0.25">
      <c r="A307">
        <v>51</v>
      </c>
      <c r="B307" s="1">
        <v>45145</v>
      </c>
      <c r="C307" s="1" t="str">
        <f>TEXT(Table4_2[[#This Row],[Date]],"dddd")</f>
        <v>Monday</v>
      </c>
      <c r="D307" s="21">
        <v>33.4</v>
      </c>
      <c r="E307" s="21">
        <v>68</v>
      </c>
      <c r="F307" s="21">
        <v>594</v>
      </c>
      <c r="G307" s="21">
        <v>6.2</v>
      </c>
      <c r="H307">
        <v>5</v>
      </c>
      <c r="I307">
        <v>92.12</v>
      </c>
      <c r="J307">
        <v>0.68</v>
      </c>
      <c r="K307" t="str" cm="1">
        <f t="array" ref="K307">_xlfn.IFS(Table4_2[[#This Row],[Growth Days]]&lt;=14,"Seedling",Table4_2[[#This Row],[Growth Days]]&lt;=35, "Vegetative",Table4_2[[#This Row],[Growth Days]]&lt;=50, "Maturity")</f>
        <v>Seedling</v>
      </c>
      <c r="L307" t="str">
        <f>IF(Table4_2[[#This Row],[TDS Value (ppm)]]&lt;560, "Low", IF(Table4_2[[#This Row],[TDS Value (ppm)]]&lt;=800,"Optimal","High"))</f>
        <v>Optimal</v>
      </c>
    </row>
    <row r="308" spans="1:12" x14ac:dyDescent="0.25">
      <c r="A308">
        <v>51</v>
      </c>
      <c r="B308" s="1">
        <v>45152</v>
      </c>
      <c r="C308" s="1" t="str">
        <f>TEXT(Table4_2[[#This Row],[Date]],"dddd")</f>
        <v>Monday</v>
      </c>
      <c r="D308" s="21">
        <v>30.1</v>
      </c>
      <c r="E308" s="21">
        <v>78</v>
      </c>
      <c r="F308" s="21">
        <v>759</v>
      </c>
      <c r="G308" s="21">
        <v>6.2</v>
      </c>
      <c r="H308">
        <v>12</v>
      </c>
      <c r="I308">
        <v>86.18</v>
      </c>
      <c r="J308">
        <v>0.78</v>
      </c>
      <c r="K308" t="str" cm="1">
        <f t="array" ref="K308">_xlfn.IFS(Table4_2[[#This Row],[Growth Days]]&lt;=14,"Seedling",Table4_2[[#This Row],[Growth Days]]&lt;=35, "Vegetative",Table4_2[[#This Row],[Growth Days]]&lt;=50, "Maturity")</f>
        <v>Seedling</v>
      </c>
      <c r="L308" t="str">
        <f>IF(Table4_2[[#This Row],[TDS Value (ppm)]]&lt;560, "Low", IF(Table4_2[[#This Row],[TDS Value (ppm)]]&lt;=800,"Optimal","High"))</f>
        <v>Optimal</v>
      </c>
    </row>
    <row r="309" spans="1:12" x14ac:dyDescent="0.25">
      <c r="A309">
        <v>51</v>
      </c>
      <c r="B309" s="1">
        <v>45159</v>
      </c>
      <c r="C309" s="1" t="str">
        <f>TEXT(Table4_2[[#This Row],[Date]],"dddd")</f>
        <v>Monday</v>
      </c>
      <c r="D309" s="21">
        <v>30.2</v>
      </c>
      <c r="E309" s="21">
        <v>53</v>
      </c>
      <c r="F309" s="21">
        <v>542</v>
      </c>
      <c r="G309" s="21">
        <v>6.6</v>
      </c>
      <c r="H309">
        <v>19</v>
      </c>
      <c r="I309">
        <v>86.36</v>
      </c>
      <c r="J309">
        <v>0.53</v>
      </c>
      <c r="K309" t="str" cm="1">
        <f t="array" ref="K309">_xlfn.IFS(Table4_2[[#This Row],[Growth Days]]&lt;=14,"Seedling",Table4_2[[#This Row],[Growth Days]]&lt;=35, "Vegetative",Table4_2[[#This Row],[Growth Days]]&lt;=50, "Maturity")</f>
        <v>Vegetative</v>
      </c>
      <c r="L309" t="str">
        <f>IF(Table4_2[[#This Row],[TDS Value (ppm)]]&lt;560, "Low", IF(Table4_2[[#This Row],[TDS Value (ppm)]]&lt;=800,"Optimal","High"))</f>
        <v>Low</v>
      </c>
    </row>
    <row r="310" spans="1:12" x14ac:dyDescent="0.25">
      <c r="A310">
        <v>51</v>
      </c>
      <c r="B310" s="1">
        <v>45166</v>
      </c>
      <c r="C310" s="1" t="str">
        <f>TEXT(Table4_2[[#This Row],[Date]],"dddd")</f>
        <v>Monday</v>
      </c>
      <c r="D310" s="21">
        <v>29.4</v>
      </c>
      <c r="E310" s="21">
        <v>66</v>
      </c>
      <c r="F310" s="21">
        <v>668</v>
      </c>
      <c r="G310" s="21">
        <v>6</v>
      </c>
      <c r="H310">
        <v>26</v>
      </c>
      <c r="I310">
        <v>84.92</v>
      </c>
      <c r="J310">
        <v>0.66</v>
      </c>
      <c r="K310" t="str" cm="1">
        <f t="array" ref="K310">_xlfn.IFS(Table4_2[[#This Row],[Growth Days]]&lt;=14,"Seedling",Table4_2[[#This Row],[Growth Days]]&lt;=35, "Vegetative",Table4_2[[#This Row],[Growth Days]]&lt;=50, "Maturity")</f>
        <v>Vegetative</v>
      </c>
      <c r="L310" t="str">
        <f>IF(Table4_2[[#This Row],[TDS Value (ppm)]]&lt;560, "Low", IF(Table4_2[[#This Row],[TDS Value (ppm)]]&lt;=800,"Optimal","High"))</f>
        <v>Optimal</v>
      </c>
    </row>
    <row r="311" spans="1:12" x14ac:dyDescent="0.25">
      <c r="A311">
        <v>51</v>
      </c>
      <c r="B311" s="1">
        <v>45173</v>
      </c>
      <c r="C311" s="1" t="str">
        <f>TEXT(Table4_2[[#This Row],[Date]],"dddd")</f>
        <v>Monday</v>
      </c>
      <c r="D311" s="21">
        <v>31.7</v>
      </c>
      <c r="E311" s="21">
        <v>69</v>
      </c>
      <c r="F311" s="21">
        <v>750</v>
      </c>
      <c r="G311" s="21">
        <v>6.3</v>
      </c>
      <c r="H311">
        <v>33</v>
      </c>
      <c r="I311">
        <v>89.06</v>
      </c>
      <c r="J311">
        <v>0.69</v>
      </c>
      <c r="K311" t="str" cm="1">
        <f t="array" ref="K311">_xlfn.IFS(Table4_2[[#This Row],[Growth Days]]&lt;=14,"Seedling",Table4_2[[#This Row],[Growth Days]]&lt;=35, "Vegetative",Table4_2[[#This Row],[Growth Days]]&lt;=50, "Maturity")</f>
        <v>Vegetative</v>
      </c>
      <c r="L311" t="str">
        <f>IF(Table4_2[[#This Row],[TDS Value (ppm)]]&lt;560, "Low", IF(Table4_2[[#This Row],[TDS Value (ppm)]]&lt;=800,"Optimal","High"))</f>
        <v>Optimal</v>
      </c>
    </row>
    <row r="312" spans="1:12" x14ac:dyDescent="0.25">
      <c r="A312">
        <v>51</v>
      </c>
      <c r="B312" s="1">
        <v>45180</v>
      </c>
      <c r="C312" s="1" t="str">
        <f>TEXT(Table4_2[[#This Row],[Date]],"dddd")</f>
        <v>Monday</v>
      </c>
      <c r="D312" s="21">
        <v>31.2</v>
      </c>
      <c r="E312" s="21">
        <v>71</v>
      </c>
      <c r="F312" s="21">
        <v>571</v>
      </c>
      <c r="G312" s="21">
        <v>6.5</v>
      </c>
      <c r="H312">
        <v>40</v>
      </c>
      <c r="I312">
        <v>88.16</v>
      </c>
      <c r="J312">
        <v>0.71</v>
      </c>
      <c r="K312" t="str" cm="1">
        <f t="array" ref="K312">_xlfn.IFS(Table4_2[[#This Row],[Growth Days]]&lt;=14,"Seedling",Table4_2[[#This Row],[Growth Days]]&lt;=35, "Vegetative",Table4_2[[#This Row],[Growth Days]]&lt;=50, "Maturity")</f>
        <v>Maturity</v>
      </c>
      <c r="L312" t="str">
        <f>IF(Table4_2[[#This Row],[TDS Value (ppm)]]&lt;560, "Low", IF(Table4_2[[#This Row],[TDS Value (ppm)]]&lt;=800,"Optimal","High"))</f>
        <v>Optimal</v>
      </c>
    </row>
    <row r="313" spans="1:12" x14ac:dyDescent="0.25">
      <c r="A313">
        <v>52</v>
      </c>
      <c r="B313" s="1">
        <v>45145</v>
      </c>
      <c r="C313" s="1" t="str">
        <f>TEXT(Table4_2[[#This Row],[Date]],"dddd")</f>
        <v>Monday</v>
      </c>
      <c r="D313" s="21">
        <v>24.3</v>
      </c>
      <c r="E313" s="21">
        <v>77</v>
      </c>
      <c r="F313" s="21">
        <v>775</v>
      </c>
      <c r="G313" s="21">
        <v>6.2</v>
      </c>
      <c r="H313">
        <v>5</v>
      </c>
      <c r="I313">
        <v>75.739999999999995</v>
      </c>
      <c r="J313">
        <v>0.77</v>
      </c>
      <c r="K313" t="str" cm="1">
        <f t="array" ref="K313">_xlfn.IFS(Table4_2[[#This Row],[Growth Days]]&lt;=14,"Seedling",Table4_2[[#This Row],[Growth Days]]&lt;=35, "Vegetative",Table4_2[[#This Row],[Growth Days]]&lt;=50, "Maturity")</f>
        <v>Seedling</v>
      </c>
      <c r="L313" t="str">
        <f>IF(Table4_2[[#This Row],[TDS Value (ppm)]]&lt;560, "Low", IF(Table4_2[[#This Row],[TDS Value (ppm)]]&lt;=800,"Optimal","High"))</f>
        <v>Optimal</v>
      </c>
    </row>
    <row r="314" spans="1:12" x14ac:dyDescent="0.25">
      <c r="A314">
        <v>52</v>
      </c>
      <c r="B314" s="1">
        <v>45152</v>
      </c>
      <c r="C314" s="1" t="str">
        <f>TEXT(Table4_2[[#This Row],[Date]],"dddd")</f>
        <v>Monday</v>
      </c>
      <c r="D314" s="21">
        <v>24.9</v>
      </c>
      <c r="E314" s="21">
        <v>70</v>
      </c>
      <c r="F314" s="21">
        <v>797</v>
      </c>
      <c r="G314" s="21">
        <v>6</v>
      </c>
      <c r="H314">
        <v>12</v>
      </c>
      <c r="I314">
        <v>76.819999999999993</v>
      </c>
      <c r="J314">
        <v>0.7</v>
      </c>
      <c r="K314" t="str" cm="1">
        <f t="array" ref="K314">_xlfn.IFS(Table4_2[[#This Row],[Growth Days]]&lt;=14,"Seedling",Table4_2[[#This Row],[Growth Days]]&lt;=35, "Vegetative",Table4_2[[#This Row],[Growth Days]]&lt;=50, "Maturity")</f>
        <v>Seedling</v>
      </c>
      <c r="L314" t="str">
        <f>IF(Table4_2[[#This Row],[TDS Value (ppm)]]&lt;560, "Low", IF(Table4_2[[#This Row],[TDS Value (ppm)]]&lt;=800,"Optimal","High"))</f>
        <v>Optimal</v>
      </c>
    </row>
    <row r="315" spans="1:12" x14ac:dyDescent="0.25">
      <c r="A315">
        <v>52</v>
      </c>
      <c r="B315" s="1">
        <v>45159</v>
      </c>
      <c r="C315" s="1" t="str">
        <f>TEXT(Table4_2[[#This Row],[Date]],"dddd")</f>
        <v>Monday</v>
      </c>
      <c r="D315" s="21">
        <v>23.5</v>
      </c>
      <c r="E315" s="21">
        <v>67</v>
      </c>
      <c r="F315" s="21">
        <v>506</v>
      </c>
      <c r="G315" s="21">
        <v>6.4</v>
      </c>
      <c r="H315">
        <v>19</v>
      </c>
      <c r="I315">
        <v>74.3</v>
      </c>
      <c r="J315">
        <v>0.67</v>
      </c>
      <c r="K315" t="str" cm="1">
        <f t="array" ref="K315">_xlfn.IFS(Table4_2[[#This Row],[Growth Days]]&lt;=14,"Seedling",Table4_2[[#This Row],[Growth Days]]&lt;=35, "Vegetative",Table4_2[[#This Row],[Growth Days]]&lt;=50, "Maturity")</f>
        <v>Vegetative</v>
      </c>
      <c r="L315" t="str">
        <f>IF(Table4_2[[#This Row],[TDS Value (ppm)]]&lt;560, "Low", IF(Table4_2[[#This Row],[TDS Value (ppm)]]&lt;=800,"Optimal","High"))</f>
        <v>Low</v>
      </c>
    </row>
    <row r="316" spans="1:12" x14ac:dyDescent="0.25">
      <c r="A316">
        <v>52</v>
      </c>
      <c r="B316" s="1">
        <v>45166</v>
      </c>
      <c r="C316" s="1" t="str">
        <f>TEXT(Table4_2[[#This Row],[Date]],"dddd")</f>
        <v>Monday</v>
      </c>
      <c r="D316" s="21">
        <v>23.6</v>
      </c>
      <c r="E316" s="21">
        <v>55</v>
      </c>
      <c r="F316" s="21">
        <v>576</v>
      </c>
      <c r="G316" s="21">
        <v>6.6</v>
      </c>
      <c r="H316">
        <v>26</v>
      </c>
      <c r="I316">
        <v>74.48</v>
      </c>
      <c r="J316">
        <v>0.55000000000000004</v>
      </c>
      <c r="K316" t="str" cm="1">
        <f t="array" ref="K316">_xlfn.IFS(Table4_2[[#This Row],[Growth Days]]&lt;=14,"Seedling",Table4_2[[#This Row],[Growth Days]]&lt;=35, "Vegetative",Table4_2[[#This Row],[Growth Days]]&lt;=50, "Maturity")</f>
        <v>Vegetative</v>
      </c>
      <c r="L316" t="str">
        <f>IF(Table4_2[[#This Row],[TDS Value (ppm)]]&lt;560, "Low", IF(Table4_2[[#This Row],[TDS Value (ppm)]]&lt;=800,"Optimal","High"))</f>
        <v>Optimal</v>
      </c>
    </row>
    <row r="317" spans="1:12" x14ac:dyDescent="0.25">
      <c r="A317">
        <v>52</v>
      </c>
      <c r="B317" s="1">
        <v>45173</v>
      </c>
      <c r="C317" s="1" t="str">
        <f>TEXT(Table4_2[[#This Row],[Date]],"dddd")</f>
        <v>Monday</v>
      </c>
      <c r="D317" s="21">
        <v>21</v>
      </c>
      <c r="E317" s="21">
        <v>67</v>
      </c>
      <c r="F317" s="21">
        <v>619</v>
      </c>
      <c r="G317" s="21">
        <v>6.4</v>
      </c>
      <c r="H317">
        <v>33</v>
      </c>
      <c r="I317">
        <v>69.8</v>
      </c>
      <c r="J317">
        <v>0.67</v>
      </c>
      <c r="K317" t="str" cm="1">
        <f t="array" ref="K317">_xlfn.IFS(Table4_2[[#This Row],[Growth Days]]&lt;=14,"Seedling",Table4_2[[#This Row],[Growth Days]]&lt;=35, "Vegetative",Table4_2[[#This Row],[Growth Days]]&lt;=50, "Maturity")</f>
        <v>Vegetative</v>
      </c>
      <c r="L317" t="str">
        <f>IF(Table4_2[[#This Row],[TDS Value (ppm)]]&lt;560, "Low", IF(Table4_2[[#This Row],[TDS Value (ppm)]]&lt;=800,"Optimal","High"))</f>
        <v>Optimal</v>
      </c>
    </row>
    <row r="318" spans="1:12" x14ac:dyDescent="0.25">
      <c r="A318">
        <v>52</v>
      </c>
      <c r="B318" s="1">
        <v>45180</v>
      </c>
      <c r="C318" s="1" t="str">
        <f>TEXT(Table4_2[[#This Row],[Date]],"dddd")</f>
        <v>Monday</v>
      </c>
      <c r="D318" s="21">
        <v>22.6</v>
      </c>
      <c r="E318" s="21">
        <v>71</v>
      </c>
      <c r="F318" s="21">
        <v>626</v>
      </c>
      <c r="G318" s="21">
        <v>6.6</v>
      </c>
      <c r="H318">
        <v>40</v>
      </c>
      <c r="I318">
        <v>72.680000000000007</v>
      </c>
      <c r="J318">
        <v>0.71</v>
      </c>
      <c r="K318" t="str" cm="1">
        <f t="array" ref="K318">_xlfn.IFS(Table4_2[[#This Row],[Growth Days]]&lt;=14,"Seedling",Table4_2[[#This Row],[Growth Days]]&lt;=35, "Vegetative",Table4_2[[#This Row],[Growth Days]]&lt;=50, "Maturity")</f>
        <v>Maturity</v>
      </c>
      <c r="L318" t="str">
        <f>IF(Table4_2[[#This Row],[TDS Value (ppm)]]&lt;560, "Low", IF(Table4_2[[#This Row],[TDS Value (ppm)]]&lt;=800,"Optimal","High"))</f>
        <v>Optimal</v>
      </c>
    </row>
    <row r="319" spans="1:12" x14ac:dyDescent="0.25">
      <c r="A319">
        <v>53</v>
      </c>
      <c r="B319" s="1">
        <v>45145</v>
      </c>
      <c r="C319" s="1" t="str">
        <f>TEXT(Table4_2[[#This Row],[Date]],"dddd")</f>
        <v>Monday</v>
      </c>
      <c r="D319" s="21">
        <v>18.399999999999999</v>
      </c>
      <c r="E319" s="21">
        <v>57</v>
      </c>
      <c r="F319" s="21">
        <v>767</v>
      </c>
      <c r="G319" s="21">
        <v>6</v>
      </c>
      <c r="H319">
        <v>5</v>
      </c>
      <c r="I319">
        <v>65.12</v>
      </c>
      <c r="J319">
        <v>0.56999999999999995</v>
      </c>
      <c r="K319" t="str" cm="1">
        <f t="array" ref="K319">_xlfn.IFS(Table4_2[[#This Row],[Growth Days]]&lt;=14,"Seedling",Table4_2[[#This Row],[Growth Days]]&lt;=35, "Vegetative",Table4_2[[#This Row],[Growth Days]]&lt;=50, "Maturity")</f>
        <v>Seedling</v>
      </c>
      <c r="L319" t="str">
        <f>IF(Table4_2[[#This Row],[TDS Value (ppm)]]&lt;560, "Low", IF(Table4_2[[#This Row],[TDS Value (ppm)]]&lt;=800,"Optimal","High"))</f>
        <v>Optimal</v>
      </c>
    </row>
    <row r="320" spans="1:12" x14ac:dyDescent="0.25">
      <c r="A320">
        <v>53</v>
      </c>
      <c r="B320" s="1">
        <v>45152</v>
      </c>
      <c r="C320" s="1" t="str">
        <f>TEXT(Table4_2[[#This Row],[Date]],"dddd")</f>
        <v>Monday</v>
      </c>
      <c r="D320" s="21">
        <v>24.4</v>
      </c>
      <c r="E320" s="21">
        <v>72</v>
      </c>
      <c r="F320" s="21">
        <v>527</v>
      </c>
      <c r="G320" s="21">
        <v>6.4</v>
      </c>
      <c r="H320">
        <v>12</v>
      </c>
      <c r="I320">
        <v>75.92</v>
      </c>
      <c r="J320">
        <v>0.72</v>
      </c>
      <c r="K320" t="str" cm="1">
        <f t="array" ref="K320">_xlfn.IFS(Table4_2[[#This Row],[Growth Days]]&lt;=14,"Seedling",Table4_2[[#This Row],[Growth Days]]&lt;=35, "Vegetative",Table4_2[[#This Row],[Growth Days]]&lt;=50, "Maturity")</f>
        <v>Seedling</v>
      </c>
      <c r="L320" t="str">
        <f>IF(Table4_2[[#This Row],[TDS Value (ppm)]]&lt;560, "Low", IF(Table4_2[[#This Row],[TDS Value (ppm)]]&lt;=800,"Optimal","High"))</f>
        <v>Low</v>
      </c>
    </row>
    <row r="321" spans="1:12" x14ac:dyDescent="0.25">
      <c r="A321">
        <v>53</v>
      </c>
      <c r="B321" s="1">
        <v>45159</v>
      </c>
      <c r="C321" s="1" t="str">
        <f>TEXT(Table4_2[[#This Row],[Date]],"dddd")</f>
        <v>Monday</v>
      </c>
      <c r="D321" s="21">
        <v>23.8</v>
      </c>
      <c r="E321" s="21">
        <v>65</v>
      </c>
      <c r="F321" s="21">
        <v>455</v>
      </c>
      <c r="G321" s="21">
        <v>6.8</v>
      </c>
      <c r="H321">
        <v>19</v>
      </c>
      <c r="I321">
        <v>74.84</v>
      </c>
      <c r="J321">
        <v>0.65</v>
      </c>
      <c r="K321" t="str" cm="1">
        <f t="array" ref="K321">_xlfn.IFS(Table4_2[[#This Row],[Growth Days]]&lt;=14,"Seedling",Table4_2[[#This Row],[Growth Days]]&lt;=35, "Vegetative",Table4_2[[#This Row],[Growth Days]]&lt;=50, "Maturity")</f>
        <v>Vegetative</v>
      </c>
      <c r="L321" t="str">
        <f>IF(Table4_2[[#This Row],[TDS Value (ppm)]]&lt;560, "Low", IF(Table4_2[[#This Row],[TDS Value (ppm)]]&lt;=800,"Optimal","High"))</f>
        <v>Low</v>
      </c>
    </row>
    <row r="322" spans="1:12" x14ac:dyDescent="0.25">
      <c r="A322">
        <v>53</v>
      </c>
      <c r="B322" s="1">
        <v>45166</v>
      </c>
      <c r="C322" s="1" t="str">
        <f>TEXT(Table4_2[[#This Row],[Date]],"dddd")</f>
        <v>Monday</v>
      </c>
      <c r="D322" s="21">
        <v>23.8</v>
      </c>
      <c r="E322" s="21">
        <v>55</v>
      </c>
      <c r="F322" s="21">
        <v>522</v>
      </c>
      <c r="G322" s="21">
        <v>6.5</v>
      </c>
      <c r="H322">
        <v>26</v>
      </c>
      <c r="I322">
        <v>74.84</v>
      </c>
      <c r="J322">
        <v>0.55000000000000004</v>
      </c>
      <c r="K322" t="str" cm="1">
        <f t="array" ref="K322">_xlfn.IFS(Table4_2[[#This Row],[Growth Days]]&lt;=14,"Seedling",Table4_2[[#This Row],[Growth Days]]&lt;=35, "Vegetative",Table4_2[[#This Row],[Growth Days]]&lt;=50, "Maturity")</f>
        <v>Vegetative</v>
      </c>
      <c r="L322" t="str">
        <f>IF(Table4_2[[#This Row],[TDS Value (ppm)]]&lt;560, "Low", IF(Table4_2[[#This Row],[TDS Value (ppm)]]&lt;=800,"Optimal","High"))</f>
        <v>Low</v>
      </c>
    </row>
    <row r="323" spans="1:12" x14ac:dyDescent="0.25">
      <c r="A323">
        <v>53</v>
      </c>
      <c r="B323" s="1">
        <v>45173</v>
      </c>
      <c r="C323" s="1" t="str">
        <f>TEXT(Table4_2[[#This Row],[Date]],"dddd")</f>
        <v>Monday</v>
      </c>
      <c r="D323" s="21">
        <v>23</v>
      </c>
      <c r="E323" s="21">
        <v>70</v>
      </c>
      <c r="F323" s="21">
        <v>484</v>
      </c>
      <c r="G323" s="21">
        <v>6.2</v>
      </c>
      <c r="H323">
        <v>33</v>
      </c>
      <c r="I323">
        <v>73.400000000000006</v>
      </c>
      <c r="J323">
        <v>0.7</v>
      </c>
      <c r="K323" t="str" cm="1">
        <f t="array" ref="K323">_xlfn.IFS(Table4_2[[#This Row],[Growth Days]]&lt;=14,"Seedling",Table4_2[[#This Row],[Growth Days]]&lt;=35, "Vegetative",Table4_2[[#This Row],[Growth Days]]&lt;=50, "Maturity")</f>
        <v>Vegetative</v>
      </c>
      <c r="L323" t="str">
        <f>IF(Table4_2[[#This Row],[TDS Value (ppm)]]&lt;560, "Low", IF(Table4_2[[#This Row],[TDS Value (ppm)]]&lt;=800,"Optimal","High"))</f>
        <v>Low</v>
      </c>
    </row>
    <row r="324" spans="1:12" x14ac:dyDescent="0.25">
      <c r="A324">
        <v>53</v>
      </c>
      <c r="B324" s="1">
        <v>45180</v>
      </c>
      <c r="C324" s="1" t="str">
        <f>TEXT(Table4_2[[#This Row],[Date]],"dddd")</f>
        <v>Monday</v>
      </c>
      <c r="D324" s="21">
        <v>24.6</v>
      </c>
      <c r="E324" s="21">
        <v>51</v>
      </c>
      <c r="F324" s="21">
        <v>413</v>
      </c>
      <c r="G324" s="21">
        <v>6.5</v>
      </c>
      <c r="H324">
        <v>40</v>
      </c>
      <c r="I324">
        <v>76.28</v>
      </c>
      <c r="J324">
        <v>0.51</v>
      </c>
      <c r="K324" t="str" cm="1">
        <f t="array" ref="K324">_xlfn.IFS(Table4_2[[#This Row],[Growth Days]]&lt;=14,"Seedling",Table4_2[[#This Row],[Growth Days]]&lt;=35, "Vegetative",Table4_2[[#This Row],[Growth Days]]&lt;=50, "Maturity")</f>
        <v>Maturity</v>
      </c>
      <c r="L324" t="str">
        <f>IF(Table4_2[[#This Row],[TDS Value (ppm)]]&lt;560, "Low", IF(Table4_2[[#This Row],[TDS Value (ppm)]]&lt;=800,"Optimal","High"))</f>
        <v>Low</v>
      </c>
    </row>
    <row r="325" spans="1:12" x14ac:dyDescent="0.25">
      <c r="A325">
        <v>54</v>
      </c>
      <c r="B325" s="1">
        <v>45145</v>
      </c>
      <c r="C325" s="1" t="str">
        <f>TEXT(Table4_2[[#This Row],[Date]],"dddd")</f>
        <v>Monday</v>
      </c>
      <c r="D325" s="21">
        <v>24.9</v>
      </c>
      <c r="E325" s="21">
        <v>50</v>
      </c>
      <c r="F325" s="21">
        <v>645</v>
      </c>
      <c r="G325" s="21">
        <v>6.6</v>
      </c>
      <c r="H325">
        <v>5</v>
      </c>
      <c r="I325">
        <v>76.819999999999993</v>
      </c>
      <c r="J325">
        <v>0.5</v>
      </c>
      <c r="K325" t="str" cm="1">
        <f t="array" ref="K325">_xlfn.IFS(Table4_2[[#This Row],[Growth Days]]&lt;=14,"Seedling",Table4_2[[#This Row],[Growth Days]]&lt;=35, "Vegetative",Table4_2[[#This Row],[Growth Days]]&lt;=50, "Maturity")</f>
        <v>Seedling</v>
      </c>
      <c r="L325" t="str">
        <f>IF(Table4_2[[#This Row],[TDS Value (ppm)]]&lt;560, "Low", IF(Table4_2[[#This Row],[TDS Value (ppm)]]&lt;=800,"Optimal","High"))</f>
        <v>Optimal</v>
      </c>
    </row>
    <row r="326" spans="1:12" x14ac:dyDescent="0.25">
      <c r="A326">
        <v>54</v>
      </c>
      <c r="B326" s="1">
        <v>45152</v>
      </c>
      <c r="C326" s="1" t="str">
        <f>TEXT(Table4_2[[#This Row],[Date]],"dddd")</f>
        <v>Monday</v>
      </c>
      <c r="D326" s="21">
        <v>19.8</v>
      </c>
      <c r="E326" s="21">
        <v>66</v>
      </c>
      <c r="F326" s="21">
        <v>465</v>
      </c>
      <c r="G326" s="21">
        <v>6.4</v>
      </c>
      <c r="H326">
        <v>12</v>
      </c>
      <c r="I326">
        <v>67.64</v>
      </c>
      <c r="J326">
        <v>0.66</v>
      </c>
      <c r="K326" t="str" cm="1">
        <f t="array" ref="K326">_xlfn.IFS(Table4_2[[#This Row],[Growth Days]]&lt;=14,"Seedling",Table4_2[[#This Row],[Growth Days]]&lt;=35, "Vegetative",Table4_2[[#This Row],[Growth Days]]&lt;=50, "Maturity")</f>
        <v>Seedling</v>
      </c>
      <c r="L326" t="str">
        <f>IF(Table4_2[[#This Row],[TDS Value (ppm)]]&lt;560, "Low", IF(Table4_2[[#This Row],[TDS Value (ppm)]]&lt;=800,"Optimal","High"))</f>
        <v>Low</v>
      </c>
    </row>
    <row r="327" spans="1:12" x14ac:dyDescent="0.25">
      <c r="A327">
        <v>54</v>
      </c>
      <c r="B327" s="1">
        <v>45159</v>
      </c>
      <c r="C327" s="1" t="str">
        <f>TEXT(Table4_2[[#This Row],[Date]],"dddd")</f>
        <v>Monday</v>
      </c>
      <c r="D327" s="21">
        <v>18.100000000000001</v>
      </c>
      <c r="E327" s="21">
        <v>57</v>
      </c>
      <c r="F327" s="21">
        <v>690</v>
      </c>
      <c r="G327" s="21">
        <v>6.5</v>
      </c>
      <c r="H327">
        <v>19</v>
      </c>
      <c r="I327">
        <v>64.58</v>
      </c>
      <c r="J327">
        <v>0.56999999999999995</v>
      </c>
      <c r="K327" t="str" cm="1">
        <f t="array" ref="K327">_xlfn.IFS(Table4_2[[#This Row],[Growth Days]]&lt;=14,"Seedling",Table4_2[[#This Row],[Growth Days]]&lt;=35, "Vegetative",Table4_2[[#This Row],[Growth Days]]&lt;=50, "Maturity")</f>
        <v>Vegetative</v>
      </c>
      <c r="L327" t="str">
        <f>IF(Table4_2[[#This Row],[TDS Value (ppm)]]&lt;560, "Low", IF(Table4_2[[#This Row],[TDS Value (ppm)]]&lt;=800,"Optimal","High"))</f>
        <v>Optimal</v>
      </c>
    </row>
    <row r="328" spans="1:12" x14ac:dyDescent="0.25">
      <c r="A328">
        <v>54</v>
      </c>
      <c r="B328" s="1">
        <v>45166</v>
      </c>
      <c r="C328" s="1" t="str">
        <f>TEXT(Table4_2[[#This Row],[Date]],"dddd")</f>
        <v>Monday</v>
      </c>
      <c r="D328" s="21">
        <v>24.4</v>
      </c>
      <c r="E328" s="21">
        <v>54</v>
      </c>
      <c r="F328" s="21">
        <v>551</v>
      </c>
      <c r="G328" s="21">
        <v>6.5</v>
      </c>
      <c r="H328">
        <v>26</v>
      </c>
      <c r="I328">
        <v>75.92</v>
      </c>
      <c r="J328">
        <v>0.54</v>
      </c>
      <c r="K328" t="str" cm="1">
        <f t="array" ref="K328">_xlfn.IFS(Table4_2[[#This Row],[Growth Days]]&lt;=14,"Seedling",Table4_2[[#This Row],[Growth Days]]&lt;=35, "Vegetative",Table4_2[[#This Row],[Growth Days]]&lt;=50, "Maturity")</f>
        <v>Vegetative</v>
      </c>
      <c r="L328" t="str">
        <f>IF(Table4_2[[#This Row],[TDS Value (ppm)]]&lt;560, "Low", IF(Table4_2[[#This Row],[TDS Value (ppm)]]&lt;=800,"Optimal","High"))</f>
        <v>Low</v>
      </c>
    </row>
    <row r="329" spans="1:12" x14ac:dyDescent="0.25">
      <c r="A329">
        <v>54</v>
      </c>
      <c r="B329" s="1">
        <v>45173</v>
      </c>
      <c r="C329" s="1" t="str">
        <f>TEXT(Table4_2[[#This Row],[Date]],"dddd")</f>
        <v>Monday</v>
      </c>
      <c r="D329" s="21">
        <v>19.399999999999999</v>
      </c>
      <c r="E329" s="21">
        <v>77</v>
      </c>
      <c r="F329" s="21">
        <v>486</v>
      </c>
      <c r="G329" s="21">
        <v>6.3</v>
      </c>
      <c r="H329">
        <v>33</v>
      </c>
      <c r="I329">
        <v>66.92</v>
      </c>
      <c r="J329">
        <v>0.77</v>
      </c>
      <c r="K329" t="str" cm="1">
        <f t="array" ref="K329">_xlfn.IFS(Table4_2[[#This Row],[Growth Days]]&lt;=14,"Seedling",Table4_2[[#This Row],[Growth Days]]&lt;=35, "Vegetative",Table4_2[[#This Row],[Growth Days]]&lt;=50, "Maturity")</f>
        <v>Vegetative</v>
      </c>
      <c r="L329" t="str">
        <f>IF(Table4_2[[#This Row],[TDS Value (ppm)]]&lt;560, "Low", IF(Table4_2[[#This Row],[TDS Value (ppm)]]&lt;=800,"Optimal","High"))</f>
        <v>Low</v>
      </c>
    </row>
    <row r="330" spans="1:12" x14ac:dyDescent="0.25">
      <c r="A330">
        <v>54</v>
      </c>
      <c r="B330" s="1">
        <v>45180</v>
      </c>
      <c r="C330" s="1" t="str">
        <f>TEXT(Table4_2[[#This Row],[Date]],"dddd")</f>
        <v>Monday</v>
      </c>
      <c r="D330" s="21">
        <v>23.7</v>
      </c>
      <c r="E330" s="21">
        <v>51</v>
      </c>
      <c r="F330" s="21">
        <v>636</v>
      </c>
      <c r="G330" s="21">
        <v>6.7</v>
      </c>
      <c r="H330">
        <v>40</v>
      </c>
      <c r="I330">
        <v>74.66</v>
      </c>
      <c r="J330">
        <v>0.51</v>
      </c>
      <c r="K330" t="str" cm="1">
        <f t="array" ref="K330">_xlfn.IFS(Table4_2[[#This Row],[Growth Days]]&lt;=14,"Seedling",Table4_2[[#This Row],[Growth Days]]&lt;=35, "Vegetative",Table4_2[[#This Row],[Growth Days]]&lt;=50, "Maturity")</f>
        <v>Maturity</v>
      </c>
      <c r="L330" t="str">
        <f>IF(Table4_2[[#This Row],[TDS Value (ppm)]]&lt;560, "Low", IF(Table4_2[[#This Row],[TDS Value (ppm)]]&lt;=800,"Optimal","High"))</f>
        <v>Optimal</v>
      </c>
    </row>
    <row r="331" spans="1:12" x14ac:dyDescent="0.25">
      <c r="A331">
        <v>55</v>
      </c>
      <c r="B331" s="1">
        <v>45145</v>
      </c>
      <c r="C331" s="1" t="str">
        <f>TEXT(Table4_2[[#This Row],[Date]],"dddd")</f>
        <v>Monday</v>
      </c>
      <c r="D331" s="21">
        <v>19.2</v>
      </c>
      <c r="E331" s="21">
        <v>53</v>
      </c>
      <c r="F331" s="21">
        <v>565</v>
      </c>
      <c r="G331" s="21">
        <v>6.2</v>
      </c>
      <c r="H331">
        <v>5</v>
      </c>
      <c r="I331">
        <v>66.56</v>
      </c>
      <c r="J331">
        <v>0.53</v>
      </c>
      <c r="K331" t="str" cm="1">
        <f t="array" ref="K331">_xlfn.IFS(Table4_2[[#This Row],[Growth Days]]&lt;=14,"Seedling",Table4_2[[#This Row],[Growth Days]]&lt;=35, "Vegetative",Table4_2[[#This Row],[Growth Days]]&lt;=50, "Maturity")</f>
        <v>Seedling</v>
      </c>
      <c r="L331" t="str">
        <f>IF(Table4_2[[#This Row],[TDS Value (ppm)]]&lt;560, "Low", IF(Table4_2[[#This Row],[TDS Value (ppm)]]&lt;=800,"Optimal","High"))</f>
        <v>Optimal</v>
      </c>
    </row>
    <row r="332" spans="1:12" x14ac:dyDescent="0.25">
      <c r="A332">
        <v>55</v>
      </c>
      <c r="B332" s="1">
        <v>45152</v>
      </c>
      <c r="C332" s="1" t="str">
        <f>TEXT(Table4_2[[#This Row],[Date]],"dddd")</f>
        <v>Monday</v>
      </c>
      <c r="D332" s="21">
        <v>19.5</v>
      </c>
      <c r="E332" s="21">
        <v>61</v>
      </c>
      <c r="F332" s="21">
        <v>561</v>
      </c>
      <c r="G332" s="21">
        <v>6.7</v>
      </c>
      <c r="H332">
        <v>12</v>
      </c>
      <c r="I332">
        <v>67.099999999999994</v>
      </c>
      <c r="J332">
        <v>0.61</v>
      </c>
      <c r="K332" t="str" cm="1">
        <f t="array" ref="K332">_xlfn.IFS(Table4_2[[#This Row],[Growth Days]]&lt;=14,"Seedling",Table4_2[[#This Row],[Growth Days]]&lt;=35, "Vegetative",Table4_2[[#This Row],[Growth Days]]&lt;=50, "Maturity")</f>
        <v>Seedling</v>
      </c>
      <c r="L332" t="str">
        <f>IF(Table4_2[[#This Row],[TDS Value (ppm)]]&lt;560, "Low", IF(Table4_2[[#This Row],[TDS Value (ppm)]]&lt;=800,"Optimal","High"))</f>
        <v>Optimal</v>
      </c>
    </row>
    <row r="333" spans="1:12" x14ac:dyDescent="0.25">
      <c r="A333">
        <v>55</v>
      </c>
      <c r="B333" s="1">
        <v>45159</v>
      </c>
      <c r="C333" s="1" t="str">
        <f>TEXT(Table4_2[[#This Row],[Date]],"dddd")</f>
        <v>Monday</v>
      </c>
      <c r="D333" s="21">
        <v>22</v>
      </c>
      <c r="E333" s="21">
        <v>50</v>
      </c>
      <c r="F333" s="21">
        <v>625</v>
      </c>
      <c r="G333" s="21">
        <v>6.1</v>
      </c>
      <c r="H333">
        <v>19</v>
      </c>
      <c r="I333">
        <v>71.599999999999994</v>
      </c>
      <c r="J333">
        <v>0.5</v>
      </c>
      <c r="K333" t="str" cm="1">
        <f t="array" ref="K333">_xlfn.IFS(Table4_2[[#This Row],[Growth Days]]&lt;=14,"Seedling",Table4_2[[#This Row],[Growth Days]]&lt;=35, "Vegetative",Table4_2[[#This Row],[Growth Days]]&lt;=50, "Maturity")</f>
        <v>Vegetative</v>
      </c>
      <c r="L333" t="str">
        <f>IF(Table4_2[[#This Row],[TDS Value (ppm)]]&lt;560, "Low", IF(Table4_2[[#This Row],[TDS Value (ppm)]]&lt;=800,"Optimal","High"))</f>
        <v>Optimal</v>
      </c>
    </row>
    <row r="334" spans="1:12" x14ac:dyDescent="0.25">
      <c r="A334">
        <v>55</v>
      </c>
      <c r="B334" s="1">
        <v>45166</v>
      </c>
      <c r="C334" s="1" t="str">
        <f>TEXT(Table4_2[[#This Row],[Date]],"dddd")</f>
        <v>Monday</v>
      </c>
      <c r="D334" s="21">
        <v>19</v>
      </c>
      <c r="E334" s="21">
        <v>64</v>
      </c>
      <c r="F334" s="21">
        <v>474</v>
      </c>
      <c r="G334" s="21">
        <v>6.4</v>
      </c>
      <c r="H334">
        <v>26</v>
      </c>
      <c r="I334">
        <v>66.2</v>
      </c>
      <c r="J334">
        <v>0.64</v>
      </c>
      <c r="K334" t="str" cm="1">
        <f t="array" ref="K334">_xlfn.IFS(Table4_2[[#This Row],[Growth Days]]&lt;=14,"Seedling",Table4_2[[#This Row],[Growth Days]]&lt;=35, "Vegetative",Table4_2[[#This Row],[Growth Days]]&lt;=50, "Maturity")</f>
        <v>Vegetative</v>
      </c>
      <c r="L334" t="str">
        <f>IF(Table4_2[[#This Row],[TDS Value (ppm)]]&lt;560, "Low", IF(Table4_2[[#This Row],[TDS Value (ppm)]]&lt;=800,"Optimal","High"))</f>
        <v>Low</v>
      </c>
    </row>
    <row r="335" spans="1:12" x14ac:dyDescent="0.25">
      <c r="A335">
        <v>55</v>
      </c>
      <c r="B335" s="1">
        <v>45173</v>
      </c>
      <c r="C335" s="1" t="str">
        <f>TEXT(Table4_2[[#This Row],[Date]],"dddd")</f>
        <v>Monday</v>
      </c>
      <c r="D335" s="21">
        <v>19.8</v>
      </c>
      <c r="E335" s="21">
        <v>63</v>
      </c>
      <c r="F335" s="21">
        <v>795</v>
      </c>
      <c r="G335" s="21">
        <v>6.7</v>
      </c>
      <c r="H335">
        <v>33</v>
      </c>
      <c r="I335">
        <v>67.64</v>
      </c>
      <c r="J335">
        <v>0.63</v>
      </c>
      <c r="K335" t="str" cm="1">
        <f t="array" ref="K335">_xlfn.IFS(Table4_2[[#This Row],[Growth Days]]&lt;=14,"Seedling",Table4_2[[#This Row],[Growth Days]]&lt;=35, "Vegetative",Table4_2[[#This Row],[Growth Days]]&lt;=50, "Maturity")</f>
        <v>Vegetative</v>
      </c>
      <c r="L335" t="str">
        <f>IF(Table4_2[[#This Row],[TDS Value (ppm)]]&lt;560, "Low", IF(Table4_2[[#This Row],[TDS Value (ppm)]]&lt;=800,"Optimal","High"))</f>
        <v>Optimal</v>
      </c>
    </row>
    <row r="336" spans="1:12" x14ac:dyDescent="0.25">
      <c r="A336">
        <v>55</v>
      </c>
      <c r="B336" s="1">
        <v>45180</v>
      </c>
      <c r="C336" s="1" t="str">
        <f>TEXT(Table4_2[[#This Row],[Date]],"dddd")</f>
        <v>Monday</v>
      </c>
      <c r="D336" s="21">
        <v>23.2</v>
      </c>
      <c r="E336" s="21">
        <v>75</v>
      </c>
      <c r="F336" s="21">
        <v>748</v>
      </c>
      <c r="G336" s="21">
        <v>6.1</v>
      </c>
      <c r="H336">
        <v>40</v>
      </c>
      <c r="I336">
        <v>73.760000000000005</v>
      </c>
      <c r="J336">
        <v>0.75</v>
      </c>
      <c r="K336" t="str" cm="1">
        <f t="array" ref="K336">_xlfn.IFS(Table4_2[[#This Row],[Growth Days]]&lt;=14,"Seedling",Table4_2[[#This Row],[Growth Days]]&lt;=35, "Vegetative",Table4_2[[#This Row],[Growth Days]]&lt;=50, "Maturity")</f>
        <v>Maturity</v>
      </c>
      <c r="L336" t="str">
        <f>IF(Table4_2[[#This Row],[TDS Value (ppm)]]&lt;560, "Low", IF(Table4_2[[#This Row],[TDS Value (ppm)]]&lt;=800,"Optimal","High"))</f>
        <v>Optimal</v>
      </c>
    </row>
    <row r="337" spans="1:12" x14ac:dyDescent="0.25">
      <c r="A337">
        <v>55</v>
      </c>
      <c r="B337" s="1">
        <v>45187</v>
      </c>
      <c r="C337" s="1" t="str">
        <f>TEXT(Table4_2[[#This Row],[Date]],"dddd")</f>
        <v>Monday</v>
      </c>
      <c r="D337" s="21">
        <v>29.4</v>
      </c>
      <c r="E337" s="21">
        <v>55</v>
      </c>
      <c r="F337" s="21">
        <v>554</v>
      </c>
      <c r="G337" s="21">
        <v>6.6</v>
      </c>
      <c r="H337">
        <v>47</v>
      </c>
      <c r="I337">
        <v>84.92</v>
      </c>
      <c r="J337">
        <v>0.55000000000000004</v>
      </c>
      <c r="K337" t="str" cm="1">
        <f t="array" ref="K337">_xlfn.IFS(Table4_2[[#This Row],[Growth Days]]&lt;=14,"Seedling",Table4_2[[#This Row],[Growth Days]]&lt;=35, "Vegetative",Table4_2[[#This Row],[Growth Days]]&lt;=50, "Maturity")</f>
        <v>Maturity</v>
      </c>
      <c r="L337" t="str">
        <f>IF(Table4_2[[#This Row],[TDS Value (ppm)]]&lt;560, "Low", IF(Table4_2[[#This Row],[TDS Value (ppm)]]&lt;=800,"Optimal","High"))</f>
        <v>Low</v>
      </c>
    </row>
    <row r="338" spans="1:12" x14ac:dyDescent="0.25">
      <c r="A338">
        <v>56</v>
      </c>
      <c r="B338" s="1">
        <v>45145</v>
      </c>
      <c r="C338" s="1" t="str">
        <f>TEXT(Table4_2[[#This Row],[Date]],"dddd")</f>
        <v>Monday</v>
      </c>
      <c r="D338" s="21">
        <v>24.2</v>
      </c>
      <c r="E338" s="21">
        <v>54</v>
      </c>
      <c r="F338" s="21">
        <v>420</v>
      </c>
      <c r="G338" s="21">
        <v>6.8</v>
      </c>
      <c r="H338">
        <v>5</v>
      </c>
      <c r="I338">
        <v>75.56</v>
      </c>
      <c r="J338">
        <v>0.54</v>
      </c>
      <c r="K338" t="str" cm="1">
        <f t="array" ref="K338">_xlfn.IFS(Table4_2[[#This Row],[Growth Days]]&lt;=14,"Seedling",Table4_2[[#This Row],[Growth Days]]&lt;=35, "Vegetative",Table4_2[[#This Row],[Growth Days]]&lt;=50, "Maturity")</f>
        <v>Seedling</v>
      </c>
      <c r="L338" t="str">
        <f>IF(Table4_2[[#This Row],[TDS Value (ppm)]]&lt;560, "Low", IF(Table4_2[[#This Row],[TDS Value (ppm)]]&lt;=800,"Optimal","High"))</f>
        <v>Low</v>
      </c>
    </row>
    <row r="339" spans="1:12" x14ac:dyDescent="0.25">
      <c r="A339">
        <v>56</v>
      </c>
      <c r="B339" s="1">
        <v>45152</v>
      </c>
      <c r="C339" s="1" t="str">
        <f>TEXT(Table4_2[[#This Row],[Date]],"dddd")</f>
        <v>Monday</v>
      </c>
      <c r="D339" s="21">
        <v>20.9</v>
      </c>
      <c r="E339" s="21">
        <v>74</v>
      </c>
      <c r="F339" s="21">
        <v>652</v>
      </c>
      <c r="G339" s="21">
        <v>6.3</v>
      </c>
      <c r="H339">
        <v>12</v>
      </c>
      <c r="I339">
        <v>69.62</v>
      </c>
      <c r="J339">
        <v>0.74</v>
      </c>
      <c r="K339" t="str" cm="1">
        <f t="array" ref="K339">_xlfn.IFS(Table4_2[[#This Row],[Growth Days]]&lt;=14,"Seedling",Table4_2[[#This Row],[Growth Days]]&lt;=35, "Vegetative",Table4_2[[#This Row],[Growth Days]]&lt;=50, "Maturity")</f>
        <v>Seedling</v>
      </c>
      <c r="L339" t="str">
        <f>IF(Table4_2[[#This Row],[TDS Value (ppm)]]&lt;560, "Low", IF(Table4_2[[#This Row],[TDS Value (ppm)]]&lt;=800,"Optimal","High"))</f>
        <v>Optimal</v>
      </c>
    </row>
    <row r="340" spans="1:12" x14ac:dyDescent="0.25">
      <c r="A340">
        <v>56</v>
      </c>
      <c r="B340" s="1">
        <v>45159</v>
      </c>
      <c r="C340" s="1" t="str">
        <f>TEXT(Table4_2[[#This Row],[Date]],"dddd")</f>
        <v>Monday</v>
      </c>
      <c r="D340" s="21">
        <v>21.9</v>
      </c>
      <c r="E340" s="21">
        <v>66</v>
      </c>
      <c r="F340" s="21">
        <v>701</v>
      </c>
      <c r="G340" s="21">
        <v>6.4</v>
      </c>
      <c r="H340">
        <v>19</v>
      </c>
      <c r="I340">
        <v>71.42</v>
      </c>
      <c r="J340">
        <v>0.66</v>
      </c>
      <c r="K340" t="str" cm="1">
        <f t="array" ref="K340">_xlfn.IFS(Table4_2[[#This Row],[Growth Days]]&lt;=14,"Seedling",Table4_2[[#This Row],[Growth Days]]&lt;=35, "Vegetative",Table4_2[[#This Row],[Growth Days]]&lt;=50, "Maturity")</f>
        <v>Vegetative</v>
      </c>
      <c r="L340" t="str">
        <f>IF(Table4_2[[#This Row],[TDS Value (ppm)]]&lt;560, "Low", IF(Table4_2[[#This Row],[TDS Value (ppm)]]&lt;=800,"Optimal","High"))</f>
        <v>Optimal</v>
      </c>
    </row>
    <row r="341" spans="1:12" x14ac:dyDescent="0.25">
      <c r="A341">
        <v>56</v>
      </c>
      <c r="B341" s="1">
        <v>45166</v>
      </c>
      <c r="C341" s="1" t="str">
        <f>TEXT(Table4_2[[#This Row],[Date]],"dddd")</f>
        <v>Monday</v>
      </c>
      <c r="D341" s="21">
        <v>18.100000000000001</v>
      </c>
      <c r="E341" s="21">
        <v>58</v>
      </c>
      <c r="F341" s="21">
        <v>695</v>
      </c>
      <c r="G341" s="21">
        <v>6</v>
      </c>
      <c r="H341">
        <v>26</v>
      </c>
      <c r="I341">
        <v>64.58</v>
      </c>
      <c r="J341">
        <v>0.57999999999999996</v>
      </c>
      <c r="K341" t="str" cm="1">
        <f t="array" ref="K341">_xlfn.IFS(Table4_2[[#This Row],[Growth Days]]&lt;=14,"Seedling",Table4_2[[#This Row],[Growth Days]]&lt;=35, "Vegetative",Table4_2[[#This Row],[Growth Days]]&lt;=50, "Maturity")</f>
        <v>Vegetative</v>
      </c>
      <c r="L341" t="str">
        <f>IF(Table4_2[[#This Row],[TDS Value (ppm)]]&lt;560, "Low", IF(Table4_2[[#This Row],[TDS Value (ppm)]]&lt;=800,"Optimal","High"))</f>
        <v>Optimal</v>
      </c>
    </row>
    <row r="342" spans="1:12" x14ac:dyDescent="0.25">
      <c r="A342">
        <v>56</v>
      </c>
      <c r="B342" s="1">
        <v>45173</v>
      </c>
      <c r="C342" s="1" t="str">
        <f>TEXT(Table4_2[[#This Row],[Date]],"dddd")</f>
        <v>Monday</v>
      </c>
      <c r="D342" s="21">
        <v>22.8</v>
      </c>
      <c r="E342" s="21">
        <v>68</v>
      </c>
      <c r="F342" s="21">
        <v>460</v>
      </c>
      <c r="G342" s="21">
        <v>6.6</v>
      </c>
      <c r="H342">
        <v>33</v>
      </c>
      <c r="I342">
        <v>73.040000000000006</v>
      </c>
      <c r="J342">
        <v>0.68</v>
      </c>
      <c r="K342" t="str" cm="1">
        <f t="array" ref="K342">_xlfn.IFS(Table4_2[[#This Row],[Growth Days]]&lt;=14,"Seedling",Table4_2[[#This Row],[Growth Days]]&lt;=35, "Vegetative",Table4_2[[#This Row],[Growth Days]]&lt;=50, "Maturity")</f>
        <v>Vegetative</v>
      </c>
      <c r="L342" t="str">
        <f>IF(Table4_2[[#This Row],[TDS Value (ppm)]]&lt;560, "Low", IF(Table4_2[[#This Row],[TDS Value (ppm)]]&lt;=800,"Optimal","High"))</f>
        <v>Low</v>
      </c>
    </row>
    <row r="343" spans="1:12" x14ac:dyDescent="0.25">
      <c r="A343">
        <v>56</v>
      </c>
      <c r="B343" s="1">
        <v>45180</v>
      </c>
      <c r="C343" s="1" t="str">
        <f>TEXT(Table4_2[[#This Row],[Date]],"dddd")</f>
        <v>Monday</v>
      </c>
      <c r="D343" s="21">
        <v>23.6</v>
      </c>
      <c r="E343" s="21">
        <v>52</v>
      </c>
      <c r="F343" s="21">
        <v>693</v>
      </c>
      <c r="G343" s="21">
        <v>6.5</v>
      </c>
      <c r="H343">
        <v>40</v>
      </c>
      <c r="I343">
        <v>74.48</v>
      </c>
      <c r="J343">
        <v>0.52</v>
      </c>
      <c r="K343" t="str" cm="1">
        <f t="array" ref="K343">_xlfn.IFS(Table4_2[[#This Row],[Growth Days]]&lt;=14,"Seedling",Table4_2[[#This Row],[Growth Days]]&lt;=35, "Vegetative",Table4_2[[#This Row],[Growth Days]]&lt;=50, "Maturity")</f>
        <v>Maturity</v>
      </c>
      <c r="L343" t="str">
        <f>IF(Table4_2[[#This Row],[TDS Value (ppm)]]&lt;560, "Low", IF(Table4_2[[#This Row],[TDS Value (ppm)]]&lt;=800,"Optimal","High"))</f>
        <v>Optimal</v>
      </c>
    </row>
    <row r="344" spans="1:12" x14ac:dyDescent="0.25">
      <c r="A344">
        <v>57</v>
      </c>
      <c r="B344" s="1">
        <v>45145</v>
      </c>
      <c r="C344" s="1" t="str">
        <f>TEXT(Table4_2[[#This Row],[Date]],"dddd")</f>
        <v>Monday</v>
      </c>
      <c r="D344" s="21">
        <v>19.8</v>
      </c>
      <c r="E344" s="21">
        <v>55</v>
      </c>
      <c r="F344" s="21">
        <v>400</v>
      </c>
      <c r="G344" s="21">
        <v>6.5</v>
      </c>
      <c r="H344">
        <v>5</v>
      </c>
      <c r="I344">
        <v>67.64</v>
      </c>
      <c r="J344">
        <v>0.55000000000000004</v>
      </c>
      <c r="K344" t="str" cm="1">
        <f t="array" ref="K344">_xlfn.IFS(Table4_2[[#This Row],[Growth Days]]&lt;=14,"Seedling",Table4_2[[#This Row],[Growth Days]]&lt;=35, "Vegetative",Table4_2[[#This Row],[Growth Days]]&lt;=50, "Maturity")</f>
        <v>Seedling</v>
      </c>
      <c r="L344" t="str">
        <f>IF(Table4_2[[#This Row],[TDS Value (ppm)]]&lt;560, "Low", IF(Table4_2[[#This Row],[TDS Value (ppm)]]&lt;=800,"Optimal","High"))</f>
        <v>Low</v>
      </c>
    </row>
    <row r="345" spans="1:12" x14ac:dyDescent="0.25">
      <c r="A345">
        <v>57</v>
      </c>
      <c r="B345" s="1">
        <v>45152</v>
      </c>
      <c r="C345" s="1" t="str">
        <f>TEXT(Table4_2[[#This Row],[Date]],"dddd")</f>
        <v>Monday</v>
      </c>
      <c r="D345" s="21">
        <v>23.1</v>
      </c>
      <c r="E345" s="21">
        <v>50</v>
      </c>
      <c r="F345" s="21">
        <v>638</v>
      </c>
      <c r="G345" s="21">
        <v>6</v>
      </c>
      <c r="H345">
        <v>12</v>
      </c>
      <c r="I345">
        <v>73.58</v>
      </c>
      <c r="J345">
        <v>0.5</v>
      </c>
      <c r="K345" t="str" cm="1">
        <f t="array" ref="K345">_xlfn.IFS(Table4_2[[#This Row],[Growth Days]]&lt;=14,"Seedling",Table4_2[[#This Row],[Growth Days]]&lt;=35, "Vegetative",Table4_2[[#This Row],[Growth Days]]&lt;=50, "Maturity")</f>
        <v>Seedling</v>
      </c>
      <c r="L345" t="str">
        <f>IF(Table4_2[[#This Row],[TDS Value (ppm)]]&lt;560, "Low", IF(Table4_2[[#This Row],[TDS Value (ppm)]]&lt;=800,"Optimal","High"))</f>
        <v>Optimal</v>
      </c>
    </row>
    <row r="346" spans="1:12" x14ac:dyDescent="0.25">
      <c r="A346">
        <v>57</v>
      </c>
      <c r="B346" s="1">
        <v>45159</v>
      </c>
      <c r="C346" s="1" t="str">
        <f>TEXT(Table4_2[[#This Row],[Date]],"dddd")</f>
        <v>Monday</v>
      </c>
      <c r="D346" s="21">
        <v>20.3</v>
      </c>
      <c r="E346" s="21">
        <v>79</v>
      </c>
      <c r="F346" s="21">
        <v>578</v>
      </c>
      <c r="G346" s="21">
        <v>6.3</v>
      </c>
      <c r="H346">
        <v>19</v>
      </c>
      <c r="I346">
        <v>68.540000000000006</v>
      </c>
      <c r="J346">
        <v>0.79</v>
      </c>
      <c r="K346" t="str" cm="1">
        <f t="array" ref="K346">_xlfn.IFS(Table4_2[[#This Row],[Growth Days]]&lt;=14,"Seedling",Table4_2[[#This Row],[Growth Days]]&lt;=35, "Vegetative",Table4_2[[#This Row],[Growth Days]]&lt;=50, "Maturity")</f>
        <v>Vegetative</v>
      </c>
      <c r="L346" t="str">
        <f>IF(Table4_2[[#This Row],[TDS Value (ppm)]]&lt;560, "Low", IF(Table4_2[[#This Row],[TDS Value (ppm)]]&lt;=800,"Optimal","High"))</f>
        <v>Optimal</v>
      </c>
    </row>
    <row r="347" spans="1:12" x14ac:dyDescent="0.25">
      <c r="A347">
        <v>57</v>
      </c>
      <c r="B347" s="1">
        <v>45166</v>
      </c>
      <c r="C347" s="1" t="str">
        <f>TEXT(Table4_2[[#This Row],[Date]],"dddd")</f>
        <v>Monday</v>
      </c>
      <c r="D347" s="21">
        <v>18.8</v>
      </c>
      <c r="E347" s="21">
        <v>55</v>
      </c>
      <c r="F347" s="21">
        <v>542</v>
      </c>
      <c r="G347" s="21">
        <v>6.2</v>
      </c>
      <c r="H347">
        <v>26</v>
      </c>
      <c r="I347">
        <v>65.84</v>
      </c>
      <c r="J347">
        <v>0.55000000000000004</v>
      </c>
      <c r="K347" t="str" cm="1">
        <f t="array" ref="K347">_xlfn.IFS(Table4_2[[#This Row],[Growth Days]]&lt;=14,"Seedling",Table4_2[[#This Row],[Growth Days]]&lt;=35, "Vegetative",Table4_2[[#This Row],[Growth Days]]&lt;=50, "Maturity")</f>
        <v>Vegetative</v>
      </c>
      <c r="L347" t="str">
        <f>IF(Table4_2[[#This Row],[TDS Value (ppm)]]&lt;560, "Low", IF(Table4_2[[#This Row],[TDS Value (ppm)]]&lt;=800,"Optimal","High"))</f>
        <v>Low</v>
      </c>
    </row>
    <row r="348" spans="1:12" x14ac:dyDescent="0.25">
      <c r="A348">
        <v>57</v>
      </c>
      <c r="B348" s="1">
        <v>45173</v>
      </c>
      <c r="C348" s="1" t="str">
        <f>TEXT(Table4_2[[#This Row],[Date]],"dddd")</f>
        <v>Monday</v>
      </c>
      <c r="D348" s="21">
        <v>23.9</v>
      </c>
      <c r="E348" s="21">
        <v>65</v>
      </c>
      <c r="F348" s="21">
        <v>473</v>
      </c>
      <c r="G348" s="21">
        <v>6</v>
      </c>
      <c r="H348">
        <v>33</v>
      </c>
      <c r="I348">
        <v>75.02</v>
      </c>
      <c r="J348">
        <v>0.65</v>
      </c>
      <c r="K348" t="str" cm="1">
        <f t="array" ref="K348">_xlfn.IFS(Table4_2[[#This Row],[Growth Days]]&lt;=14,"Seedling",Table4_2[[#This Row],[Growth Days]]&lt;=35, "Vegetative",Table4_2[[#This Row],[Growth Days]]&lt;=50, "Maturity")</f>
        <v>Vegetative</v>
      </c>
      <c r="L348" t="str">
        <f>IF(Table4_2[[#This Row],[TDS Value (ppm)]]&lt;560, "Low", IF(Table4_2[[#This Row],[TDS Value (ppm)]]&lt;=800,"Optimal","High"))</f>
        <v>Low</v>
      </c>
    </row>
    <row r="349" spans="1:12" x14ac:dyDescent="0.25">
      <c r="A349">
        <v>57</v>
      </c>
      <c r="B349" s="1">
        <v>45180</v>
      </c>
      <c r="C349" s="1" t="str">
        <f>TEXT(Table4_2[[#This Row],[Date]],"dddd")</f>
        <v>Monday</v>
      </c>
      <c r="D349" s="21">
        <v>22.4</v>
      </c>
      <c r="E349" s="21">
        <v>59</v>
      </c>
      <c r="F349" s="21">
        <v>683</v>
      </c>
      <c r="G349" s="21">
        <v>6.8</v>
      </c>
      <c r="H349">
        <v>40</v>
      </c>
      <c r="I349">
        <v>72.319999999999993</v>
      </c>
      <c r="J349">
        <v>0.59</v>
      </c>
      <c r="K349" t="str" cm="1">
        <f t="array" ref="K349">_xlfn.IFS(Table4_2[[#This Row],[Growth Days]]&lt;=14,"Seedling",Table4_2[[#This Row],[Growth Days]]&lt;=35, "Vegetative",Table4_2[[#This Row],[Growth Days]]&lt;=50, "Maturity")</f>
        <v>Maturity</v>
      </c>
      <c r="L349" t="str">
        <f>IF(Table4_2[[#This Row],[TDS Value (ppm)]]&lt;560, "Low", IF(Table4_2[[#This Row],[TDS Value (ppm)]]&lt;=800,"Optimal","High"))</f>
        <v>Optimal</v>
      </c>
    </row>
    <row r="350" spans="1:12" x14ac:dyDescent="0.25">
      <c r="A350">
        <v>58</v>
      </c>
      <c r="B350" s="1">
        <v>45145</v>
      </c>
      <c r="C350" s="1" t="str">
        <f>TEXT(Table4_2[[#This Row],[Date]],"dddd")</f>
        <v>Monday</v>
      </c>
      <c r="D350" s="21">
        <v>22.3</v>
      </c>
      <c r="E350" s="21">
        <v>72</v>
      </c>
      <c r="F350" s="21">
        <v>519</v>
      </c>
      <c r="G350" s="21">
        <v>6.1</v>
      </c>
      <c r="H350">
        <v>5</v>
      </c>
      <c r="I350">
        <v>72.14</v>
      </c>
      <c r="J350">
        <v>0.72</v>
      </c>
      <c r="K350" t="str" cm="1">
        <f t="array" ref="K350">_xlfn.IFS(Table4_2[[#This Row],[Growth Days]]&lt;=14,"Seedling",Table4_2[[#This Row],[Growth Days]]&lt;=35, "Vegetative",Table4_2[[#This Row],[Growth Days]]&lt;=50, "Maturity")</f>
        <v>Seedling</v>
      </c>
      <c r="L350" t="str">
        <f>IF(Table4_2[[#This Row],[TDS Value (ppm)]]&lt;560, "Low", IF(Table4_2[[#This Row],[TDS Value (ppm)]]&lt;=800,"Optimal","High"))</f>
        <v>Low</v>
      </c>
    </row>
    <row r="351" spans="1:12" x14ac:dyDescent="0.25">
      <c r="A351">
        <v>58</v>
      </c>
      <c r="B351" s="1">
        <v>45152</v>
      </c>
      <c r="C351" s="1" t="str">
        <f>TEXT(Table4_2[[#This Row],[Date]],"dddd")</f>
        <v>Monday</v>
      </c>
      <c r="D351" s="21">
        <v>18.7</v>
      </c>
      <c r="E351" s="21">
        <v>77</v>
      </c>
      <c r="F351" s="21">
        <v>550</v>
      </c>
      <c r="G351" s="21">
        <v>6.1</v>
      </c>
      <c r="H351">
        <v>12</v>
      </c>
      <c r="I351">
        <v>65.66</v>
      </c>
      <c r="J351">
        <v>0.77</v>
      </c>
      <c r="K351" t="str" cm="1">
        <f t="array" ref="K351">_xlfn.IFS(Table4_2[[#This Row],[Growth Days]]&lt;=14,"Seedling",Table4_2[[#This Row],[Growth Days]]&lt;=35, "Vegetative",Table4_2[[#This Row],[Growth Days]]&lt;=50, "Maturity")</f>
        <v>Seedling</v>
      </c>
      <c r="L351" t="str">
        <f>IF(Table4_2[[#This Row],[TDS Value (ppm)]]&lt;560, "Low", IF(Table4_2[[#This Row],[TDS Value (ppm)]]&lt;=800,"Optimal","High"))</f>
        <v>Low</v>
      </c>
    </row>
    <row r="352" spans="1:12" x14ac:dyDescent="0.25">
      <c r="A352">
        <v>58</v>
      </c>
      <c r="B352" s="1">
        <v>45159</v>
      </c>
      <c r="C352" s="1" t="str">
        <f>TEXT(Table4_2[[#This Row],[Date]],"dddd")</f>
        <v>Monday</v>
      </c>
      <c r="D352" s="21">
        <v>24.2</v>
      </c>
      <c r="E352" s="21">
        <v>71</v>
      </c>
      <c r="F352" s="21">
        <v>438</v>
      </c>
      <c r="G352" s="21">
        <v>6.6</v>
      </c>
      <c r="H352">
        <v>19</v>
      </c>
      <c r="I352">
        <v>75.56</v>
      </c>
      <c r="J352">
        <v>0.71</v>
      </c>
      <c r="K352" t="str" cm="1">
        <f t="array" ref="K352">_xlfn.IFS(Table4_2[[#This Row],[Growth Days]]&lt;=14,"Seedling",Table4_2[[#This Row],[Growth Days]]&lt;=35, "Vegetative",Table4_2[[#This Row],[Growth Days]]&lt;=50, "Maturity")</f>
        <v>Vegetative</v>
      </c>
      <c r="L352" t="str">
        <f>IF(Table4_2[[#This Row],[TDS Value (ppm)]]&lt;560, "Low", IF(Table4_2[[#This Row],[TDS Value (ppm)]]&lt;=800,"Optimal","High"))</f>
        <v>Low</v>
      </c>
    </row>
    <row r="353" spans="1:12" x14ac:dyDescent="0.25">
      <c r="A353">
        <v>58</v>
      </c>
      <c r="B353" s="1">
        <v>45166</v>
      </c>
      <c r="C353" s="1" t="str">
        <f>TEXT(Table4_2[[#This Row],[Date]],"dddd")</f>
        <v>Monday</v>
      </c>
      <c r="D353" s="21">
        <v>19.3</v>
      </c>
      <c r="E353" s="21">
        <v>55</v>
      </c>
      <c r="F353" s="21">
        <v>642</v>
      </c>
      <c r="G353" s="21">
        <v>6.8</v>
      </c>
      <c r="H353">
        <v>26</v>
      </c>
      <c r="I353">
        <v>66.739999999999995</v>
      </c>
      <c r="J353">
        <v>0.55000000000000004</v>
      </c>
      <c r="K353" t="str" cm="1">
        <f t="array" ref="K353">_xlfn.IFS(Table4_2[[#This Row],[Growth Days]]&lt;=14,"Seedling",Table4_2[[#This Row],[Growth Days]]&lt;=35, "Vegetative",Table4_2[[#This Row],[Growth Days]]&lt;=50, "Maturity")</f>
        <v>Vegetative</v>
      </c>
      <c r="L353" t="str">
        <f>IF(Table4_2[[#This Row],[TDS Value (ppm)]]&lt;560, "Low", IF(Table4_2[[#This Row],[TDS Value (ppm)]]&lt;=800,"Optimal","High"))</f>
        <v>Optimal</v>
      </c>
    </row>
    <row r="354" spans="1:12" x14ac:dyDescent="0.25">
      <c r="A354">
        <v>58</v>
      </c>
      <c r="B354" s="1">
        <v>45173</v>
      </c>
      <c r="C354" s="1" t="str">
        <f>TEXT(Table4_2[[#This Row],[Date]],"dddd")</f>
        <v>Monday</v>
      </c>
      <c r="D354" s="21">
        <v>18.399999999999999</v>
      </c>
      <c r="E354" s="21">
        <v>65</v>
      </c>
      <c r="F354" s="21">
        <v>730</v>
      </c>
      <c r="G354" s="21">
        <v>6.2</v>
      </c>
      <c r="H354">
        <v>33</v>
      </c>
      <c r="I354">
        <v>65.12</v>
      </c>
      <c r="J354">
        <v>0.65</v>
      </c>
      <c r="K354" t="str" cm="1">
        <f t="array" ref="K354">_xlfn.IFS(Table4_2[[#This Row],[Growth Days]]&lt;=14,"Seedling",Table4_2[[#This Row],[Growth Days]]&lt;=35, "Vegetative",Table4_2[[#This Row],[Growth Days]]&lt;=50, "Maturity")</f>
        <v>Vegetative</v>
      </c>
      <c r="L354" t="str">
        <f>IF(Table4_2[[#This Row],[TDS Value (ppm)]]&lt;560, "Low", IF(Table4_2[[#This Row],[TDS Value (ppm)]]&lt;=800,"Optimal","High"))</f>
        <v>Optimal</v>
      </c>
    </row>
    <row r="355" spans="1:12" x14ac:dyDescent="0.25">
      <c r="A355">
        <v>58</v>
      </c>
      <c r="B355" s="1">
        <v>45180</v>
      </c>
      <c r="C355" s="1" t="str">
        <f>TEXT(Table4_2[[#This Row],[Date]],"dddd")</f>
        <v>Monday</v>
      </c>
      <c r="D355" s="21">
        <v>21.7</v>
      </c>
      <c r="E355" s="21">
        <v>51</v>
      </c>
      <c r="F355" s="21">
        <v>720</v>
      </c>
      <c r="G355" s="21">
        <v>6.6</v>
      </c>
      <c r="H355">
        <v>40</v>
      </c>
      <c r="I355">
        <v>71.06</v>
      </c>
      <c r="J355">
        <v>0.51</v>
      </c>
      <c r="K355" t="str" cm="1">
        <f t="array" ref="K355">_xlfn.IFS(Table4_2[[#This Row],[Growth Days]]&lt;=14,"Seedling",Table4_2[[#This Row],[Growth Days]]&lt;=35, "Vegetative",Table4_2[[#This Row],[Growth Days]]&lt;=50, "Maturity")</f>
        <v>Maturity</v>
      </c>
      <c r="L355" t="str">
        <f>IF(Table4_2[[#This Row],[TDS Value (ppm)]]&lt;560, "Low", IF(Table4_2[[#This Row],[TDS Value (ppm)]]&lt;=800,"Optimal","High"))</f>
        <v>Optimal</v>
      </c>
    </row>
    <row r="356" spans="1:12" x14ac:dyDescent="0.25">
      <c r="A356">
        <v>59</v>
      </c>
      <c r="B356" s="1">
        <v>45145</v>
      </c>
      <c r="C356" s="1" t="str">
        <f>TEXT(Table4_2[[#This Row],[Date]],"dddd")</f>
        <v>Monday</v>
      </c>
      <c r="D356" s="21">
        <v>24.5</v>
      </c>
      <c r="E356" s="21">
        <v>74</v>
      </c>
      <c r="F356" s="21">
        <v>756</v>
      </c>
      <c r="G356" s="21">
        <v>6.1</v>
      </c>
      <c r="H356">
        <v>5</v>
      </c>
      <c r="I356">
        <v>76.099999999999994</v>
      </c>
      <c r="J356">
        <v>0.74</v>
      </c>
      <c r="K356" t="str" cm="1">
        <f t="array" ref="K356">_xlfn.IFS(Table4_2[[#This Row],[Growth Days]]&lt;=14,"Seedling",Table4_2[[#This Row],[Growth Days]]&lt;=35, "Vegetative",Table4_2[[#This Row],[Growth Days]]&lt;=50, "Maturity")</f>
        <v>Seedling</v>
      </c>
      <c r="L356" t="str">
        <f>IF(Table4_2[[#This Row],[TDS Value (ppm)]]&lt;560, "Low", IF(Table4_2[[#This Row],[TDS Value (ppm)]]&lt;=800,"Optimal","High"))</f>
        <v>Optimal</v>
      </c>
    </row>
    <row r="357" spans="1:12" x14ac:dyDescent="0.25">
      <c r="A357">
        <v>59</v>
      </c>
      <c r="B357" s="1">
        <v>45152</v>
      </c>
      <c r="C357" s="1" t="str">
        <f>TEXT(Table4_2[[#This Row],[Date]],"dddd")</f>
        <v>Monday</v>
      </c>
      <c r="D357" s="21">
        <v>24.7</v>
      </c>
      <c r="E357" s="21">
        <v>71</v>
      </c>
      <c r="F357" s="21">
        <v>473</v>
      </c>
      <c r="G357" s="21">
        <v>6.3</v>
      </c>
      <c r="H357">
        <v>12</v>
      </c>
      <c r="I357">
        <v>76.459999999999994</v>
      </c>
      <c r="J357">
        <v>0.71</v>
      </c>
      <c r="K357" t="str" cm="1">
        <f t="array" ref="K357">_xlfn.IFS(Table4_2[[#This Row],[Growth Days]]&lt;=14,"Seedling",Table4_2[[#This Row],[Growth Days]]&lt;=35, "Vegetative",Table4_2[[#This Row],[Growth Days]]&lt;=50, "Maturity")</f>
        <v>Seedling</v>
      </c>
      <c r="L357" t="str">
        <f>IF(Table4_2[[#This Row],[TDS Value (ppm)]]&lt;560, "Low", IF(Table4_2[[#This Row],[TDS Value (ppm)]]&lt;=800,"Optimal","High"))</f>
        <v>Low</v>
      </c>
    </row>
    <row r="358" spans="1:12" x14ac:dyDescent="0.25">
      <c r="A358">
        <v>59</v>
      </c>
      <c r="B358" s="1">
        <v>45159</v>
      </c>
      <c r="C358" s="1" t="str">
        <f>TEXT(Table4_2[[#This Row],[Date]],"dddd")</f>
        <v>Monday</v>
      </c>
      <c r="D358" s="21">
        <v>20.9</v>
      </c>
      <c r="E358" s="21">
        <v>55</v>
      </c>
      <c r="F358" s="21">
        <v>422</v>
      </c>
      <c r="G358" s="21">
        <v>6.3</v>
      </c>
      <c r="H358">
        <v>19</v>
      </c>
      <c r="I358">
        <v>69.62</v>
      </c>
      <c r="J358">
        <v>0.55000000000000004</v>
      </c>
      <c r="K358" t="str" cm="1">
        <f t="array" ref="K358">_xlfn.IFS(Table4_2[[#This Row],[Growth Days]]&lt;=14,"Seedling",Table4_2[[#This Row],[Growth Days]]&lt;=35, "Vegetative",Table4_2[[#This Row],[Growth Days]]&lt;=50, "Maturity")</f>
        <v>Vegetative</v>
      </c>
      <c r="L358" t="str">
        <f>IF(Table4_2[[#This Row],[TDS Value (ppm)]]&lt;560, "Low", IF(Table4_2[[#This Row],[TDS Value (ppm)]]&lt;=800,"Optimal","High"))</f>
        <v>Low</v>
      </c>
    </row>
    <row r="359" spans="1:12" x14ac:dyDescent="0.25">
      <c r="A359">
        <v>59</v>
      </c>
      <c r="B359" s="1">
        <v>45166</v>
      </c>
      <c r="C359" s="1" t="str">
        <f>TEXT(Table4_2[[#This Row],[Date]],"dddd")</f>
        <v>Monday</v>
      </c>
      <c r="D359" s="21">
        <v>19.600000000000001</v>
      </c>
      <c r="E359" s="21">
        <v>73</v>
      </c>
      <c r="F359" s="21">
        <v>403</v>
      </c>
      <c r="G359" s="21">
        <v>6.2</v>
      </c>
      <c r="H359">
        <v>26</v>
      </c>
      <c r="I359">
        <v>67.28</v>
      </c>
      <c r="J359">
        <v>0.73</v>
      </c>
      <c r="K359" t="str" cm="1">
        <f t="array" ref="K359">_xlfn.IFS(Table4_2[[#This Row],[Growth Days]]&lt;=14,"Seedling",Table4_2[[#This Row],[Growth Days]]&lt;=35, "Vegetative",Table4_2[[#This Row],[Growth Days]]&lt;=50, "Maturity")</f>
        <v>Vegetative</v>
      </c>
      <c r="L359" t="str">
        <f>IF(Table4_2[[#This Row],[TDS Value (ppm)]]&lt;560, "Low", IF(Table4_2[[#This Row],[TDS Value (ppm)]]&lt;=800,"Optimal","High"))</f>
        <v>Low</v>
      </c>
    </row>
    <row r="360" spans="1:12" x14ac:dyDescent="0.25">
      <c r="A360">
        <v>59</v>
      </c>
      <c r="B360" s="1">
        <v>45173</v>
      </c>
      <c r="C360" s="1" t="str">
        <f>TEXT(Table4_2[[#This Row],[Date]],"dddd")</f>
        <v>Monday</v>
      </c>
      <c r="D360" s="21">
        <v>22</v>
      </c>
      <c r="E360" s="21">
        <v>69</v>
      </c>
      <c r="F360" s="21">
        <v>543</v>
      </c>
      <c r="G360" s="21">
        <v>6.1</v>
      </c>
      <c r="H360">
        <v>33</v>
      </c>
      <c r="I360">
        <v>71.599999999999994</v>
      </c>
      <c r="J360">
        <v>0.69</v>
      </c>
      <c r="K360" t="str" cm="1">
        <f t="array" ref="K360">_xlfn.IFS(Table4_2[[#This Row],[Growth Days]]&lt;=14,"Seedling",Table4_2[[#This Row],[Growth Days]]&lt;=35, "Vegetative",Table4_2[[#This Row],[Growth Days]]&lt;=50, "Maturity")</f>
        <v>Vegetative</v>
      </c>
      <c r="L360" t="str">
        <f>IF(Table4_2[[#This Row],[TDS Value (ppm)]]&lt;560, "Low", IF(Table4_2[[#This Row],[TDS Value (ppm)]]&lt;=800,"Optimal","High"))</f>
        <v>Low</v>
      </c>
    </row>
    <row r="361" spans="1:12" x14ac:dyDescent="0.25">
      <c r="A361">
        <v>59</v>
      </c>
      <c r="B361" s="1">
        <v>45180</v>
      </c>
      <c r="C361" s="1" t="str">
        <f>TEXT(Table4_2[[#This Row],[Date]],"dddd")</f>
        <v>Monday</v>
      </c>
      <c r="D361" s="21">
        <v>24.4</v>
      </c>
      <c r="E361" s="21">
        <v>68</v>
      </c>
      <c r="F361" s="21">
        <v>520</v>
      </c>
      <c r="G361" s="21">
        <v>6.5</v>
      </c>
      <c r="H361">
        <v>40</v>
      </c>
      <c r="I361">
        <v>75.92</v>
      </c>
      <c r="J361">
        <v>0.68</v>
      </c>
      <c r="K361" t="str" cm="1">
        <f t="array" ref="K361">_xlfn.IFS(Table4_2[[#This Row],[Growth Days]]&lt;=14,"Seedling",Table4_2[[#This Row],[Growth Days]]&lt;=35, "Vegetative",Table4_2[[#This Row],[Growth Days]]&lt;=50, "Maturity")</f>
        <v>Maturity</v>
      </c>
      <c r="L361" t="str">
        <f>IF(Table4_2[[#This Row],[TDS Value (ppm)]]&lt;560, "Low", IF(Table4_2[[#This Row],[TDS Value (ppm)]]&lt;=800,"Optimal","High"))</f>
        <v>Low</v>
      </c>
    </row>
    <row r="362" spans="1:12" x14ac:dyDescent="0.25">
      <c r="A362">
        <v>60</v>
      </c>
      <c r="B362" s="1">
        <v>45145</v>
      </c>
      <c r="C362" s="1" t="str">
        <f>TEXT(Table4_2[[#This Row],[Date]],"dddd")</f>
        <v>Monday</v>
      </c>
      <c r="D362" s="21">
        <v>20.100000000000001</v>
      </c>
      <c r="E362" s="21">
        <v>77</v>
      </c>
      <c r="F362" s="21">
        <v>761</v>
      </c>
      <c r="G362" s="21">
        <v>6.3</v>
      </c>
      <c r="H362">
        <v>5</v>
      </c>
      <c r="I362">
        <v>68.180000000000007</v>
      </c>
      <c r="J362">
        <v>0.77</v>
      </c>
      <c r="K362" t="str" cm="1">
        <f t="array" ref="K362">_xlfn.IFS(Table4_2[[#This Row],[Growth Days]]&lt;=14,"Seedling",Table4_2[[#This Row],[Growth Days]]&lt;=35, "Vegetative",Table4_2[[#This Row],[Growth Days]]&lt;=50, "Maturity")</f>
        <v>Seedling</v>
      </c>
      <c r="L362" t="str">
        <f>IF(Table4_2[[#This Row],[TDS Value (ppm)]]&lt;560, "Low", IF(Table4_2[[#This Row],[TDS Value (ppm)]]&lt;=800,"Optimal","High"))</f>
        <v>Optimal</v>
      </c>
    </row>
    <row r="363" spans="1:12" x14ac:dyDescent="0.25">
      <c r="A363">
        <v>60</v>
      </c>
      <c r="B363" s="1">
        <v>45152</v>
      </c>
      <c r="C363" s="1" t="str">
        <f>TEXT(Table4_2[[#This Row],[Date]],"dddd")</f>
        <v>Monday</v>
      </c>
      <c r="D363" s="21">
        <v>21.2</v>
      </c>
      <c r="E363" s="21">
        <v>57</v>
      </c>
      <c r="F363" s="21">
        <v>754</v>
      </c>
      <c r="G363" s="21">
        <v>6.1</v>
      </c>
      <c r="H363">
        <v>12</v>
      </c>
      <c r="I363">
        <v>70.16</v>
      </c>
      <c r="J363">
        <v>0.56999999999999995</v>
      </c>
      <c r="K363" t="str" cm="1">
        <f t="array" ref="K363">_xlfn.IFS(Table4_2[[#This Row],[Growth Days]]&lt;=14,"Seedling",Table4_2[[#This Row],[Growth Days]]&lt;=35, "Vegetative",Table4_2[[#This Row],[Growth Days]]&lt;=50, "Maturity")</f>
        <v>Seedling</v>
      </c>
      <c r="L363" t="str">
        <f>IF(Table4_2[[#This Row],[TDS Value (ppm)]]&lt;560, "Low", IF(Table4_2[[#This Row],[TDS Value (ppm)]]&lt;=800,"Optimal","High"))</f>
        <v>Optimal</v>
      </c>
    </row>
    <row r="364" spans="1:12" x14ac:dyDescent="0.25">
      <c r="A364">
        <v>60</v>
      </c>
      <c r="B364" s="1">
        <v>45159</v>
      </c>
      <c r="C364" s="1" t="str">
        <f>TEXT(Table4_2[[#This Row],[Date]],"dddd")</f>
        <v>Monday</v>
      </c>
      <c r="D364" s="21">
        <v>21.6</v>
      </c>
      <c r="E364" s="21">
        <v>73</v>
      </c>
      <c r="F364" s="21">
        <v>557</v>
      </c>
      <c r="G364" s="21">
        <v>6.7</v>
      </c>
      <c r="H364">
        <v>19</v>
      </c>
      <c r="I364">
        <v>70.88</v>
      </c>
      <c r="J364">
        <v>0.73</v>
      </c>
      <c r="K364" t="str" cm="1">
        <f t="array" ref="K364">_xlfn.IFS(Table4_2[[#This Row],[Growth Days]]&lt;=14,"Seedling",Table4_2[[#This Row],[Growth Days]]&lt;=35, "Vegetative",Table4_2[[#This Row],[Growth Days]]&lt;=50, "Maturity")</f>
        <v>Vegetative</v>
      </c>
      <c r="L364" t="str">
        <f>IF(Table4_2[[#This Row],[TDS Value (ppm)]]&lt;560, "Low", IF(Table4_2[[#This Row],[TDS Value (ppm)]]&lt;=800,"Optimal","High"))</f>
        <v>Low</v>
      </c>
    </row>
    <row r="365" spans="1:12" x14ac:dyDescent="0.25">
      <c r="A365">
        <v>60</v>
      </c>
      <c r="B365" s="1">
        <v>45166</v>
      </c>
      <c r="C365" s="1" t="str">
        <f>TEXT(Table4_2[[#This Row],[Date]],"dddd")</f>
        <v>Monday</v>
      </c>
      <c r="D365" s="21">
        <v>18.8</v>
      </c>
      <c r="E365" s="21">
        <v>58</v>
      </c>
      <c r="F365" s="21">
        <v>408</v>
      </c>
      <c r="G365" s="21">
        <v>6.7</v>
      </c>
      <c r="H365">
        <v>26</v>
      </c>
      <c r="I365">
        <v>65.84</v>
      </c>
      <c r="J365">
        <v>0.57999999999999996</v>
      </c>
      <c r="K365" t="str" cm="1">
        <f t="array" ref="K365">_xlfn.IFS(Table4_2[[#This Row],[Growth Days]]&lt;=14,"Seedling",Table4_2[[#This Row],[Growth Days]]&lt;=35, "Vegetative",Table4_2[[#This Row],[Growth Days]]&lt;=50, "Maturity")</f>
        <v>Vegetative</v>
      </c>
      <c r="L365" t="str">
        <f>IF(Table4_2[[#This Row],[TDS Value (ppm)]]&lt;560, "Low", IF(Table4_2[[#This Row],[TDS Value (ppm)]]&lt;=800,"Optimal","High"))</f>
        <v>Low</v>
      </c>
    </row>
    <row r="366" spans="1:12" x14ac:dyDescent="0.25">
      <c r="A366">
        <v>60</v>
      </c>
      <c r="B366" s="1">
        <v>45173</v>
      </c>
      <c r="C366" s="1" t="str">
        <f>TEXT(Table4_2[[#This Row],[Date]],"dddd")</f>
        <v>Monday</v>
      </c>
      <c r="D366" s="21">
        <v>19.8</v>
      </c>
      <c r="E366" s="21">
        <v>77</v>
      </c>
      <c r="F366" s="21">
        <v>735</v>
      </c>
      <c r="G366" s="21">
        <v>6.1</v>
      </c>
      <c r="H366">
        <v>33</v>
      </c>
      <c r="I366">
        <v>67.64</v>
      </c>
      <c r="J366">
        <v>0.77</v>
      </c>
      <c r="K366" t="str" cm="1">
        <f t="array" ref="K366">_xlfn.IFS(Table4_2[[#This Row],[Growth Days]]&lt;=14,"Seedling",Table4_2[[#This Row],[Growth Days]]&lt;=35, "Vegetative",Table4_2[[#This Row],[Growth Days]]&lt;=50, "Maturity")</f>
        <v>Vegetative</v>
      </c>
      <c r="L366" t="str">
        <f>IF(Table4_2[[#This Row],[TDS Value (ppm)]]&lt;560, "Low", IF(Table4_2[[#This Row],[TDS Value (ppm)]]&lt;=800,"Optimal","High"))</f>
        <v>Optimal</v>
      </c>
    </row>
    <row r="367" spans="1:12" x14ac:dyDescent="0.25">
      <c r="A367">
        <v>60</v>
      </c>
      <c r="B367" s="1">
        <v>45180</v>
      </c>
      <c r="C367" s="1" t="str">
        <f>TEXT(Table4_2[[#This Row],[Date]],"dddd")</f>
        <v>Monday</v>
      </c>
      <c r="D367" s="21">
        <v>18.8</v>
      </c>
      <c r="E367" s="21">
        <v>67</v>
      </c>
      <c r="F367" s="21">
        <v>674</v>
      </c>
      <c r="G367" s="21">
        <v>6.3</v>
      </c>
      <c r="H367">
        <v>40</v>
      </c>
      <c r="I367">
        <v>65.84</v>
      </c>
      <c r="J367">
        <v>0.67</v>
      </c>
      <c r="K367" t="str" cm="1">
        <f t="array" ref="K367">_xlfn.IFS(Table4_2[[#This Row],[Growth Days]]&lt;=14,"Seedling",Table4_2[[#This Row],[Growth Days]]&lt;=35, "Vegetative",Table4_2[[#This Row],[Growth Days]]&lt;=50, "Maturity")</f>
        <v>Maturity</v>
      </c>
      <c r="L367" t="str">
        <f>IF(Table4_2[[#This Row],[TDS Value (ppm)]]&lt;560, "Low", IF(Table4_2[[#This Row],[TDS Value (ppm)]]&lt;=800,"Optimal","High"))</f>
        <v>Optimal</v>
      </c>
    </row>
    <row r="368" spans="1:12" x14ac:dyDescent="0.25">
      <c r="A368">
        <v>61</v>
      </c>
      <c r="B368" s="1">
        <v>45145</v>
      </c>
      <c r="C368" s="1" t="str">
        <f>TEXT(Table4_2[[#This Row],[Date]],"dddd")</f>
        <v>Monday</v>
      </c>
      <c r="D368" s="21">
        <v>20.8</v>
      </c>
      <c r="E368" s="21">
        <v>54</v>
      </c>
      <c r="F368" s="21">
        <v>527</v>
      </c>
      <c r="G368" s="21">
        <v>6.5</v>
      </c>
      <c r="H368">
        <v>5</v>
      </c>
      <c r="I368">
        <v>69.44</v>
      </c>
      <c r="J368">
        <v>0.54</v>
      </c>
      <c r="K368" t="str" cm="1">
        <f t="array" ref="K368">_xlfn.IFS(Table4_2[[#This Row],[Growth Days]]&lt;=14,"Seedling",Table4_2[[#This Row],[Growth Days]]&lt;=35, "Vegetative",Table4_2[[#This Row],[Growth Days]]&lt;=50, "Maturity")</f>
        <v>Seedling</v>
      </c>
      <c r="L368" t="str">
        <f>IF(Table4_2[[#This Row],[TDS Value (ppm)]]&lt;560, "Low", IF(Table4_2[[#This Row],[TDS Value (ppm)]]&lt;=800,"Optimal","High"))</f>
        <v>Low</v>
      </c>
    </row>
    <row r="369" spans="1:12" x14ac:dyDescent="0.25">
      <c r="A369">
        <v>61</v>
      </c>
      <c r="B369" s="1">
        <v>45152</v>
      </c>
      <c r="C369" s="1" t="str">
        <f>TEXT(Table4_2[[#This Row],[Date]],"dddd")</f>
        <v>Monday</v>
      </c>
      <c r="D369" s="21">
        <v>19.5</v>
      </c>
      <c r="E369" s="21">
        <v>64</v>
      </c>
      <c r="F369" s="21">
        <v>657</v>
      </c>
      <c r="G369" s="21">
        <v>6.1</v>
      </c>
      <c r="H369">
        <v>12</v>
      </c>
      <c r="I369">
        <v>67.099999999999994</v>
      </c>
      <c r="J369">
        <v>0.64</v>
      </c>
      <c r="K369" t="str" cm="1">
        <f t="array" ref="K369">_xlfn.IFS(Table4_2[[#This Row],[Growth Days]]&lt;=14,"Seedling",Table4_2[[#This Row],[Growth Days]]&lt;=35, "Vegetative",Table4_2[[#This Row],[Growth Days]]&lt;=50, "Maturity")</f>
        <v>Seedling</v>
      </c>
      <c r="L369" t="str">
        <f>IF(Table4_2[[#This Row],[TDS Value (ppm)]]&lt;560, "Low", IF(Table4_2[[#This Row],[TDS Value (ppm)]]&lt;=800,"Optimal","High"))</f>
        <v>Optimal</v>
      </c>
    </row>
    <row r="370" spans="1:12" x14ac:dyDescent="0.25">
      <c r="A370">
        <v>61</v>
      </c>
      <c r="B370" s="1">
        <v>45159</v>
      </c>
      <c r="C370" s="1" t="str">
        <f>TEXT(Table4_2[[#This Row],[Date]],"dddd")</f>
        <v>Monday</v>
      </c>
      <c r="D370" s="21">
        <v>23</v>
      </c>
      <c r="E370" s="21">
        <v>71</v>
      </c>
      <c r="F370" s="21">
        <v>537</v>
      </c>
      <c r="G370" s="21">
        <v>6.2</v>
      </c>
      <c r="H370">
        <v>19</v>
      </c>
      <c r="I370">
        <v>73.400000000000006</v>
      </c>
      <c r="J370">
        <v>0.71</v>
      </c>
      <c r="K370" t="str" cm="1">
        <f t="array" ref="K370">_xlfn.IFS(Table4_2[[#This Row],[Growth Days]]&lt;=14,"Seedling",Table4_2[[#This Row],[Growth Days]]&lt;=35, "Vegetative",Table4_2[[#This Row],[Growth Days]]&lt;=50, "Maturity")</f>
        <v>Vegetative</v>
      </c>
      <c r="L370" t="str">
        <f>IF(Table4_2[[#This Row],[TDS Value (ppm)]]&lt;560, "Low", IF(Table4_2[[#This Row],[TDS Value (ppm)]]&lt;=800,"Optimal","High"))</f>
        <v>Low</v>
      </c>
    </row>
    <row r="371" spans="1:12" x14ac:dyDescent="0.25">
      <c r="A371">
        <v>61</v>
      </c>
      <c r="B371" s="1">
        <v>45166</v>
      </c>
      <c r="C371" s="1" t="str">
        <f>TEXT(Table4_2[[#This Row],[Date]],"dddd")</f>
        <v>Monday</v>
      </c>
      <c r="D371" s="21">
        <v>19.8</v>
      </c>
      <c r="E371" s="21">
        <v>51</v>
      </c>
      <c r="F371" s="21">
        <v>653</v>
      </c>
      <c r="G371" s="21">
        <v>6.6</v>
      </c>
      <c r="H371">
        <v>26</v>
      </c>
      <c r="I371">
        <v>67.64</v>
      </c>
      <c r="J371">
        <v>0.51</v>
      </c>
      <c r="K371" t="str" cm="1">
        <f t="array" ref="K371">_xlfn.IFS(Table4_2[[#This Row],[Growth Days]]&lt;=14,"Seedling",Table4_2[[#This Row],[Growth Days]]&lt;=35, "Vegetative",Table4_2[[#This Row],[Growth Days]]&lt;=50, "Maturity")</f>
        <v>Vegetative</v>
      </c>
      <c r="L371" t="str">
        <f>IF(Table4_2[[#This Row],[TDS Value (ppm)]]&lt;560, "Low", IF(Table4_2[[#This Row],[TDS Value (ppm)]]&lt;=800,"Optimal","High"))</f>
        <v>Optimal</v>
      </c>
    </row>
    <row r="372" spans="1:12" x14ac:dyDescent="0.25">
      <c r="A372">
        <v>61</v>
      </c>
      <c r="B372" s="1">
        <v>45173</v>
      </c>
      <c r="C372" s="1" t="str">
        <f>TEXT(Table4_2[[#This Row],[Date]],"dddd")</f>
        <v>Monday</v>
      </c>
      <c r="D372" s="21">
        <v>19.3</v>
      </c>
      <c r="E372" s="21">
        <v>60</v>
      </c>
      <c r="F372" s="21">
        <v>496</v>
      </c>
      <c r="G372" s="21">
        <v>6.4</v>
      </c>
      <c r="H372">
        <v>33</v>
      </c>
      <c r="I372">
        <v>66.739999999999995</v>
      </c>
      <c r="J372">
        <v>0.6</v>
      </c>
      <c r="K372" t="str" cm="1">
        <f t="array" ref="K372">_xlfn.IFS(Table4_2[[#This Row],[Growth Days]]&lt;=14,"Seedling",Table4_2[[#This Row],[Growth Days]]&lt;=35, "Vegetative",Table4_2[[#This Row],[Growth Days]]&lt;=50, "Maturity")</f>
        <v>Vegetative</v>
      </c>
      <c r="L372" t="str">
        <f>IF(Table4_2[[#This Row],[TDS Value (ppm)]]&lt;560, "Low", IF(Table4_2[[#This Row],[TDS Value (ppm)]]&lt;=800,"Optimal","High"))</f>
        <v>Low</v>
      </c>
    </row>
    <row r="373" spans="1:12" x14ac:dyDescent="0.25">
      <c r="A373">
        <v>61</v>
      </c>
      <c r="B373" s="1">
        <v>45180</v>
      </c>
      <c r="C373" s="1" t="str">
        <f>TEXT(Table4_2[[#This Row],[Date]],"dddd")</f>
        <v>Monday</v>
      </c>
      <c r="D373" s="21">
        <v>18.7</v>
      </c>
      <c r="E373" s="21">
        <v>62</v>
      </c>
      <c r="F373" s="21">
        <v>677</v>
      </c>
      <c r="G373" s="21">
        <v>6.1</v>
      </c>
      <c r="H373">
        <v>40</v>
      </c>
      <c r="I373">
        <v>65.66</v>
      </c>
      <c r="J373">
        <v>0.62</v>
      </c>
      <c r="K373" t="str" cm="1">
        <f t="array" ref="K373">_xlfn.IFS(Table4_2[[#This Row],[Growth Days]]&lt;=14,"Seedling",Table4_2[[#This Row],[Growth Days]]&lt;=35, "Vegetative",Table4_2[[#This Row],[Growth Days]]&lt;=50, "Maturity")</f>
        <v>Maturity</v>
      </c>
      <c r="L373" t="str">
        <f>IF(Table4_2[[#This Row],[TDS Value (ppm)]]&lt;560, "Low", IF(Table4_2[[#This Row],[TDS Value (ppm)]]&lt;=800,"Optimal","High"))</f>
        <v>Optimal</v>
      </c>
    </row>
    <row r="374" spans="1:12" x14ac:dyDescent="0.25">
      <c r="A374">
        <v>62</v>
      </c>
      <c r="B374" s="1">
        <v>45145</v>
      </c>
      <c r="C374" s="1" t="str">
        <f>TEXT(Table4_2[[#This Row],[Date]],"dddd")</f>
        <v>Monday</v>
      </c>
      <c r="D374" s="21">
        <v>24.1</v>
      </c>
      <c r="E374" s="21">
        <v>53</v>
      </c>
      <c r="F374" s="21">
        <v>590</v>
      </c>
      <c r="G374" s="21">
        <v>6.1</v>
      </c>
      <c r="H374">
        <v>5</v>
      </c>
      <c r="I374">
        <v>75.38</v>
      </c>
      <c r="J374">
        <v>0.53</v>
      </c>
      <c r="K374" t="str" cm="1">
        <f t="array" ref="K374">_xlfn.IFS(Table4_2[[#This Row],[Growth Days]]&lt;=14,"Seedling",Table4_2[[#This Row],[Growth Days]]&lt;=35, "Vegetative",Table4_2[[#This Row],[Growth Days]]&lt;=50, "Maturity")</f>
        <v>Seedling</v>
      </c>
      <c r="L374" t="str">
        <f>IF(Table4_2[[#This Row],[TDS Value (ppm)]]&lt;560, "Low", IF(Table4_2[[#This Row],[TDS Value (ppm)]]&lt;=800,"Optimal","High"))</f>
        <v>Optimal</v>
      </c>
    </row>
    <row r="375" spans="1:12" x14ac:dyDescent="0.25">
      <c r="A375">
        <v>62</v>
      </c>
      <c r="B375" s="1">
        <v>45152</v>
      </c>
      <c r="C375" s="1" t="str">
        <f>TEXT(Table4_2[[#This Row],[Date]],"dddd")</f>
        <v>Monday</v>
      </c>
      <c r="D375" s="21">
        <v>21.3</v>
      </c>
      <c r="E375" s="21">
        <v>55</v>
      </c>
      <c r="F375" s="21">
        <v>512</v>
      </c>
      <c r="G375" s="21">
        <v>6.7</v>
      </c>
      <c r="H375">
        <v>12</v>
      </c>
      <c r="I375">
        <v>70.34</v>
      </c>
      <c r="J375">
        <v>0.55000000000000004</v>
      </c>
      <c r="K375" t="str" cm="1">
        <f t="array" ref="K375">_xlfn.IFS(Table4_2[[#This Row],[Growth Days]]&lt;=14,"Seedling",Table4_2[[#This Row],[Growth Days]]&lt;=35, "Vegetative",Table4_2[[#This Row],[Growth Days]]&lt;=50, "Maturity")</f>
        <v>Seedling</v>
      </c>
      <c r="L375" t="str">
        <f>IF(Table4_2[[#This Row],[TDS Value (ppm)]]&lt;560, "Low", IF(Table4_2[[#This Row],[TDS Value (ppm)]]&lt;=800,"Optimal","High"))</f>
        <v>Low</v>
      </c>
    </row>
    <row r="376" spans="1:12" x14ac:dyDescent="0.25">
      <c r="A376">
        <v>62</v>
      </c>
      <c r="B376" s="1">
        <v>45159</v>
      </c>
      <c r="C376" s="1" t="str">
        <f>TEXT(Table4_2[[#This Row],[Date]],"dddd")</f>
        <v>Monday</v>
      </c>
      <c r="D376" s="21">
        <v>23.9</v>
      </c>
      <c r="E376" s="21">
        <v>55</v>
      </c>
      <c r="F376" s="21">
        <v>525</v>
      </c>
      <c r="G376" s="21">
        <v>6.8</v>
      </c>
      <c r="H376">
        <v>19</v>
      </c>
      <c r="I376">
        <v>75.02</v>
      </c>
      <c r="J376">
        <v>0.55000000000000004</v>
      </c>
      <c r="K376" t="str" cm="1">
        <f t="array" ref="K376">_xlfn.IFS(Table4_2[[#This Row],[Growth Days]]&lt;=14,"Seedling",Table4_2[[#This Row],[Growth Days]]&lt;=35, "Vegetative",Table4_2[[#This Row],[Growth Days]]&lt;=50, "Maturity")</f>
        <v>Vegetative</v>
      </c>
      <c r="L376" t="str">
        <f>IF(Table4_2[[#This Row],[TDS Value (ppm)]]&lt;560, "Low", IF(Table4_2[[#This Row],[TDS Value (ppm)]]&lt;=800,"Optimal","High"))</f>
        <v>Low</v>
      </c>
    </row>
    <row r="377" spans="1:12" x14ac:dyDescent="0.25">
      <c r="A377">
        <v>62</v>
      </c>
      <c r="B377" s="1">
        <v>45166</v>
      </c>
      <c r="C377" s="1" t="str">
        <f>TEXT(Table4_2[[#This Row],[Date]],"dddd")</f>
        <v>Monday</v>
      </c>
      <c r="D377" s="21">
        <v>24.7</v>
      </c>
      <c r="E377" s="21">
        <v>79</v>
      </c>
      <c r="F377" s="21">
        <v>718</v>
      </c>
      <c r="G377" s="21">
        <v>6.1</v>
      </c>
      <c r="H377">
        <v>26</v>
      </c>
      <c r="I377">
        <v>76.459999999999994</v>
      </c>
      <c r="J377">
        <v>0.79</v>
      </c>
      <c r="K377" t="str" cm="1">
        <f t="array" ref="K377">_xlfn.IFS(Table4_2[[#This Row],[Growth Days]]&lt;=14,"Seedling",Table4_2[[#This Row],[Growth Days]]&lt;=35, "Vegetative",Table4_2[[#This Row],[Growth Days]]&lt;=50, "Maturity")</f>
        <v>Vegetative</v>
      </c>
      <c r="L377" t="str">
        <f>IF(Table4_2[[#This Row],[TDS Value (ppm)]]&lt;560, "Low", IF(Table4_2[[#This Row],[TDS Value (ppm)]]&lt;=800,"Optimal","High"))</f>
        <v>Optimal</v>
      </c>
    </row>
    <row r="378" spans="1:12" x14ac:dyDescent="0.25">
      <c r="A378">
        <v>62</v>
      </c>
      <c r="B378" s="1">
        <v>45173</v>
      </c>
      <c r="C378" s="1" t="str">
        <f>TEXT(Table4_2[[#This Row],[Date]],"dddd")</f>
        <v>Monday</v>
      </c>
      <c r="D378" s="21">
        <v>24.3</v>
      </c>
      <c r="E378" s="21">
        <v>51</v>
      </c>
      <c r="F378" s="21">
        <v>454</v>
      </c>
      <c r="G378" s="21">
        <v>6.1</v>
      </c>
      <c r="H378">
        <v>33</v>
      </c>
      <c r="I378">
        <v>75.739999999999995</v>
      </c>
      <c r="J378">
        <v>0.51</v>
      </c>
      <c r="K378" t="str" cm="1">
        <f t="array" ref="K378">_xlfn.IFS(Table4_2[[#This Row],[Growth Days]]&lt;=14,"Seedling",Table4_2[[#This Row],[Growth Days]]&lt;=35, "Vegetative",Table4_2[[#This Row],[Growth Days]]&lt;=50, "Maturity")</f>
        <v>Vegetative</v>
      </c>
      <c r="L378" t="str">
        <f>IF(Table4_2[[#This Row],[TDS Value (ppm)]]&lt;560, "Low", IF(Table4_2[[#This Row],[TDS Value (ppm)]]&lt;=800,"Optimal","High"))</f>
        <v>Low</v>
      </c>
    </row>
    <row r="379" spans="1:12" x14ac:dyDescent="0.25">
      <c r="A379">
        <v>62</v>
      </c>
      <c r="B379" s="1">
        <v>45180</v>
      </c>
      <c r="C379" s="1" t="str">
        <f>TEXT(Table4_2[[#This Row],[Date]],"dddd")</f>
        <v>Monday</v>
      </c>
      <c r="D379" s="21">
        <v>23</v>
      </c>
      <c r="E379" s="21">
        <v>54</v>
      </c>
      <c r="F379" s="21">
        <v>410</v>
      </c>
      <c r="G379" s="21">
        <v>6.7</v>
      </c>
      <c r="H379">
        <v>40</v>
      </c>
      <c r="I379">
        <v>73.400000000000006</v>
      </c>
      <c r="J379">
        <v>0.54</v>
      </c>
      <c r="K379" t="str" cm="1">
        <f t="array" ref="K379">_xlfn.IFS(Table4_2[[#This Row],[Growth Days]]&lt;=14,"Seedling",Table4_2[[#This Row],[Growth Days]]&lt;=35, "Vegetative",Table4_2[[#This Row],[Growth Days]]&lt;=50, "Maturity")</f>
        <v>Maturity</v>
      </c>
      <c r="L379" t="str">
        <f>IF(Table4_2[[#This Row],[TDS Value (ppm)]]&lt;560, "Low", IF(Table4_2[[#This Row],[TDS Value (ppm)]]&lt;=800,"Optimal","High"))</f>
        <v>Low</v>
      </c>
    </row>
    <row r="380" spans="1:12" x14ac:dyDescent="0.25">
      <c r="A380">
        <v>63</v>
      </c>
      <c r="B380" s="1">
        <v>45145</v>
      </c>
      <c r="C380" s="1" t="str">
        <f>TEXT(Table4_2[[#This Row],[Date]],"dddd")</f>
        <v>Monday</v>
      </c>
      <c r="D380" s="21">
        <v>18.600000000000001</v>
      </c>
      <c r="E380" s="21">
        <v>63</v>
      </c>
      <c r="F380" s="21">
        <v>784</v>
      </c>
      <c r="G380" s="21">
        <v>6.1</v>
      </c>
      <c r="H380">
        <v>5</v>
      </c>
      <c r="I380">
        <v>65.48</v>
      </c>
      <c r="J380">
        <v>0.63</v>
      </c>
      <c r="K380" t="str" cm="1">
        <f t="array" ref="K380">_xlfn.IFS(Table4_2[[#This Row],[Growth Days]]&lt;=14,"Seedling",Table4_2[[#This Row],[Growth Days]]&lt;=35, "Vegetative",Table4_2[[#This Row],[Growth Days]]&lt;=50, "Maturity")</f>
        <v>Seedling</v>
      </c>
      <c r="L380" t="str">
        <f>IF(Table4_2[[#This Row],[TDS Value (ppm)]]&lt;560, "Low", IF(Table4_2[[#This Row],[TDS Value (ppm)]]&lt;=800,"Optimal","High"))</f>
        <v>Optimal</v>
      </c>
    </row>
    <row r="381" spans="1:12" x14ac:dyDescent="0.25">
      <c r="A381">
        <v>63</v>
      </c>
      <c r="B381" s="1">
        <v>45152</v>
      </c>
      <c r="C381" s="1" t="str">
        <f>TEXT(Table4_2[[#This Row],[Date]],"dddd")</f>
        <v>Monday</v>
      </c>
      <c r="D381" s="21">
        <v>23.5</v>
      </c>
      <c r="E381" s="21">
        <v>67</v>
      </c>
      <c r="F381" s="21">
        <v>518</v>
      </c>
      <c r="G381" s="21">
        <v>6.6</v>
      </c>
      <c r="H381">
        <v>12</v>
      </c>
      <c r="I381">
        <v>74.3</v>
      </c>
      <c r="J381">
        <v>0.67</v>
      </c>
      <c r="K381" t="str" cm="1">
        <f t="array" ref="K381">_xlfn.IFS(Table4_2[[#This Row],[Growth Days]]&lt;=14,"Seedling",Table4_2[[#This Row],[Growth Days]]&lt;=35, "Vegetative",Table4_2[[#This Row],[Growth Days]]&lt;=50, "Maturity")</f>
        <v>Seedling</v>
      </c>
      <c r="L381" t="str">
        <f>IF(Table4_2[[#This Row],[TDS Value (ppm)]]&lt;560, "Low", IF(Table4_2[[#This Row],[TDS Value (ppm)]]&lt;=800,"Optimal","High"))</f>
        <v>Low</v>
      </c>
    </row>
    <row r="382" spans="1:12" x14ac:dyDescent="0.25">
      <c r="A382">
        <v>63</v>
      </c>
      <c r="B382" s="1">
        <v>45159</v>
      </c>
      <c r="C382" s="1" t="str">
        <f>TEXT(Table4_2[[#This Row],[Date]],"dddd")</f>
        <v>Monday</v>
      </c>
      <c r="D382" s="21">
        <v>24</v>
      </c>
      <c r="E382" s="21">
        <v>80</v>
      </c>
      <c r="F382" s="21">
        <v>526</v>
      </c>
      <c r="G382" s="21">
        <v>6.6</v>
      </c>
      <c r="H382">
        <v>19</v>
      </c>
      <c r="I382">
        <v>75.2</v>
      </c>
      <c r="J382">
        <v>0.8</v>
      </c>
      <c r="K382" t="str" cm="1">
        <f t="array" ref="K382">_xlfn.IFS(Table4_2[[#This Row],[Growth Days]]&lt;=14,"Seedling",Table4_2[[#This Row],[Growth Days]]&lt;=35, "Vegetative",Table4_2[[#This Row],[Growth Days]]&lt;=50, "Maturity")</f>
        <v>Vegetative</v>
      </c>
      <c r="L382" t="str">
        <f>IF(Table4_2[[#This Row],[TDS Value (ppm)]]&lt;560, "Low", IF(Table4_2[[#This Row],[TDS Value (ppm)]]&lt;=800,"Optimal","High"))</f>
        <v>Low</v>
      </c>
    </row>
    <row r="383" spans="1:12" x14ac:dyDescent="0.25">
      <c r="A383">
        <v>63</v>
      </c>
      <c r="B383" s="1">
        <v>45166</v>
      </c>
      <c r="C383" s="1" t="str">
        <f>TEXT(Table4_2[[#This Row],[Date]],"dddd")</f>
        <v>Monday</v>
      </c>
      <c r="D383" s="21">
        <v>19.2</v>
      </c>
      <c r="E383" s="21">
        <v>76</v>
      </c>
      <c r="F383" s="21">
        <v>521</v>
      </c>
      <c r="G383" s="21">
        <v>6.1</v>
      </c>
      <c r="H383">
        <v>26</v>
      </c>
      <c r="I383">
        <v>66.56</v>
      </c>
      <c r="J383">
        <v>0.76</v>
      </c>
      <c r="K383" t="str" cm="1">
        <f t="array" ref="K383">_xlfn.IFS(Table4_2[[#This Row],[Growth Days]]&lt;=14,"Seedling",Table4_2[[#This Row],[Growth Days]]&lt;=35, "Vegetative",Table4_2[[#This Row],[Growth Days]]&lt;=50, "Maturity")</f>
        <v>Vegetative</v>
      </c>
      <c r="L383" t="str">
        <f>IF(Table4_2[[#This Row],[TDS Value (ppm)]]&lt;560, "Low", IF(Table4_2[[#This Row],[TDS Value (ppm)]]&lt;=800,"Optimal","High"))</f>
        <v>Low</v>
      </c>
    </row>
    <row r="384" spans="1:12" x14ac:dyDescent="0.25">
      <c r="A384">
        <v>63</v>
      </c>
      <c r="B384" s="1">
        <v>45173</v>
      </c>
      <c r="C384" s="1" t="str">
        <f>TEXT(Table4_2[[#This Row],[Date]],"dddd")</f>
        <v>Monday</v>
      </c>
      <c r="D384" s="21">
        <v>22</v>
      </c>
      <c r="E384" s="21">
        <v>68</v>
      </c>
      <c r="F384" s="21">
        <v>608</v>
      </c>
      <c r="G384" s="21">
        <v>6.1</v>
      </c>
      <c r="H384">
        <v>33</v>
      </c>
      <c r="I384">
        <v>71.599999999999994</v>
      </c>
      <c r="J384">
        <v>0.68</v>
      </c>
      <c r="K384" t="str" cm="1">
        <f t="array" ref="K384">_xlfn.IFS(Table4_2[[#This Row],[Growth Days]]&lt;=14,"Seedling",Table4_2[[#This Row],[Growth Days]]&lt;=35, "Vegetative",Table4_2[[#This Row],[Growth Days]]&lt;=50, "Maturity")</f>
        <v>Vegetative</v>
      </c>
      <c r="L384" t="str">
        <f>IF(Table4_2[[#This Row],[TDS Value (ppm)]]&lt;560, "Low", IF(Table4_2[[#This Row],[TDS Value (ppm)]]&lt;=800,"Optimal","High"))</f>
        <v>Optimal</v>
      </c>
    </row>
    <row r="385" spans="1:12" x14ac:dyDescent="0.25">
      <c r="A385">
        <v>63</v>
      </c>
      <c r="B385" s="1">
        <v>45180</v>
      </c>
      <c r="C385" s="1" t="str">
        <f>TEXT(Table4_2[[#This Row],[Date]],"dddd")</f>
        <v>Monday</v>
      </c>
      <c r="D385" s="21">
        <v>18.899999999999999</v>
      </c>
      <c r="E385" s="21">
        <v>56</v>
      </c>
      <c r="F385" s="21">
        <v>657</v>
      </c>
      <c r="G385" s="21">
        <v>6.7</v>
      </c>
      <c r="H385">
        <v>40</v>
      </c>
      <c r="I385">
        <v>66.02</v>
      </c>
      <c r="J385">
        <v>0.56000000000000005</v>
      </c>
      <c r="K385" t="str" cm="1">
        <f t="array" ref="K385">_xlfn.IFS(Table4_2[[#This Row],[Growth Days]]&lt;=14,"Seedling",Table4_2[[#This Row],[Growth Days]]&lt;=35, "Vegetative",Table4_2[[#This Row],[Growth Days]]&lt;=50, "Maturity")</f>
        <v>Maturity</v>
      </c>
      <c r="L385" t="str">
        <f>IF(Table4_2[[#This Row],[TDS Value (ppm)]]&lt;560, "Low", IF(Table4_2[[#This Row],[TDS Value (ppm)]]&lt;=800,"Optimal","High"))</f>
        <v>Optimal</v>
      </c>
    </row>
    <row r="386" spans="1:12" x14ac:dyDescent="0.25">
      <c r="A386">
        <v>64</v>
      </c>
      <c r="B386" s="1">
        <v>45145</v>
      </c>
      <c r="C386" s="1" t="str">
        <f>TEXT(Table4_2[[#This Row],[Date]],"dddd")</f>
        <v>Monday</v>
      </c>
      <c r="D386" s="21">
        <v>22.7</v>
      </c>
      <c r="E386" s="21">
        <v>73</v>
      </c>
      <c r="F386" s="21">
        <v>651</v>
      </c>
      <c r="G386" s="21">
        <v>6.3</v>
      </c>
      <c r="H386">
        <v>5</v>
      </c>
      <c r="I386">
        <v>72.86</v>
      </c>
      <c r="J386">
        <v>0.73</v>
      </c>
      <c r="K386" t="str" cm="1">
        <f t="array" ref="K386">_xlfn.IFS(Table4_2[[#This Row],[Growth Days]]&lt;=14,"Seedling",Table4_2[[#This Row],[Growth Days]]&lt;=35, "Vegetative",Table4_2[[#This Row],[Growth Days]]&lt;=50, "Maturity")</f>
        <v>Seedling</v>
      </c>
      <c r="L386" t="str">
        <f>IF(Table4_2[[#This Row],[TDS Value (ppm)]]&lt;560, "Low", IF(Table4_2[[#This Row],[TDS Value (ppm)]]&lt;=800,"Optimal","High"))</f>
        <v>Optimal</v>
      </c>
    </row>
    <row r="387" spans="1:12" x14ac:dyDescent="0.25">
      <c r="A387">
        <v>64</v>
      </c>
      <c r="B387" s="1">
        <v>45152</v>
      </c>
      <c r="C387" s="1" t="str">
        <f>TEXT(Table4_2[[#This Row],[Date]],"dddd")</f>
        <v>Monday</v>
      </c>
      <c r="D387" s="21">
        <v>24.5</v>
      </c>
      <c r="E387" s="21">
        <v>66</v>
      </c>
      <c r="F387" s="21">
        <v>618</v>
      </c>
      <c r="G387" s="21">
        <v>6.1</v>
      </c>
      <c r="H387">
        <v>12</v>
      </c>
      <c r="I387">
        <v>76.099999999999994</v>
      </c>
      <c r="J387">
        <v>0.66</v>
      </c>
      <c r="K387" t="str" cm="1">
        <f t="array" ref="K387">_xlfn.IFS(Table4_2[[#This Row],[Growth Days]]&lt;=14,"Seedling",Table4_2[[#This Row],[Growth Days]]&lt;=35, "Vegetative",Table4_2[[#This Row],[Growth Days]]&lt;=50, "Maturity")</f>
        <v>Seedling</v>
      </c>
      <c r="L387" t="str">
        <f>IF(Table4_2[[#This Row],[TDS Value (ppm)]]&lt;560, "Low", IF(Table4_2[[#This Row],[TDS Value (ppm)]]&lt;=800,"Optimal","High"))</f>
        <v>Optimal</v>
      </c>
    </row>
    <row r="388" spans="1:12" x14ac:dyDescent="0.25">
      <c r="A388">
        <v>64</v>
      </c>
      <c r="B388" s="1">
        <v>45159</v>
      </c>
      <c r="C388" s="1" t="str">
        <f>TEXT(Table4_2[[#This Row],[Date]],"dddd")</f>
        <v>Monday</v>
      </c>
      <c r="D388" s="21">
        <v>23.2</v>
      </c>
      <c r="E388" s="21">
        <v>74</v>
      </c>
      <c r="F388" s="21">
        <v>616</v>
      </c>
      <c r="G388" s="21">
        <v>6.2</v>
      </c>
      <c r="H388">
        <v>19</v>
      </c>
      <c r="I388">
        <v>73.760000000000005</v>
      </c>
      <c r="J388">
        <v>0.74</v>
      </c>
      <c r="K388" t="str" cm="1">
        <f t="array" ref="K388">_xlfn.IFS(Table4_2[[#This Row],[Growth Days]]&lt;=14,"Seedling",Table4_2[[#This Row],[Growth Days]]&lt;=35, "Vegetative",Table4_2[[#This Row],[Growth Days]]&lt;=50, "Maturity")</f>
        <v>Vegetative</v>
      </c>
      <c r="L388" t="str">
        <f>IF(Table4_2[[#This Row],[TDS Value (ppm)]]&lt;560, "Low", IF(Table4_2[[#This Row],[TDS Value (ppm)]]&lt;=800,"Optimal","High"))</f>
        <v>Optimal</v>
      </c>
    </row>
    <row r="389" spans="1:12" x14ac:dyDescent="0.25">
      <c r="A389">
        <v>64</v>
      </c>
      <c r="B389" s="1">
        <v>45166</v>
      </c>
      <c r="C389" s="1" t="str">
        <f>TEXT(Table4_2[[#This Row],[Date]],"dddd")</f>
        <v>Monday</v>
      </c>
      <c r="D389" s="21">
        <v>18.5</v>
      </c>
      <c r="E389" s="21">
        <v>80</v>
      </c>
      <c r="F389" s="21">
        <v>410</v>
      </c>
      <c r="G389" s="21">
        <v>6.5</v>
      </c>
      <c r="H389">
        <v>26</v>
      </c>
      <c r="I389">
        <v>65.3</v>
      </c>
      <c r="J389">
        <v>0.8</v>
      </c>
      <c r="K389" t="str" cm="1">
        <f t="array" ref="K389">_xlfn.IFS(Table4_2[[#This Row],[Growth Days]]&lt;=14,"Seedling",Table4_2[[#This Row],[Growth Days]]&lt;=35, "Vegetative",Table4_2[[#This Row],[Growth Days]]&lt;=50, "Maturity")</f>
        <v>Vegetative</v>
      </c>
      <c r="L389" t="str">
        <f>IF(Table4_2[[#This Row],[TDS Value (ppm)]]&lt;560, "Low", IF(Table4_2[[#This Row],[TDS Value (ppm)]]&lt;=800,"Optimal","High"))</f>
        <v>Low</v>
      </c>
    </row>
    <row r="390" spans="1:12" x14ac:dyDescent="0.25">
      <c r="A390">
        <v>64</v>
      </c>
      <c r="B390" s="1">
        <v>45173</v>
      </c>
      <c r="C390" s="1" t="str">
        <f>TEXT(Table4_2[[#This Row],[Date]],"dddd")</f>
        <v>Monday</v>
      </c>
      <c r="D390" s="21">
        <v>18.7</v>
      </c>
      <c r="E390" s="21">
        <v>50</v>
      </c>
      <c r="F390" s="21">
        <v>588</v>
      </c>
      <c r="G390" s="21">
        <v>6.2</v>
      </c>
      <c r="H390">
        <v>33</v>
      </c>
      <c r="I390">
        <v>65.66</v>
      </c>
      <c r="J390">
        <v>0.5</v>
      </c>
      <c r="K390" t="str" cm="1">
        <f t="array" ref="K390">_xlfn.IFS(Table4_2[[#This Row],[Growth Days]]&lt;=14,"Seedling",Table4_2[[#This Row],[Growth Days]]&lt;=35, "Vegetative",Table4_2[[#This Row],[Growth Days]]&lt;=50, "Maturity")</f>
        <v>Vegetative</v>
      </c>
      <c r="L390" t="str">
        <f>IF(Table4_2[[#This Row],[TDS Value (ppm)]]&lt;560, "Low", IF(Table4_2[[#This Row],[TDS Value (ppm)]]&lt;=800,"Optimal","High"))</f>
        <v>Optimal</v>
      </c>
    </row>
    <row r="391" spans="1:12" x14ac:dyDescent="0.25">
      <c r="A391">
        <v>64</v>
      </c>
      <c r="B391" s="1">
        <v>45180</v>
      </c>
      <c r="C391" s="1" t="str">
        <f>TEXT(Table4_2[[#This Row],[Date]],"dddd")</f>
        <v>Monday</v>
      </c>
      <c r="D391" s="21">
        <v>22.4</v>
      </c>
      <c r="E391" s="21">
        <v>78</v>
      </c>
      <c r="F391" s="21">
        <v>732</v>
      </c>
      <c r="G391" s="21">
        <v>6.3</v>
      </c>
      <c r="H391">
        <v>40</v>
      </c>
      <c r="I391">
        <v>72.319999999999993</v>
      </c>
      <c r="J391">
        <v>0.78</v>
      </c>
      <c r="K391" t="str" cm="1">
        <f t="array" ref="K391">_xlfn.IFS(Table4_2[[#This Row],[Growth Days]]&lt;=14,"Seedling",Table4_2[[#This Row],[Growth Days]]&lt;=35, "Vegetative",Table4_2[[#This Row],[Growth Days]]&lt;=50, "Maturity")</f>
        <v>Maturity</v>
      </c>
      <c r="L391" t="str">
        <f>IF(Table4_2[[#This Row],[TDS Value (ppm)]]&lt;560, "Low", IF(Table4_2[[#This Row],[TDS Value (ppm)]]&lt;=800,"Optimal","High"))</f>
        <v>Optimal</v>
      </c>
    </row>
    <row r="392" spans="1:12" x14ac:dyDescent="0.25">
      <c r="A392">
        <v>65</v>
      </c>
      <c r="B392" s="1">
        <v>45145</v>
      </c>
      <c r="C392" s="1" t="str">
        <f>TEXT(Table4_2[[#This Row],[Date]],"dddd")</f>
        <v>Monday</v>
      </c>
      <c r="D392" s="21">
        <v>21.1</v>
      </c>
      <c r="E392" s="21">
        <v>50</v>
      </c>
      <c r="F392" s="21">
        <v>462</v>
      </c>
      <c r="G392" s="21">
        <v>6</v>
      </c>
      <c r="H392">
        <v>5</v>
      </c>
      <c r="I392">
        <v>69.98</v>
      </c>
      <c r="J392">
        <v>0.5</v>
      </c>
      <c r="K392" t="str" cm="1">
        <f t="array" ref="K392">_xlfn.IFS(Table4_2[[#This Row],[Growth Days]]&lt;=14,"Seedling",Table4_2[[#This Row],[Growth Days]]&lt;=35, "Vegetative",Table4_2[[#This Row],[Growth Days]]&lt;=50, "Maturity")</f>
        <v>Seedling</v>
      </c>
      <c r="L392" t="str">
        <f>IF(Table4_2[[#This Row],[TDS Value (ppm)]]&lt;560, "Low", IF(Table4_2[[#This Row],[TDS Value (ppm)]]&lt;=800,"Optimal","High"))</f>
        <v>Low</v>
      </c>
    </row>
    <row r="393" spans="1:12" x14ac:dyDescent="0.25">
      <c r="A393">
        <v>65</v>
      </c>
      <c r="B393" s="1">
        <v>45152</v>
      </c>
      <c r="C393" s="1" t="str">
        <f>TEXT(Table4_2[[#This Row],[Date]],"dddd")</f>
        <v>Monday</v>
      </c>
      <c r="D393" s="21">
        <v>18.100000000000001</v>
      </c>
      <c r="E393" s="21">
        <v>69</v>
      </c>
      <c r="F393" s="21">
        <v>731</v>
      </c>
      <c r="G393" s="21">
        <v>6.2</v>
      </c>
      <c r="H393">
        <v>12</v>
      </c>
      <c r="I393">
        <v>64.58</v>
      </c>
      <c r="J393">
        <v>0.69</v>
      </c>
      <c r="K393" t="str" cm="1">
        <f t="array" ref="K393">_xlfn.IFS(Table4_2[[#This Row],[Growth Days]]&lt;=14,"Seedling",Table4_2[[#This Row],[Growth Days]]&lt;=35, "Vegetative",Table4_2[[#This Row],[Growth Days]]&lt;=50, "Maturity")</f>
        <v>Seedling</v>
      </c>
      <c r="L393" t="str">
        <f>IF(Table4_2[[#This Row],[TDS Value (ppm)]]&lt;560, "Low", IF(Table4_2[[#This Row],[TDS Value (ppm)]]&lt;=800,"Optimal","High"))</f>
        <v>Optimal</v>
      </c>
    </row>
    <row r="394" spans="1:12" x14ac:dyDescent="0.25">
      <c r="A394">
        <v>65</v>
      </c>
      <c r="B394" s="1">
        <v>45159</v>
      </c>
      <c r="C394" s="1" t="str">
        <f>TEXT(Table4_2[[#This Row],[Date]],"dddd")</f>
        <v>Monday</v>
      </c>
      <c r="D394" s="21">
        <v>18.399999999999999</v>
      </c>
      <c r="E394" s="21">
        <v>63</v>
      </c>
      <c r="F394" s="21">
        <v>564</v>
      </c>
      <c r="G394" s="21">
        <v>6.4</v>
      </c>
      <c r="H394">
        <v>19</v>
      </c>
      <c r="I394">
        <v>65.12</v>
      </c>
      <c r="J394">
        <v>0.63</v>
      </c>
      <c r="K394" t="str" cm="1">
        <f t="array" ref="K394">_xlfn.IFS(Table4_2[[#This Row],[Growth Days]]&lt;=14,"Seedling",Table4_2[[#This Row],[Growth Days]]&lt;=35, "Vegetative",Table4_2[[#This Row],[Growth Days]]&lt;=50, "Maturity")</f>
        <v>Vegetative</v>
      </c>
      <c r="L394" t="str">
        <f>IF(Table4_2[[#This Row],[TDS Value (ppm)]]&lt;560, "Low", IF(Table4_2[[#This Row],[TDS Value (ppm)]]&lt;=800,"Optimal","High"))</f>
        <v>Optimal</v>
      </c>
    </row>
    <row r="395" spans="1:12" x14ac:dyDescent="0.25">
      <c r="A395">
        <v>65</v>
      </c>
      <c r="B395" s="1">
        <v>45166</v>
      </c>
      <c r="C395" s="1" t="str">
        <f>TEXT(Table4_2[[#This Row],[Date]],"dddd")</f>
        <v>Monday</v>
      </c>
      <c r="D395" s="21">
        <v>23.1</v>
      </c>
      <c r="E395" s="21">
        <v>71</v>
      </c>
      <c r="F395" s="21">
        <v>496</v>
      </c>
      <c r="G395" s="21">
        <v>6.6</v>
      </c>
      <c r="H395">
        <v>26</v>
      </c>
      <c r="I395">
        <v>73.58</v>
      </c>
      <c r="J395">
        <v>0.71</v>
      </c>
      <c r="K395" t="str" cm="1">
        <f t="array" ref="K395">_xlfn.IFS(Table4_2[[#This Row],[Growth Days]]&lt;=14,"Seedling",Table4_2[[#This Row],[Growth Days]]&lt;=35, "Vegetative",Table4_2[[#This Row],[Growth Days]]&lt;=50, "Maturity")</f>
        <v>Vegetative</v>
      </c>
      <c r="L395" t="str">
        <f>IF(Table4_2[[#This Row],[TDS Value (ppm)]]&lt;560, "Low", IF(Table4_2[[#This Row],[TDS Value (ppm)]]&lt;=800,"Optimal","High"))</f>
        <v>Low</v>
      </c>
    </row>
    <row r="396" spans="1:12" x14ac:dyDescent="0.25">
      <c r="A396">
        <v>65</v>
      </c>
      <c r="B396" s="1">
        <v>45173</v>
      </c>
      <c r="C396" s="1" t="str">
        <f>TEXT(Table4_2[[#This Row],[Date]],"dddd")</f>
        <v>Monday</v>
      </c>
      <c r="D396" s="21">
        <v>22.1</v>
      </c>
      <c r="E396" s="21">
        <v>61</v>
      </c>
      <c r="F396" s="21">
        <v>538</v>
      </c>
      <c r="G396" s="21">
        <v>6.1</v>
      </c>
      <c r="H396">
        <v>33</v>
      </c>
      <c r="I396">
        <v>71.78</v>
      </c>
      <c r="J396">
        <v>0.61</v>
      </c>
      <c r="K396" t="str" cm="1">
        <f t="array" ref="K396">_xlfn.IFS(Table4_2[[#This Row],[Growth Days]]&lt;=14,"Seedling",Table4_2[[#This Row],[Growth Days]]&lt;=35, "Vegetative",Table4_2[[#This Row],[Growth Days]]&lt;=50, "Maturity")</f>
        <v>Vegetative</v>
      </c>
      <c r="L396" t="str">
        <f>IF(Table4_2[[#This Row],[TDS Value (ppm)]]&lt;560, "Low", IF(Table4_2[[#This Row],[TDS Value (ppm)]]&lt;=800,"Optimal","High"))</f>
        <v>Low</v>
      </c>
    </row>
    <row r="397" spans="1:12" x14ac:dyDescent="0.25">
      <c r="A397">
        <v>65</v>
      </c>
      <c r="B397" s="1">
        <v>45180</v>
      </c>
      <c r="C397" s="1" t="str">
        <f>TEXT(Table4_2[[#This Row],[Date]],"dddd")</f>
        <v>Monday</v>
      </c>
      <c r="D397" s="21">
        <v>20.5</v>
      </c>
      <c r="E397" s="21">
        <v>54</v>
      </c>
      <c r="F397" s="21">
        <v>605</v>
      </c>
      <c r="G397" s="21">
        <v>6.2</v>
      </c>
      <c r="H397">
        <v>40</v>
      </c>
      <c r="I397">
        <v>68.900000000000006</v>
      </c>
      <c r="J397">
        <v>0.54</v>
      </c>
      <c r="K397" t="str" cm="1">
        <f t="array" ref="K397">_xlfn.IFS(Table4_2[[#This Row],[Growth Days]]&lt;=14,"Seedling",Table4_2[[#This Row],[Growth Days]]&lt;=35, "Vegetative",Table4_2[[#This Row],[Growth Days]]&lt;=50, "Maturity")</f>
        <v>Maturity</v>
      </c>
      <c r="L397" t="str">
        <f>IF(Table4_2[[#This Row],[TDS Value (ppm)]]&lt;560, "Low", IF(Table4_2[[#This Row],[TDS Value (ppm)]]&lt;=800,"Optimal","High"))</f>
        <v>Optimal</v>
      </c>
    </row>
    <row r="398" spans="1:12" x14ac:dyDescent="0.25">
      <c r="A398">
        <v>66</v>
      </c>
      <c r="B398" s="1">
        <v>45145</v>
      </c>
      <c r="C398" s="1" t="str">
        <f>TEXT(Table4_2[[#This Row],[Date]],"dddd")</f>
        <v>Monday</v>
      </c>
      <c r="D398" s="21">
        <v>23.6</v>
      </c>
      <c r="E398" s="21">
        <v>67</v>
      </c>
      <c r="F398" s="21">
        <v>474</v>
      </c>
      <c r="G398" s="21">
        <v>6.5</v>
      </c>
      <c r="H398">
        <v>5</v>
      </c>
      <c r="I398">
        <v>74.48</v>
      </c>
      <c r="J398">
        <v>0.67</v>
      </c>
      <c r="K398" t="str" cm="1">
        <f t="array" ref="K398">_xlfn.IFS(Table4_2[[#This Row],[Growth Days]]&lt;=14,"Seedling",Table4_2[[#This Row],[Growth Days]]&lt;=35, "Vegetative",Table4_2[[#This Row],[Growth Days]]&lt;=50, "Maturity")</f>
        <v>Seedling</v>
      </c>
      <c r="L398" t="str">
        <f>IF(Table4_2[[#This Row],[TDS Value (ppm)]]&lt;560, "Low", IF(Table4_2[[#This Row],[TDS Value (ppm)]]&lt;=800,"Optimal","High"))</f>
        <v>Low</v>
      </c>
    </row>
    <row r="399" spans="1:12" x14ac:dyDescent="0.25">
      <c r="A399">
        <v>66</v>
      </c>
      <c r="B399" s="1">
        <v>45152</v>
      </c>
      <c r="C399" s="1" t="str">
        <f>TEXT(Table4_2[[#This Row],[Date]],"dddd")</f>
        <v>Monday</v>
      </c>
      <c r="D399" s="21">
        <v>23.6</v>
      </c>
      <c r="E399" s="21">
        <v>56</v>
      </c>
      <c r="F399" s="21">
        <v>429</v>
      </c>
      <c r="G399" s="21">
        <v>6.4</v>
      </c>
      <c r="H399">
        <v>12</v>
      </c>
      <c r="I399">
        <v>74.48</v>
      </c>
      <c r="J399">
        <v>0.56000000000000005</v>
      </c>
      <c r="K399" t="str" cm="1">
        <f t="array" ref="K399">_xlfn.IFS(Table4_2[[#This Row],[Growth Days]]&lt;=14,"Seedling",Table4_2[[#This Row],[Growth Days]]&lt;=35, "Vegetative",Table4_2[[#This Row],[Growth Days]]&lt;=50, "Maturity")</f>
        <v>Seedling</v>
      </c>
      <c r="L399" t="str">
        <f>IF(Table4_2[[#This Row],[TDS Value (ppm)]]&lt;560, "Low", IF(Table4_2[[#This Row],[TDS Value (ppm)]]&lt;=800,"Optimal","High"))</f>
        <v>Low</v>
      </c>
    </row>
    <row r="400" spans="1:12" x14ac:dyDescent="0.25">
      <c r="A400">
        <v>66</v>
      </c>
      <c r="B400" s="1">
        <v>45159</v>
      </c>
      <c r="C400" s="1" t="str">
        <f>TEXT(Table4_2[[#This Row],[Date]],"dddd")</f>
        <v>Monday</v>
      </c>
      <c r="D400" s="21">
        <v>20.7</v>
      </c>
      <c r="E400" s="21">
        <v>63</v>
      </c>
      <c r="F400" s="21">
        <v>666</v>
      </c>
      <c r="G400" s="21">
        <v>6</v>
      </c>
      <c r="H400">
        <v>19</v>
      </c>
      <c r="I400">
        <v>69.260000000000005</v>
      </c>
      <c r="J400">
        <v>0.63</v>
      </c>
      <c r="K400" t="str" cm="1">
        <f t="array" ref="K400">_xlfn.IFS(Table4_2[[#This Row],[Growth Days]]&lt;=14,"Seedling",Table4_2[[#This Row],[Growth Days]]&lt;=35, "Vegetative",Table4_2[[#This Row],[Growth Days]]&lt;=50, "Maturity")</f>
        <v>Vegetative</v>
      </c>
      <c r="L400" t="str">
        <f>IF(Table4_2[[#This Row],[TDS Value (ppm)]]&lt;560, "Low", IF(Table4_2[[#This Row],[TDS Value (ppm)]]&lt;=800,"Optimal","High"))</f>
        <v>Optimal</v>
      </c>
    </row>
    <row r="401" spans="1:12" x14ac:dyDescent="0.25">
      <c r="A401">
        <v>66</v>
      </c>
      <c r="B401" s="1">
        <v>45166</v>
      </c>
      <c r="C401" s="1" t="str">
        <f>TEXT(Table4_2[[#This Row],[Date]],"dddd")</f>
        <v>Monday</v>
      </c>
      <c r="D401" s="21">
        <v>20.3</v>
      </c>
      <c r="E401" s="21">
        <v>53</v>
      </c>
      <c r="F401" s="21">
        <v>648</v>
      </c>
      <c r="G401" s="21">
        <v>6.5</v>
      </c>
      <c r="H401">
        <v>26</v>
      </c>
      <c r="I401">
        <v>68.540000000000006</v>
      </c>
      <c r="J401">
        <v>0.53</v>
      </c>
      <c r="K401" t="str" cm="1">
        <f t="array" ref="K401">_xlfn.IFS(Table4_2[[#This Row],[Growth Days]]&lt;=14,"Seedling",Table4_2[[#This Row],[Growth Days]]&lt;=35, "Vegetative",Table4_2[[#This Row],[Growth Days]]&lt;=50, "Maturity")</f>
        <v>Vegetative</v>
      </c>
      <c r="L401" t="str">
        <f>IF(Table4_2[[#This Row],[TDS Value (ppm)]]&lt;560, "Low", IF(Table4_2[[#This Row],[TDS Value (ppm)]]&lt;=800,"Optimal","High"))</f>
        <v>Optimal</v>
      </c>
    </row>
    <row r="402" spans="1:12" x14ac:dyDescent="0.25">
      <c r="A402">
        <v>66</v>
      </c>
      <c r="B402" s="1">
        <v>45173</v>
      </c>
      <c r="C402" s="1" t="str">
        <f>TEXT(Table4_2[[#This Row],[Date]],"dddd")</f>
        <v>Monday</v>
      </c>
      <c r="D402" s="21">
        <v>18.899999999999999</v>
      </c>
      <c r="E402" s="21">
        <v>75</v>
      </c>
      <c r="F402" s="21">
        <v>461</v>
      </c>
      <c r="G402" s="21">
        <v>6.1</v>
      </c>
      <c r="H402">
        <v>33</v>
      </c>
      <c r="I402">
        <v>66.02</v>
      </c>
      <c r="J402">
        <v>0.75</v>
      </c>
      <c r="K402" t="str" cm="1">
        <f t="array" ref="K402">_xlfn.IFS(Table4_2[[#This Row],[Growth Days]]&lt;=14,"Seedling",Table4_2[[#This Row],[Growth Days]]&lt;=35, "Vegetative",Table4_2[[#This Row],[Growth Days]]&lt;=50, "Maturity")</f>
        <v>Vegetative</v>
      </c>
      <c r="L402" t="str">
        <f>IF(Table4_2[[#This Row],[TDS Value (ppm)]]&lt;560, "Low", IF(Table4_2[[#This Row],[TDS Value (ppm)]]&lt;=800,"Optimal","High"))</f>
        <v>Low</v>
      </c>
    </row>
    <row r="403" spans="1:12" x14ac:dyDescent="0.25">
      <c r="A403">
        <v>66</v>
      </c>
      <c r="B403" s="1">
        <v>45180</v>
      </c>
      <c r="C403" s="1" t="str">
        <f>TEXT(Table4_2[[#This Row],[Date]],"dddd")</f>
        <v>Monday</v>
      </c>
      <c r="D403" s="21">
        <v>18.5</v>
      </c>
      <c r="E403" s="21">
        <v>58</v>
      </c>
      <c r="F403" s="21">
        <v>784</v>
      </c>
      <c r="G403" s="21">
        <v>6.1</v>
      </c>
      <c r="H403">
        <v>40</v>
      </c>
      <c r="I403">
        <v>65.3</v>
      </c>
      <c r="J403">
        <v>0.57999999999999996</v>
      </c>
      <c r="K403" t="str" cm="1">
        <f t="array" ref="K403">_xlfn.IFS(Table4_2[[#This Row],[Growth Days]]&lt;=14,"Seedling",Table4_2[[#This Row],[Growth Days]]&lt;=35, "Vegetative",Table4_2[[#This Row],[Growth Days]]&lt;=50, "Maturity")</f>
        <v>Maturity</v>
      </c>
      <c r="L403" t="str">
        <f>IF(Table4_2[[#This Row],[TDS Value (ppm)]]&lt;560, "Low", IF(Table4_2[[#This Row],[TDS Value (ppm)]]&lt;=800,"Optimal","High"))</f>
        <v>Optimal</v>
      </c>
    </row>
    <row r="404" spans="1:12" x14ac:dyDescent="0.25">
      <c r="A404">
        <v>67</v>
      </c>
      <c r="B404" s="1">
        <v>45145</v>
      </c>
      <c r="C404" s="1" t="str">
        <f>TEXT(Table4_2[[#This Row],[Date]],"dddd")</f>
        <v>Monday</v>
      </c>
      <c r="D404" s="21">
        <v>18.2</v>
      </c>
      <c r="E404" s="21">
        <v>61</v>
      </c>
      <c r="F404" s="21">
        <v>605</v>
      </c>
      <c r="G404" s="21">
        <v>6.3</v>
      </c>
      <c r="H404">
        <v>5</v>
      </c>
      <c r="I404">
        <v>64.760000000000005</v>
      </c>
      <c r="J404">
        <v>0.61</v>
      </c>
      <c r="K404" t="str" cm="1">
        <f t="array" ref="K404">_xlfn.IFS(Table4_2[[#This Row],[Growth Days]]&lt;=14,"Seedling",Table4_2[[#This Row],[Growth Days]]&lt;=35, "Vegetative",Table4_2[[#This Row],[Growth Days]]&lt;=50, "Maturity")</f>
        <v>Seedling</v>
      </c>
      <c r="L404" t="str">
        <f>IF(Table4_2[[#This Row],[TDS Value (ppm)]]&lt;560, "Low", IF(Table4_2[[#This Row],[TDS Value (ppm)]]&lt;=800,"Optimal","High"))</f>
        <v>Optimal</v>
      </c>
    </row>
    <row r="405" spans="1:12" x14ac:dyDescent="0.25">
      <c r="A405">
        <v>67</v>
      </c>
      <c r="B405" s="1">
        <v>45152</v>
      </c>
      <c r="C405" s="1" t="str">
        <f>TEXT(Table4_2[[#This Row],[Date]],"dddd")</f>
        <v>Monday</v>
      </c>
      <c r="D405" s="21">
        <v>23.7</v>
      </c>
      <c r="E405" s="21">
        <v>60</v>
      </c>
      <c r="F405" s="21">
        <v>419</v>
      </c>
      <c r="G405" s="21">
        <v>6.6</v>
      </c>
      <c r="H405">
        <v>12</v>
      </c>
      <c r="I405">
        <v>74.66</v>
      </c>
      <c r="J405">
        <v>0.6</v>
      </c>
      <c r="K405" t="str" cm="1">
        <f t="array" ref="K405">_xlfn.IFS(Table4_2[[#This Row],[Growth Days]]&lt;=14,"Seedling",Table4_2[[#This Row],[Growth Days]]&lt;=35, "Vegetative",Table4_2[[#This Row],[Growth Days]]&lt;=50, "Maturity")</f>
        <v>Seedling</v>
      </c>
      <c r="L405" t="str">
        <f>IF(Table4_2[[#This Row],[TDS Value (ppm)]]&lt;560, "Low", IF(Table4_2[[#This Row],[TDS Value (ppm)]]&lt;=800,"Optimal","High"))</f>
        <v>Low</v>
      </c>
    </row>
    <row r="406" spans="1:12" x14ac:dyDescent="0.25">
      <c r="A406">
        <v>67</v>
      </c>
      <c r="B406" s="1">
        <v>45159</v>
      </c>
      <c r="C406" s="1" t="str">
        <f>TEXT(Table4_2[[#This Row],[Date]],"dddd")</f>
        <v>Monday</v>
      </c>
      <c r="D406" s="21">
        <v>21.4</v>
      </c>
      <c r="E406" s="21">
        <v>56</v>
      </c>
      <c r="F406" s="21">
        <v>759</v>
      </c>
      <c r="G406" s="21">
        <v>6.6</v>
      </c>
      <c r="H406">
        <v>19</v>
      </c>
      <c r="I406">
        <v>70.52</v>
      </c>
      <c r="J406">
        <v>0.56000000000000005</v>
      </c>
      <c r="K406" t="str" cm="1">
        <f t="array" ref="K406">_xlfn.IFS(Table4_2[[#This Row],[Growth Days]]&lt;=14,"Seedling",Table4_2[[#This Row],[Growth Days]]&lt;=35, "Vegetative",Table4_2[[#This Row],[Growth Days]]&lt;=50, "Maturity")</f>
        <v>Vegetative</v>
      </c>
      <c r="L406" t="str">
        <f>IF(Table4_2[[#This Row],[TDS Value (ppm)]]&lt;560, "Low", IF(Table4_2[[#This Row],[TDS Value (ppm)]]&lt;=800,"Optimal","High"))</f>
        <v>Optimal</v>
      </c>
    </row>
    <row r="407" spans="1:12" x14ac:dyDescent="0.25">
      <c r="A407">
        <v>67</v>
      </c>
      <c r="B407" s="1">
        <v>45166</v>
      </c>
      <c r="C407" s="1" t="str">
        <f>TEXT(Table4_2[[#This Row],[Date]],"dddd")</f>
        <v>Monday</v>
      </c>
      <c r="D407" s="21">
        <v>18.8</v>
      </c>
      <c r="E407" s="21">
        <v>57</v>
      </c>
      <c r="F407" s="21">
        <v>798</v>
      </c>
      <c r="G407" s="21">
        <v>6</v>
      </c>
      <c r="H407">
        <v>26</v>
      </c>
      <c r="I407">
        <v>65.84</v>
      </c>
      <c r="J407">
        <v>0.56999999999999995</v>
      </c>
      <c r="K407" t="str" cm="1">
        <f t="array" ref="K407">_xlfn.IFS(Table4_2[[#This Row],[Growth Days]]&lt;=14,"Seedling",Table4_2[[#This Row],[Growth Days]]&lt;=35, "Vegetative",Table4_2[[#This Row],[Growth Days]]&lt;=50, "Maturity")</f>
        <v>Vegetative</v>
      </c>
      <c r="L407" t="str">
        <f>IF(Table4_2[[#This Row],[TDS Value (ppm)]]&lt;560, "Low", IF(Table4_2[[#This Row],[TDS Value (ppm)]]&lt;=800,"Optimal","High"))</f>
        <v>Optimal</v>
      </c>
    </row>
    <row r="408" spans="1:12" x14ac:dyDescent="0.25">
      <c r="A408">
        <v>67</v>
      </c>
      <c r="B408" s="1">
        <v>45173</v>
      </c>
      <c r="C408" s="1" t="str">
        <f>TEXT(Table4_2[[#This Row],[Date]],"dddd")</f>
        <v>Monday</v>
      </c>
      <c r="D408" s="21">
        <v>21.6</v>
      </c>
      <c r="E408" s="21">
        <v>67</v>
      </c>
      <c r="F408" s="21">
        <v>448</v>
      </c>
      <c r="G408" s="21">
        <v>6.5</v>
      </c>
      <c r="H408">
        <v>33</v>
      </c>
      <c r="I408">
        <v>70.88</v>
      </c>
      <c r="J408">
        <v>0.67</v>
      </c>
      <c r="K408" t="str" cm="1">
        <f t="array" ref="K408">_xlfn.IFS(Table4_2[[#This Row],[Growth Days]]&lt;=14,"Seedling",Table4_2[[#This Row],[Growth Days]]&lt;=35, "Vegetative",Table4_2[[#This Row],[Growth Days]]&lt;=50, "Maturity")</f>
        <v>Vegetative</v>
      </c>
      <c r="L408" t="str">
        <f>IF(Table4_2[[#This Row],[TDS Value (ppm)]]&lt;560, "Low", IF(Table4_2[[#This Row],[TDS Value (ppm)]]&lt;=800,"Optimal","High"))</f>
        <v>Low</v>
      </c>
    </row>
    <row r="409" spans="1:12" x14ac:dyDescent="0.25">
      <c r="A409">
        <v>67</v>
      </c>
      <c r="B409" s="1">
        <v>45180</v>
      </c>
      <c r="C409" s="1" t="str">
        <f>TEXT(Table4_2[[#This Row],[Date]],"dddd")</f>
        <v>Monday</v>
      </c>
      <c r="D409" s="21">
        <v>19.600000000000001</v>
      </c>
      <c r="E409" s="21">
        <v>72</v>
      </c>
      <c r="F409" s="21">
        <v>509</v>
      </c>
      <c r="G409" s="21">
        <v>6.7</v>
      </c>
      <c r="H409">
        <v>40</v>
      </c>
      <c r="I409">
        <v>67.28</v>
      </c>
      <c r="J409">
        <v>0.72</v>
      </c>
      <c r="K409" t="str" cm="1">
        <f t="array" ref="K409">_xlfn.IFS(Table4_2[[#This Row],[Growth Days]]&lt;=14,"Seedling",Table4_2[[#This Row],[Growth Days]]&lt;=35, "Vegetative",Table4_2[[#This Row],[Growth Days]]&lt;=50, "Maturity")</f>
        <v>Maturity</v>
      </c>
      <c r="L409" t="str">
        <f>IF(Table4_2[[#This Row],[TDS Value (ppm)]]&lt;560, "Low", IF(Table4_2[[#This Row],[TDS Value (ppm)]]&lt;=800,"Optimal","High"))</f>
        <v>Low</v>
      </c>
    </row>
    <row r="410" spans="1:12" x14ac:dyDescent="0.25">
      <c r="A410">
        <v>68</v>
      </c>
      <c r="B410" s="1">
        <v>45145</v>
      </c>
      <c r="C410" s="1" t="str">
        <f>TEXT(Table4_2[[#This Row],[Date]],"dddd")</f>
        <v>Monday</v>
      </c>
      <c r="D410" s="21">
        <v>23.5</v>
      </c>
      <c r="E410" s="21">
        <v>80</v>
      </c>
      <c r="F410" s="21">
        <v>647</v>
      </c>
      <c r="G410" s="21">
        <v>6.2</v>
      </c>
      <c r="H410">
        <v>5</v>
      </c>
      <c r="I410">
        <v>74.3</v>
      </c>
      <c r="J410">
        <v>0.8</v>
      </c>
      <c r="K410" t="str" cm="1">
        <f t="array" ref="K410">_xlfn.IFS(Table4_2[[#This Row],[Growth Days]]&lt;=14,"Seedling",Table4_2[[#This Row],[Growth Days]]&lt;=35, "Vegetative",Table4_2[[#This Row],[Growth Days]]&lt;=50, "Maturity")</f>
        <v>Seedling</v>
      </c>
      <c r="L410" t="str">
        <f>IF(Table4_2[[#This Row],[TDS Value (ppm)]]&lt;560, "Low", IF(Table4_2[[#This Row],[TDS Value (ppm)]]&lt;=800,"Optimal","High"))</f>
        <v>Optimal</v>
      </c>
    </row>
    <row r="411" spans="1:12" x14ac:dyDescent="0.25">
      <c r="A411">
        <v>68</v>
      </c>
      <c r="B411" s="1">
        <v>45152</v>
      </c>
      <c r="C411" s="1" t="str">
        <f>TEXT(Table4_2[[#This Row],[Date]],"dddd")</f>
        <v>Monday</v>
      </c>
      <c r="D411" s="21">
        <v>23</v>
      </c>
      <c r="E411" s="21">
        <v>51</v>
      </c>
      <c r="F411" s="21">
        <v>737</v>
      </c>
      <c r="G411" s="21">
        <v>6.6</v>
      </c>
      <c r="H411">
        <v>12</v>
      </c>
      <c r="I411">
        <v>73.400000000000006</v>
      </c>
      <c r="J411">
        <v>0.51</v>
      </c>
      <c r="K411" t="str" cm="1">
        <f t="array" ref="K411">_xlfn.IFS(Table4_2[[#This Row],[Growth Days]]&lt;=14,"Seedling",Table4_2[[#This Row],[Growth Days]]&lt;=35, "Vegetative",Table4_2[[#This Row],[Growth Days]]&lt;=50, "Maturity")</f>
        <v>Seedling</v>
      </c>
      <c r="L411" t="str">
        <f>IF(Table4_2[[#This Row],[TDS Value (ppm)]]&lt;560, "Low", IF(Table4_2[[#This Row],[TDS Value (ppm)]]&lt;=800,"Optimal","High"))</f>
        <v>Optimal</v>
      </c>
    </row>
    <row r="412" spans="1:12" x14ac:dyDescent="0.25">
      <c r="A412">
        <v>68</v>
      </c>
      <c r="B412" s="1">
        <v>45159</v>
      </c>
      <c r="C412" s="1" t="str">
        <f>TEXT(Table4_2[[#This Row],[Date]],"dddd")</f>
        <v>Monday</v>
      </c>
      <c r="D412" s="21">
        <v>19.7</v>
      </c>
      <c r="E412" s="21">
        <v>57</v>
      </c>
      <c r="F412" s="21">
        <v>513</v>
      </c>
      <c r="G412" s="21">
        <v>6.2</v>
      </c>
      <c r="H412">
        <v>19</v>
      </c>
      <c r="I412">
        <v>67.459999999999994</v>
      </c>
      <c r="J412">
        <v>0.56999999999999995</v>
      </c>
      <c r="K412" t="str" cm="1">
        <f t="array" ref="K412">_xlfn.IFS(Table4_2[[#This Row],[Growth Days]]&lt;=14,"Seedling",Table4_2[[#This Row],[Growth Days]]&lt;=35, "Vegetative",Table4_2[[#This Row],[Growth Days]]&lt;=50, "Maturity")</f>
        <v>Vegetative</v>
      </c>
      <c r="L412" t="str">
        <f>IF(Table4_2[[#This Row],[TDS Value (ppm)]]&lt;560, "Low", IF(Table4_2[[#This Row],[TDS Value (ppm)]]&lt;=800,"Optimal","High"))</f>
        <v>Low</v>
      </c>
    </row>
    <row r="413" spans="1:12" x14ac:dyDescent="0.25">
      <c r="A413">
        <v>68</v>
      </c>
      <c r="B413" s="1">
        <v>45166</v>
      </c>
      <c r="C413" s="1" t="str">
        <f>TEXT(Table4_2[[#This Row],[Date]],"dddd")</f>
        <v>Monday</v>
      </c>
      <c r="D413" s="21">
        <v>20.399999999999999</v>
      </c>
      <c r="E413" s="21">
        <v>55</v>
      </c>
      <c r="F413" s="21">
        <v>752</v>
      </c>
      <c r="G413" s="21">
        <v>6.7</v>
      </c>
      <c r="H413">
        <v>26</v>
      </c>
      <c r="I413">
        <v>68.72</v>
      </c>
      <c r="J413">
        <v>0.55000000000000004</v>
      </c>
      <c r="K413" t="str" cm="1">
        <f t="array" ref="K413">_xlfn.IFS(Table4_2[[#This Row],[Growth Days]]&lt;=14,"Seedling",Table4_2[[#This Row],[Growth Days]]&lt;=35, "Vegetative",Table4_2[[#This Row],[Growth Days]]&lt;=50, "Maturity")</f>
        <v>Vegetative</v>
      </c>
      <c r="L413" t="str">
        <f>IF(Table4_2[[#This Row],[TDS Value (ppm)]]&lt;560, "Low", IF(Table4_2[[#This Row],[TDS Value (ppm)]]&lt;=800,"Optimal","High"))</f>
        <v>Optimal</v>
      </c>
    </row>
    <row r="414" spans="1:12" x14ac:dyDescent="0.25">
      <c r="A414">
        <v>68</v>
      </c>
      <c r="B414" s="1">
        <v>45173</v>
      </c>
      <c r="C414" s="1" t="str">
        <f>TEXT(Table4_2[[#This Row],[Date]],"dddd")</f>
        <v>Monday</v>
      </c>
      <c r="D414" s="21">
        <v>19.100000000000001</v>
      </c>
      <c r="E414" s="21">
        <v>75</v>
      </c>
      <c r="F414" s="21">
        <v>525</v>
      </c>
      <c r="G414" s="21">
        <v>6.5</v>
      </c>
      <c r="H414">
        <v>33</v>
      </c>
      <c r="I414">
        <v>66.38</v>
      </c>
      <c r="J414">
        <v>0.75</v>
      </c>
      <c r="K414" t="str" cm="1">
        <f t="array" ref="K414">_xlfn.IFS(Table4_2[[#This Row],[Growth Days]]&lt;=14,"Seedling",Table4_2[[#This Row],[Growth Days]]&lt;=35, "Vegetative",Table4_2[[#This Row],[Growth Days]]&lt;=50, "Maturity")</f>
        <v>Vegetative</v>
      </c>
      <c r="L414" t="str">
        <f>IF(Table4_2[[#This Row],[TDS Value (ppm)]]&lt;560, "Low", IF(Table4_2[[#This Row],[TDS Value (ppm)]]&lt;=800,"Optimal","High"))</f>
        <v>Low</v>
      </c>
    </row>
    <row r="415" spans="1:12" x14ac:dyDescent="0.25">
      <c r="A415">
        <v>68</v>
      </c>
      <c r="B415" s="1">
        <v>45180</v>
      </c>
      <c r="C415" s="1" t="str">
        <f>TEXT(Table4_2[[#This Row],[Date]],"dddd")</f>
        <v>Monday</v>
      </c>
      <c r="D415" s="21">
        <v>18.899999999999999</v>
      </c>
      <c r="E415" s="21">
        <v>60</v>
      </c>
      <c r="F415" s="21">
        <v>436</v>
      </c>
      <c r="G415" s="21">
        <v>6.4</v>
      </c>
      <c r="H415">
        <v>40</v>
      </c>
      <c r="I415">
        <v>66.02</v>
      </c>
      <c r="J415">
        <v>0.6</v>
      </c>
      <c r="K415" t="str" cm="1">
        <f t="array" ref="K415">_xlfn.IFS(Table4_2[[#This Row],[Growth Days]]&lt;=14,"Seedling",Table4_2[[#This Row],[Growth Days]]&lt;=35, "Vegetative",Table4_2[[#This Row],[Growth Days]]&lt;=50, "Maturity")</f>
        <v>Maturity</v>
      </c>
      <c r="L415" t="str">
        <f>IF(Table4_2[[#This Row],[TDS Value (ppm)]]&lt;560, "Low", IF(Table4_2[[#This Row],[TDS Value (ppm)]]&lt;=800,"Optimal","High"))</f>
        <v>Low</v>
      </c>
    </row>
    <row r="416" spans="1:12" x14ac:dyDescent="0.25">
      <c r="A416">
        <v>69</v>
      </c>
      <c r="B416" s="1">
        <v>45145</v>
      </c>
      <c r="C416" s="1" t="str">
        <f>TEXT(Table4_2[[#This Row],[Date]],"dddd")</f>
        <v>Monday</v>
      </c>
      <c r="D416" s="21">
        <v>21</v>
      </c>
      <c r="E416" s="21">
        <v>64</v>
      </c>
      <c r="F416" s="21">
        <v>531</v>
      </c>
      <c r="G416" s="21">
        <v>6.3</v>
      </c>
      <c r="H416">
        <v>5</v>
      </c>
      <c r="I416">
        <v>69.8</v>
      </c>
      <c r="J416">
        <v>0.64</v>
      </c>
      <c r="K416" t="str" cm="1">
        <f t="array" ref="K416">_xlfn.IFS(Table4_2[[#This Row],[Growth Days]]&lt;=14,"Seedling",Table4_2[[#This Row],[Growth Days]]&lt;=35, "Vegetative",Table4_2[[#This Row],[Growth Days]]&lt;=50, "Maturity")</f>
        <v>Seedling</v>
      </c>
      <c r="L416" t="str">
        <f>IF(Table4_2[[#This Row],[TDS Value (ppm)]]&lt;560, "Low", IF(Table4_2[[#This Row],[TDS Value (ppm)]]&lt;=800,"Optimal","High"))</f>
        <v>Low</v>
      </c>
    </row>
    <row r="417" spans="1:12" x14ac:dyDescent="0.25">
      <c r="A417">
        <v>69</v>
      </c>
      <c r="B417" s="1">
        <v>45152</v>
      </c>
      <c r="C417" s="1" t="str">
        <f>TEXT(Table4_2[[#This Row],[Date]],"dddd")</f>
        <v>Monday</v>
      </c>
      <c r="D417" s="21">
        <v>22.5</v>
      </c>
      <c r="E417" s="21">
        <v>58</v>
      </c>
      <c r="F417" s="21">
        <v>703</v>
      </c>
      <c r="G417" s="21">
        <v>6.4</v>
      </c>
      <c r="H417">
        <v>12</v>
      </c>
      <c r="I417">
        <v>72.5</v>
      </c>
      <c r="J417">
        <v>0.57999999999999996</v>
      </c>
      <c r="K417" t="str" cm="1">
        <f t="array" ref="K417">_xlfn.IFS(Table4_2[[#This Row],[Growth Days]]&lt;=14,"Seedling",Table4_2[[#This Row],[Growth Days]]&lt;=35, "Vegetative",Table4_2[[#This Row],[Growth Days]]&lt;=50, "Maturity")</f>
        <v>Seedling</v>
      </c>
      <c r="L417" t="str">
        <f>IF(Table4_2[[#This Row],[TDS Value (ppm)]]&lt;560, "Low", IF(Table4_2[[#This Row],[TDS Value (ppm)]]&lt;=800,"Optimal","High"))</f>
        <v>Optimal</v>
      </c>
    </row>
    <row r="418" spans="1:12" x14ac:dyDescent="0.25">
      <c r="A418">
        <v>69</v>
      </c>
      <c r="B418" s="1">
        <v>45159</v>
      </c>
      <c r="C418" s="1" t="str">
        <f>TEXT(Table4_2[[#This Row],[Date]],"dddd")</f>
        <v>Monday</v>
      </c>
      <c r="D418" s="21">
        <v>21.8</v>
      </c>
      <c r="E418" s="21">
        <v>64</v>
      </c>
      <c r="F418" s="21">
        <v>583</v>
      </c>
      <c r="G418" s="21">
        <v>6.6</v>
      </c>
      <c r="H418">
        <v>19</v>
      </c>
      <c r="I418">
        <v>71.239999999999995</v>
      </c>
      <c r="J418">
        <v>0.64</v>
      </c>
      <c r="K418" t="str" cm="1">
        <f t="array" ref="K418">_xlfn.IFS(Table4_2[[#This Row],[Growth Days]]&lt;=14,"Seedling",Table4_2[[#This Row],[Growth Days]]&lt;=35, "Vegetative",Table4_2[[#This Row],[Growth Days]]&lt;=50, "Maturity")</f>
        <v>Vegetative</v>
      </c>
      <c r="L418" t="str">
        <f>IF(Table4_2[[#This Row],[TDS Value (ppm)]]&lt;560, "Low", IF(Table4_2[[#This Row],[TDS Value (ppm)]]&lt;=800,"Optimal","High"))</f>
        <v>Optimal</v>
      </c>
    </row>
    <row r="419" spans="1:12" x14ac:dyDescent="0.25">
      <c r="A419">
        <v>69</v>
      </c>
      <c r="B419" s="1">
        <v>45166</v>
      </c>
      <c r="C419" s="1" t="str">
        <f>TEXT(Table4_2[[#This Row],[Date]],"dddd")</f>
        <v>Monday</v>
      </c>
      <c r="D419" s="21">
        <v>23</v>
      </c>
      <c r="E419" s="21">
        <v>52</v>
      </c>
      <c r="F419" s="21">
        <v>592</v>
      </c>
      <c r="G419" s="21">
        <v>6.1</v>
      </c>
      <c r="H419">
        <v>26</v>
      </c>
      <c r="I419">
        <v>73.400000000000006</v>
      </c>
      <c r="J419">
        <v>0.52</v>
      </c>
      <c r="K419" t="str" cm="1">
        <f t="array" ref="K419">_xlfn.IFS(Table4_2[[#This Row],[Growth Days]]&lt;=14,"Seedling",Table4_2[[#This Row],[Growth Days]]&lt;=35, "Vegetative",Table4_2[[#This Row],[Growth Days]]&lt;=50, "Maturity")</f>
        <v>Vegetative</v>
      </c>
      <c r="L419" t="str">
        <f>IF(Table4_2[[#This Row],[TDS Value (ppm)]]&lt;560, "Low", IF(Table4_2[[#This Row],[TDS Value (ppm)]]&lt;=800,"Optimal","High"))</f>
        <v>Optimal</v>
      </c>
    </row>
    <row r="420" spans="1:12" x14ac:dyDescent="0.25">
      <c r="A420">
        <v>69</v>
      </c>
      <c r="B420" s="1">
        <v>45173</v>
      </c>
      <c r="C420" s="1" t="str">
        <f>TEXT(Table4_2[[#This Row],[Date]],"dddd")</f>
        <v>Monday</v>
      </c>
      <c r="D420" s="21">
        <v>19.7</v>
      </c>
      <c r="E420" s="21">
        <v>73</v>
      </c>
      <c r="F420" s="21">
        <v>764</v>
      </c>
      <c r="G420" s="21">
        <v>6.3</v>
      </c>
      <c r="H420">
        <v>33</v>
      </c>
      <c r="I420">
        <v>67.459999999999994</v>
      </c>
      <c r="J420">
        <v>0.73</v>
      </c>
      <c r="K420" t="str" cm="1">
        <f t="array" ref="K420">_xlfn.IFS(Table4_2[[#This Row],[Growth Days]]&lt;=14,"Seedling",Table4_2[[#This Row],[Growth Days]]&lt;=35, "Vegetative",Table4_2[[#This Row],[Growth Days]]&lt;=50, "Maturity")</f>
        <v>Vegetative</v>
      </c>
      <c r="L420" t="str">
        <f>IF(Table4_2[[#This Row],[TDS Value (ppm)]]&lt;560, "Low", IF(Table4_2[[#This Row],[TDS Value (ppm)]]&lt;=800,"Optimal","High"))</f>
        <v>Optimal</v>
      </c>
    </row>
    <row r="421" spans="1:12" x14ac:dyDescent="0.25">
      <c r="A421">
        <v>69</v>
      </c>
      <c r="B421" s="1">
        <v>45180</v>
      </c>
      <c r="C421" s="1" t="str">
        <f>TEXT(Table4_2[[#This Row],[Date]],"dddd")</f>
        <v>Monday</v>
      </c>
      <c r="D421" s="21">
        <v>23.6</v>
      </c>
      <c r="E421" s="21">
        <v>80</v>
      </c>
      <c r="F421" s="21">
        <v>757</v>
      </c>
      <c r="G421" s="21">
        <v>6.3</v>
      </c>
      <c r="H421">
        <v>40</v>
      </c>
      <c r="I421">
        <v>74.48</v>
      </c>
      <c r="J421">
        <v>0.8</v>
      </c>
      <c r="K421" t="str" cm="1">
        <f t="array" ref="K421">_xlfn.IFS(Table4_2[[#This Row],[Growth Days]]&lt;=14,"Seedling",Table4_2[[#This Row],[Growth Days]]&lt;=35, "Vegetative",Table4_2[[#This Row],[Growth Days]]&lt;=50, "Maturity")</f>
        <v>Maturity</v>
      </c>
      <c r="L421" t="str">
        <f>IF(Table4_2[[#This Row],[TDS Value (ppm)]]&lt;560, "Low", IF(Table4_2[[#This Row],[TDS Value (ppm)]]&lt;=800,"Optimal","High"))</f>
        <v>Optimal</v>
      </c>
    </row>
    <row r="422" spans="1:12" x14ac:dyDescent="0.25">
      <c r="A422">
        <v>70</v>
      </c>
      <c r="B422" s="1">
        <v>45145</v>
      </c>
      <c r="C422" s="1" t="str">
        <f>TEXT(Table4_2[[#This Row],[Date]],"dddd")</f>
        <v>Monday</v>
      </c>
      <c r="D422" s="21">
        <v>20</v>
      </c>
      <c r="E422" s="21">
        <v>51</v>
      </c>
      <c r="F422" s="21">
        <v>766</v>
      </c>
      <c r="G422" s="21">
        <v>6.3</v>
      </c>
      <c r="H422">
        <v>5</v>
      </c>
      <c r="I422">
        <v>68</v>
      </c>
      <c r="J422">
        <v>0.51</v>
      </c>
      <c r="K422" t="str" cm="1">
        <f t="array" ref="K422">_xlfn.IFS(Table4_2[[#This Row],[Growth Days]]&lt;=14,"Seedling",Table4_2[[#This Row],[Growth Days]]&lt;=35, "Vegetative",Table4_2[[#This Row],[Growth Days]]&lt;=50, "Maturity")</f>
        <v>Seedling</v>
      </c>
      <c r="L422" t="str">
        <f>IF(Table4_2[[#This Row],[TDS Value (ppm)]]&lt;560, "Low", IF(Table4_2[[#This Row],[TDS Value (ppm)]]&lt;=800,"Optimal","High"))</f>
        <v>Optimal</v>
      </c>
    </row>
    <row r="423" spans="1:12" x14ac:dyDescent="0.25">
      <c r="A423">
        <v>70</v>
      </c>
      <c r="B423" s="1">
        <v>45152</v>
      </c>
      <c r="C423" s="1" t="str">
        <f>TEXT(Table4_2[[#This Row],[Date]],"dddd")</f>
        <v>Monday</v>
      </c>
      <c r="D423" s="21">
        <v>20.100000000000001</v>
      </c>
      <c r="E423" s="21">
        <v>53</v>
      </c>
      <c r="F423" s="21">
        <v>593</v>
      </c>
      <c r="G423" s="21">
        <v>6</v>
      </c>
      <c r="H423">
        <v>12</v>
      </c>
      <c r="I423">
        <v>68.180000000000007</v>
      </c>
      <c r="J423">
        <v>0.53</v>
      </c>
      <c r="K423" t="str" cm="1">
        <f t="array" ref="K423">_xlfn.IFS(Table4_2[[#This Row],[Growth Days]]&lt;=14,"Seedling",Table4_2[[#This Row],[Growth Days]]&lt;=35, "Vegetative",Table4_2[[#This Row],[Growth Days]]&lt;=50, "Maturity")</f>
        <v>Seedling</v>
      </c>
      <c r="L423" t="str">
        <f>IF(Table4_2[[#This Row],[TDS Value (ppm)]]&lt;560, "Low", IF(Table4_2[[#This Row],[TDS Value (ppm)]]&lt;=800,"Optimal","High"))</f>
        <v>Optimal</v>
      </c>
    </row>
    <row r="424" spans="1:12" x14ac:dyDescent="0.25">
      <c r="A424">
        <v>70</v>
      </c>
      <c r="B424" s="1">
        <v>45159</v>
      </c>
      <c r="C424" s="1" t="str">
        <f>TEXT(Table4_2[[#This Row],[Date]],"dddd")</f>
        <v>Monday</v>
      </c>
      <c r="D424" s="21">
        <v>24.6</v>
      </c>
      <c r="E424" s="21">
        <v>62</v>
      </c>
      <c r="F424" s="21">
        <v>634</v>
      </c>
      <c r="G424" s="21">
        <v>6.7</v>
      </c>
      <c r="H424">
        <v>19</v>
      </c>
      <c r="I424">
        <v>76.28</v>
      </c>
      <c r="J424">
        <v>0.62</v>
      </c>
      <c r="K424" t="str" cm="1">
        <f t="array" ref="K424">_xlfn.IFS(Table4_2[[#This Row],[Growth Days]]&lt;=14,"Seedling",Table4_2[[#This Row],[Growth Days]]&lt;=35, "Vegetative",Table4_2[[#This Row],[Growth Days]]&lt;=50, "Maturity")</f>
        <v>Vegetative</v>
      </c>
      <c r="L424" t="str">
        <f>IF(Table4_2[[#This Row],[TDS Value (ppm)]]&lt;560, "Low", IF(Table4_2[[#This Row],[TDS Value (ppm)]]&lt;=800,"Optimal","High"))</f>
        <v>Optimal</v>
      </c>
    </row>
    <row r="425" spans="1:12" x14ac:dyDescent="0.25">
      <c r="A425">
        <v>70</v>
      </c>
      <c r="B425" s="1">
        <v>45166</v>
      </c>
      <c r="C425" s="1" t="str">
        <f>TEXT(Table4_2[[#This Row],[Date]],"dddd")</f>
        <v>Monday</v>
      </c>
      <c r="D425" s="21">
        <v>21.9</v>
      </c>
      <c r="E425" s="21">
        <v>76</v>
      </c>
      <c r="F425" s="21">
        <v>752</v>
      </c>
      <c r="G425" s="21">
        <v>6.7</v>
      </c>
      <c r="H425">
        <v>26</v>
      </c>
      <c r="I425">
        <v>71.42</v>
      </c>
      <c r="J425">
        <v>0.76</v>
      </c>
      <c r="K425" t="str" cm="1">
        <f t="array" ref="K425">_xlfn.IFS(Table4_2[[#This Row],[Growth Days]]&lt;=14,"Seedling",Table4_2[[#This Row],[Growth Days]]&lt;=35, "Vegetative",Table4_2[[#This Row],[Growth Days]]&lt;=50, "Maturity")</f>
        <v>Vegetative</v>
      </c>
      <c r="L425" t="str">
        <f>IF(Table4_2[[#This Row],[TDS Value (ppm)]]&lt;560, "Low", IF(Table4_2[[#This Row],[TDS Value (ppm)]]&lt;=800,"Optimal","High"))</f>
        <v>Optimal</v>
      </c>
    </row>
    <row r="426" spans="1:12" x14ac:dyDescent="0.25">
      <c r="A426">
        <v>70</v>
      </c>
      <c r="B426" s="1">
        <v>45173</v>
      </c>
      <c r="C426" s="1" t="str">
        <f>TEXT(Table4_2[[#This Row],[Date]],"dddd")</f>
        <v>Monday</v>
      </c>
      <c r="D426" s="21">
        <v>21.3</v>
      </c>
      <c r="E426" s="21">
        <v>74</v>
      </c>
      <c r="F426" s="21">
        <v>577</v>
      </c>
      <c r="G426" s="21">
        <v>6.2</v>
      </c>
      <c r="H426">
        <v>33</v>
      </c>
      <c r="I426">
        <v>70.34</v>
      </c>
      <c r="J426">
        <v>0.74</v>
      </c>
      <c r="K426" t="str" cm="1">
        <f t="array" ref="K426">_xlfn.IFS(Table4_2[[#This Row],[Growth Days]]&lt;=14,"Seedling",Table4_2[[#This Row],[Growth Days]]&lt;=35, "Vegetative",Table4_2[[#This Row],[Growth Days]]&lt;=50, "Maturity")</f>
        <v>Vegetative</v>
      </c>
      <c r="L426" t="str">
        <f>IF(Table4_2[[#This Row],[TDS Value (ppm)]]&lt;560, "Low", IF(Table4_2[[#This Row],[TDS Value (ppm)]]&lt;=800,"Optimal","High"))</f>
        <v>Optimal</v>
      </c>
    </row>
    <row r="427" spans="1:12" x14ac:dyDescent="0.25">
      <c r="A427">
        <v>70</v>
      </c>
      <c r="B427" s="1">
        <v>45180</v>
      </c>
      <c r="C427" s="1" t="str">
        <f>TEXT(Table4_2[[#This Row],[Date]],"dddd")</f>
        <v>Monday</v>
      </c>
      <c r="D427" s="21">
        <v>21.2</v>
      </c>
      <c r="E427" s="21">
        <v>66</v>
      </c>
      <c r="F427" s="21">
        <v>500</v>
      </c>
      <c r="G427" s="21">
        <v>6.8</v>
      </c>
      <c r="H427">
        <v>40</v>
      </c>
      <c r="I427">
        <v>70.16</v>
      </c>
      <c r="J427">
        <v>0.66</v>
      </c>
      <c r="K427" t="str" cm="1">
        <f t="array" ref="K427">_xlfn.IFS(Table4_2[[#This Row],[Growth Days]]&lt;=14,"Seedling",Table4_2[[#This Row],[Growth Days]]&lt;=35, "Vegetative",Table4_2[[#This Row],[Growth Days]]&lt;=50, "Maturity")</f>
        <v>Maturity</v>
      </c>
      <c r="L427" t="str">
        <f>IF(Table4_2[[#This Row],[TDS Value (ppm)]]&lt;560, "Low", IF(Table4_2[[#This Row],[TDS Value (ppm)]]&lt;=800,"Optimal","High"))</f>
        <v>Low</v>
      </c>
    </row>
    <row r="428" spans="1:12" x14ac:dyDescent="0.25">
      <c r="A428">
        <v>1</v>
      </c>
      <c r="B428" s="1">
        <v>45146</v>
      </c>
      <c r="C428" s="1" t="str">
        <f>TEXT(Table4_2[[#This Row],[Date]],"dddd")</f>
        <v>Tuesday</v>
      </c>
      <c r="D428" s="21">
        <v>32.299999999999997</v>
      </c>
      <c r="E428" s="21">
        <v>77</v>
      </c>
      <c r="F428" s="21">
        <v>478</v>
      </c>
      <c r="G428" s="21">
        <v>6.8</v>
      </c>
      <c r="H428">
        <v>6</v>
      </c>
      <c r="I428">
        <v>90.14</v>
      </c>
      <c r="J428">
        <v>0.77</v>
      </c>
      <c r="K428" t="str" cm="1">
        <f t="array" ref="K428">_xlfn.IFS(Table4_2[[#This Row],[Growth Days]]&lt;=14,"Seedling",Table4_2[[#This Row],[Growth Days]]&lt;=35, "Vegetative",Table4_2[[#This Row],[Growth Days]]&lt;=50, "Maturity")</f>
        <v>Seedling</v>
      </c>
      <c r="L428" t="str">
        <f>IF(Table4_2[[#This Row],[TDS Value (ppm)]]&lt;560, "Low", IF(Table4_2[[#This Row],[TDS Value (ppm)]]&lt;=800,"Optimal","High"))</f>
        <v>Low</v>
      </c>
    </row>
    <row r="429" spans="1:12" x14ac:dyDescent="0.25">
      <c r="A429">
        <v>1</v>
      </c>
      <c r="B429" s="1">
        <v>45153</v>
      </c>
      <c r="C429" s="1" t="str">
        <f>TEXT(Table4_2[[#This Row],[Date]],"dddd")</f>
        <v>Tuesday</v>
      </c>
      <c r="D429" s="21">
        <v>30.1</v>
      </c>
      <c r="E429" s="21">
        <v>78</v>
      </c>
      <c r="F429" s="21">
        <v>480</v>
      </c>
      <c r="G429" s="21">
        <v>6</v>
      </c>
      <c r="H429">
        <v>13</v>
      </c>
      <c r="I429">
        <v>86.18</v>
      </c>
      <c r="J429">
        <v>0.78</v>
      </c>
      <c r="K429" t="str" cm="1">
        <f t="array" ref="K429">_xlfn.IFS(Table4_2[[#This Row],[Growth Days]]&lt;=14,"Seedling",Table4_2[[#This Row],[Growth Days]]&lt;=35, "Vegetative",Table4_2[[#This Row],[Growth Days]]&lt;=50, "Maturity")</f>
        <v>Seedling</v>
      </c>
      <c r="L429" t="str">
        <f>IF(Table4_2[[#This Row],[TDS Value (ppm)]]&lt;560, "Low", IF(Table4_2[[#This Row],[TDS Value (ppm)]]&lt;=800,"Optimal","High"))</f>
        <v>Low</v>
      </c>
    </row>
    <row r="430" spans="1:12" x14ac:dyDescent="0.25">
      <c r="A430">
        <v>1</v>
      </c>
      <c r="B430" s="1">
        <v>45160</v>
      </c>
      <c r="C430" s="1" t="str">
        <f>TEXT(Table4_2[[#This Row],[Date]],"dddd")</f>
        <v>Tuesday</v>
      </c>
      <c r="D430" s="21">
        <v>30.5</v>
      </c>
      <c r="E430" s="21">
        <v>51</v>
      </c>
      <c r="F430" s="21">
        <v>527</v>
      </c>
      <c r="G430" s="21">
        <v>6.4</v>
      </c>
      <c r="H430">
        <v>20</v>
      </c>
      <c r="I430">
        <v>86.9</v>
      </c>
      <c r="J430">
        <v>0.51</v>
      </c>
      <c r="K430" t="str" cm="1">
        <f t="array" ref="K430">_xlfn.IFS(Table4_2[[#This Row],[Growth Days]]&lt;=14,"Seedling",Table4_2[[#This Row],[Growth Days]]&lt;=35, "Vegetative",Table4_2[[#This Row],[Growth Days]]&lt;=50, "Maturity")</f>
        <v>Vegetative</v>
      </c>
      <c r="L430" t="str">
        <f>IF(Table4_2[[#This Row],[TDS Value (ppm)]]&lt;560, "Low", IF(Table4_2[[#This Row],[TDS Value (ppm)]]&lt;=800,"Optimal","High"))</f>
        <v>Low</v>
      </c>
    </row>
    <row r="431" spans="1:12" x14ac:dyDescent="0.25">
      <c r="A431">
        <v>1</v>
      </c>
      <c r="B431" s="1">
        <v>45167</v>
      </c>
      <c r="C431" s="1" t="str">
        <f>TEXT(Table4_2[[#This Row],[Date]],"dddd")</f>
        <v>Tuesday</v>
      </c>
      <c r="D431" s="21">
        <v>28.7</v>
      </c>
      <c r="E431" s="21">
        <v>64</v>
      </c>
      <c r="F431" s="21">
        <v>451</v>
      </c>
      <c r="G431" s="21">
        <v>6.4</v>
      </c>
      <c r="H431">
        <v>27</v>
      </c>
      <c r="I431">
        <v>83.66</v>
      </c>
      <c r="J431">
        <v>0.64</v>
      </c>
      <c r="K431" t="str" cm="1">
        <f t="array" ref="K431">_xlfn.IFS(Table4_2[[#This Row],[Growth Days]]&lt;=14,"Seedling",Table4_2[[#This Row],[Growth Days]]&lt;=35, "Vegetative",Table4_2[[#This Row],[Growth Days]]&lt;=50, "Maturity")</f>
        <v>Vegetative</v>
      </c>
      <c r="L431" t="str">
        <f>IF(Table4_2[[#This Row],[TDS Value (ppm)]]&lt;560, "Low", IF(Table4_2[[#This Row],[TDS Value (ppm)]]&lt;=800,"Optimal","High"))</f>
        <v>Low</v>
      </c>
    </row>
    <row r="432" spans="1:12" x14ac:dyDescent="0.25">
      <c r="A432">
        <v>1</v>
      </c>
      <c r="B432" s="1">
        <v>45174</v>
      </c>
      <c r="C432" s="1" t="str">
        <f>TEXT(Table4_2[[#This Row],[Date]],"dddd")</f>
        <v>Tuesday</v>
      </c>
      <c r="D432" s="21">
        <v>32</v>
      </c>
      <c r="E432" s="21">
        <v>55</v>
      </c>
      <c r="F432" s="21">
        <v>743</v>
      </c>
      <c r="G432" s="21">
        <v>6.6</v>
      </c>
      <c r="H432">
        <v>34</v>
      </c>
      <c r="I432">
        <v>89.6</v>
      </c>
      <c r="J432">
        <v>0.55000000000000004</v>
      </c>
      <c r="K432" t="str" cm="1">
        <f t="array" ref="K432">_xlfn.IFS(Table4_2[[#This Row],[Growth Days]]&lt;=14,"Seedling",Table4_2[[#This Row],[Growth Days]]&lt;=35, "Vegetative",Table4_2[[#This Row],[Growth Days]]&lt;=50, "Maturity")</f>
        <v>Vegetative</v>
      </c>
      <c r="L432" t="str">
        <f>IF(Table4_2[[#This Row],[TDS Value (ppm)]]&lt;560, "Low", IF(Table4_2[[#This Row],[TDS Value (ppm)]]&lt;=800,"Optimal","High"))</f>
        <v>Optimal</v>
      </c>
    </row>
    <row r="433" spans="1:12" x14ac:dyDescent="0.25">
      <c r="A433">
        <v>1</v>
      </c>
      <c r="B433" s="1">
        <v>45181</v>
      </c>
      <c r="C433" s="1" t="str">
        <f>TEXT(Table4_2[[#This Row],[Date]],"dddd")</f>
        <v>Tuesday</v>
      </c>
      <c r="D433" s="21">
        <v>31.2</v>
      </c>
      <c r="E433" s="21">
        <v>62</v>
      </c>
      <c r="F433" s="21">
        <v>576</v>
      </c>
      <c r="G433" s="21">
        <v>6.7</v>
      </c>
      <c r="H433">
        <v>41</v>
      </c>
      <c r="I433">
        <v>88.16</v>
      </c>
      <c r="J433">
        <v>0.62</v>
      </c>
      <c r="K433" t="str" cm="1">
        <f t="array" ref="K433">_xlfn.IFS(Table4_2[[#This Row],[Growth Days]]&lt;=14,"Seedling",Table4_2[[#This Row],[Growth Days]]&lt;=35, "Vegetative",Table4_2[[#This Row],[Growth Days]]&lt;=50, "Maturity")</f>
        <v>Maturity</v>
      </c>
      <c r="L433" t="str">
        <f>IF(Table4_2[[#This Row],[TDS Value (ppm)]]&lt;560, "Low", IF(Table4_2[[#This Row],[TDS Value (ppm)]]&lt;=800,"Optimal","High"))</f>
        <v>Optimal</v>
      </c>
    </row>
    <row r="434" spans="1:12" x14ac:dyDescent="0.25">
      <c r="A434">
        <v>2</v>
      </c>
      <c r="B434" s="1">
        <v>45146</v>
      </c>
      <c r="C434" s="1" t="str">
        <f>TEXT(Table4_2[[#This Row],[Date]],"dddd")</f>
        <v>Tuesday</v>
      </c>
      <c r="D434" s="21">
        <v>32.299999999999997</v>
      </c>
      <c r="E434" s="21">
        <v>78</v>
      </c>
      <c r="F434" s="21">
        <v>697</v>
      </c>
      <c r="G434" s="21">
        <v>6.3</v>
      </c>
      <c r="H434">
        <v>6</v>
      </c>
      <c r="I434">
        <v>90.14</v>
      </c>
      <c r="J434">
        <v>0.78</v>
      </c>
      <c r="K434" t="str" cm="1">
        <f t="array" ref="K434">_xlfn.IFS(Table4_2[[#This Row],[Growth Days]]&lt;=14,"Seedling",Table4_2[[#This Row],[Growth Days]]&lt;=35, "Vegetative",Table4_2[[#This Row],[Growth Days]]&lt;=50, "Maturity")</f>
        <v>Seedling</v>
      </c>
      <c r="L434" t="str">
        <f>IF(Table4_2[[#This Row],[TDS Value (ppm)]]&lt;560, "Low", IF(Table4_2[[#This Row],[TDS Value (ppm)]]&lt;=800,"Optimal","High"))</f>
        <v>Optimal</v>
      </c>
    </row>
    <row r="435" spans="1:12" x14ac:dyDescent="0.25">
      <c r="A435">
        <v>2</v>
      </c>
      <c r="B435" s="1">
        <v>45153</v>
      </c>
      <c r="C435" s="1" t="str">
        <f>TEXT(Table4_2[[#This Row],[Date]],"dddd")</f>
        <v>Tuesday</v>
      </c>
      <c r="D435" s="21">
        <v>30.1</v>
      </c>
      <c r="E435" s="21">
        <v>75</v>
      </c>
      <c r="F435" s="21">
        <v>646</v>
      </c>
      <c r="G435" s="21">
        <v>6.3</v>
      </c>
      <c r="H435">
        <v>13</v>
      </c>
      <c r="I435">
        <v>86.18</v>
      </c>
      <c r="J435">
        <v>0.75</v>
      </c>
      <c r="K435" t="str" cm="1">
        <f t="array" ref="K435">_xlfn.IFS(Table4_2[[#This Row],[Growth Days]]&lt;=14,"Seedling",Table4_2[[#This Row],[Growth Days]]&lt;=35, "Vegetative",Table4_2[[#This Row],[Growth Days]]&lt;=50, "Maturity")</f>
        <v>Seedling</v>
      </c>
      <c r="L435" t="str">
        <f>IF(Table4_2[[#This Row],[TDS Value (ppm)]]&lt;560, "Low", IF(Table4_2[[#This Row],[TDS Value (ppm)]]&lt;=800,"Optimal","High"))</f>
        <v>Optimal</v>
      </c>
    </row>
    <row r="436" spans="1:12" x14ac:dyDescent="0.25">
      <c r="A436">
        <v>2</v>
      </c>
      <c r="B436" s="1">
        <v>45160</v>
      </c>
      <c r="C436" s="1" t="str">
        <f>TEXT(Table4_2[[#This Row],[Date]],"dddd")</f>
        <v>Tuesday</v>
      </c>
      <c r="D436" s="21">
        <v>30.5</v>
      </c>
      <c r="E436" s="21">
        <v>62</v>
      </c>
      <c r="F436" s="21">
        <v>732</v>
      </c>
      <c r="G436" s="21">
        <v>6.3</v>
      </c>
      <c r="H436">
        <v>20</v>
      </c>
      <c r="I436">
        <v>86.9</v>
      </c>
      <c r="J436">
        <v>0.62</v>
      </c>
      <c r="K436" t="str" cm="1">
        <f t="array" ref="K436">_xlfn.IFS(Table4_2[[#This Row],[Growth Days]]&lt;=14,"Seedling",Table4_2[[#This Row],[Growth Days]]&lt;=35, "Vegetative",Table4_2[[#This Row],[Growth Days]]&lt;=50, "Maturity")</f>
        <v>Vegetative</v>
      </c>
      <c r="L436" t="str">
        <f>IF(Table4_2[[#This Row],[TDS Value (ppm)]]&lt;560, "Low", IF(Table4_2[[#This Row],[TDS Value (ppm)]]&lt;=800,"Optimal","High"))</f>
        <v>Optimal</v>
      </c>
    </row>
    <row r="437" spans="1:12" x14ac:dyDescent="0.25">
      <c r="A437">
        <v>2</v>
      </c>
      <c r="B437" s="1">
        <v>45167</v>
      </c>
      <c r="C437" s="1" t="str">
        <f>TEXT(Table4_2[[#This Row],[Date]],"dddd")</f>
        <v>Tuesday</v>
      </c>
      <c r="D437" s="21">
        <v>28.7</v>
      </c>
      <c r="E437" s="21">
        <v>57</v>
      </c>
      <c r="F437" s="21">
        <v>508</v>
      </c>
      <c r="G437" s="21">
        <v>6.2</v>
      </c>
      <c r="H437">
        <v>27</v>
      </c>
      <c r="I437">
        <v>83.66</v>
      </c>
      <c r="J437">
        <v>0.56999999999999995</v>
      </c>
      <c r="K437" t="str" cm="1">
        <f t="array" ref="K437">_xlfn.IFS(Table4_2[[#This Row],[Growth Days]]&lt;=14,"Seedling",Table4_2[[#This Row],[Growth Days]]&lt;=35, "Vegetative",Table4_2[[#This Row],[Growth Days]]&lt;=50, "Maturity")</f>
        <v>Vegetative</v>
      </c>
      <c r="L437" t="str">
        <f>IF(Table4_2[[#This Row],[TDS Value (ppm)]]&lt;560, "Low", IF(Table4_2[[#This Row],[TDS Value (ppm)]]&lt;=800,"Optimal","High"))</f>
        <v>Low</v>
      </c>
    </row>
    <row r="438" spans="1:12" x14ac:dyDescent="0.25">
      <c r="A438">
        <v>2</v>
      </c>
      <c r="B438" s="1">
        <v>45174</v>
      </c>
      <c r="C438" s="1" t="str">
        <f>TEXT(Table4_2[[#This Row],[Date]],"dddd")</f>
        <v>Tuesday</v>
      </c>
      <c r="D438" s="21">
        <v>32</v>
      </c>
      <c r="E438" s="21">
        <v>63</v>
      </c>
      <c r="F438" s="21">
        <v>569</v>
      </c>
      <c r="G438" s="21">
        <v>6.4</v>
      </c>
      <c r="H438">
        <v>34</v>
      </c>
      <c r="I438">
        <v>89.6</v>
      </c>
      <c r="J438">
        <v>0.63</v>
      </c>
      <c r="K438" t="str" cm="1">
        <f t="array" ref="K438">_xlfn.IFS(Table4_2[[#This Row],[Growth Days]]&lt;=14,"Seedling",Table4_2[[#This Row],[Growth Days]]&lt;=35, "Vegetative",Table4_2[[#This Row],[Growth Days]]&lt;=50, "Maturity")</f>
        <v>Vegetative</v>
      </c>
      <c r="L438" t="str">
        <f>IF(Table4_2[[#This Row],[TDS Value (ppm)]]&lt;560, "Low", IF(Table4_2[[#This Row],[TDS Value (ppm)]]&lt;=800,"Optimal","High"))</f>
        <v>Optimal</v>
      </c>
    </row>
    <row r="439" spans="1:12" x14ac:dyDescent="0.25">
      <c r="A439">
        <v>2</v>
      </c>
      <c r="B439" s="1">
        <v>45181</v>
      </c>
      <c r="C439" s="1" t="str">
        <f>TEXT(Table4_2[[#This Row],[Date]],"dddd")</f>
        <v>Tuesday</v>
      </c>
      <c r="D439" s="21">
        <v>31.2</v>
      </c>
      <c r="E439" s="21">
        <v>66</v>
      </c>
      <c r="F439" s="21">
        <v>657</v>
      </c>
      <c r="G439" s="21">
        <v>6.8</v>
      </c>
      <c r="H439">
        <v>41</v>
      </c>
      <c r="I439">
        <v>88.16</v>
      </c>
      <c r="J439">
        <v>0.66</v>
      </c>
      <c r="K439" t="str" cm="1">
        <f t="array" ref="K439">_xlfn.IFS(Table4_2[[#This Row],[Growth Days]]&lt;=14,"Seedling",Table4_2[[#This Row],[Growth Days]]&lt;=35, "Vegetative",Table4_2[[#This Row],[Growth Days]]&lt;=50, "Maturity")</f>
        <v>Maturity</v>
      </c>
      <c r="L439" t="str">
        <f>IF(Table4_2[[#This Row],[TDS Value (ppm)]]&lt;560, "Low", IF(Table4_2[[#This Row],[TDS Value (ppm)]]&lt;=800,"Optimal","High"))</f>
        <v>Optimal</v>
      </c>
    </row>
    <row r="440" spans="1:12" x14ac:dyDescent="0.25">
      <c r="A440">
        <v>3</v>
      </c>
      <c r="B440" s="1">
        <v>45146</v>
      </c>
      <c r="C440" s="1" t="str">
        <f>TEXT(Table4_2[[#This Row],[Date]],"dddd")</f>
        <v>Tuesday</v>
      </c>
      <c r="D440" s="21">
        <v>32.299999999999997</v>
      </c>
      <c r="E440" s="21">
        <v>80</v>
      </c>
      <c r="F440" s="21">
        <v>794</v>
      </c>
      <c r="G440" s="21">
        <v>6.4</v>
      </c>
      <c r="H440">
        <v>6</v>
      </c>
      <c r="I440">
        <v>90.14</v>
      </c>
      <c r="J440">
        <v>0.8</v>
      </c>
      <c r="K440" t="str" cm="1">
        <f t="array" ref="K440">_xlfn.IFS(Table4_2[[#This Row],[Growth Days]]&lt;=14,"Seedling",Table4_2[[#This Row],[Growth Days]]&lt;=35, "Vegetative",Table4_2[[#This Row],[Growth Days]]&lt;=50, "Maturity")</f>
        <v>Seedling</v>
      </c>
      <c r="L440" t="str">
        <f>IF(Table4_2[[#This Row],[TDS Value (ppm)]]&lt;560, "Low", IF(Table4_2[[#This Row],[TDS Value (ppm)]]&lt;=800,"Optimal","High"))</f>
        <v>Optimal</v>
      </c>
    </row>
    <row r="441" spans="1:12" x14ac:dyDescent="0.25">
      <c r="A441">
        <v>3</v>
      </c>
      <c r="B441" s="1">
        <v>45153</v>
      </c>
      <c r="C441" s="1" t="str">
        <f>TEXT(Table4_2[[#This Row],[Date]],"dddd")</f>
        <v>Tuesday</v>
      </c>
      <c r="D441" s="21">
        <v>30.1</v>
      </c>
      <c r="E441" s="21">
        <v>63</v>
      </c>
      <c r="F441" s="21">
        <v>743</v>
      </c>
      <c r="G441" s="21">
        <v>6.3</v>
      </c>
      <c r="H441">
        <v>13</v>
      </c>
      <c r="I441">
        <v>86.18</v>
      </c>
      <c r="J441">
        <v>0.63</v>
      </c>
      <c r="K441" t="str" cm="1">
        <f t="array" ref="K441">_xlfn.IFS(Table4_2[[#This Row],[Growth Days]]&lt;=14,"Seedling",Table4_2[[#This Row],[Growth Days]]&lt;=35, "Vegetative",Table4_2[[#This Row],[Growth Days]]&lt;=50, "Maturity")</f>
        <v>Seedling</v>
      </c>
      <c r="L441" t="str">
        <f>IF(Table4_2[[#This Row],[TDS Value (ppm)]]&lt;560, "Low", IF(Table4_2[[#This Row],[TDS Value (ppm)]]&lt;=800,"Optimal","High"))</f>
        <v>Optimal</v>
      </c>
    </row>
    <row r="442" spans="1:12" x14ac:dyDescent="0.25">
      <c r="A442">
        <v>3</v>
      </c>
      <c r="B442" s="1">
        <v>45160</v>
      </c>
      <c r="C442" s="1" t="str">
        <f>TEXT(Table4_2[[#This Row],[Date]],"dddd")</f>
        <v>Tuesday</v>
      </c>
      <c r="D442" s="21">
        <v>30.5</v>
      </c>
      <c r="E442" s="21">
        <v>80</v>
      </c>
      <c r="F442" s="21">
        <v>726</v>
      </c>
      <c r="G442" s="21">
        <v>6.6</v>
      </c>
      <c r="H442">
        <v>20</v>
      </c>
      <c r="I442">
        <v>86.9</v>
      </c>
      <c r="J442">
        <v>0.8</v>
      </c>
      <c r="K442" t="str" cm="1">
        <f t="array" ref="K442">_xlfn.IFS(Table4_2[[#This Row],[Growth Days]]&lt;=14,"Seedling",Table4_2[[#This Row],[Growth Days]]&lt;=35, "Vegetative",Table4_2[[#This Row],[Growth Days]]&lt;=50, "Maturity")</f>
        <v>Vegetative</v>
      </c>
      <c r="L442" t="str">
        <f>IF(Table4_2[[#This Row],[TDS Value (ppm)]]&lt;560, "Low", IF(Table4_2[[#This Row],[TDS Value (ppm)]]&lt;=800,"Optimal","High"))</f>
        <v>Optimal</v>
      </c>
    </row>
    <row r="443" spans="1:12" x14ac:dyDescent="0.25">
      <c r="A443">
        <v>3</v>
      </c>
      <c r="B443" s="1">
        <v>45167</v>
      </c>
      <c r="C443" s="1" t="str">
        <f>TEXT(Table4_2[[#This Row],[Date]],"dddd")</f>
        <v>Tuesday</v>
      </c>
      <c r="D443" s="21">
        <v>28.7</v>
      </c>
      <c r="E443" s="21">
        <v>73</v>
      </c>
      <c r="F443" s="21">
        <v>629</v>
      </c>
      <c r="G443" s="21">
        <v>6.6</v>
      </c>
      <c r="H443">
        <v>27</v>
      </c>
      <c r="I443">
        <v>83.66</v>
      </c>
      <c r="J443">
        <v>0.73</v>
      </c>
      <c r="K443" t="str" cm="1">
        <f t="array" ref="K443">_xlfn.IFS(Table4_2[[#This Row],[Growth Days]]&lt;=14,"Seedling",Table4_2[[#This Row],[Growth Days]]&lt;=35, "Vegetative",Table4_2[[#This Row],[Growth Days]]&lt;=50, "Maturity")</f>
        <v>Vegetative</v>
      </c>
      <c r="L443" t="str">
        <f>IF(Table4_2[[#This Row],[TDS Value (ppm)]]&lt;560, "Low", IF(Table4_2[[#This Row],[TDS Value (ppm)]]&lt;=800,"Optimal","High"))</f>
        <v>Optimal</v>
      </c>
    </row>
    <row r="444" spans="1:12" x14ac:dyDescent="0.25">
      <c r="A444">
        <v>3</v>
      </c>
      <c r="B444" s="1">
        <v>45174</v>
      </c>
      <c r="C444" s="1" t="str">
        <f>TEXT(Table4_2[[#This Row],[Date]],"dddd")</f>
        <v>Tuesday</v>
      </c>
      <c r="D444" s="21">
        <v>32</v>
      </c>
      <c r="E444" s="21">
        <v>72</v>
      </c>
      <c r="F444" s="21">
        <v>741</v>
      </c>
      <c r="G444" s="21">
        <v>6.8</v>
      </c>
      <c r="H444">
        <v>34</v>
      </c>
      <c r="I444">
        <v>89.6</v>
      </c>
      <c r="J444">
        <v>0.72</v>
      </c>
      <c r="K444" t="str" cm="1">
        <f t="array" ref="K444">_xlfn.IFS(Table4_2[[#This Row],[Growth Days]]&lt;=14,"Seedling",Table4_2[[#This Row],[Growth Days]]&lt;=35, "Vegetative",Table4_2[[#This Row],[Growth Days]]&lt;=50, "Maturity")</f>
        <v>Vegetative</v>
      </c>
      <c r="L444" t="str">
        <f>IF(Table4_2[[#This Row],[TDS Value (ppm)]]&lt;560, "Low", IF(Table4_2[[#This Row],[TDS Value (ppm)]]&lt;=800,"Optimal","High"))</f>
        <v>Optimal</v>
      </c>
    </row>
    <row r="445" spans="1:12" x14ac:dyDescent="0.25">
      <c r="A445">
        <v>3</v>
      </c>
      <c r="B445" s="1">
        <v>45181</v>
      </c>
      <c r="C445" s="1" t="str">
        <f>TEXT(Table4_2[[#This Row],[Date]],"dddd")</f>
        <v>Tuesday</v>
      </c>
      <c r="D445" s="21">
        <v>31.2</v>
      </c>
      <c r="E445" s="21">
        <v>69</v>
      </c>
      <c r="F445" s="21">
        <v>403</v>
      </c>
      <c r="G445" s="21">
        <v>6.6</v>
      </c>
      <c r="H445">
        <v>41</v>
      </c>
      <c r="I445">
        <v>88.16</v>
      </c>
      <c r="J445">
        <v>0.69</v>
      </c>
      <c r="K445" t="str" cm="1">
        <f t="array" ref="K445">_xlfn.IFS(Table4_2[[#This Row],[Growth Days]]&lt;=14,"Seedling",Table4_2[[#This Row],[Growth Days]]&lt;=35, "Vegetative",Table4_2[[#This Row],[Growth Days]]&lt;=50, "Maturity")</f>
        <v>Maturity</v>
      </c>
      <c r="L445" t="str">
        <f>IF(Table4_2[[#This Row],[TDS Value (ppm)]]&lt;560, "Low", IF(Table4_2[[#This Row],[TDS Value (ppm)]]&lt;=800,"Optimal","High"))</f>
        <v>Low</v>
      </c>
    </row>
    <row r="446" spans="1:12" x14ac:dyDescent="0.25">
      <c r="A446">
        <v>4</v>
      </c>
      <c r="B446" s="1">
        <v>45146</v>
      </c>
      <c r="C446" s="1" t="str">
        <f>TEXT(Table4_2[[#This Row],[Date]],"dddd")</f>
        <v>Tuesday</v>
      </c>
      <c r="D446" s="21">
        <v>32.299999999999997</v>
      </c>
      <c r="E446" s="21">
        <v>59</v>
      </c>
      <c r="F446" s="21">
        <v>442</v>
      </c>
      <c r="G446" s="21">
        <v>6.7</v>
      </c>
      <c r="H446">
        <v>6</v>
      </c>
      <c r="I446">
        <v>90.14</v>
      </c>
      <c r="J446">
        <v>0.59</v>
      </c>
      <c r="K446" t="str" cm="1">
        <f t="array" ref="K446">_xlfn.IFS(Table4_2[[#This Row],[Growth Days]]&lt;=14,"Seedling",Table4_2[[#This Row],[Growth Days]]&lt;=35, "Vegetative",Table4_2[[#This Row],[Growth Days]]&lt;=50, "Maturity")</f>
        <v>Seedling</v>
      </c>
      <c r="L446" t="str">
        <f>IF(Table4_2[[#This Row],[TDS Value (ppm)]]&lt;560, "Low", IF(Table4_2[[#This Row],[TDS Value (ppm)]]&lt;=800,"Optimal","High"))</f>
        <v>Low</v>
      </c>
    </row>
    <row r="447" spans="1:12" x14ac:dyDescent="0.25">
      <c r="A447">
        <v>4</v>
      </c>
      <c r="B447" s="1">
        <v>45153</v>
      </c>
      <c r="C447" s="1" t="str">
        <f>TEXT(Table4_2[[#This Row],[Date]],"dddd")</f>
        <v>Tuesday</v>
      </c>
      <c r="D447" s="21">
        <v>30.1</v>
      </c>
      <c r="E447" s="21">
        <v>66</v>
      </c>
      <c r="F447" s="21">
        <v>608</v>
      </c>
      <c r="G447" s="21">
        <v>6.7</v>
      </c>
      <c r="H447">
        <v>13</v>
      </c>
      <c r="I447">
        <v>86.18</v>
      </c>
      <c r="J447">
        <v>0.66</v>
      </c>
      <c r="K447" t="str" cm="1">
        <f t="array" ref="K447">_xlfn.IFS(Table4_2[[#This Row],[Growth Days]]&lt;=14,"Seedling",Table4_2[[#This Row],[Growth Days]]&lt;=35, "Vegetative",Table4_2[[#This Row],[Growth Days]]&lt;=50, "Maturity")</f>
        <v>Seedling</v>
      </c>
      <c r="L447" t="str">
        <f>IF(Table4_2[[#This Row],[TDS Value (ppm)]]&lt;560, "Low", IF(Table4_2[[#This Row],[TDS Value (ppm)]]&lt;=800,"Optimal","High"))</f>
        <v>Optimal</v>
      </c>
    </row>
    <row r="448" spans="1:12" x14ac:dyDescent="0.25">
      <c r="A448">
        <v>4</v>
      </c>
      <c r="B448" s="1">
        <v>45160</v>
      </c>
      <c r="C448" s="1" t="str">
        <f>TEXT(Table4_2[[#This Row],[Date]],"dddd")</f>
        <v>Tuesday</v>
      </c>
      <c r="D448" s="21">
        <v>30.5</v>
      </c>
      <c r="E448" s="21">
        <v>58</v>
      </c>
      <c r="F448" s="21">
        <v>631</v>
      </c>
      <c r="G448" s="21">
        <v>6.1</v>
      </c>
      <c r="H448">
        <v>20</v>
      </c>
      <c r="I448">
        <v>86.9</v>
      </c>
      <c r="J448">
        <v>0.57999999999999996</v>
      </c>
      <c r="K448" t="str" cm="1">
        <f t="array" ref="K448">_xlfn.IFS(Table4_2[[#This Row],[Growth Days]]&lt;=14,"Seedling",Table4_2[[#This Row],[Growth Days]]&lt;=35, "Vegetative",Table4_2[[#This Row],[Growth Days]]&lt;=50, "Maturity")</f>
        <v>Vegetative</v>
      </c>
      <c r="L448" t="str">
        <f>IF(Table4_2[[#This Row],[TDS Value (ppm)]]&lt;560, "Low", IF(Table4_2[[#This Row],[TDS Value (ppm)]]&lt;=800,"Optimal","High"))</f>
        <v>Optimal</v>
      </c>
    </row>
    <row r="449" spans="1:12" x14ac:dyDescent="0.25">
      <c r="A449">
        <v>4</v>
      </c>
      <c r="B449" s="1">
        <v>45167</v>
      </c>
      <c r="C449" s="1" t="str">
        <f>TEXT(Table4_2[[#This Row],[Date]],"dddd")</f>
        <v>Tuesday</v>
      </c>
      <c r="D449" s="21">
        <v>28.7</v>
      </c>
      <c r="E449" s="21">
        <v>73</v>
      </c>
      <c r="F449" s="21">
        <v>558</v>
      </c>
      <c r="G449" s="21">
        <v>6.5</v>
      </c>
      <c r="H449">
        <v>27</v>
      </c>
      <c r="I449">
        <v>83.66</v>
      </c>
      <c r="J449">
        <v>0.73</v>
      </c>
      <c r="K449" t="str" cm="1">
        <f t="array" ref="K449">_xlfn.IFS(Table4_2[[#This Row],[Growth Days]]&lt;=14,"Seedling",Table4_2[[#This Row],[Growth Days]]&lt;=35, "Vegetative",Table4_2[[#This Row],[Growth Days]]&lt;=50, "Maturity")</f>
        <v>Vegetative</v>
      </c>
      <c r="L449" t="str">
        <f>IF(Table4_2[[#This Row],[TDS Value (ppm)]]&lt;560, "Low", IF(Table4_2[[#This Row],[TDS Value (ppm)]]&lt;=800,"Optimal","High"))</f>
        <v>Low</v>
      </c>
    </row>
    <row r="450" spans="1:12" x14ac:dyDescent="0.25">
      <c r="A450">
        <v>4</v>
      </c>
      <c r="B450" s="1">
        <v>45174</v>
      </c>
      <c r="C450" s="1" t="str">
        <f>TEXT(Table4_2[[#This Row],[Date]],"dddd")</f>
        <v>Tuesday</v>
      </c>
      <c r="D450" s="21">
        <v>32</v>
      </c>
      <c r="E450" s="21">
        <v>71</v>
      </c>
      <c r="F450" s="21">
        <v>497</v>
      </c>
      <c r="G450" s="21">
        <v>6.7</v>
      </c>
      <c r="H450">
        <v>34</v>
      </c>
      <c r="I450">
        <v>89.6</v>
      </c>
      <c r="J450">
        <v>0.71</v>
      </c>
      <c r="K450" t="str" cm="1">
        <f t="array" ref="K450">_xlfn.IFS(Table4_2[[#This Row],[Growth Days]]&lt;=14,"Seedling",Table4_2[[#This Row],[Growth Days]]&lt;=35, "Vegetative",Table4_2[[#This Row],[Growth Days]]&lt;=50, "Maturity")</f>
        <v>Vegetative</v>
      </c>
      <c r="L450" t="str">
        <f>IF(Table4_2[[#This Row],[TDS Value (ppm)]]&lt;560, "Low", IF(Table4_2[[#This Row],[TDS Value (ppm)]]&lt;=800,"Optimal","High"))</f>
        <v>Low</v>
      </c>
    </row>
    <row r="451" spans="1:12" x14ac:dyDescent="0.25">
      <c r="A451">
        <v>4</v>
      </c>
      <c r="B451" s="1">
        <v>45181</v>
      </c>
      <c r="C451" s="1" t="str">
        <f>TEXT(Table4_2[[#This Row],[Date]],"dddd")</f>
        <v>Tuesday</v>
      </c>
      <c r="D451" s="21">
        <v>31.2</v>
      </c>
      <c r="E451" s="21">
        <v>72</v>
      </c>
      <c r="F451" s="21">
        <v>729</v>
      </c>
      <c r="G451" s="21">
        <v>6.6</v>
      </c>
      <c r="H451">
        <v>41</v>
      </c>
      <c r="I451">
        <v>88.16</v>
      </c>
      <c r="J451">
        <v>0.72</v>
      </c>
      <c r="K451" t="str" cm="1">
        <f t="array" ref="K451">_xlfn.IFS(Table4_2[[#This Row],[Growth Days]]&lt;=14,"Seedling",Table4_2[[#This Row],[Growth Days]]&lt;=35, "Vegetative",Table4_2[[#This Row],[Growth Days]]&lt;=50, "Maturity")</f>
        <v>Maturity</v>
      </c>
      <c r="L451" t="str">
        <f>IF(Table4_2[[#This Row],[TDS Value (ppm)]]&lt;560, "Low", IF(Table4_2[[#This Row],[TDS Value (ppm)]]&lt;=800,"Optimal","High"))</f>
        <v>Optimal</v>
      </c>
    </row>
    <row r="452" spans="1:12" x14ac:dyDescent="0.25">
      <c r="A452">
        <v>4</v>
      </c>
      <c r="B452" s="1">
        <v>45188</v>
      </c>
      <c r="C452" s="1" t="str">
        <f>TEXT(Table4_2[[#This Row],[Date]],"dddd")</f>
        <v>Tuesday</v>
      </c>
      <c r="D452" s="21">
        <v>30.6</v>
      </c>
      <c r="E452" s="21">
        <v>62</v>
      </c>
      <c r="F452" s="21">
        <v>641</v>
      </c>
      <c r="G452" s="21">
        <v>6.2</v>
      </c>
      <c r="H452">
        <v>48</v>
      </c>
      <c r="I452">
        <v>87.08</v>
      </c>
      <c r="J452">
        <v>0.62</v>
      </c>
      <c r="K452" t="str" cm="1">
        <f t="array" ref="K452">_xlfn.IFS(Table4_2[[#This Row],[Growth Days]]&lt;=14,"Seedling",Table4_2[[#This Row],[Growth Days]]&lt;=35, "Vegetative",Table4_2[[#This Row],[Growth Days]]&lt;=50, "Maturity")</f>
        <v>Maturity</v>
      </c>
      <c r="L452" t="str">
        <f>IF(Table4_2[[#This Row],[TDS Value (ppm)]]&lt;560, "Low", IF(Table4_2[[#This Row],[TDS Value (ppm)]]&lt;=800,"Optimal","High"))</f>
        <v>Optimal</v>
      </c>
    </row>
    <row r="453" spans="1:12" x14ac:dyDescent="0.25">
      <c r="A453">
        <v>5</v>
      </c>
      <c r="B453" s="1">
        <v>45146</v>
      </c>
      <c r="C453" s="1" t="str">
        <f>TEXT(Table4_2[[#This Row],[Date]],"dddd")</f>
        <v>Tuesday</v>
      </c>
      <c r="D453" s="21">
        <v>32.299999999999997</v>
      </c>
      <c r="E453" s="21">
        <v>50</v>
      </c>
      <c r="F453" s="21">
        <v>481</v>
      </c>
      <c r="G453" s="21">
        <v>6.5</v>
      </c>
      <c r="H453">
        <v>6</v>
      </c>
      <c r="I453">
        <v>90.14</v>
      </c>
      <c r="J453">
        <v>0.5</v>
      </c>
      <c r="K453" t="str" cm="1">
        <f t="array" ref="K453">_xlfn.IFS(Table4_2[[#This Row],[Growth Days]]&lt;=14,"Seedling",Table4_2[[#This Row],[Growth Days]]&lt;=35, "Vegetative",Table4_2[[#This Row],[Growth Days]]&lt;=50, "Maturity")</f>
        <v>Seedling</v>
      </c>
      <c r="L453" t="str">
        <f>IF(Table4_2[[#This Row],[TDS Value (ppm)]]&lt;560, "Low", IF(Table4_2[[#This Row],[TDS Value (ppm)]]&lt;=800,"Optimal","High"))</f>
        <v>Low</v>
      </c>
    </row>
    <row r="454" spans="1:12" x14ac:dyDescent="0.25">
      <c r="A454">
        <v>5</v>
      </c>
      <c r="B454" s="1">
        <v>45153</v>
      </c>
      <c r="C454" s="1" t="str">
        <f>TEXT(Table4_2[[#This Row],[Date]],"dddd")</f>
        <v>Tuesday</v>
      </c>
      <c r="D454" s="21">
        <v>30.1</v>
      </c>
      <c r="E454" s="21">
        <v>75</v>
      </c>
      <c r="F454" s="21">
        <v>675</v>
      </c>
      <c r="G454" s="21">
        <v>6.8</v>
      </c>
      <c r="H454">
        <v>13</v>
      </c>
      <c r="I454">
        <v>86.18</v>
      </c>
      <c r="J454">
        <v>0.75</v>
      </c>
      <c r="K454" t="str" cm="1">
        <f t="array" ref="K454">_xlfn.IFS(Table4_2[[#This Row],[Growth Days]]&lt;=14,"Seedling",Table4_2[[#This Row],[Growth Days]]&lt;=35, "Vegetative",Table4_2[[#This Row],[Growth Days]]&lt;=50, "Maturity")</f>
        <v>Seedling</v>
      </c>
      <c r="L454" t="str">
        <f>IF(Table4_2[[#This Row],[TDS Value (ppm)]]&lt;560, "Low", IF(Table4_2[[#This Row],[TDS Value (ppm)]]&lt;=800,"Optimal","High"))</f>
        <v>Optimal</v>
      </c>
    </row>
    <row r="455" spans="1:12" x14ac:dyDescent="0.25">
      <c r="A455">
        <v>5</v>
      </c>
      <c r="B455" s="1">
        <v>45160</v>
      </c>
      <c r="C455" s="1" t="str">
        <f>TEXT(Table4_2[[#This Row],[Date]],"dddd")</f>
        <v>Tuesday</v>
      </c>
      <c r="D455" s="21">
        <v>30.5</v>
      </c>
      <c r="E455" s="21">
        <v>78</v>
      </c>
      <c r="F455" s="21">
        <v>722</v>
      </c>
      <c r="G455" s="21">
        <v>6.2</v>
      </c>
      <c r="H455">
        <v>20</v>
      </c>
      <c r="I455">
        <v>86.9</v>
      </c>
      <c r="J455">
        <v>0.78</v>
      </c>
      <c r="K455" t="str" cm="1">
        <f t="array" ref="K455">_xlfn.IFS(Table4_2[[#This Row],[Growth Days]]&lt;=14,"Seedling",Table4_2[[#This Row],[Growth Days]]&lt;=35, "Vegetative",Table4_2[[#This Row],[Growth Days]]&lt;=50, "Maturity")</f>
        <v>Vegetative</v>
      </c>
      <c r="L455" t="str">
        <f>IF(Table4_2[[#This Row],[TDS Value (ppm)]]&lt;560, "Low", IF(Table4_2[[#This Row],[TDS Value (ppm)]]&lt;=800,"Optimal","High"))</f>
        <v>Optimal</v>
      </c>
    </row>
    <row r="456" spans="1:12" x14ac:dyDescent="0.25">
      <c r="A456">
        <v>5</v>
      </c>
      <c r="B456" s="1">
        <v>45167</v>
      </c>
      <c r="C456" s="1" t="str">
        <f>TEXT(Table4_2[[#This Row],[Date]],"dddd")</f>
        <v>Tuesday</v>
      </c>
      <c r="D456" s="21">
        <v>28.7</v>
      </c>
      <c r="E456" s="21">
        <v>58</v>
      </c>
      <c r="F456" s="21">
        <v>565</v>
      </c>
      <c r="G456" s="21">
        <v>6.5</v>
      </c>
      <c r="H456">
        <v>27</v>
      </c>
      <c r="I456">
        <v>83.66</v>
      </c>
      <c r="J456">
        <v>0.57999999999999996</v>
      </c>
      <c r="K456" t="str" cm="1">
        <f t="array" ref="K456">_xlfn.IFS(Table4_2[[#This Row],[Growth Days]]&lt;=14,"Seedling",Table4_2[[#This Row],[Growth Days]]&lt;=35, "Vegetative",Table4_2[[#This Row],[Growth Days]]&lt;=50, "Maturity")</f>
        <v>Vegetative</v>
      </c>
      <c r="L456" t="str">
        <f>IF(Table4_2[[#This Row],[TDS Value (ppm)]]&lt;560, "Low", IF(Table4_2[[#This Row],[TDS Value (ppm)]]&lt;=800,"Optimal","High"))</f>
        <v>Optimal</v>
      </c>
    </row>
    <row r="457" spans="1:12" x14ac:dyDescent="0.25">
      <c r="A457">
        <v>5</v>
      </c>
      <c r="B457" s="1">
        <v>45174</v>
      </c>
      <c r="C457" s="1" t="str">
        <f>TEXT(Table4_2[[#This Row],[Date]],"dddd")</f>
        <v>Tuesday</v>
      </c>
      <c r="D457" s="21">
        <v>32</v>
      </c>
      <c r="E457" s="21">
        <v>66</v>
      </c>
      <c r="F457" s="21">
        <v>661</v>
      </c>
      <c r="G457" s="21">
        <v>6.2</v>
      </c>
      <c r="H457">
        <v>34</v>
      </c>
      <c r="I457">
        <v>89.6</v>
      </c>
      <c r="J457">
        <v>0.66</v>
      </c>
      <c r="K457" t="str" cm="1">
        <f t="array" ref="K457">_xlfn.IFS(Table4_2[[#This Row],[Growth Days]]&lt;=14,"Seedling",Table4_2[[#This Row],[Growth Days]]&lt;=35, "Vegetative",Table4_2[[#This Row],[Growth Days]]&lt;=50, "Maturity")</f>
        <v>Vegetative</v>
      </c>
      <c r="L457" t="str">
        <f>IF(Table4_2[[#This Row],[TDS Value (ppm)]]&lt;560, "Low", IF(Table4_2[[#This Row],[TDS Value (ppm)]]&lt;=800,"Optimal","High"))</f>
        <v>Optimal</v>
      </c>
    </row>
    <row r="458" spans="1:12" x14ac:dyDescent="0.25">
      <c r="A458">
        <v>5</v>
      </c>
      <c r="B458" s="1">
        <v>45181</v>
      </c>
      <c r="C458" s="1" t="str">
        <f>TEXT(Table4_2[[#This Row],[Date]],"dddd")</f>
        <v>Tuesday</v>
      </c>
      <c r="D458" s="21">
        <v>31.2</v>
      </c>
      <c r="E458" s="21">
        <v>72</v>
      </c>
      <c r="F458" s="21">
        <v>738</v>
      </c>
      <c r="G458" s="21">
        <v>6.2</v>
      </c>
      <c r="H458">
        <v>41</v>
      </c>
      <c r="I458">
        <v>88.16</v>
      </c>
      <c r="J458">
        <v>0.72</v>
      </c>
      <c r="K458" t="str" cm="1">
        <f t="array" ref="K458">_xlfn.IFS(Table4_2[[#This Row],[Growth Days]]&lt;=14,"Seedling",Table4_2[[#This Row],[Growth Days]]&lt;=35, "Vegetative",Table4_2[[#This Row],[Growth Days]]&lt;=50, "Maturity")</f>
        <v>Maturity</v>
      </c>
      <c r="L458" t="str">
        <f>IF(Table4_2[[#This Row],[TDS Value (ppm)]]&lt;560, "Low", IF(Table4_2[[#This Row],[TDS Value (ppm)]]&lt;=800,"Optimal","High"))</f>
        <v>Optimal</v>
      </c>
    </row>
    <row r="459" spans="1:12" x14ac:dyDescent="0.25">
      <c r="A459">
        <v>6</v>
      </c>
      <c r="B459" s="1">
        <v>45146</v>
      </c>
      <c r="C459" s="1" t="str">
        <f>TEXT(Table4_2[[#This Row],[Date]],"dddd")</f>
        <v>Tuesday</v>
      </c>
      <c r="D459" s="21">
        <v>32.299999999999997</v>
      </c>
      <c r="E459" s="21">
        <v>65</v>
      </c>
      <c r="F459" s="21">
        <v>482</v>
      </c>
      <c r="G459" s="21">
        <v>6.7</v>
      </c>
      <c r="H459">
        <v>6</v>
      </c>
      <c r="I459">
        <v>90.14</v>
      </c>
      <c r="J459">
        <v>0.65</v>
      </c>
      <c r="K459" t="str" cm="1">
        <f t="array" ref="K459">_xlfn.IFS(Table4_2[[#This Row],[Growth Days]]&lt;=14,"Seedling",Table4_2[[#This Row],[Growth Days]]&lt;=35, "Vegetative",Table4_2[[#This Row],[Growth Days]]&lt;=50, "Maturity")</f>
        <v>Seedling</v>
      </c>
      <c r="L459" t="str">
        <f>IF(Table4_2[[#This Row],[TDS Value (ppm)]]&lt;560, "Low", IF(Table4_2[[#This Row],[TDS Value (ppm)]]&lt;=800,"Optimal","High"))</f>
        <v>Low</v>
      </c>
    </row>
    <row r="460" spans="1:12" x14ac:dyDescent="0.25">
      <c r="A460">
        <v>6</v>
      </c>
      <c r="B460" s="1">
        <v>45153</v>
      </c>
      <c r="C460" s="1" t="str">
        <f>TEXT(Table4_2[[#This Row],[Date]],"dddd")</f>
        <v>Tuesday</v>
      </c>
      <c r="D460" s="21">
        <v>30.1</v>
      </c>
      <c r="E460" s="21">
        <v>74</v>
      </c>
      <c r="F460" s="21">
        <v>425</v>
      </c>
      <c r="G460" s="21">
        <v>6.1</v>
      </c>
      <c r="H460">
        <v>13</v>
      </c>
      <c r="I460">
        <v>86.18</v>
      </c>
      <c r="J460">
        <v>0.74</v>
      </c>
      <c r="K460" t="str" cm="1">
        <f t="array" ref="K460">_xlfn.IFS(Table4_2[[#This Row],[Growth Days]]&lt;=14,"Seedling",Table4_2[[#This Row],[Growth Days]]&lt;=35, "Vegetative",Table4_2[[#This Row],[Growth Days]]&lt;=50, "Maturity")</f>
        <v>Seedling</v>
      </c>
      <c r="L460" t="str">
        <f>IF(Table4_2[[#This Row],[TDS Value (ppm)]]&lt;560, "Low", IF(Table4_2[[#This Row],[TDS Value (ppm)]]&lt;=800,"Optimal","High"))</f>
        <v>Low</v>
      </c>
    </row>
    <row r="461" spans="1:12" x14ac:dyDescent="0.25">
      <c r="A461">
        <v>6</v>
      </c>
      <c r="B461" s="1">
        <v>45160</v>
      </c>
      <c r="C461" s="1" t="str">
        <f>TEXT(Table4_2[[#This Row],[Date]],"dddd")</f>
        <v>Tuesday</v>
      </c>
      <c r="D461" s="21">
        <v>30.5</v>
      </c>
      <c r="E461" s="21">
        <v>63</v>
      </c>
      <c r="F461" s="21">
        <v>553</v>
      </c>
      <c r="G461" s="21">
        <v>6.5</v>
      </c>
      <c r="H461">
        <v>20</v>
      </c>
      <c r="I461">
        <v>86.9</v>
      </c>
      <c r="J461">
        <v>0.63</v>
      </c>
      <c r="K461" t="str" cm="1">
        <f t="array" ref="K461">_xlfn.IFS(Table4_2[[#This Row],[Growth Days]]&lt;=14,"Seedling",Table4_2[[#This Row],[Growth Days]]&lt;=35, "Vegetative",Table4_2[[#This Row],[Growth Days]]&lt;=50, "Maturity")</f>
        <v>Vegetative</v>
      </c>
      <c r="L461" t="str">
        <f>IF(Table4_2[[#This Row],[TDS Value (ppm)]]&lt;560, "Low", IF(Table4_2[[#This Row],[TDS Value (ppm)]]&lt;=800,"Optimal","High"))</f>
        <v>Low</v>
      </c>
    </row>
    <row r="462" spans="1:12" x14ac:dyDescent="0.25">
      <c r="A462">
        <v>6</v>
      </c>
      <c r="B462" s="1">
        <v>45167</v>
      </c>
      <c r="C462" s="1" t="str">
        <f>TEXT(Table4_2[[#This Row],[Date]],"dddd")</f>
        <v>Tuesday</v>
      </c>
      <c r="D462" s="21">
        <v>28.7</v>
      </c>
      <c r="E462" s="21">
        <v>65</v>
      </c>
      <c r="F462" s="21">
        <v>693</v>
      </c>
      <c r="G462" s="21">
        <v>6</v>
      </c>
      <c r="H462">
        <v>27</v>
      </c>
      <c r="I462">
        <v>83.66</v>
      </c>
      <c r="J462">
        <v>0.65</v>
      </c>
      <c r="K462" t="str" cm="1">
        <f t="array" ref="K462">_xlfn.IFS(Table4_2[[#This Row],[Growth Days]]&lt;=14,"Seedling",Table4_2[[#This Row],[Growth Days]]&lt;=35, "Vegetative",Table4_2[[#This Row],[Growth Days]]&lt;=50, "Maturity")</f>
        <v>Vegetative</v>
      </c>
      <c r="L462" t="str">
        <f>IF(Table4_2[[#This Row],[TDS Value (ppm)]]&lt;560, "Low", IF(Table4_2[[#This Row],[TDS Value (ppm)]]&lt;=800,"Optimal","High"))</f>
        <v>Optimal</v>
      </c>
    </row>
    <row r="463" spans="1:12" x14ac:dyDescent="0.25">
      <c r="A463">
        <v>6</v>
      </c>
      <c r="B463" s="1">
        <v>45174</v>
      </c>
      <c r="C463" s="1" t="str">
        <f>TEXT(Table4_2[[#This Row],[Date]],"dddd")</f>
        <v>Tuesday</v>
      </c>
      <c r="D463" s="21">
        <v>32</v>
      </c>
      <c r="E463" s="21">
        <v>64</v>
      </c>
      <c r="F463" s="21">
        <v>642</v>
      </c>
      <c r="G463" s="21">
        <v>6.4</v>
      </c>
      <c r="H463">
        <v>34</v>
      </c>
      <c r="I463">
        <v>89.6</v>
      </c>
      <c r="J463">
        <v>0.64</v>
      </c>
      <c r="K463" t="str" cm="1">
        <f t="array" ref="K463">_xlfn.IFS(Table4_2[[#This Row],[Growth Days]]&lt;=14,"Seedling",Table4_2[[#This Row],[Growth Days]]&lt;=35, "Vegetative",Table4_2[[#This Row],[Growth Days]]&lt;=50, "Maturity")</f>
        <v>Vegetative</v>
      </c>
      <c r="L463" t="str">
        <f>IF(Table4_2[[#This Row],[TDS Value (ppm)]]&lt;560, "Low", IF(Table4_2[[#This Row],[TDS Value (ppm)]]&lt;=800,"Optimal","High"))</f>
        <v>Optimal</v>
      </c>
    </row>
    <row r="464" spans="1:12" x14ac:dyDescent="0.25">
      <c r="A464">
        <v>6</v>
      </c>
      <c r="B464" s="1">
        <v>45181</v>
      </c>
      <c r="C464" s="1" t="str">
        <f>TEXT(Table4_2[[#This Row],[Date]],"dddd")</f>
        <v>Tuesday</v>
      </c>
      <c r="D464" s="21">
        <v>31.2</v>
      </c>
      <c r="E464" s="21">
        <v>57</v>
      </c>
      <c r="F464" s="21">
        <v>793</v>
      </c>
      <c r="G464" s="21">
        <v>6.4</v>
      </c>
      <c r="H464">
        <v>41</v>
      </c>
      <c r="I464">
        <v>88.16</v>
      </c>
      <c r="J464">
        <v>0.56999999999999995</v>
      </c>
      <c r="K464" t="str" cm="1">
        <f t="array" ref="K464">_xlfn.IFS(Table4_2[[#This Row],[Growth Days]]&lt;=14,"Seedling",Table4_2[[#This Row],[Growth Days]]&lt;=35, "Vegetative",Table4_2[[#This Row],[Growth Days]]&lt;=50, "Maturity")</f>
        <v>Maturity</v>
      </c>
      <c r="L464" t="str">
        <f>IF(Table4_2[[#This Row],[TDS Value (ppm)]]&lt;560, "Low", IF(Table4_2[[#This Row],[TDS Value (ppm)]]&lt;=800,"Optimal","High"))</f>
        <v>Optimal</v>
      </c>
    </row>
    <row r="465" spans="1:12" x14ac:dyDescent="0.25">
      <c r="A465">
        <v>7</v>
      </c>
      <c r="B465" s="1">
        <v>45146</v>
      </c>
      <c r="C465" s="1" t="str">
        <f>TEXT(Table4_2[[#This Row],[Date]],"dddd")</f>
        <v>Tuesday</v>
      </c>
      <c r="D465" s="21">
        <v>32.299999999999997</v>
      </c>
      <c r="E465" s="21">
        <v>61</v>
      </c>
      <c r="F465" s="21">
        <v>684</v>
      </c>
      <c r="G465" s="21">
        <v>6.7</v>
      </c>
      <c r="H465">
        <v>6</v>
      </c>
      <c r="I465">
        <v>90.14</v>
      </c>
      <c r="J465">
        <v>0.61</v>
      </c>
      <c r="K465" t="str" cm="1">
        <f t="array" ref="K465">_xlfn.IFS(Table4_2[[#This Row],[Growth Days]]&lt;=14,"Seedling",Table4_2[[#This Row],[Growth Days]]&lt;=35, "Vegetative",Table4_2[[#This Row],[Growth Days]]&lt;=50, "Maturity")</f>
        <v>Seedling</v>
      </c>
      <c r="L465" t="str">
        <f>IF(Table4_2[[#This Row],[TDS Value (ppm)]]&lt;560, "Low", IF(Table4_2[[#This Row],[TDS Value (ppm)]]&lt;=800,"Optimal","High"))</f>
        <v>Optimal</v>
      </c>
    </row>
    <row r="466" spans="1:12" x14ac:dyDescent="0.25">
      <c r="A466">
        <v>7</v>
      </c>
      <c r="B466" s="1">
        <v>45153</v>
      </c>
      <c r="C466" s="1" t="str">
        <f>TEXT(Table4_2[[#This Row],[Date]],"dddd")</f>
        <v>Tuesday</v>
      </c>
      <c r="D466" s="21">
        <v>30.1</v>
      </c>
      <c r="E466" s="21">
        <v>52</v>
      </c>
      <c r="F466" s="21">
        <v>780</v>
      </c>
      <c r="G466" s="21">
        <v>6.5</v>
      </c>
      <c r="H466">
        <v>13</v>
      </c>
      <c r="I466">
        <v>86.18</v>
      </c>
      <c r="J466">
        <v>0.52</v>
      </c>
      <c r="K466" t="str" cm="1">
        <f t="array" ref="K466">_xlfn.IFS(Table4_2[[#This Row],[Growth Days]]&lt;=14,"Seedling",Table4_2[[#This Row],[Growth Days]]&lt;=35, "Vegetative",Table4_2[[#This Row],[Growth Days]]&lt;=50, "Maturity")</f>
        <v>Seedling</v>
      </c>
      <c r="L466" t="str">
        <f>IF(Table4_2[[#This Row],[TDS Value (ppm)]]&lt;560, "Low", IF(Table4_2[[#This Row],[TDS Value (ppm)]]&lt;=800,"Optimal","High"))</f>
        <v>Optimal</v>
      </c>
    </row>
    <row r="467" spans="1:12" x14ac:dyDescent="0.25">
      <c r="A467">
        <v>7</v>
      </c>
      <c r="B467" s="1">
        <v>45160</v>
      </c>
      <c r="C467" s="1" t="str">
        <f>TEXT(Table4_2[[#This Row],[Date]],"dddd")</f>
        <v>Tuesday</v>
      </c>
      <c r="D467" s="21">
        <v>30.5</v>
      </c>
      <c r="E467" s="21">
        <v>71</v>
      </c>
      <c r="F467" s="21">
        <v>503</v>
      </c>
      <c r="G467" s="21">
        <v>6.2</v>
      </c>
      <c r="H467">
        <v>20</v>
      </c>
      <c r="I467">
        <v>86.9</v>
      </c>
      <c r="J467">
        <v>0.71</v>
      </c>
      <c r="K467" t="str" cm="1">
        <f t="array" ref="K467">_xlfn.IFS(Table4_2[[#This Row],[Growth Days]]&lt;=14,"Seedling",Table4_2[[#This Row],[Growth Days]]&lt;=35, "Vegetative",Table4_2[[#This Row],[Growth Days]]&lt;=50, "Maturity")</f>
        <v>Vegetative</v>
      </c>
      <c r="L467" t="str">
        <f>IF(Table4_2[[#This Row],[TDS Value (ppm)]]&lt;560, "Low", IF(Table4_2[[#This Row],[TDS Value (ppm)]]&lt;=800,"Optimal","High"))</f>
        <v>Low</v>
      </c>
    </row>
    <row r="468" spans="1:12" x14ac:dyDescent="0.25">
      <c r="A468">
        <v>7</v>
      </c>
      <c r="B468" s="1">
        <v>45167</v>
      </c>
      <c r="C468" s="1" t="str">
        <f>TEXT(Table4_2[[#This Row],[Date]],"dddd")</f>
        <v>Tuesday</v>
      </c>
      <c r="D468" s="21">
        <v>28.7</v>
      </c>
      <c r="E468" s="21">
        <v>63</v>
      </c>
      <c r="F468" s="21">
        <v>541</v>
      </c>
      <c r="G468" s="21">
        <v>6</v>
      </c>
      <c r="H468">
        <v>27</v>
      </c>
      <c r="I468">
        <v>83.66</v>
      </c>
      <c r="J468">
        <v>0.63</v>
      </c>
      <c r="K468" t="str" cm="1">
        <f t="array" ref="K468">_xlfn.IFS(Table4_2[[#This Row],[Growth Days]]&lt;=14,"Seedling",Table4_2[[#This Row],[Growth Days]]&lt;=35, "Vegetative",Table4_2[[#This Row],[Growth Days]]&lt;=50, "Maturity")</f>
        <v>Vegetative</v>
      </c>
      <c r="L468" t="str">
        <f>IF(Table4_2[[#This Row],[TDS Value (ppm)]]&lt;560, "Low", IF(Table4_2[[#This Row],[TDS Value (ppm)]]&lt;=800,"Optimal","High"))</f>
        <v>Low</v>
      </c>
    </row>
    <row r="469" spans="1:12" x14ac:dyDescent="0.25">
      <c r="A469">
        <v>7</v>
      </c>
      <c r="B469" s="1">
        <v>45174</v>
      </c>
      <c r="C469" s="1" t="str">
        <f>TEXT(Table4_2[[#This Row],[Date]],"dddd")</f>
        <v>Tuesday</v>
      </c>
      <c r="D469" s="21">
        <v>32</v>
      </c>
      <c r="E469" s="21">
        <v>78</v>
      </c>
      <c r="F469" s="21">
        <v>466</v>
      </c>
      <c r="G469" s="21">
        <v>6.6</v>
      </c>
      <c r="H469">
        <v>34</v>
      </c>
      <c r="I469">
        <v>89.6</v>
      </c>
      <c r="J469">
        <v>0.78</v>
      </c>
      <c r="K469" t="str" cm="1">
        <f t="array" ref="K469">_xlfn.IFS(Table4_2[[#This Row],[Growth Days]]&lt;=14,"Seedling",Table4_2[[#This Row],[Growth Days]]&lt;=35, "Vegetative",Table4_2[[#This Row],[Growth Days]]&lt;=50, "Maturity")</f>
        <v>Vegetative</v>
      </c>
      <c r="L469" t="str">
        <f>IF(Table4_2[[#This Row],[TDS Value (ppm)]]&lt;560, "Low", IF(Table4_2[[#This Row],[TDS Value (ppm)]]&lt;=800,"Optimal","High"))</f>
        <v>Low</v>
      </c>
    </row>
    <row r="470" spans="1:12" x14ac:dyDescent="0.25">
      <c r="A470">
        <v>7</v>
      </c>
      <c r="B470" s="1">
        <v>45181</v>
      </c>
      <c r="C470" s="1" t="str">
        <f>TEXT(Table4_2[[#This Row],[Date]],"dddd")</f>
        <v>Tuesday</v>
      </c>
      <c r="D470" s="21">
        <v>31.2</v>
      </c>
      <c r="E470" s="21">
        <v>52</v>
      </c>
      <c r="F470" s="21">
        <v>468</v>
      </c>
      <c r="G470" s="21">
        <v>6.7</v>
      </c>
      <c r="H470">
        <v>41</v>
      </c>
      <c r="I470">
        <v>88.16</v>
      </c>
      <c r="J470">
        <v>0.52</v>
      </c>
      <c r="K470" t="str" cm="1">
        <f t="array" ref="K470">_xlfn.IFS(Table4_2[[#This Row],[Growth Days]]&lt;=14,"Seedling",Table4_2[[#This Row],[Growth Days]]&lt;=35, "Vegetative",Table4_2[[#This Row],[Growth Days]]&lt;=50, "Maturity")</f>
        <v>Maturity</v>
      </c>
      <c r="L470" t="str">
        <f>IF(Table4_2[[#This Row],[TDS Value (ppm)]]&lt;560, "Low", IF(Table4_2[[#This Row],[TDS Value (ppm)]]&lt;=800,"Optimal","High"))</f>
        <v>Low</v>
      </c>
    </row>
    <row r="471" spans="1:12" x14ac:dyDescent="0.25">
      <c r="A471">
        <v>8</v>
      </c>
      <c r="B471" s="1">
        <v>45146</v>
      </c>
      <c r="C471" s="1" t="str">
        <f>TEXT(Table4_2[[#This Row],[Date]],"dddd")</f>
        <v>Tuesday</v>
      </c>
      <c r="D471" s="21">
        <v>32.299999999999997</v>
      </c>
      <c r="E471" s="21">
        <v>63</v>
      </c>
      <c r="F471" s="21">
        <v>588</v>
      </c>
      <c r="G471" s="21">
        <v>6.7</v>
      </c>
      <c r="H471">
        <v>6</v>
      </c>
      <c r="I471">
        <v>90.14</v>
      </c>
      <c r="J471">
        <v>0.63</v>
      </c>
      <c r="K471" t="str" cm="1">
        <f t="array" ref="K471">_xlfn.IFS(Table4_2[[#This Row],[Growth Days]]&lt;=14,"Seedling",Table4_2[[#This Row],[Growth Days]]&lt;=35, "Vegetative",Table4_2[[#This Row],[Growth Days]]&lt;=50, "Maturity")</f>
        <v>Seedling</v>
      </c>
      <c r="L471" t="str">
        <f>IF(Table4_2[[#This Row],[TDS Value (ppm)]]&lt;560, "Low", IF(Table4_2[[#This Row],[TDS Value (ppm)]]&lt;=800,"Optimal","High"))</f>
        <v>Optimal</v>
      </c>
    </row>
    <row r="472" spans="1:12" x14ac:dyDescent="0.25">
      <c r="A472">
        <v>8</v>
      </c>
      <c r="B472" s="1">
        <v>45153</v>
      </c>
      <c r="C472" s="1" t="str">
        <f>TEXT(Table4_2[[#This Row],[Date]],"dddd")</f>
        <v>Tuesday</v>
      </c>
      <c r="D472" s="21">
        <v>30.1</v>
      </c>
      <c r="E472" s="21">
        <v>59</v>
      </c>
      <c r="F472" s="21">
        <v>727</v>
      </c>
      <c r="G472" s="21">
        <v>6.2</v>
      </c>
      <c r="H472">
        <v>13</v>
      </c>
      <c r="I472">
        <v>86.18</v>
      </c>
      <c r="J472">
        <v>0.59</v>
      </c>
      <c r="K472" t="str" cm="1">
        <f t="array" ref="K472">_xlfn.IFS(Table4_2[[#This Row],[Growth Days]]&lt;=14,"Seedling",Table4_2[[#This Row],[Growth Days]]&lt;=35, "Vegetative",Table4_2[[#This Row],[Growth Days]]&lt;=50, "Maturity")</f>
        <v>Seedling</v>
      </c>
      <c r="L472" t="str">
        <f>IF(Table4_2[[#This Row],[TDS Value (ppm)]]&lt;560, "Low", IF(Table4_2[[#This Row],[TDS Value (ppm)]]&lt;=800,"Optimal","High"))</f>
        <v>Optimal</v>
      </c>
    </row>
    <row r="473" spans="1:12" x14ac:dyDescent="0.25">
      <c r="A473">
        <v>8</v>
      </c>
      <c r="B473" s="1">
        <v>45160</v>
      </c>
      <c r="C473" s="1" t="str">
        <f>TEXT(Table4_2[[#This Row],[Date]],"dddd")</f>
        <v>Tuesday</v>
      </c>
      <c r="D473" s="21">
        <v>30.5</v>
      </c>
      <c r="E473" s="21">
        <v>53</v>
      </c>
      <c r="F473" s="21">
        <v>715</v>
      </c>
      <c r="G473" s="21">
        <v>6.1</v>
      </c>
      <c r="H473">
        <v>20</v>
      </c>
      <c r="I473">
        <v>86.9</v>
      </c>
      <c r="J473">
        <v>0.53</v>
      </c>
      <c r="K473" t="str" cm="1">
        <f t="array" ref="K473">_xlfn.IFS(Table4_2[[#This Row],[Growth Days]]&lt;=14,"Seedling",Table4_2[[#This Row],[Growth Days]]&lt;=35, "Vegetative",Table4_2[[#This Row],[Growth Days]]&lt;=50, "Maturity")</f>
        <v>Vegetative</v>
      </c>
      <c r="L473" t="str">
        <f>IF(Table4_2[[#This Row],[TDS Value (ppm)]]&lt;560, "Low", IF(Table4_2[[#This Row],[TDS Value (ppm)]]&lt;=800,"Optimal","High"))</f>
        <v>Optimal</v>
      </c>
    </row>
    <row r="474" spans="1:12" x14ac:dyDescent="0.25">
      <c r="A474">
        <v>8</v>
      </c>
      <c r="B474" s="1">
        <v>45167</v>
      </c>
      <c r="C474" s="1" t="str">
        <f>TEXT(Table4_2[[#This Row],[Date]],"dddd")</f>
        <v>Tuesday</v>
      </c>
      <c r="D474" s="21">
        <v>28.7</v>
      </c>
      <c r="E474" s="21">
        <v>78</v>
      </c>
      <c r="F474" s="21">
        <v>779</v>
      </c>
      <c r="G474" s="21">
        <v>6.5</v>
      </c>
      <c r="H474">
        <v>27</v>
      </c>
      <c r="I474">
        <v>83.66</v>
      </c>
      <c r="J474">
        <v>0.78</v>
      </c>
      <c r="K474" t="str" cm="1">
        <f t="array" ref="K474">_xlfn.IFS(Table4_2[[#This Row],[Growth Days]]&lt;=14,"Seedling",Table4_2[[#This Row],[Growth Days]]&lt;=35, "Vegetative",Table4_2[[#This Row],[Growth Days]]&lt;=50, "Maturity")</f>
        <v>Vegetative</v>
      </c>
      <c r="L474" t="str">
        <f>IF(Table4_2[[#This Row],[TDS Value (ppm)]]&lt;560, "Low", IF(Table4_2[[#This Row],[TDS Value (ppm)]]&lt;=800,"Optimal","High"))</f>
        <v>Optimal</v>
      </c>
    </row>
    <row r="475" spans="1:12" x14ac:dyDescent="0.25">
      <c r="A475">
        <v>8</v>
      </c>
      <c r="B475" s="1">
        <v>45174</v>
      </c>
      <c r="C475" s="1" t="str">
        <f>TEXT(Table4_2[[#This Row],[Date]],"dddd")</f>
        <v>Tuesday</v>
      </c>
      <c r="D475" s="21">
        <v>32</v>
      </c>
      <c r="E475" s="21">
        <v>75</v>
      </c>
      <c r="F475" s="21">
        <v>697</v>
      </c>
      <c r="G475" s="21">
        <v>6.7</v>
      </c>
      <c r="H475">
        <v>34</v>
      </c>
      <c r="I475">
        <v>89.6</v>
      </c>
      <c r="J475">
        <v>0.75</v>
      </c>
      <c r="K475" t="str" cm="1">
        <f t="array" ref="K475">_xlfn.IFS(Table4_2[[#This Row],[Growth Days]]&lt;=14,"Seedling",Table4_2[[#This Row],[Growth Days]]&lt;=35, "Vegetative",Table4_2[[#This Row],[Growth Days]]&lt;=50, "Maturity")</f>
        <v>Vegetative</v>
      </c>
      <c r="L475" t="str">
        <f>IF(Table4_2[[#This Row],[TDS Value (ppm)]]&lt;560, "Low", IF(Table4_2[[#This Row],[TDS Value (ppm)]]&lt;=800,"Optimal","High"))</f>
        <v>Optimal</v>
      </c>
    </row>
    <row r="476" spans="1:12" x14ac:dyDescent="0.25">
      <c r="A476">
        <v>8</v>
      </c>
      <c r="B476" s="1">
        <v>45181</v>
      </c>
      <c r="C476" s="1" t="str">
        <f>TEXT(Table4_2[[#This Row],[Date]],"dddd")</f>
        <v>Tuesday</v>
      </c>
      <c r="D476" s="21">
        <v>31.2</v>
      </c>
      <c r="E476" s="21">
        <v>51</v>
      </c>
      <c r="F476" s="21">
        <v>768</v>
      </c>
      <c r="G476" s="21">
        <v>6.1</v>
      </c>
      <c r="H476">
        <v>41</v>
      </c>
      <c r="I476">
        <v>88.16</v>
      </c>
      <c r="J476">
        <v>0.51</v>
      </c>
      <c r="K476" t="str" cm="1">
        <f t="array" ref="K476">_xlfn.IFS(Table4_2[[#This Row],[Growth Days]]&lt;=14,"Seedling",Table4_2[[#This Row],[Growth Days]]&lt;=35, "Vegetative",Table4_2[[#This Row],[Growth Days]]&lt;=50, "Maturity")</f>
        <v>Maturity</v>
      </c>
      <c r="L476" t="str">
        <f>IF(Table4_2[[#This Row],[TDS Value (ppm)]]&lt;560, "Low", IF(Table4_2[[#This Row],[TDS Value (ppm)]]&lt;=800,"Optimal","High"))</f>
        <v>Optimal</v>
      </c>
    </row>
    <row r="477" spans="1:12" x14ac:dyDescent="0.25">
      <c r="A477">
        <v>9</v>
      </c>
      <c r="B477" s="1">
        <v>45146</v>
      </c>
      <c r="C477" s="1" t="str">
        <f>TEXT(Table4_2[[#This Row],[Date]],"dddd")</f>
        <v>Tuesday</v>
      </c>
      <c r="D477" s="21">
        <v>32.299999999999997</v>
      </c>
      <c r="E477" s="21">
        <v>70</v>
      </c>
      <c r="F477" s="21">
        <v>658</v>
      </c>
      <c r="G477" s="21">
        <v>6.3</v>
      </c>
      <c r="H477">
        <v>6</v>
      </c>
      <c r="I477">
        <v>90.14</v>
      </c>
      <c r="J477">
        <v>0.7</v>
      </c>
      <c r="K477" t="str" cm="1">
        <f t="array" ref="K477">_xlfn.IFS(Table4_2[[#This Row],[Growth Days]]&lt;=14,"Seedling",Table4_2[[#This Row],[Growth Days]]&lt;=35, "Vegetative",Table4_2[[#This Row],[Growth Days]]&lt;=50, "Maturity")</f>
        <v>Seedling</v>
      </c>
      <c r="L477" t="str">
        <f>IF(Table4_2[[#This Row],[TDS Value (ppm)]]&lt;560, "Low", IF(Table4_2[[#This Row],[TDS Value (ppm)]]&lt;=800,"Optimal","High"))</f>
        <v>Optimal</v>
      </c>
    </row>
    <row r="478" spans="1:12" x14ac:dyDescent="0.25">
      <c r="A478">
        <v>9</v>
      </c>
      <c r="B478" s="1">
        <v>45153</v>
      </c>
      <c r="C478" s="1" t="str">
        <f>TEXT(Table4_2[[#This Row],[Date]],"dddd")</f>
        <v>Tuesday</v>
      </c>
      <c r="D478" s="21">
        <v>30.1</v>
      </c>
      <c r="E478" s="21">
        <v>52</v>
      </c>
      <c r="F478" s="21">
        <v>602</v>
      </c>
      <c r="G478" s="21">
        <v>6.3</v>
      </c>
      <c r="H478">
        <v>13</v>
      </c>
      <c r="I478">
        <v>86.18</v>
      </c>
      <c r="J478">
        <v>0.52</v>
      </c>
      <c r="K478" t="str" cm="1">
        <f t="array" ref="K478">_xlfn.IFS(Table4_2[[#This Row],[Growth Days]]&lt;=14,"Seedling",Table4_2[[#This Row],[Growth Days]]&lt;=35, "Vegetative",Table4_2[[#This Row],[Growth Days]]&lt;=50, "Maturity")</f>
        <v>Seedling</v>
      </c>
      <c r="L478" t="str">
        <f>IF(Table4_2[[#This Row],[TDS Value (ppm)]]&lt;560, "Low", IF(Table4_2[[#This Row],[TDS Value (ppm)]]&lt;=800,"Optimal","High"))</f>
        <v>Optimal</v>
      </c>
    </row>
    <row r="479" spans="1:12" x14ac:dyDescent="0.25">
      <c r="A479">
        <v>9</v>
      </c>
      <c r="B479" s="1">
        <v>45160</v>
      </c>
      <c r="C479" s="1" t="str">
        <f>TEXT(Table4_2[[#This Row],[Date]],"dddd")</f>
        <v>Tuesday</v>
      </c>
      <c r="D479" s="21">
        <v>30.5</v>
      </c>
      <c r="E479" s="21">
        <v>71</v>
      </c>
      <c r="F479" s="21">
        <v>464</v>
      </c>
      <c r="G479" s="21">
        <v>6.3</v>
      </c>
      <c r="H479">
        <v>20</v>
      </c>
      <c r="I479">
        <v>86.9</v>
      </c>
      <c r="J479">
        <v>0.71</v>
      </c>
      <c r="K479" t="str" cm="1">
        <f t="array" ref="K479">_xlfn.IFS(Table4_2[[#This Row],[Growth Days]]&lt;=14,"Seedling",Table4_2[[#This Row],[Growth Days]]&lt;=35, "Vegetative",Table4_2[[#This Row],[Growth Days]]&lt;=50, "Maturity")</f>
        <v>Vegetative</v>
      </c>
      <c r="L479" t="str">
        <f>IF(Table4_2[[#This Row],[TDS Value (ppm)]]&lt;560, "Low", IF(Table4_2[[#This Row],[TDS Value (ppm)]]&lt;=800,"Optimal","High"))</f>
        <v>Low</v>
      </c>
    </row>
    <row r="480" spans="1:12" x14ac:dyDescent="0.25">
      <c r="A480">
        <v>9</v>
      </c>
      <c r="B480" s="1">
        <v>45167</v>
      </c>
      <c r="C480" s="1" t="str">
        <f>TEXT(Table4_2[[#This Row],[Date]],"dddd")</f>
        <v>Tuesday</v>
      </c>
      <c r="D480" s="21">
        <v>28.7</v>
      </c>
      <c r="E480" s="21">
        <v>78</v>
      </c>
      <c r="F480" s="21">
        <v>635</v>
      </c>
      <c r="G480" s="21">
        <v>6.5</v>
      </c>
      <c r="H480">
        <v>27</v>
      </c>
      <c r="I480">
        <v>83.66</v>
      </c>
      <c r="J480">
        <v>0.78</v>
      </c>
      <c r="K480" t="str" cm="1">
        <f t="array" ref="K480">_xlfn.IFS(Table4_2[[#This Row],[Growth Days]]&lt;=14,"Seedling",Table4_2[[#This Row],[Growth Days]]&lt;=35, "Vegetative",Table4_2[[#This Row],[Growth Days]]&lt;=50, "Maturity")</f>
        <v>Vegetative</v>
      </c>
      <c r="L480" t="str">
        <f>IF(Table4_2[[#This Row],[TDS Value (ppm)]]&lt;560, "Low", IF(Table4_2[[#This Row],[TDS Value (ppm)]]&lt;=800,"Optimal","High"))</f>
        <v>Optimal</v>
      </c>
    </row>
    <row r="481" spans="1:12" x14ac:dyDescent="0.25">
      <c r="A481">
        <v>9</v>
      </c>
      <c r="B481" s="1">
        <v>45174</v>
      </c>
      <c r="C481" s="1" t="str">
        <f>TEXT(Table4_2[[#This Row],[Date]],"dddd")</f>
        <v>Tuesday</v>
      </c>
      <c r="D481" s="21">
        <v>32</v>
      </c>
      <c r="E481" s="21">
        <v>66</v>
      </c>
      <c r="F481" s="21">
        <v>680</v>
      </c>
      <c r="G481" s="21">
        <v>6.4</v>
      </c>
      <c r="H481">
        <v>34</v>
      </c>
      <c r="I481">
        <v>89.6</v>
      </c>
      <c r="J481">
        <v>0.66</v>
      </c>
      <c r="K481" t="str" cm="1">
        <f t="array" ref="K481">_xlfn.IFS(Table4_2[[#This Row],[Growth Days]]&lt;=14,"Seedling",Table4_2[[#This Row],[Growth Days]]&lt;=35, "Vegetative",Table4_2[[#This Row],[Growth Days]]&lt;=50, "Maturity")</f>
        <v>Vegetative</v>
      </c>
      <c r="L481" t="str">
        <f>IF(Table4_2[[#This Row],[TDS Value (ppm)]]&lt;560, "Low", IF(Table4_2[[#This Row],[TDS Value (ppm)]]&lt;=800,"Optimal","High"))</f>
        <v>Optimal</v>
      </c>
    </row>
    <row r="482" spans="1:12" x14ac:dyDescent="0.25">
      <c r="A482">
        <v>9</v>
      </c>
      <c r="B482" s="1">
        <v>45181</v>
      </c>
      <c r="C482" s="1" t="str">
        <f>TEXT(Table4_2[[#This Row],[Date]],"dddd")</f>
        <v>Tuesday</v>
      </c>
      <c r="D482" s="21">
        <v>31.2</v>
      </c>
      <c r="E482" s="21">
        <v>80</v>
      </c>
      <c r="F482" s="21">
        <v>793</v>
      </c>
      <c r="G482" s="21">
        <v>6.6</v>
      </c>
      <c r="H482">
        <v>41</v>
      </c>
      <c r="I482">
        <v>88.16</v>
      </c>
      <c r="J482">
        <v>0.8</v>
      </c>
      <c r="K482" t="str" cm="1">
        <f t="array" ref="K482">_xlfn.IFS(Table4_2[[#This Row],[Growth Days]]&lt;=14,"Seedling",Table4_2[[#This Row],[Growth Days]]&lt;=35, "Vegetative",Table4_2[[#This Row],[Growth Days]]&lt;=50, "Maturity")</f>
        <v>Maturity</v>
      </c>
      <c r="L482" t="str">
        <f>IF(Table4_2[[#This Row],[TDS Value (ppm)]]&lt;560, "Low", IF(Table4_2[[#This Row],[TDS Value (ppm)]]&lt;=800,"Optimal","High"))</f>
        <v>Optimal</v>
      </c>
    </row>
    <row r="483" spans="1:12" x14ac:dyDescent="0.25">
      <c r="A483">
        <v>10</v>
      </c>
      <c r="B483" s="1">
        <v>45146</v>
      </c>
      <c r="C483" s="1" t="str">
        <f>TEXT(Table4_2[[#This Row],[Date]],"dddd")</f>
        <v>Tuesday</v>
      </c>
      <c r="D483" s="21">
        <v>32.299999999999997</v>
      </c>
      <c r="E483" s="21">
        <v>75</v>
      </c>
      <c r="F483" s="21">
        <v>658</v>
      </c>
      <c r="G483" s="21">
        <v>6.3</v>
      </c>
      <c r="H483">
        <v>6</v>
      </c>
      <c r="I483">
        <v>90.14</v>
      </c>
      <c r="J483">
        <v>0.75</v>
      </c>
      <c r="K483" t="str" cm="1">
        <f t="array" ref="K483">_xlfn.IFS(Table4_2[[#This Row],[Growth Days]]&lt;=14,"Seedling",Table4_2[[#This Row],[Growth Days]]&lt;=35, "Vegetative",Table4_2[[#This Row],[Growth Days]]&lt;=50, "Maturity")</f>
        <v>Seedling</v>
      </c>
      <c r="L483" t="str">
        <f>IF(Table4_2[[#This Row],[TDS Value (ppm)]]&lt;560, "Low", IF(Table4_2[[#This Row],[TDS Value (ppm)]]&lt;=800,"Optimal","High"))</f>
        <v>Optimal</v>
      </c>
    </row>
    <row r="484" spans="1:12" x14ac:dyDescent="0.25">
      <c r="A484">
        <v>10</v>
      </c>
      <c r="B484" s="1">
        <v>45153</v>
      </c>
      <c r="C484" s="1" t="str">
        <f>TEXT(Table4_2[[#This Row],[Date]],"dddd")</f>
        <v>Tuesday</v>
      </c>
      <c r="D484" s="21">
        <v>30.1</v>
      </c>
      <c r="E484" s="21">
        <v>74</v>
      </c>
      <c r="F484" s="21">
        <v>701</v>
      </c>
      <c r="G484" s="21">
        <v>6.6</v>
      </c>
      <c r="H484">
        <v>13</v>
      </c>
      <c r="I484">
        <v>86.18</v>
      </c>
      <c r="J484">
        <v>0.74</v>
      </c>
      <c r="K484" t="str" cm="1">
        <f t="array" ref="K484">_xlfn.IFS(Table4_2[[#This Row],[Growth Days]]&lt;=14,"Seedling",Table4_2[[#This Row],[Growth Days]]&lt;=35, "Vegetative",Table4_2[[#This Row],[Growth Days]]&lt;=50, "Maturity")</f>
        <v>Seedling</v>
      </c>
      <c r="L484" t="str">
        <f>IF(Table4_2[[#This Row],[TDS Value (ppm)]]&lt;560, "Low", IF(Table4_2[[#This Row],[TDS Value (ppm)]]&lt;=800,"Optimal","High"))</f>
        <v>Optimal</v>
      </c>
    </row>
    <row r="485" spans="1:12" x14ac:dyDescent="0.25">
      <c r="A485">
        <v>10</v>
      </c>
      <c r="B485" s="1">
        <v>45160</v>
      </c>
      <c r="C485" s="1" t="str">
        <f>TEXT(Table4_2[[#This Row],[Date]],"dddd")</f>
        <v>Tuesday</v>
      </c>
      <c r="D485" s="21">
        <v>30.5</v>
      </c>
      <c r="E485" s="21">
        <v>67</v>
      </c>
      <c r="F485" s="21">
        <v>668</v>
      </c>
      <c r="G485" s="21">
        <v>6.8</v>
      </c>
      <c r="H485">
        <v>20</v>
      </c>
      <c r="I485">
        <v>86.9</v>
      </c>
      <c r="J485">
        <v>0.67</v>
      </c>
      <c r="K485" t="str" cm="1">
        <f t="array" ref="K485">_xlfn.IFS(Table4_2[[#This Row],[Growth Days]]&lt;=14,"Seedling",Table4_2[[#This Row],[Growth Days]]&lt;=35, "Vegetative",Table4_2[[#This Row],[Growth Days]]&lt;=50, "Maturity")</f>
        <v>Vegetative</v>
      </c>
      <c r="L485" t="str">
        <f>IF(Table4_2[[#This Row],[TDS Value (ppm)]]&lt;560, "Low", IF(Table4_2[[#This Row],[TDS Value (ppm)]]&lt;=800,"Optimal","High"))</f>
        <v>Optimal</v>
      </c>
    </row>
    <row r="486" spans="1:12" x14ac:dyDescent="0.25">
      <c r="A486">
        <v>10</v>
      </c>
      <c r="B486" s="1">
        <v>45167</v>
      </c>
      <c r="C486" s="1" t="str">
        <f>TEXT(Table4_2[[#This Row],[Date]],"dddd")</f>
        <v>Tuesday</v>
      </c>
      <c r="D486" s="21">
        <v>28.7</v>
      </c>
      <c r="E486" s="21">
        <v>56</v>
      </c>
      <c r="F486" s="21">
        <v>613</v>
      </c>
      <c r="G486" s="21">
        <v>6.6</v>
      </c>
      <c r="H486">
        <v>27</v>
      </c>
      <c r="I486">
        <v>83.66</v>
      </c>
      <c r="J486">
        <v>0.56000000000000005</v>
      </c>
      <c r="K486" t="str" cm="1">
        <f t="array" ref="K486">_xlfn.IFS(Table4_2[[#This Row],[Growth Days]]&lt;=14,"Seedling",Table4_2[[#This Row],[Growth Days]]&lt;=35, "Vegetative",Table4_2[[#This Row],[Growth Days]]&lt;=50, "Maturity")</f>
        <v>Vegetative</v>
      </c>
      <c r="L486" t="str">
        <f>IF(Table4_2[[#This Row],[TDS Value (ppm)]]&lt;560, "Low", IF(Table4_2[[#This Row],[TDS Value (ppm)]]&lt;=800,"Optimal","High"))</f>
        <v>Optimal</v>
      </c>
    </row>
    <row r="487" spans="1:12" x14ac:dyDescent="0.25">
      <c r="A487">
        <v>10</v>
      </c>
      <c r="B487" s="1">
        <v>45174</v>
      </c>
      <c r="C487" s="1" t="str">
        <f>TEXT(Table4_2[[#This Row],[Date]],"dddd")</f>
        <v>Tuesday</v>
      </c>
      <c r="D487" s="21">
        <v>32</v>
      </c>
      <c r="E487" s="21">
        <v>72</v>
      </c>
      <c r="F487" s="21">
        <v>440</v>
      </c>
      <c r="G487" s="21">
        <v>6.2</v>
      </c>
      <c r="H487">
        <v>34</v>
      </c>
      <c r="I487">
        <v>89.6</v>
      </c>
      <c r="J487">
        <v>0.72</v>
      </c>
      <c r="K487" t="str" cm="1">
        <f t="array" ref="K487">_xlfn.IFS(Table4_2[[#This Row],[Growth Days]]&lt;=14,"Seedling",Table4_2[[#This Row],[Growth Days]]&lt;=35, "Vegetative",Table4_2[[#This Row],[Growth Days]]&lt;=50, "Maturity")</f>
        <v>Vegetative</v>
      </c>
      <c r="L487" t="str">
        <f>IF(Table4_2[[#This Row],[TDS Value (ppm)]]&lt;560, "Low", IF(Table4_2[[#This Row],[TDS Value (ppm)]]&lt;=800,"Optimal","High"))</f>
        <v>Low</v>
      </c>
    </row>
    <row r="488" spans="1:12" x14ac:dyDescent="0.25">
      <c r="A488">
        <v>10</v>
      </c>
      <c r="B488" s="1">
        <v>45181</v>
      </c>
      <c r="C488" s="1" t="str">
        <f>TEXT(Table4_2[[#This Row],[Date]],"dddd")</f>
        <v>Tuesday</v>
      </c>
      <c r="D488" s="21">
        <v>31.2</v>
      </c>
      <c r="E488" s="21">
        <v>58</v>
      </c>
      <c r="F488" s="21">
        <v>794</v>
      </c>
      <c r="G488" s="21">
        <v>6.6</v>
      </c>
      <c r="H488">
        <v>41</v>
      </c>
      <c r="I488">
        <v>88.16</v>
      </c>
      <c r="J488">
        <v>0.57999999999999996</v>
      </c>
      <c r="K488" t="str" cm="1">
        <f t="array" ref="K488">_xlfn.IFS(Table4_2[[#This Row],[Growth Days]]&lt;=14,"Seedling",Table4_2[[#This Row],[Growth Days]]&lt;=35, "Vegetative",Table4_2[[#This Row],[Growth Days]]&lt;=50, "Maturity")</f>
        <v>Maturity</v>
      </c>
      <c r="L488" t="str">
        <f>IF(Table4_2[[#This Row],[TDS Value (ppm)]]&lt;560, "Low", IF(Table4_2[[#This Row],[TDS Value (ppm)]]&lt;=800,"Optimal","High"))</f>
        <v>Optimal</v>
      </c>
    </row>
    <row r="489" spans="1:12" x14ac:dyDescent="0.25">
      <c r="A489">
        <v>11</v>
      </c>
      <c r="B489" s="1">
        <v>45146</v>
      </c>
      <c r="C489" s="1" t="str">
        <f>TEXT(Table4_2[[#This Row],[Date]],"dddd")</f>
        <v>Tuesday</v>
      </c>
      <c r="D489" s="21">
        <v>32.299999999999997</v>
      </c>
      <c r="E489" s="21">
        <v>54</v>
      </c>
      <c r="F489" s="21">
        <v>730</v>
      </c>
      <c r="G489" s="21">
        <v>6.7</v>
      </c>
      <c r="H489">
        <v>6</v>
      </c>
      <c r="I489">
        <v>90.14</v>
      </c>
      <c r="J489">
        <v>0.54</v>
      </c>
      <c r="K489" t="str" cm="1">
        <f t="array" ref="K489">_xlfn.IFS(Table4_2[[#This Row],[Growth Days]]&lt;=14,"Seedling",Table4_2[[#This Row],[Growth Days]]&lt;=35, "Vegetative",Table4_2[[#This Row],[Growth Days]]&lt;=50, "Maturity")</f>
        <v>Seedling</v>
      </c>
      <c r="L489" t="str">
        <f>IF(Table4_2[[#This Row],[TDS Value (ppm)]]&lt;560, "Low", IF(Table4_2[[#This Row],[TDS Value (ppm)]]&lt;=800,"Optimal","High"))</f>
        <v>Optimal</v>
      </c>
    </row>
    <row r="490" spans="1:12" x14ac:dyDescent="0.25">
      <c r="A490">
        <v>11</v>
      </c>
      <c r="B490" s="1">
        <v>45153</v>
      </c>
      <c r="C490" s="1" t="str">
        <f>TEXT(Table4_2[[#This Row],[Date]],"dddd")</f>
        <v>Tuesday</v>
      </c>
      <c r="D490" s="21">
        <v>30.1</v>
      </c>
      <c r="E490" s="21">
        <v>64</v>
      </c>
      <c r="F490" s="21">
        <v>511</v>
      </c>
      <c r="G490" s="21">
        <v>6.5</v>
      </c>
      <c r="H490">
        <v>13</v>
      </c>
      <c r="I490">
        <v>86.18</v>
      </c>
      <c r="J490">
        <v>0.64</v>
      </c>
      <c r="K490" t="str" cm="1">
        <f t="array" ref="K490">_xlfn.IFS(Table4_2[[#This Row],[Growth Days]]&lt;=14,"Seedling",Table4_2[[#This Row],[Growth Days]]&lt;=35, "Vegetative",Table4_2[[#This Row],[Growth Days]]&lt;=50, "Maturity")</f>
        <v>Seedling</v>
      </c>
      <c r="L490" t="str">
        <f>IF(Table4_2[[#This Row],[TDS Value (ppm)]]&lt;560, "Low", IF(Table4_2[[#This Row],[TDS Value (ppm)]]&lt;=800,"Optimal","High"))</f>
        <v>Low</v>
      </c>
    </row>
    <row r="491" spans="1:12" x14ac:dyDescent="0.25">
      <c r="A491">
        <v>11</v>
      </c>
      <c r="B491" s="1">
        <v>45160</v>
      </c>
      <c r="C491" s="1" t="str">
        <f>TEXT(Table4_2[[#This Row],[Date]],"dddd")</f>
        <v>Tuesday</v>
      </c>
      <c r="D491" s="21">
        <v>30.5</v>
      </c>
      <c r="E491" s="21">
        <v>71</v>
      </c>
      <c r="F491" s="21">
        <v>602</v>
      </c>
      <c r="G491" s="21">
        <v>6.7</v>
      </c>
      <c r="H491">
        <v>20</v>
      </c>
      <c r="I491">
        <v>86.9</v>
      </c>
      <c r="J491">
        <v>0.71</v>
      </c>
      <c r="K491" t="str" cm="1">
        <f t="array" ref="K491">_xlfn.IFS(Table4_2[[#This Row],[Growth Days]]&lt;=14,"Seedling",Table4_2[[#This Row],[Growth Days]]&lt;=35, "Vegetative",Table4_2[[#This Row],[Growth Days]]&lt;=50, "Maturity")</f>
        <v>Vegetative</v>
      </c>
      <c r="L491" t="str">
        <f>IF(Table4_2[[#This Row],[TDS Value (ppm)]]&lt;560, "Low", IF(Table4_2[[#This Row],[TDS Value (ppm)]]&lt;=800,"Optimal","High"))</f>
        <v>Optimal</v>
      </c>
    </row>
    <row r="492" spans="1:12" x14ac:dyDescent="0.25">
      <c r="A492">
        <v>11</v>
      </c>
      <c r="B492" s="1">
        <v>45167</v>
      </c>
      <c r="C492" s="1" t="str">
        <f>TEXT(Table4_2[[#This Row],[Date]],"dddd")</f>
        <v>Tuesday</v>
      </c>
      <c r="D492" s="21">
        <v>28.7</v>
      </c>
      <c r="E492" s="21">
        <v>72</v>
      </c>
      <c r="F492" s="21">
        <v>695</v>
      </c>
      <c r="G492" s="21">
        <v>6.5</v>
      </c>
      <c r="H492">
        <v>27</v>
      </c>
      <c r="I492">
        <v>83.66</v>
      </c>
      <c r="J492">
        <v>0.72</v>
      </c>
      <c r="K492" t="str" cm="1">
        <f t="array" ref="K492">_xlfn.IFS(Table4_2[[#This Row],[Growth Days]]&lt;=14,"Seedling",Table4_2[[#This Row],[Growth Days]]&lt;=35, "Vegetative",Table4_2[[#This Row],[Growth Days]]&lt;=50, "Maturity")</f>
        <v>Vegetative</v>
      </c>
      <c r="L492" t="str">
        <f>IF(Table4_2[[#This Row],[TDS Value (ppm)]]&lt;560, "Low", IF(Table4_2[[#This Row],[TDS Value (ppm)]]&lt;=800,"Optimal","High"))</f>
        <v>Optimal</v>
      </c>
    </row>
    <row r="493" spans="1:12" x14ac:dyDescent="0.25">
      <c r="A493">
        <v>11</v>
      </c>
      <c r="B493" s="1">
        <v>45174</v>
      </c>
      <c r="C493" s="1" t="str">
        <f>TEXT(Table4_2[[#This Row],[Date]],"dddd")</f>
        <v>Tuesday</v>
      </c>
      <c r="D493" s="21">
        <v>32</v>
      </c>
      <c r="E493" s="21">
        <v>63</v>
      </c>
      <c r="F493" s="21">
        <v>539</v>
      </c>
      <c r="G493" s="21">
        <v>6.6</v>
      </c>
      <c r="H493">
        <v>34</v>
      </c>
      <c r="I493">
        <v>89.6</v>
      </c>
      <c r="J493">
        <v>0.63</v>
      </c>
      <c r="K493" t="str" cm="1">
        <f t="array" ref="K493">_xlfn.IFS(Table4_2[[#This Row],[Growth Days]]&lt;=14,"Seedling",Table4_2[[#This Row],[Growth Days]]&lt;=35, "Vegetative",Table4_2[[#This Row],[Growth Days]]&lt;=50, "Maturity")</f>
        <v>Vegetative</v>
      </c>
      <c r="L493" t="str">
        <f>IF(Table4_2[[#This Row],[TDS Value (ppm)]]&lt;560, "Low", IF(Table4_2[[#This Row],[TDS Value (ppm)]]&lt;=800,"Optimal","High"))</f>
        <v>Low</v>
      </c>
    </row>
    <row r="494" spans="1:12" x14ac:dyDescent="0.25">
      <c r="A494">
        <v>11</v>
      </c>
      <c r="B494" s="1">
        <v>45181</v>
      </c>
      <c r="C494" s="1" t="str">
        <f>TEXT(Table4_2[[#This Row],[Date]],"dddd")</f>
        <v>Tuesday</v>
      </c>
      <c r="D494" s="21">
        <v>31.2</v>
      </c>
      <c r="E494" s="21">
        <v>66</v>
      </c>
      <c r="F494" s="21">
        <v>402</v>
      </c>
      <c r="G494" s="21">
        <v>6.6</v>
      </c>
      <c r="H494">
        <v>41</v>
      </c>
      <c r="I494">
        <v>88.16</v>
      </c>
      <c r="J494">
        <v>0.66</v>
      </c>
      <c r="K494" t="str" cm="1">
        <f t="array" ref="K494">_xlfn.IFS(Table4_2[[#This Row],[Growth Days]]&lt;=14,"Seedling",Table4_2[[#This Row],[Growth Days]]&lt;=35, "Vegetative",Table4_2[[#This Row],[Growth Days]]&lt;=50, "Maturity")</f>
        <v>Maturity</v>
      </c>
      <c r="L494" t="str">
        <f>IF(Table4_2[[#This Row],[TDS Value (ppm)]]&lt;560, "Low", IF(Table4_2[[#This Row],[TDS Value (ppm)]]&lt;=800,"Optimal","High"))</f>
        <v>Low</v>
      </c>
    </row>
    <row r="495" spans="1:12" x14ac:dyDescent="0.25">
      <c r="A495">
        <v>12</v>
      </c>
      <c r="B495" s="1">
        <v>45146</v>
      </c>
      <c r="C495" s="1" t="str">
        <f>TEXT(Table4_2[[#This Row],[Date]],"dddd")</f>
        <v>Tuesday</v>
      </c>
      <c r="D495" s="21">
        <v>32.299999999999997</v>
      </c>
      <c r="E495" s="21">
        <v>71</v>
      </c>
      <c r="F495" s="21">
        <v>515</v>
      </c>
      <c r="G495" s="21">
        <v>6.6</v>
      </c>
      <c r="H495">
        <v>6</v>
      </c>
      <c r="I495">
        <v>90.14</v>
      </c>
      <c r="J495">
        <v>0.71</v>
      </c>
      <c r="K495" t="str" cm="1">
        <f t="array" ref="K495">_xlfn.IFS(Table4_2[[#This Row],[Growth Days]]&lt;=14,"Seedling",Table4_2[[#This Row],[Growth Days]]&lt;=35, "Vegetative",Table4_2[[#This Row],[Growth Days]]&lt;=50, "Maturity")</f>
        <v>Seedling</v>
      </c>
      <c r="L495" t="str">
        <f>IF(Table4_2[[#This Row],[TDS Value (ppm)]]&lt;560, "Low", IF(Table4_2[[#This Row],[TDS Value (ppm)]]&lt;=800,"Optimal","High"))</f>
        <v>Low</v>
      </c>
    </row>
    <row r="496" spans="1:12" x14ac:dyDescent="0.25">
      <c r="A496">
        <v>12</v>
      </c>
      <c r="B496" s="1">
        <v>45153</v>
      </c>
      <c r="C496" s="1" t="str">
        <f>TEXT(Table4_2[[#This Row],[Date]],"dddd")</f>
        <v>Tuesday</v>
      </c>
      <c r="D496" s="21">
        <v>30.1</v>
      </c>
      <c r="E496" s="21">
        <v>53</v>
      </c>
      <c r="F496" s="21">
        <v>791</v>
      </c>
      <c r="G496" s="21">
        <v>6.8</v>
      </c>
      <c r="H496">
        <v>13</v>
      </c>
      <c r="I496">
        <v>86.18</v>
      </c>
      <c r="J496">
        <v>0.53</v>
      </c>
      <c r="K496" t="str" cm="1">
        <f t="array" ref="K496">_xlfn.IFS(Table4_2[[#This Row],[Growth Days]]&lt;=14,"Seedling",Table4_2[[#This Row],[Growth Days]]&lt;=35, "Vegetative",Table4_2[[#This Row],[Growth Days]]&lt;=50, "Maturity")</f>
        <v>Seedling</v>
      </c>
      <c r="L496" t="str">
        <f>IF(Table4_2[[#This Row],[TDS Value (ppm)]]&lt;560, "Low", IF(Table4_2[[#This Row],[TDS Value (ppm)]]&lt;=800,"Optimal","High"))</f>
        <v>Optimal</v>
      </c>
    </row>
    <row r="497" spans="1:12" x14ac:dyDescent="0.25">
      <c r="A497">
        <v>12</v>
      </c>
      <c r="B497" s="1">
        <v>45160</v>
      </c>
      <c r="C497" s="1" t="str">
        <f>TEXT(Table4_2[[#This Row],[Date]],"dddd")</f>
        <v>Tuesday</v>
      </c>
      <c r="D497" s="21">
        <v>30.5</v>
      </c>
      <c r="E497" s="21">
        <v>54</v>
      </c>
      <c r="F497" s="21">
        <v>463</v>
      </c>
      <c r="G497" s="21">
        <v>6.1</v>
      </c>
      <c r="H497">
        <v>20</v>
      </c>
      <c r="I497">
        <v>86.9</v>
      </c>
      <c r="J497">
        <v>0.54</v>
      </c>
      <c r="K497" t="str" cm="1">
        <f t="array" ref="K497">_xlfn.IFS(Table4_2[[#This Row],[Growth Days]]&lt;=14,"Seedling",Table4_2[[#This Row],[Growth Days]]&lt;=35, "Vegetative",Table4_2[[#This Row],[Growth Days]]&lt;=50, "Maturity")</f>
        <v>Vegetative</v>
      </c>
      <c r="L497" t="str">
        <f>IF(Table4_2[[#This Row],[TDS Value (ppm)]]&lt;560, "Low", IF(Table4_2[[#This Row],[TDS Value (ppm)]]&lt;=800,"Optimal","High"))</f>
        <v>Low</v>
      </c>
    </row>
    <row r="498" spans="1:12" x14ac:dyDescent="0.25">
      <c r="A498">
        <v>12</v>
      </c>
      <c r="B498" s="1">
        <v>45167</v>
      </c>
      <c r="C498" s="1" t="str">
        <f>TEXT(Table4_2[[#This Row],[Date]],"dddd")</f>
        <v>Tuesday</v>
      </c>
      <c r="D498" s="21">
        <v>28.7</v>
      </c>
      <c r="E498" s="21">
        <v>66</v>
      </c>
      <c r="F498" s="21">
        <v>577</v>
      </c>
      <c r="G498" s="21">
        <v>6.1</v>
      </c>
      <c r="H498">
        <v>27</v>
      </c>
      <c r="I498">
        <v>83.66</v>
      </c>
      <c r="J498">
        <v>0.66</v>
      </c>
      <c r="K498" t="str" cm="1">
        <f t="array" ref="K498">_xlfn.IFS(Table4_2[[#This Row],[Growth Days]]&lt;=14,"Seedling",Table4_2[[#This Row],[Growth Days]]&lt;=35, "Vegetative",Table4_2[[#This Row],[Growth Days]]&lt;=50, "Maturity")</f>
        <v>Vegetative</v>
      </c>
      <c r="L498" t="str">
        <f>IF(Table4_2[[#This Row],[TDS Value (ppm)]]&lt;560, "Low", IF(Table4_2[[#This Row],[TDS Value (ppm)]]&lt;=800,"Optimal","High"))</f>
        <v>Optimal</v>
      </c>
    </row>
    <row r="499" spans="1:12" x14ac:dyDescent="0.25">
      <c r="A499">
        <v>12</v>
      </c>
      <c r="B499" s="1">
        <v>45174</v>
      </c>
      <c r="C499" s="1" t="str">
        <f>TEXT(Table4_2[[#This Row],[Date]],"dddd")</f>
        <v>Tuesday</v>
      </c>
      <c r="D499" s="21">
        <v>32</v>
      </c>
      <c r="E499" s="21">
        <v>75</v>
      </c>
      <c r="F499" s="21">
        <v>467</v>
      </c>
      <c r="G499" s="21">
        <v>6.7</v>
      </c>
      <c r="H499">
        <v>34</v>
      </c>
      <c r="I499">
        <v>89.6</v>
      </c>
      <c r="J499">
        <v>0.75</v>
      </c>
      <c r="K499" t="str" cm="1">
        <f t="array" ref="K499">_xlfn.IFS(Table4_2[[#This Row],[Growth Days]]&lt;=14,"Seedling",Table4_2[[#This Row],[Growth Days]]&lt;=35, "Vegetative",Table4_2[[#This Row],[Growth Days]]&lt;=50, "Maturity")</f>
        <v>Vegetative</v>
      </c>
      <c r="L499" t="str">
        <f>IF(Table4_2[[#This Row],[TDS Value (ppm)]]&lt;560, "Low", IF(Table4_2[[#This Row],[TDS Value (ppm)]]&lt;=800,"Optimal","High"))</f>
        <v>Low</v>
      </c>
    </row>
    <row r="500" spans="1:12" x14ac:dyDescent="0.25">
      <c r="A500">
        <v>12</v>
      </c>
      <c r="B500" s="1">
        <v>45181</v>
      </c>
      <c r="C500" s="1" t="str">
        <f>TEXT(Table4_2[[#This Row],[Date]],"dddd")</f>
        <v>Tuesday</v>
      </c>
      <c r="D500" s="21">
        <v>31.2</v>
      </c>
      <c r="E500" s="21">
        <v>64</v>
      </c>
      <c r="F500" s="21">
        <v>438</v>
      </c>
      <c r="G500" s="21">
        <v>6</v>
      </c>
      <c r="H500">
        <v>41</v>
      </c>
      <c r="I500">
        <v>88.16</v>
      </c>
      <c r="J500">
        <v>0.64</v>
      </c>
      <c r="K500" t="str" cm="1">
        <f t="array" ref="K500">_xlfn.IFS(Table4_2[[#This Row],[Growth Days]]&lt;=14,"Seedling",Table4_2[[#This Row],[Growth Days]]&lt;=35, "Vegetative",Table4_2[[#This Row],[Growth Days]]&lt;=50, "Maturity")</f>
        <v>Maturity</v>
      </c>
      <c r="L500" t="str">
        <f>IF(Table4_2[[#This Row],[TDS Value (ppm)]]&lt;560, "Low", IF(Table4_2[[#This Row],[TDS Value (ppm)]]&lt;=800,"Optimal","High"))</f>
        <v>Low</v>
      </c>
    </row>
    <row r="501" spans="1:12" x14ac:dyDescent="0.25">
      <c r="A501">
        <v>13</v>
      </c>
      <c r="B501" s="1">
        <v>45146</v>
      </c>
      <c r="C501" s="1" t="str">
        <f>TEXT(Table4_2[[#This Row],[Date]],"dddd")</f>
        <v>Tuesday</v>
      </c>
      <c r="D501" s="21">
        <v>32.299999999999997</v>
      </c>
      <c r="E501" s="21">
        <v>67</v>
      </c>
      <c r="F501" s="21">
        <v>435</v>
      </c>
      <c r="G501" s="21">
        <v>6.3</v>
      </c>
      <c r="H501">
        <v>6</v>
      </c>
      <c r="I501">
        <v>90.14</v>
      </c>
      <c r="J501">
        <v>0.67</v>
      </c>
      <c r="K501" t="str" cm="1">
        <f t="array" ref="K501">_xlfn.IFS(Table4_2[[#This Row],[Growth Days]]&lt;=14,"Seedling",Table4_2[[#This Row],[Growth Days]]&lt;=35, "Vegetative",Table4_2[[#This Row],[Growth Days]]&lt;=50, "Maturity")</f>
        <v>Seedling</v>
      </c>
      <c r="L501" t="str">
        <f>IF(Table4_2[[#This Row],[TDS Value (ppm)]]&lt;560, "Low", IF(Table4_2[[#This Row],[TDS Value (ppm)]]&lt;=800,"Optimal","High"))</f>
        <v>Low</v>
      </c>
    </row>
    <row r="502" spans="1:12" x14ac:dyDescent="0.25">
      <c r="A502">
        <v>13</v>
      </c>
      <c r="B502" s="1">
        <v>45153</v>
      </c>
      <c r="C502" s="1" t="str">
        <f>TEXT(Table4_2[[#This Row],[Date]],"dddd")</f>
        <v>Tuesday</v>
      </c>
      <c r="D502" s="21">
        <v>30.1</v>
      </c>
      <c r="E502" s="21">
        <v>73</v>
      </c>
      <c r="F502" s="21">
        <v>476</v>
      </c>
      <c r="G502" s="21">
        <v>6.3</v>
      </c>
      <c r="H502">
        <v>13</v>
      </c>
      <c r="I502">
        <v>86.18</v>
      </c>
      <c r="J502">
        <v>0.73</v>
      </c>
      <c r="K502" t="str" cm="1">
        <f t="array" ref="K502">_xlfn.IFS(Table4_2[[#This Row],[Growth Days]]&lt;=14,"Seedling",Table4_2[[#This Row],[Growth Days]]&lt;=35, "Vegetative",Table4_2[[#This Row],[Growth Days]]&lt;=50, "Maturity")</f>
        <v>Seedling</v>
      </c>
      <c r="L502" t="str">
        <f>IF(Table4_2[[#This Row],[TDS Value (ppm)]]&lt;560, "Low", IF(Table4_2[[#This Row],[TDS Value (ppm)]]&lt;=800,"Optimal","High"))</f>
        <v>Low</v>
      </c>
    </row>
    <row r="503" spans="1:12" x14ac:dyDescent="0.25">
      <c r="A503">
        <v>13</v>
      </c>
      <c r="B503" s="1">
        <v>45160</v>
      </c>
      <c r="C503" s="1" t="str">
        <f>TEXT(Table4_2[[#This Row],[Date]],"dddd")</f>
        <v>Tuesday</v>
      </c>
      <c r="D503" s="21">
        <v>30.5</v>
      </c>
      <c r="E503" s="21">
        <v>66</v>
      </c>
      <c r="F503" s="21">
        <v>693</v>
      </c>
      <c r="G503" s="21">
        <v>6.2</v>
      </c>
      <c r="H503">
        <v>20</v>
      </c>
      <c r="I503">
        <v>86.9</v>
      </c>
      <c r="J503">
        <v>0.66</v>
      </c>
      <c r="K503" t="str" cm="1">
        <f t="array" ref="K503">_xlfn.IFS(Table4_2[[#This Row],[Growth Days]]&lt;=14,"Seedling",Table4_2[[#This Row],[Growth Days]]&lt;=35, "Vegetative",Table4_2[[#This Row],[Growth Days]]&lt;=50, "Maturity")</f>
        <v>Vegetative</v>
      </c>
      <c r="L503" t="str">
        <f>IF(Table4_2[[#This Row],[TDS Value (ppm)]]&lt;560, "Low", IF(Table4_2[[#This Row],[TDS Value (ppm)]]&lt;=800,"Optimal","High"))</f>
        <v>Optimal</v>
      </c>
    </row>
    <row r="504" spans="1:12" x14ac:dyDescent="0.25">
      <c r="A504">
        <v>13</v>
      </c>
      <c r="B504" s="1">
        <v>45167</v>
      </c>
      <c r="C504" s="1" t="str">
        <f>TEXT(Table4_2[[#This Row],[Date]],"dddd")</f>
        <v>Tuesday</v>
      </c>
      <c r="D504" s="21">
        <v>28.7</v>
      </c>
      <c r="E504" s="21">
        <v>57</v>
      </c>
      <c r="F504" s="21">
        <v>475</v>
      </c>
      <c r="G504" s="21">
        <v>6.5</v>
      </c>
      <c r="H504">
        <v>27</v>
      </c>
      <c r="I504">
        <v>83.66</v>
      </c>
      <c r="J504">
        <v>0.56999999999999995</v>
      </c>
      <c r="K504" t="str" cm="1">
        <f t="array" ref="K504">_xlfn.IFS(Table4_2[[#This Row],[Growth Days]]&lt;=14,"Seedling",Table4_2[[#This Row],[Growth Days]]&lt;=35, "Vegetative",Table4_2[[#This Row],[Growth Days]]&lt;=50, "Maturity")</f>
        <v>Vegetative</v>
      </c>
      <c r="L504" t="str">
        <f>IF(Table4_2[[#This Row],[TDS Value (ppm)]]&lt;560, "Low", IF(Table4_2[[#This Row],[TDS Value (ppm)]]&lt;=800,"Optimal","High"))</f>
        <v>Low</v>
      </c>
    </row>
    <row r="505" spans="1:12" x14ac:dyDescent="0.25">
      <c r="A505">
        <v>13</v>
      </c>
      <c r="B505" s="1">
        <v>45174</v>
      </c>
      <c r="C505" s="1" t="str">
        <f>TEXT(Table4_2[[#This Row],[Date]],"dddd")</f>
        <v>Tuesday</v>
      </c>
      <c r="D505" s="21">
        <v>32</v>
      </c>
      <c r="E505" s="21">
        <v>71</v>
      </c>
      <c r="F505" s="21">
        <v>744</v>
      </c>
      <c r="G505" s="21">
        <v>6.2</v>
      </c>
      <c r="H505">
        <v>34</v>
      </c>
      <c r="I505">
        <v>89.6</v>
      </c>
      <c r="J505">
        <v>0.71</v>
      </c>
      <c r="K505" t="str" cm="1">
        <f t="array" ref="K505">_xlfn.IFS(Table4_2[[#This Row],[Growth Days]]&lt;=14,"Seedling",Table4_2[[#This Row],[Growth Days]]&lt;=35, "Vegetative",Table4_2[[#This Row],[Growth Days]]&lt;=50, "Maturity")</f>
        <v>Vegetative</v>
      </c>
      <c r="L505" t="str">
        <f>IF(Table4_2[[#This Row],[TDS Value (ppm)]]&lt;560, "Low", IF(Table4_2[[#This Row],[TDS Value (ppm)]]&lt;=800,"Optimal","High"))</f>
        <v>Optimal</v>
      </c>
    </row>
    <row r="506" spans="1:12" x14ac:dyDescent="0.25">
      <c r="A506">
        <v>13</v>
      </c>
      <c r="B506" s="1">
        <v>45181</v>
      </c>
      <c r="C506" s="1" t="str">
        <f>TEXT(Table4_2[[#This Row],[Date]],"dddd")</f>
        <v>Tuesday</v>
      </c>
      <c r="D506" s="21">
        <v>31.2</v>
      </c>
      <c r="E506" s="21">
        <v>51</v>
      </c>
      <c r="F506" s="21">
        <v>724</v>
      </c>
      <c r="G506" s="21">
        <v>6.3</v>
      </c>
      <c r="H506">
        <v>41</v>
      </c>
      <c r="I506">
        <v>88.16</v>
      </c>
      <c r="J506">
        <v>0.51</v>
      </c>
      <c r="K506" t="str" cm="1">
        <f t="array" ref="K506">_xlfn.IFS(Table4_2[[#This Row],[Growth Days]]&lt;=14,"Seedling",Table4_2[[#This Row],[Growth Days]]&lt;=35, "Vegetative",Table4_2[[#This Row],[Growth Days]]&lt;=50, "Maturity")</f>
        <v>Maturity</v>
      </c>
      <c r="L506" t="str">
        <f>IF(Table4_2[[#This Row],[TDS Value (ppm)]]&lt;560, "Low", IF(Table4_2[[#This Row],[TDS Value (ppm)]]&lt;=800,"Optimal","High"))</f>
        <v>Optimal</v>
      </c>
    </row>
    <row r="507" spans="1:12" x14ac:dyDescent="0.25">
      <c r="A507">
        <v>14</v>
      </c>
      <c r="B507" s="1">
        <v>45146</v>
      </c>
      <c r="C507" s="1" t="str">
        <f>TEXT(Table4_2[[#This Row],[Date]],"dddd")</f>
        <v>Tuesday</v>
      </c>
      <c r="D507" s="21">
        <v>32.299999999999997</v>
      </c>
      <c r="E507" s="21">
        <v>51</v>
      </c>
      <c r="F507" s="21">
        <v>574</v>
      </c>
      <c r="G507" s="21">
        <v>6.7</v>
      </c>
      <c r="H507">
        <v>6</v>
      </c>
      <c r="I507">
        <v>90.14</v>
      </c>
      <c r="J507">
        <v>0.51</v>
      </c>
      <c r="K507" t="str" cm="1">
        <f t="array" ref="K507">_xlfn.IFS(Table4_2[[#This Row],[Growth Days]]&lt;=14,"Seedling",Table4_2[[#This Row],[Growth Days]]&lt;=35, "Vegetative",Table4_2[[#This Row],[Growth Days]]&lt;=50, "Maturity")</f>
        <v>Seedling</v>
      </c>
      <c r="L507" t="str">
        <f>IF(Table4_2[[#This Row],[TDS Value (ppm)]]&lt;560, "Low", IF(Table4_2[[#This Row],[TDS Value (ppm)]]&lt;=800,"Optimal","High"))</f>
        <v>Optimal</v>
      </c>
    </row>
    <row r="508" spans="1:12" x14ac:dyDescent="0.25">
      <c r="A508">
        <v>14</v>
      </c>
      <c r="B508" s="1">
        <v>45153</v>
      </c>
      <c r="C508" s="1" t="str">
        <f>TEXT(Table4_2[[#This Row],[Date]],"dddd")</f>
        <v>Tuesday</v>
      </c>
      <c r="D508" s="21">
        <v>30.1</v>
      </c>
      <c r="E508" s="21">
        <v>69</v>
      </c>
      <c r="F508" s="21">
        <v>501</v>
      </c>
      <c r="G508" s="21">
        <v>6.1</v>
      </c>
      <c r="H508">
        <v>13</v>
      </c>
      <c r="I508">
        <v>86.18</v>
      </c>
      <c r="J508">
        <v>0.69</v>
      </c>
      <c r="K508" t="str" cm="1">
        <f t="array" ref="K508">_xlfn.IFS(Table4_2[[#This Row],[Growth Days]]&lt;=14,"Seedling",Table4_2[[#This Row],[Growth Days]]&lt;=35, "Vegetative",Table4_2[[#This Row],[Growth Days]]&lt;=50, "Maturity")</f>
        <v>Seedling</v>
      </c>
      <c r="L508" t="str">
        <f>IF(Table4_2[[#This Row],[TDS Value (ppm)]]&lt;560, "Low", IF(Table4_2[[#This Row],[TDS Value (ppm)]]&lt;=800,"Optimal","High"))</f>
        <v>Low</v>
      </c>
    </row>
    <row r="509" spans="1:12" x14ac:dyDescent="0.25">
      <c r="A509">
        <v>14</v>
      </c>
      <c r="B509" s="1">
        <v>45160</v>
      </c>
      <c r="C509" s="1" t="str">
        <f>TEXT(Table4_2[[#This Row],[Date]],"dddd")</f>
        <v>Tuesday</v>
      </c>
      <c r="D509" s="21">
        <v>30.5</v>
      </c>
      <c r="E509" s="21">
        <v>56</v>
      </c>
      <c r="F509" s="21">
        <v>651</v>
      </c>
      <c r="G509" s="21">
        <v>6.5</v>
      </c>
      <c r="H509">
        <v>20</v>
      </c>
      <c r="I509">
        <v>86.9</v>
      </c>
      <c r="J509">
        <v>0.56000000000000005</v>
      </c>
      <c r="K509" t="str" cm="1">
        <f t="array" ref="K509">_xlfn.IFS(Table4_2[[#This Row],[Growth Days]]&lt;=14,"Seedling",Table4_2[[#This Row],[Growth Days]]&lt;=35, "Vegetative",Table4_2[[#This Row],[Growth Days]]&lt;=50, "Maturity")</f>
        <v>Vegetative</v>
      </c>
      <c r="L509" t="str">
        <f>IF(Table4_2[[#This Row],[TDS Value (ppm)]]&lt;560, "Low", IF(Table4_2[[#This Row],[TDS Value (ppm)]]&lt;=800,"Optimal","High"))</f>
        <v>Optimal</v>
      </c>
    </row>
    <row r="510" spans="1:12" x14ac:dyDescent="0.25">
      <c r="A510">
        <v>14</v>
      </c>
      <c r="B510" s="1">
        <v>45167</v>
      </c>
      <c r="C510" s="1" t="str">
        <f>TEXT(Table4_2[[#This Row],[Date]],"dddd")</f>
        <v>Tuesday</v>
      </c>
      <c r="D510" s="21">
        <v>28.7</v>
      </c>
      <c r="E510" s="21">
        <v>66</v>
      </c>
      <c r="F510" s="21">
        <v>522</v>
      </c>
      <c r="G510" s="21">
        <v>6.5</v>
      </c>
      <c r="H510">
        <v>27</v>
      </c>
      <c r="I510">
        <v>83.66</v>
      </c>
      <c r="J510">
        <v>0.66</v>
      </c>
      <c r="K510" t="str" cm="1">
        <f t="array" ref="K510">_xlfn.IFS(Table4_2[[#This Row],[Growth Days]]&lt;=14,"Seedling",Table4_2[[#This Row],[Growth Days]]&lt;=35, "Vegetative",Table4_2[[#This Row],[Growth Days]]&lt;=50, "Maturity")</f>
        <v>Vegetative</v>
      </c>
      <c r="L510" t="str">
        <f>IF(Table4_2[[#This Row],[TDS Value (ppm)]]&lt;560, "Low", IF(Table4_2[[#This Row],[TDS Value (ppm)]]&lt;=800,"Optimal","High"))</f>
        <v>Low</v>
      </c>
    </row>
    <row r="511" spans="1:12" x14ac:dyDescent="0.25">
      <c r="A511">
        <v>14</v>
      </c>
      <c r="B511" s="1">
        <v>45174</v>
      </c>
      <c r="C511" s="1" t="str">
        <f>TEXT(Table4_2[[#This Row],[Date]],"dddd")</f>
        <v>Tuesday</v>
      </c>
      <c r="D511" s="21">
        <v>32</v>
      </c>
      <c r="E511" s="21">
        <v>75</v>
      </c>
      <c r="F511" s="21">
        <v>683</v>
      </c>
      <c r="G511" s="21">
        <v>6.7</v>
      </c>
      <c r="H511">
        <v>34</v>
      </c>
      <c r="I511">
        <v>89.6</v>
      </c>
      <c r="J511">
        <v>0.75</v>
      </c>
      <c r="K511" t="str" cm="1">
        <f t="array" ref="K511">_xlfn.IFS(Table4_2[[#This Row],[Growth Days]]&lt;=14,"Seedling",Table4_2[[#This Row],[Growth Days]]&lt;=35, "Vegetative",Table4_2[[#This Row],[Growth Days]]&lt;=50, "Maturity")</f>
        <v>Vegetative</v>
      </c>
      <c r="L511" t="str">
        <f>IF(Table4_2[[#This Row],[TDS Value (ppm)]]&lt;560, "Low", IF(Table4_2[[#This Row],[TDS Value (ppm)]]&lt;=800,"Optimal","High"))</f>
        <v>Optimal</v>
      </c>
    </row>
    <row r="512" spans="1:12" x14ac:dyDescent="0.25">
      <c r="A512">
        <v>14</v>
      </c>
      <c r="B512" s="1">
        <v>45181</v>
      </c>
      <c r="C512" s="1" t="str">
        <f>TEXT(Table4_2[[#This Row],[Date]],"dddd")</f>
        <v>Tuesday</v>
      </c>
      <c r="D512" s="21">
        <v>31.2</v>
      </c>
      <c r="E512" s="21">
        <v>53</v>
      </c>
      <c r="F512" s="21">
        <v>795</v>
      </c>
      <c r="G512" s="21">
        <v>6.4</v>
      </c>
      <c r="H512">
        <v>41</v>
      </c>
      <c r="I512">
        <v>88.16</v>
      </c>
      <c r="J512">
        <v>0.53</v>
      </c>
      <c r="K512" t="str" cm="1">
        <f t="array" ref="K512">_xlfn.IFS(Table4_2[[#This Row],[Growth Days]]&lt;=14,"Seedling",Table4_2[[#This Row],[Growth Days]]&lt;=35, "Vegetative",Table4_2[[#This Row],[Growth Days]]&lt;=50, "Maturity")</f>
        <v>Maturity</v>
      </c>
      <c r="L512" t="str">
        <f>IF(Table4_2[[#This Row],[TDS Value (ppm)]]&lt;560, "Low", IF(Table4_2[[#This Row],[TDS Value (ppm)]]&lt;=800,"Optimal","High"))</f>
        <v>Optimal</v>
      </c>
    </row>
    <row r="513" spans="1:12" x14ac:dyDescent="0.25">
      <c r="A513">
        <v>15</v>
      </c>
      <c r="B513" s="1">
        <v>45146</v>
      </c>
      <c r="C513" s="1" t="str">
        <f>TEXT(Table4_2[[#This Row],[Date]],"dddd")</f>
        <v>Tuesday</v>
      </c>
      <c r="D513" s="21">
        <v>32.299999999999997</v>
      </c>
      <c r="E513" s="21">
        <v>61</v>
      </c>
      <c r="F513" s="21">
        <v>459</v>
      </c>
      <c r="G513" s="21">
        <v>6</v>
      </c>
      <c r="H513">
        <v>6</v>
      </c>
      <c r="I513">
        <v>90.14</v>
      </c>
      <c r="J513">
        <v>0.61</v>
      </c>
      <c r="K513" t="str" cm="1">
        <f t="array" ref="K513">_xlfn.IFS(Table4_2[[#This Row],[Growth Days]]&lt;=14,"Seedling",Table4_2[[#This Row],[Growth Days]]&lt;=35, "Vegetative",Table4_2[[#This Row],[Growth Days]]&lt;=50, "Maturity")</f>
        <v>Seedling</v>
      </c>
      <c r="L513" t="str">
        <f>IF(Table4_2[[#This Row],[TDS Value (ppm)]]&lt;560, "Low", IF(Table4_2[[#This Row],[TDS Value (ppm)]]&lt;=800,"Optimal","High"))</f>
        <v>Low</v>
      </c>
    </row>
    <row r="514" spans="1:12" x14ac:dyDescent="0.25">
      <c r="A514">
        <v>15</v>
      </c>
      <c r="B514" s="1">
        <v>45153</v>
      </c>
      <c r="C514" s="1" t="str">
        <f>TEXT(Table4_2[[#This Row],[Date]],"dddd")</f>
        <v>Tuesday</v>
      </c>
      <c r="D514" s="21">
        <v>30.1</v>
      </c>
      <c r="E514" s="21">
        <v>57</v>
      </c>
      <c r="F514" s="21">
        <v>490</v>
      </c>
      <c r="G514" s="21">
        <v>6.5</v>
      </c>
      <c r="H514">
        <v>13</v>
      </c>
      <c r="I514">
        <v>86.18</v>
      </c>
      <c r="J514">
        <v>0.56999999999999995</v>
      </c>
      <c r="K514" t="str" cm="1">
        <f t="array" ref="K514">_xlfn.IFS(Table4_2[[#This Row],[Growth Days]]&lt;=14,"Seedling",Table4_2[[#This Row],[Growth Days]]&lt;=35, "Vegetative",Table4_2[[#This Row],[Growth Days]]&lt;=50, "Maturity")</f>
        <v>Seedling</v>
      </c>
      <c r="L514" t="str">
        <f>IF(Table4_2[[#This Row],[TDS Value (ppm)]]&lt;560, "Low", IF(Table4_2[[#This Row],[TDS Value (ppm)]]&lt;=800,"Optimal","High"))</f>
        <v>Low</v>
      </c>
    </row>
    <row r="515" spans="1:12" x14ac:dyDescent="0.25">
      <c r="A515">
        <v>15</v>
      </c>
      <c r="B515" s="1">
        <v>45160</v>
      </c>
      <c r="C515" s="1" t="str">
        <f>TEXT(Table4_2[[#This Row],[Date]],"dddd")</f>
        <v>Tuesday</v>
      </c>
      <c r="D515" s="21">
        <v>30.5</v>
      </c>
      <c r="E515" s="21">
        <v>80</v>
      </c>
      <c r="F515" s="21">
        <v>578</v>
      </c>
      <c r="G515" s="21">
        <v>6.3</v>
      </c>
      <c r="H515">
        <v>20</v>
      </c>
      <c r="I515">
        <v>86.9</v>
      </c>
      <c r="J515">
        <v>0.8</v>
      </c>
      <c r="K515" t="str" cm="1">
        <f t="array" ref="K515">_xlfn.IFS(Table4_2[[#This Row],[Growth Days]]&lt;=14,"Seedling",Table4_2[[#This Row],[Growth Days]]&lt;=35, "Vegetative",Table4_2[[#This Row],[Growth Days]]&lt;=50, "Maturity")</f>
        <v>Vegetative</v>
      </c>
      <c r="L515" t="str">
        <f>IF(Table4_2[[#This Row],[TDS Value (ppm)]]&lt;560, "Low", IF(Table4_2[[#This Row],[TDS Value (ppm)]]&lt;=800,"Optimal","High"))</f>
        <v>Optimal</v>
      </c>
    </row>
    <row r="516" spans="1:12" x14ac:dyDescent="0.25">
      <c r="A516">
        <v>15</v>
      </c>
      <c r="B516" s="1">
        <v>45167</v>
      </c>
      <c r="C516" s="1" t="str">
        <f>TEXT(Table4_2[[#This Row],[Date]],"dddd")</f>
        <v>Tuesday</v>
      </c>
      <c r="D516" s="21">
        <v>28.7</v>
      </c>
      <c r="E516" s="21">
        <v>54</v>
      </c>
      <c r="F516" s="21">
        <v>474</v>
      </c>
      <c r="G516" s="21">
        <v>6.5</v>
      </c>
      <c r="H516">
        <v>27</v>
      </c>
      <c r="I516">
        <v>83.66</v>
      </c>
      <c r="J516">
        <v>0.54</v>
      </c>
      <c r="K516" t="str" cm="1">
        <f t="array" ref="K516">_xlfn.IFS(Table4_2[[#This Row],[Growth Days]]&lt;=14,"Seedling",Table4_2[[#This Row],[Growth Days]]&lt;=35, "Vegetative",Table4_2[[#This Row],[Growth Days]]&lt;=50, "Maturity")</f>
        <v>Vegetative</v>
      </c>
      <c r="L516" t="str">
        <f>IF(Table4_2[[#This Row],[TDS Value (ppm)]]&lt;560, "Low", IF(Table4_2[[#This Row],[TDS Value (ppm)]]&lt;=800,"Optimal","High"))</f>
        <v>Low</v>
      </c>
    </row>
    <row r="517" spans="1:12" x14ac:dyDescent="0.25">
      <c r="A517">
        <v>15</v>
      </c>
      <c r="B517" s="1">
        <v>45174</v>
      </c>
      <c r="C517" s="1" t="str">
        <f>TEXT(Table4_2[[#This Row],[Date]],"dddd")</f>
        <v>Tuesday</v>
      </c>
      <c r="D517" s="21">
        <v>32</v>
      </c>
      <c r="E517" s="21">
        <v>73</v>
      </c>
      <c r="F517" s="21">
        <v>714</v>
      </c>
      <c r="G517" s="21">
        <v>6.5</v>
      </c>
      <c r="H517">
        <v>34</v>
      </c>
      <c r="I517">
        <v>89.6</v>
      </c>
      <c r="J517">
        <v>0.73</v>
      </c>
      <c r="K517" t="str" cm="1">
        <f t="array" ref="K517">_xlfn.IFS(Table4_2[[#This Row],[Growth Days]]&lt;=14,"Seedling",Table4_2[[#This Row],[Growth Days]]&lt;=35, "Vegetative",Table4_2[[#This Row],[Growth Days]]&lt;=50, "Maturity")</f>
        <v>Vegetative</v>
      </c>
      <c r="L517" t="str">
        <f>IF(Table4_2[[#This Row],[TDS Value (ppm)]]&lt;560, "Low", IF(Table4_2[[#This Row],[TDS Value (ppm)]]&lt;=800,"Optimal","High"))</f>
        <v>Optimal</v>
      </c>
    </row>
    <row r="518" spans="1:12" x14ac:dyDescent="0.25">
      <c r="A518">
        <v>15</v>
      </c>
      <c r="B518" s="1">
        <v>45181</v>
      </c>
      <c r="C518" s="1" t="str">
        <f>TEXT(Table4_2[[#This Row],[Date]],"dddd")</f>
        <v>Tuesday</v>
      </c>
      <c r="D518" s="21">
        <v>31.2</v>
      </c>
      <c r="E518" s="21">
        <v>61</v>
      </c>
      <c r="F518" s="21">
        <v>403</v>
      </c>
      <c r="G518" s="21">
        <v>6.6</v>
      </c>
      <c r="H518">
        <v>41</v>
      </c>
      <c r="I518">
        <v>88.16</v>
      </c>
      <c r="J518">
        <v>0.61</v>
      </c>
      <c r="K518" t="str" cm="1">
        <f t="array" ref="K518">_xlfn.IFS(Table4_2[[#This Row],[Growth Days]]&lt;=14,"Seedling",Table4_2[[#This Row],[Growth Days]]&lt;=35, "Vegetative",Table4_2[[#This Row],[Growth Days]]&lt;=50, "Maturity")</f>
        <v>Maturity</v>
      </c>
      <c r="L518" t="str">
        <f>IF(Table4_2[[#This Row],[TDS Value (ppm)]]&lt;560, "Low", IF(Table4_2[[#This Row],[TDS Value (ppm)]]&lt;=800,"Optimal","High"))</f>
        <v>Low</v>
      </c>
    </row>
    <row r="519" spans="1:12" x14ac:dyDescent="0.25">
      <c r="A519">
        <v>16</v>
      </c>
      <c r="B519" s="1">
        <v>45146</v>
      </c>
      <c r="C519" s="1" t="str">
        <f>TEXT(Table4_2[[#This Row],[Date]],"dddd")</f>
        <v>Tuesday</v>
      </c>
      <c r="D519" s="21">
        <v>32.299999999999997</v>
      </c>
      <c r="E519" s="21">
        <v>70</v>
      </c>
      <c r="F519" s="21">
        <v>482</v>
      </c>
      <c r="G519" s="21">
        <v>6.1</v>
      </c>
      <c r="H519">
        <v>6</v>
      </c>
      <c r="I519">
        <v>90.14</v>
      </c>
      <c r="J519">
        <v>0.7</v>
      </c>
      <c r="K519" t="str" cm="1">
        <f t="array" ref="K519">_xlfn.IFS(Table4_2[[#This Row],[Growth Days]]&lt;=14,"Seedling",Table4_2[[#This Row],[Growth Days]]&lt;=35, "Vegetative",Table4_2[[#This Row],[Growth Days]]&lt;=50, "Maturity")</f>
        <v>Seedling</v>
      </c>
      <c r="L519" t="str">
        <f>IF(Table4_2[[#This Row],[TDS Value (ppm)]]&lt;560, "Low", IF(Table4_2[[#This Row],[TDS Value (ppm)]]&lt;=800,"Optimal","High"))</f>
        <v>Low</v>
      </c>
    </row>
    <row r="520" spans="1:12" x14ac:dyDescent="0.25">
      <c r="A520">
        <v>16</v>
      </c>
      <c r="B520" s="1">
        <v>45153</v>
      </c>
      <c r="C520" s="1" t="str">
        <f>TEXT(Table4_2[[#This Row],[Date]],"dddd")</f>
        <v>Tuesday</v>
      </c>
      <c r="D520" s="21">
        <v>30.1</v>
      </c>
      <c r="E520" s="21">
        <v>67</v>
      </c>
      <c r="F520" s="21">
        <v>454</v>
      </c>
      <c r="G520" s="21">
        <v>6.7</v>
      </c>
      <c r="H520">
        <v>13</v>
      </c>
      <c r="I520">
        <v>86.18</v>
      </c>
      <c r="J520">
        <v>0.67</v>
      </c>
      <c r="K520" t="str" cm="1">
        <f t="array" ref="K520">_xlfn.IFS(Table4_2[[#This Row],[Growth Days]]&lt;=14,"Seedling",Table4_2[[#This Row],[Growth Days]]&lt;=35, "Vegetative",Table4_2[[#This Row],[Growth Days]]&lt;=50, "Maturity")</f>
        <v>Seedling</v>
      </c>
      <c r="L520" t="str">
        <f>IF(Table4_2[[#This Row],[TDS Value (ppm)]]&lt;560, "Low", IF(Table4_2[[#This Row],[TDS Value (ppm)]]&lt;=800,"Optimal","High"))</f>
        <v>Low</v>
      </c>
    </row>
    <row r="521" spans="1:12" x14ac:dyDescent="0.25">
      <c r="A521">
        <v>16</v>
      </c>
      <c r="B521" s="1">
        <v>45160</v>
      </c>
      <c r="C521" s="1" t="str">
        <f>TEXT(Table4_2[[#This Row],[Date]],"dddd")</f>
        <v>Tuesday</v>
      </c>
      <c r="D521" s="21">
        <v>30.5</v>
      </c>
      <c r="E521" s="21">
        <v>80</v>
      </c>
      <c r="F521" s="21">
        <v>515</v>
      </c>
      <c r="G521" s="21">
        <v>6.8</v>
      </c>
      <c r="H521">
        <v>20</v>
      </c>
      <c r="I521">
        <v>86.9</v>
      </c>
      <c r="J521">
        <v>0.8</v>
      </c>
      <c r="K521" t="str" cm="1">
        <f t="array" ref="K521">_xlfn.IFS(Table4_2[[#This Row],[Growth Days]]&lt;=14,"Seedling",Table4_2[[#This Row],[Growth Days]]&lt;=35, "Vegetative",Table4_2[[#This Row],[Growth Days]]&lt;=50, "Maturity")</f>
        <v>Vegetative</v>
      </c>
      <c r="L521" t="str">
        <f>IF(Table4_2[[#This Row],[TDS Value (ppm)]]&lt;560, "Low", IF(Table4_2[[#This Row],[TDS Value (ppm)]]&lt;=800,"Optimal","High"))</f>
        <v>Low</v>
      </c>
    </row>
    <row r="522" spans="1:12" x14ac:dyDescent="0.25">
      <c r="A522">
        <v>16</v>
      </c>
      <c r="B522" s="1">
        <v>45167</v>
      </c>
      <c r="C522" s="1" t="str">
        <f>TEXT(Table4_2[[#This Row],[Date]],"dddd")</f>
        <v>Tuesday</v>
      </c>
      <c r="D522" s="21">
        <v>28.7</v>
      </c>
      <c r="E522" s="21">
        <v>65</v>
      </c>
      <c r="F522" s="21">
        <v>553</v>
      </c>
      <c r="G522" s="21">
        <v>6.4</v>
      </c>
      <c r="H522">
        <v>27</v>
      </c>
      <c r="I522">
        <v>83.66</v>
      </c>
      <c r="J522">
        <v>0.65</v>
      </c>
      <c r="K522" t="str" cm="1">
        <f t="array" ref="K522">_xlfn.IFS(Table4_2[[#This Row],[Growth Days]]&lt;=14,"Seedling",Table4_2[[#This Row],[Growth Days]]&lt;=35, "Vegetative",Table4_2[[#This Row],[Growth Days]]&lt;=50, "Maturity")</f>
        <v>Vegetative</v>
      </c>
      <c r="L522" t="str">
        <f>IF(Table4_2[[#This Row],[TDS Value (ppm)]]&lt;560, "Low", IF(Table4_2[[#This Row],[TDS Value (ppm)]]&lt;=800,"Optimal","High"))</f>
        <v>Low</v>
      </c>
    </row>
    <row r="523" spans="1:12" x14ac:dyDescent="0.25">
      <c r="A523">
        <v>16</v>
      </c>
      <c r="B523" s="1">
        <v>45174</v>
      </c>
      <c r="C523" s="1" t="str">
        <f>TEXT(Table4_2[[#This Row],[Date]],"dddd")</f>
        <v>Tuesday</v>
      </c>
      <c r="D523" s="21">
        <v>32</v>
      </c>
      <c r="E523" s="21">
        <v>53</v>
      </c>
      <c r="F523" s="21">
        <v>522</v>
      </c>
      <c r="G523" s="21">
        <v>6.1</v>
      </c>
      <c r="H523">
        <v>34</v>
      </c>
      <c r="I523">
        <v>89.6</v>
      </c>
      <c r="J523">
        <v>0.53</v>
      </c>
      <c r="K523" t="str" cm="1">
        <f t="array" ref="K523">_xlfn.IFS(Table4_2[[#This Row],[Growth Days]]&lt;=14,"Seedling",Table4_2[[#This Row],[Growth Days]]&lt;=35, "Vegetative",Table4_2[[#This Row],[Growth Days]]&lt;=50, "Maturity")</f>
        <v>Vegetative</v>
      </c>
      <c r="L523" t="str">
        <f>IF(Table4_2[[#This Row],[TDS Value (ppm)]]&lt;560, "Low", IF(Table4_2[[#This Row],[TDS Value (ppm)]]&lt;=800,"Optimal","High"))</f>
        <v>Low</v>
      </c>
    </row>
    <row r="524" spans="1:12" x14ac:dyDescent="0.25">
      <c r="A524">
        <v>16</v>
      </c>
      <c r="B524" s="1">
        <v>45181</v>
      </c>
      <c r="C524" s="1" t="str">
        <f>TEXT(Table4_2[[#This Row],[Date]],"dddd")</f>
        <v>Tuesday</v>
      </c>
      <c r="D524" s="21">
        <v>31.2</v>
      </c>
      <c r="E524" s="21">
        <v>80</v>
      </c>
      <c r="F524" s="21">
        <v>732</v>
      </c>
      <c r="G524" s="21">
        <v>6.6</v>
      </c>
      <c r="H524">
        <v>41</v>
      </c>
      <c r="I524">
        <v>88.16</v>
      </c>
      <c r="J524">
        <v>0.8</v>
      </c>
      <c r="K524" t="str" cm="1">
        <f t="array" ref="K524">_xlfn.IFS(Table4_2[[#This Row],[Growth Days]]&lt;=14,"Seedling",Table4_2[[#This Row],[Growth Days]]&lt;=35, "Vegetative",Table4_2[[#This Row],[Growth Days]]&lt;=50, "Maturity")</f>
        <v>Maturity</v>
      </c>
      <c r="L524" t="str">
        <f>IF(Table4_2[[#This Row],[TDS Value (ppm)]]&lt;560, "Low", IF(Table4_2[[#This Row],[TDS Value (ppm)]]&lt;=800,"Optimal","High"))</f>
        <v>Optimal</v>
      </c>
    </row>
    <row r="525" spans="1:12" x14ac:dyDescent="0.25">
      <c r="A525">
        <v>17</v>
      </c>
      <c r="B525" s="1">
        <v>45146</v>
      </c>
      <c r="C525" s="1" t="str">
        <f>TEXT(Table4_2[[#This Row],[Date]],"dddd")</f>
        <v>Tuesday</v>
      </c>
      <c r="D525" s="21">
        <v>32.299999999999997</v>
      </c>
      <c r="E525" s="21">
        <v>55</v>
      </c>
      <c r="F525" s="21">
        <v>617</v>
      </c>
      <c r="G525" s="21">
        <v>6</v>
      </c>
      <c r="H525">
        <v>6</v>
      </c>
      <c r="I525">
        <v>90.14</v>
      </c>
      <c r="J525">
        <v>0.55000000000000004</v>
      </c>
      <c r="K525" t="str" cm="1">
        <f t="array" ref="K525">_xlfn.IFS(Table4_2[[#This Row],[Growth Days]]&lt;=14,"Seedling",Table4_2[[#This Row],[Growth Days]]&lt;=35, "Vegetative",Table4_2[[#This Row],[Growth Days]]&lt;=50, "Maturity")</f>
        <v>Seedling</v>
      </c>
      <c r="L525" t="str">
        <f>IF(Table4_2[[#This Row],[TDS Value (ppm)]]&lt;560, "Low", IF(Table4_2[[#This Row],[TDS Value (ppm)]]&lt;=800,"Optimal","High"))</f>
        <v>Optimal</v>
      </c>
    </row>
    <row r="526" spans="1:12" x14ac:dyDescent="0.25">
      <c r="A526">
        <v>17</v>
      </c>
      <c r="B526" s="1">
        <v>45153</v>
      </c>
      <c r="C526" s="1" t="str">
        <f>TEXT(Table4_2[[#This Row],[Date]],"dddd")</f>
        <v>Tuesday</v>
      </c>
      <c r="D526" s="21">
        <v>30.1</v>
      </c>
      <c r="E526" s="21">
        <v>73</v>
      </c>
      <c r="F526" s="21">
        <v>607</v>
      </c>
      <c r="G526" s="21">
        <v>6.2</v>
      </c>
      <c r="H526">
        <v>13</v>
      </c>
      <c r="I526">
        <v>86.18</v>
      </c>
      <c r="J526">
        <v>0.73</v>
      </c>
      <c r="K526" t="str" cm="1">
        <f t="array" ref="K526">_xlfn.IFS(Table4_2[[#This Row],[Growth Days]]&lt;=14,"Seedling",Table4_2[[#This Row],[Growth Days]]&lt;=35, "Vegetative",Table4_2[[#This Row],[Growth Days]]&lt;=50, "Maturity")</f>
        <v>Seedling</v>
      </c>
      <c r="L526" t="str">
        <f>IF(Table4_2[[#This Row],[TDS Value (ppm)]]&lt;560, "Low", IF(Table4_2[[#This Row],[TDS Value (ppm)]]&lt;=800,"Optimal","High"))</f>
        <v>Optimal</v>
      </c>
    </row>
    <row r="527" spans="1:12" x14ac:dyDescent="0.25">
      <c r="A527">
        <v>17</v>
      </c>
      <c r="B527" s="1">
        <v>45160</v>
      </c>
      <c r="C527" s="1" t="str">
        <f>TEXT(Table4_2[[#This Row],[Date]],"dddd")</f>
        <v>Tuesday</v>
      </c>
      <c r="D527" s="21">
        <v>30.5</v>
      </c>
      <c r="E527" s="21">
        <v>58</v>
      </c>
      <c r="F527" s="21">
        <v>542</v>
      </c>
      <c r="G527" s="21">
        <v>6.6</v>
      </c>
      <c r="H527">
        <v>20</v>
      </c>
      <c r="I527">
        <v>86.9</v>
      </c>
      <c r="J527">
        <v>0.57999999999999996</v>
      </c>
      <c r="K527" t="str" cm="1">
        <f t="array" ref="K527">_xlfn.IFS(Table4_2[[#This Row],[Growth Days]]&lt;=14,"Seedling",Table4_2[[#This Row],[Growth Days]]&lt;=35, "Vegetative",Table4_2[[#This Row],[Growth Days]]&lt;=50, "Maturity")</f>
        <v>Vegetative</v>
      </c>
      <c r="L527" t="str">
        <f>IF(Table4_2[[#This Row],[TDS Value (ppm)]]&lt;560, "Low", IF(Table4_2[[#This Row],[TDS Value (ppm)]]&lt;=800,"Optimal","High"))</f>
        <v>Low</v>
      </c>
    </row>
    <row r="528" spans="1:12" x14ac:dyDescent="0.25">
      <c r="A528">
        <v>17</v>
      </c>
      <c r="B528" s="1">
        <v>45167</v>
      </c>
      <c r="C528" s="1" t="str">
        <f>TEXT(Table4_2[[#This Row],[Date]],"dddd")</f>
        <v>Tuesday</v>
      </c>
      <c r="D528" s="21">
        <v>28.7</v>
      </c>
      <c r="E528" s="21">
        <v>69</v>
      </c>
      <c r="F528" s="21">
        <v>598</v>
      </c>
      <c r="G528" s="21">
        <v>6.1</v>
      </c>
      <c r="H528">
        <v>27</v>
      </c>
      <c r="I528">
        <v>83.66</v>
      </c>
      <c r="J528">
        <v>0.69</v>
      </c>
      <c r="K528" t="str" cm="1">
        <f t="array" ref="K528">_xlfn.IFS(Table4_2[[#This Row],[Growth Days]]&lt;=14,"Seedling",Table4_2[[#This Row],[Growth Days]]&lt;=35, "Vegetative",Table4_2[[#This Row],[Growth Days]]&lt;=50, "Maturity")</f>
        <v>Vegetative</v>
      </c>
      <c r="L528" t="str">
        <f>IF(Table4_2[[#This Row],[TDS Value (ppm)]]&lt;560, "Low", IF(Table4_2[[#This Row],[TDS Value (ppm)]]&lt;=800,"Optimal","High"))</f>
        <v>Optimal</v>
      </c>
    </row>
    <row r="529" spans="1:12" x14ac:dyDescent="0.25">
      <c r="A529">
        <v>17</v>
      </c>
      <c r="B529" s="1">
        <v>45174</v>
      </c>
      <c r="C529" s="1" t="str">
        <f>TEXT(Table4_2[[#This Row],[Date]],"dddd")</f>
        <v>Tuesday</v>
      </c>
      <c r="D529" s="21">
        <v>32</v>
      </c>
      <c r="E529" s="21">
        <v>58</v>
      </c>
      <c r="F529" s="21">
        <v>743</v>
      </c>
      <c r="G529" s="21">
        <v>6.1</v>
      </c>
      <c r="H529">
        <v>34</v>
      </c>
      <c r="I529">
        <v>89.6</v>
      </c>
      <c r="J529">
        <v>0.57999999999999996</v>
      </c>
      <c r="K529" t="str" cm="1">
        <f t="array" ref="K529">_xlfn.IFS(Table4_2[[#This Row],[Growth Days]]&lt;=14,"Seedling",Table4_2[[#This Row],[Growth Days]]&lt;=35, "Vegetative",Table4_2[[#This Row],[Growth Days]]&lt;=50, "Maturity")</f>
        <v>Vegetative</v>
      </c>
      <c r="L529" t="str">
        <f>IF(Table4_2[[#This Row],[TDS Value (ppm)]]&lt;560, "Low", IF(Table4_2[[#This Row],[TDS Value (ppm)]]&lt;=800,"Optimal","High"))</f>
        <v>Optimal</v>
      </c>
    </row>
    <row r="530" spans="1:12" x14ac:dyDescent="0.25">
      <c r="A530">
        <v>17</v>
      </c>
      <c r="B530" s="1">
        <v>45181</v>
      </c>
      <c r="C530" s="1" t="str">
        <f>TEXT(Table4_2[[#This Row],[Date]],"dddd")</f>
        <v>Tuesday</v>
      </c>
      <c r="D530" s="21">
        <v>31.2</v>
      </c>
      <c r="E530" s="21">
        <v>61</v>
      </c>
      <c r="F530" s="21">
        <v>482</v>
      </c>
      <c r="G530" s="21">
        <v>6.6</v>
      </c>
      <c r="H530">
        <v>41</v>
      </c>
      <c r="I530">
        <v>88.16</v>
      </c>
      <c r="J530">
        <v>0.61</v>
      </c>
      <c r="K530" t="str" cm="1">
        <f t="array" ref="K530">_xlfn.IFS(Table4_2[[#This Row],[Growth Days]]&lt;=14,"Seedling",Table4_2[[#This Row],[Growth Days]]&lt;=35, "Vegetative",Table4_2[[#This Row],[Growth Days]]&lt;=50, "Maturity")</f>
        <v>Maturity</v>
      </c>
      <c r="L530" t="str">
        <f>IF(Table4_2[[#This Row],[TDS Value (ppm)]]&lt;560, "Low", IF(Table4_2[[#This Row],[TDS Value (ppm)]]&lt;=800,"Optimal","High"))</f>
        <v>Low</v>
      </c>
    </row>
    <row r="531" spans="1:12" x14ac:dyDescent="0.25">
      <c r="A531">
        <v>18</v>
      </c>
      <c r="B531" s="1">
        <v>45146</v>
      </c>
      <c r="C531" s="1" t="str">
        <f>TEXT(Table4_2[[#This Row],[Date]],"dddd")</f>
        <v>Tuesday</v>
      </c>
      <c r="D531" s="21">
        <v>32.299999999999997</v>
      </c>
      <c r="E531" s="21">
        <v>58</v>
      </c>
      <c r="F531" s="21">
        <v>556</v>
      </c>
      <c r="G531" s="21">
        <v>6.5</v>
      </c>
      <c r="H531">
        <v>6</v>
      </c>
      <c r="I531">
        <v>90.14</v>
      </c>
      <c r="J531">
        <v>0.57999999999999996</v>
      </c>
      <c r="K531" t="str" cm="1">
        <f t="array" ref="K531">_xlfn.IFS(Table4_2[[#This Row],[Growth Days]]&lt;=14,"Seedling",Table4_2[[#This Row],[Growth Days]]&lt;=35, "Vegetative",Table4_2[[#This Row],[Growth Days]]&lt;=50, "Maturity")</f>
        <v>Seedling</v>
      </c>
      <c r="L531" t="str">
        <f>IF(Table4_2[[#This Row],[TDS Value (ppm)]]&lt;560, "Low", IF(Table4_2[[#This Row],[TDS Value (ppm)]]&lt;=800,"Optimal","High"))</f>
        <v>Low</v>
      </c>
    </row>
    <row r="532" spans="1:12" x14ac:dyDescent="0.25">
      <c r="A532">
        <v>18</v>
      </c>
      <c r="B532" s="1">
        <v>45153</v>
      </c>
      <c r="C532" s="1" t="str">
        <f>TEXT(Table4_2[[#This Row],[Date]],"dddd")</f>
        <v>Tuesday</v>
      </c>
      <c r="D532" s="21">
        <v>30.1</v>
      </c>
      <c r="E532" s="21">
        <v>52</v>
      </c>
      <c r="F532" s="21">
        <v>723</v>
      </c>
      <c r="G532" s="21">
        <v>6.1</v>
      </c>
      <c r="H532">
        <v>13</v>
      </c>
      <c r="I532">
        <v>86.18</v>
      </c>
      <c r="J532">
        <v>0.52</v>
      </c>
      <c r="K532" t="str" cm="1">
        <f t="array" ref="K532">_xlfn.IFS(Table4_2[[#This Row],[Growth Days]]&lt;=14,"Seedling",Table4_2[[#This Row],[Growth Days]]&lt;=35, "Vegetative",Table4_2[[#This Row],[Growth Days]]&lt;=50, "Maturity")</f>
        <v>Seedling</v>
      </c>
      <c r="L532" t="str">
        <f>IF(Table4_2[[#This Row],[TDS Value (ppm)]]&lt;560, "Low", IF(Table4_2[[#This Row],[TDS Value (ppm)]]&lt;=800,"Optimal","High"))</f>
        <v>Optimal</v>
      </c>
    </row>
    <row r="533" spans="1:12" x14ac:dyDescent="0.25">
      <c r="A533">
        <v>18</v>
      </c>
      <c r="B533" s="1">
        <v>45160</v>
      </c>
      <c r="C533" s="1" t="str">
        <f>TEXT(Table4_2[[#This Row],[Date]],"dddd")</f>
        <v>Tuesday</v>
      </c>
      <c r="D533" s="21">
        <v>30.5</v>
      </c>
      <c r="E533" s="21">
        <v>69</v>
      </c>
      <c r="F533" s="21">
        <v>413</v>
      </c>
      <c r="G533" s="21">
        <v>6.1</v>
      </c>
      <c r="H533">
        <v>20</v>
      </c>
      <c r="I533">
        <v>86.9</v>
      </c>
      <c r="J533">
        <v>0.69</v>
      </c>
      <c r="K533" t="str" cm="1">
        <f t="array" ref="K533">_xlfn.IFS(Table4_2[[#This Row],[Growth Days]]&lt;=14,"Seedling",Table4_2[[#This Row],[Growth Days]]&lt;=35, "Vegetative",Table4_2[[#This Row],[Growth Days]]&lt;=50, "Maturity")</f>
        <v>Vegetative</v>
      </c>
      <c r="L533" t="str">
        <f>IF(Table4_2[[#This Row],[TDS Value (ppm)]]&lt;560, "Low", IF(Table4_2[[#This Row],[TDS Value (ppm)]]&lt;=800,"Optimal","High"))</f>
        <v>Low</v>
      </c>
    </row>
    <row r="534" spans="1:12" x14ac:dyDescent="0.25">
      <c r="A534">
        <v>18</v>
      </c>
      <c r="B534" s="1">
        <v>45167</v>
      </c>
      <c r="C534" s="1" t="str">
        <f>TEXT(Table4_2[[#This Row],[Date]],"dddd")</f>
        <v>Tuesday</v>
      </c>
      <c r="D534" s="21">
        <v>28.7</v>
      </c>
      <c r="E534" s="21">
        <v>59</v>
      </c>
      <c r="F534" s="21">
        <v>699</v>
      </c>
      <c r="G534" s="21">
        <v>6.8</v>
      </c>
      <c r="H534">
        <v>27</v>
      </c>
      <c r="I534">
        <v>83.66</v>
      </c>
      <c r="J534">
        <v>0.59</v>
      </c>
      <c r="K534" t="str" cm="1">
        <f t="array" ref="K534">_xlfn.IFS(Table4_2[[#This Row],[Growth Days]]&lt;=14,"Seedling",Table4_2[[#This Row],[Growth Days]]&lt;=35, "Vegetative",Table4_2[[#This Row],[Growth Days]]&lt;=50, "Maturity")</f>
        <v>Vegetative</v>
      </c>
      <c r="L534" t="str">
        <f>IF(Table4_2[[#This Row],[TDS Value (ppm)]]&lt;560, "Low", IF(Table4_2[[#This Row],[TDS Value (ppm)]]&lt;=800,"Optimal","High"))</f>
        <v>Optimal</v>
      </c>
    </row>
    <row r="535" spans="1:12" x14ac:dyDescent="0.25">
      <c r="A535">
        <v>18</v>
      </c>
      <c r="B535" s="1">
        <v>45174</v>
      </c>
      <c r="C535" s="1" t="str">
        <f>TEXT(Table4_2[[#This Row],[Date]],"dddd")</f>
        <v>Tuesday</v>
      </c>
      <c r="D535" s="21">
        <v>32</v>
      </c>
      <c r="E535" s="21">
        <v>60</v>
      </c>
      <c r="F535" s="21">
        <v>730</v>
      </c>
      <c r="G535" s="21">
        <v>6.5</v>
      </c>
      <c r="H535">
        <v>34</v>
      </c>
      <c r="I535">
        <v>89.6</v>
      </c>
      <c r="J535">
        <v>0.6</v>
      </c>
      <c r="K535" t="str" cm="1">
        <f t="array" ref="K535">_xlfn.IFS(Table4_2[[#This Row],[Growth Days]]&lt;=14,"Seedling",Table4_2[[#This Row],[Growth Days]]&lt;=35, "Vegetative",Table4_2[[#This Row],[Growth Days]]&lt;=50, "Maturity")</f>
        <v>Vegetative</v>
      </c>
      <c r="L535" t="str">
        <f>IF(Table4_2[[#This Row],[TDS Value (ppm)]]&lt;560, "Low", IF(Table4_2[[#This Row],[TDS Value (ppm)]]&lt;=800,"Optimal","High"))</f>
        <v>Optimal</v>
      </c>
    </row>
    <row r="536" spans="1:12" x14ac:dyDescent="0.25">
      <c r="A536">
        <v>18</v>
      </c>
      <c r="B536" s="1">
        <v>45181</v>
      </c>
      <c r="C536" s="1" t="str">
        <f>TEXT(Table4_2[[#This Row],[Date]],"dddd")</f>
        <v>Tuesday</v>
      </c>
      <c r="D536" s="21">
        <v>31.2</v>
      </c>
      <c r="E536" s="21">
        <v>78</v>
      </c>
      <c r="F536" s="21">
        <v>440</v>
      </c>
      <c r="G536" s="21">
        <v>6.5</v>
      </c>
      <c r="H536">
        <v>41</v>
      </c>
      <c r="I536">
        <v>88.16</v>
      </c>
      <c r="J536">
        <v>0.78</v>
      </c>
      <c r="K536" t="str" cm="1">
        <f t="array" ref="K536">_xlfn.IFS(Table4_2[[#This Row],[Growth Days]]&lt;=14,"Seedling",Table4_2[[#This Row],[Growth Days]]&lt;=35, "Vegetative",Table4_2[[#This Row],[Growth Days]]&lt;=50, "Maturity")</f>
        <v>Maturity</v>
      </c>
      <c r="L536" t="str">
        <f>IF(Table4_2[[#This Row],[TDS Value (ppm)]]&lt;560, "Low", IF(Table4_2[[#This Row],[TDS Value (ppm)]]&lt;=800,"Optimal","High"))</f>
        <v>Low</v>
      </c>
    </row>
    <row r="537" spans="1:12" x14ac:dyDescent="0.25">
      <c r="A537">
        <v>19</v>
      </c>
      <c r="B537" s="1">
        <v>45146</v>
      </c>
      <c r="C537" s="1" t="str">
        <f>TEXT(Table4_2[[#This Row],[Date]],"dddd")</f>
        <v>Tuesday</v>
      </c>
      <c r="D537" s="21">
        <v>32.299999999999997</v>
      </c>
      <c r="E537" s="21">
        <v>63</v>
      </c>
      <c r="F537" s="21">
        <v>651</v>
      </c>
      <c r="G537" s="21">
        <v>6.5</v>
      </c>
      <c r="H537">
        <v>6</v>
      </c>
      <c r="I537">
        <v>90.14</v>
      </c>
      <c r="J537">
        <v>0.63</v>
      </c>
      <c r="K537" t="str" cm="1">
        <f t="array" ref="K537">_xlfn.IFS(Table4_2[[#This Row],[Growth Days]]&lt;=14,"Seedling",Table4_2[[#This Row],[Growth Days]]&lt;=35, "Vegetative",Table4_2[[#This Row],[Growth Days]]&lt;=50, "Maturity")</f>
        <v>Seedling</v>
      </c>
      <c r="L537" t="str">
        <f>IF(Table4_2[[#This Row],[TDS Value (ppm)]]&lt;560, "Low", IF(Table4_2[[#This Row],[TDS Value (ppm)]]&lt;=800,"Optimal","High"))</f>
        <v>Optimal</v>
      </c>
    </row>
    <row r="538" spans="1:12" x14ac:dyDescent="0.25">
      <c r="A538">
        <v>19</v>
      </c>
      <c r="B538" s="1">
        <v>45153</v>
      </c>
      <c r="C538" s="1" t="str">
        <f>TEXT(Table4_2[[#This Row],[Date]],"dddd")</f>
        <v>Tuesday</v>
      </c>
      <c r="D538" s="21">
        <v>30.1</v>
      </c>
      <c r="E538" s="21">
        <v>71</v>
      </c>
      <c r="F538" s="21">
        <v>763</v>
      </c>
      <c r="G538" s="21">
        <v>6.3</v>
      </c>
      <c r="H538">
        <v>13</v>
      </c>
      <c r="I538">
        <v>86.18</v>
      </c>
      <c r="J538">
        <v>0.71</v>
      </c>
      <c r="K538" t="str" cm="1">
        <f t="array" ref="K538">_xlfn.IFS(Table4_2[[#This Row],[Growth Days]]&lt;=14,"Seedling",Table4_2[[#This Row],[Growth Days]]&lt;=35, "Vegetative",Table4_2[[#This Row],[Growth Days]]&lt;=50, "Maturity")</f>
        <v>Seedling</v>
      </c>
      <c r="L538" t="str">
        <f>IF(Table4_2[[#This Row],[TDS Value (ppm)]]&lt;560, "Low", IF(Table4_2[[#This Row],[TDS Value (ppm)]]&lt;=800,"Optimal","High"))</f>
        <v>Optimal</v>
      </c>
    </row>
    <row r="539" spans="1:12" x14ac:dyDescent="0.25">
      <c r="A539">
        <v>19</v>
      </c>
      <c r="B539" s="1">
        <v>45160</v>
      </c>
      <c r="C539" s="1" t="str">
        <f>TEXT(Table4_2[[#This Row],[Date]],"dddd")</f>
        <v>Tuesday</v>
      </c>
      <c r="D539" s="21">
        <v>30.5</v>
      </c>
      <c r="E539" s="21">
        <v>77</v>
      </c>
      <c r="F539" s="21">
        <v>745</v>
      </c>
      <c r="G539" s="21">
        <v>6.2</v>
      </c>
      <c r="H539">
        <v>20</v>
      </c>
      <c r="I539">
        <v>86.9</v>
      </c>
      <c r="J539">
        <v>0.77</v>
      </c>
      <c r="K539" t="str" cm="1">
        <f t="array" ref="K539">_xlfn.IFS(Table4_2[[#This Row],[Growth Days]]&lt;=14,"Seedling",Table4_2[[#This Row],[Growth Days]]&lt;=35, "Vegetative",Table4_2[[#This Row],[Growth Days]]&lt;=50, "Maturity")</f>
        <v>Vegetative</v>
      </c>
      <c r="L539" t="str">
        <f>IF(Table4_2[[#This Row],[TDS Value (ppm)]]&lt;560, "Low", IF(Table4_2[[#This Row],[TDS Value (ppm)]]&lt;=800,"Optimal","High"))</f>
        <v>Optimal</v>
      </c>
    </row>
    <row r="540" spans="1:12" x14ac:dyDescent="0.25">
      <c r="A540">
        <v>19</v>
      </c>
      <c r="B540" s="1">
        <v>45167</v>
      </c>
      <c r="C540" s="1" t="str">
        <f>TEXT(Table4_2[[#This Row],[Date]],"dddd")</f>
        <v>Tuesday</v>
      </c>
      <c r="D540" s="21">
        <v>28.7</v>
      </c>
      <c r="E540" s="21">
        <v>76</v>
      </c>
      <c r="F540" s="21">
        <v>498</v>
      </c>
      <c r="G540" s="21">
        <v>6.2</v>
      </c>
      <c r="H540">
        <v>27</v>
      </c>
      <c r="I540">
        <v>83.66</v>
      </c>
      <c r="J540">
        <v>0.76</v>
      </c>
      <c r="K540" t="str" cm="1">
        <f t="array" ref="K540">_xlfn.IFS(Table4_2[[#This Row],[Growth Days]]&lt;=14,"Seedling",Table4_2[[#This Row],[Growth Days]]&lt;=35, "Vegetative",Table4_2[[#This Row],[Growth Days]]&lt;=50, "Maturity")</f>
        <v>Vegetative</v>
      </c>
      <c r="L540" t="str">
        <f>IF(Table4_2[[#This Row],[TDS Value (ppm)]]&lt;560, "Low", IF(Table4_2[[#This Row],[TDS Value (ppm)]]&lt;=800,"Optimal","High"))</f>
        <v>Low</v>
      </c>
    </row>
    <row r="541" spans="1:12" x14ac:dyDescent="0.25">
      <c r="A541">
        <v>19</v>
      </c>
      <c r="B541" s="1">
        <v>45174</v>
      </c>
      <c r="C541" s="1" t="str">
        <f>TEXT(Table4_2[[#This Row],[Date]],"dddd")</f>
        <v>Tuesday</v>
      </c>
      <c r="D541" s="21">
        <v>32</v>
      </c>
      <c r="E541" s="21">
        <v>76</v>
      </c>
      <c r="F541" s="21">
        <v>563</v>
      </c>
      <c r="G541" s="21">
        <v>6.6</v>
      </c>
      <c r="H541">
        <v>34</v>
      </c>
      <c r="I541">
        <v>89.6</v>
      </c>
      <c r="J541">
        <v>0.76</v>
      </c>
      <c r="K541" t="str" cm="1">
        <f t="array" ref="K541">_xlfn.IFS(Table4_2[[#This Row],[Growth Days]]&lt;=14,"Seedling",Table4_2[[#This Row],[Growth Days]]&lt;=35, "Vegetative",Table4_2[[#This Row],[Growth Days]]&lt;=50, "Maturity")</f>
        <v>Vegetative</v>
      </c>
      <c r="L541" t="str">
        <f>IF(Table4_2[[#This Row],[TDS Value (ppm)]]&lt;560, "Low", IF(Table4_2[[#This Row],[TDS Value (ppm)]]&lt;=800,"Optimal","High"))</f>
        <v>Optimal</v>
      </c>
    </row>
    <row r="542" spans="1:12" x14ac:dyDescent="0.25">
      <c r="A542">
        <v>19</v>
      </c>
      <c r="B542" s="1">
        <v>45181</v>
      </c>
      <c r="C542" s="1" t="str">
        <f>TEXT(Table4_2[[#This Row],[Date]],"dddd")</f>
        <v>Tuesday</v>
      </c>
      <c r="D542" s="21">
        <v>31.2</v>
      </c>
      <c r="E542" s="21">
        <v>67</v>
      </c>
      <c r="F542" s="21">
        <v>449</v>
      </c>
      <c r="G542" s="21">
        <v>6</v>
      </c>
      <c r="H542">
        <v>41</v>
      </c>
      <c r="I542">
        <v>88.16</v>
      </c>
      <c r="J542">
        <v>0.67</v>
      </c>
      <c r="K542" t="str" cm="1">
        <f t="array" ref="K542">_xlfn.IFS(Table4_2[[#This Row],[Growth Days]]&lt;=14,"Seedling",Table4_2[[#This Row],[Growth Days]]&lt;=35, "Vegetative",Table4_2[[#This Row],[Growth Days]]&lt;=50, "Maturity")</f>
        <v>Maturity</v>
      </c>
      <c r="L542" t="str">
        <f>IF(Table4_2[[#This Row],[TDS Value (ppm)]]&lt;560, "Low", IF(Table4_2[[#This Row],[TDS Value (ppm)]]&lt;=800,"Optimal","High"))</f>
        <v>Low</v>
      </c>
    </row>
    <row r="543" spans="1:12" x14ac:dyDescent="0.25">
      <c r="A543">
        <v>20</v>
      </c>
      <c r="B543" s="1">
        <v>45146</v>
      </c>
      <c r="C543" s="1" t="str">
        <f>TEXT(Table4_2[[#This Row],[Date]],"dddd")</f>
        <v>Tuesday</v>
      </c>
      <c r="D543" s="21">
        <v>32.299999999999997</v>
      </c>
      <c r="E543" s="21">
        <v>76</v>
      </c>
      <c r="F543" s="21">
        <v>529</v>
      </c>
      <c r="G543" s="21">
        <v>6.2</v>
      </c>
      <c r="H543">
        <v>6</v>
      </c>
      <c r="I543">
        <v>90.14</v>
      </c>
      <c r="J543">
        <v>0.76</v>
      </c>
      <c r="K543" t="str" cm="1">
        <f t="array" ref="K543">_xlfn.IFS(Table4_2[[#This Row],[Growth Days]]&lt;=14,"Seedling",Table4_2[[#This Row],[Growth Days]]&lt;=35, "Vegetative",Table4_2[[#This Row],[Growth Days]]&lt;=50, "Maturity")</f>
        <v>Seedling</v>
      </c>
      <c r="L543" t="str">
        <f>IF(Table4_2[[#This Row],[TDS Value (ppm)]]&lt;560, "Low", IF(Table4_2[[#This Row],[TDS Value (ppm)]]&lt;=800,"Optimal","High"))</f>
        <v>Low</v>
      </c>
    </row>
    <row r="544" spans="1:12" x14ac:dyDescent="0.25">
      <c r="A544">
        <v>20</v>
      </c>
      <c r="B544" s="1">
        <v>45153</v>
      </c>
      <c r="C544" s="1" t="str">
        <f>TEXT(Table4_2[[#This Row],[Date]],"dddd")</f>
        <v>Tuesday</v>
      </c>
      <c r="D544" s="21">
        <v>30.1</v>
      </c>
      <c r="E544" s="21">
        <v>72</v>
      </c>
      <c r="F544" s="21">
        <v>562</v>
      </c>
      <c r="G544" s="21">
        <v>6</v>
      </c>
      <c r="H544">
        <v>13</v>
      </c>
      <c r="I544">
        <v>86.18</v>
      </c>
      <c r="J544">
        <v>0.72</v>
      </c>
      <c r="K544" t="str" cm="1">
        <f t="array" ref="K544">_xlfn.IFS(Table4_2[[#This Row],[Growth Days]]&lt;=14,"Seedling",Table4_2[[#This Row],[Growth Days]]&lt;=35, "Vegetative",Table4_2[[#This Row],[Growth Days]]&lt;=50, "Maturity")</f>
        <v>Seedling</v>
      </c>
      <c r="L544" t="str">
        <f>IF(Table4_2[[#This Row],[TDS Value (ppm)]]&lt;560, "Low", IF(Table4_2[[#This Row],[TDS Value (ppm)]]&lt;=800,"Optimal","High"))</f>
        <v>Optimal</v>
      </c>
    </row>
    <row r="545" spans="1:12" x14ac:dyDescent="0.25">
      <c r="A545">
        <v>20</v>
      </c>
      <c r="B545" s="1">
        <v>45160</v>
      </c>
      <c r="C545" s="1" t="str">
        <f>TEXT(Table4_2[[#This Row],[Date]],"dddd")</f>
        <v>Tuesday</v>
      </c>
      <c r="D545" s="21">
        <v>30.5</v>
      </c>
      <c r="E545" s="21">
        <v>69</v>
      </c>
      <c r="F545" s="21">
        <v>596</v>
      </c>
      <c r="G545" s="21">
        <v>6</v>
      </c>
      <c r="H545">
        <v>20</v>
      </c>
      <c r="I545">
        <v>86.9</v>
      </c>
      <c r="J545">
        <v>0.69</v>
      </c>
      <c r="K545" t="str" cm="1">
        <f t="array" ref="K545">_xlfn.IFS(Table4_2[[#This Row],[Growth Days]]&lt;=14,"Seedling",Table4_2[[#This Row],[Growth Days]]&lt;=35, "Vegetative",Table4_2[[#This Row],[Growth Days]]&lt;=50, "Maturity")</f>
        <v>Vegetative</v>
      </c>
      <c r="L545" t="str">
        <f>IF(Table4_2[[#This Row],[TDS Value (ppm)]]&lt;560, "Low", IF(Table4_2[[#This Row],[TDS Value (ppm)]]&lt;=800,"Optimal","High"))</f>
        <v>Optimal</v>
      </c>
    </row>
    <row r="546" spans="1:12" x14ac:dyDescent="0.25">
      <c r="A546">
        <v>20</v>
      </c>
      <c r="B546" s="1">
        <v>45167</v>
      </c>
      <c r="C546" s="1" t="str">
        <f>TEXT(Table4_2[[#This Row],[Date]],"dddd")</f>
        <v>Tuesday</v>
      </c>
      <c r="D546" s="21">
        <v>28.7</v>
      </c>
      <c r="E546" s="21">
        <v>53</v>
      </c>
      <c r="F546" s="21">
        <v>727</v>
      </c>
      <c r="G546" s="21">
        <v>6.4</v>
      </c>
      <c r="H546">
        <v>27</v>
      </c>
      <c r="I546">
        <v>83.66</v>
      </c>
      <c r="J546">
        <v>0.53</v>
      </c>
      <c r="K546" t="str" cm="1">
        <f t="array" ref="K546">_xlfn.IFS(Table4_2[[#This Row],[Growth Days]]&lt;=14,"Seedling",Table4_2[[#This Row],[Growth Days]]&lt;=35, "Vegetative",Table4_2[[#This Row],[Growth Days]]&lt;=50, "Maturity")</f>
        <v>Vegetative</v>
      </c>
      <c r="L546" t="str">
        <f>IF(Table4_2[[#This Row],[TDS Value (ppm)]]&lt;560, "Low", IF(Table4_2[[#This Row],[TDS Value (ppm)]]&lt;=800,"Optimal","High"))</f>
        <v>Optimal</v>
      </c>
    </row>
    <row r="547" spans="1:12" x14ac:dyDescent="0.25">
      <c r="A547">
        <v>20</v>
      </c>
      <c r="B547" s="1">
        <v>45174</v>
      </c>
      <c r="C547" s="1" t="str">
        <f>TEXT(Table4_2[[#This Row],[Date]],"dddd")</f>
        <v>Tuesday</v>
      </c>
      <c r="D547" s="21">
        <v>32</v>
      </c>
      <c r="E547" s="21">
        <v>71</v>
      </c>
      <c r="F547" s="21">
        <v>486</v>
      </c>
      <c r="G547" s="21">
        <v>6.7</v>
      </c>
      <c r="H547">
        <v>34</v>
      </c>
      <c r="I547">
        <v>89.6</v>
      </c>
      <c r="J547">
        <v>0.71</v>
      </c>
      <c r="K547" t="str" cm="1">
        <f t="array" ref="K547">_xlfn.IFS(Table4_2[[#This Row],[Growth Days]]&lt;=14,"Seedling",Table4_2[[#This Row],[Growth Days]]&lt;=35, "Vegetative",Table4_2[[#This Row],[Growth Days]]&lt;=50, "Maturity")</f>
        <v>Vegetative</v>
      </c>
      <c r="L547" t="str">
        <f>IF(Table4_2[[#This Row],[TDS Value (ppm)]]&lt;560, "Low", IF(Table4_2[[#This Row],[TDS Value (ppm)]]&lt;=800,"Optimal","High"))</f>
        <v>Low</v>
      </c>
    </row>
    <row r="548" spans="1:12" x14ac:dyDescent="0.25">
      <c r="A548">
        <v>20</v>
      </c>
      <c r="B548" s="1">
        <v>45181</v>
      </c>
      <c r="C548" s="1" t="str">
        <f>TEXT(Table4_2[[#This Row],[Date]],"dddd")</f>
        <v>Tuesday</v>
      </c>
      <c r="D548" s="21">
        <v>31.2</v>
      </c>
      <c r="E548" s="21">
        <v>51</v>
      </c>
      <c r="F548" s="21">
        <v>588</v>
      </c>
      <c r="G548" s="21">
        <v>6.6</v>
      </c>
      <c r="H548">
        <v>41</v>
      </c>
      <c r="I548">
        <v>88.16</v>
      </c>
      <c r="J548">
        <v>0.51</v>
      </c>
      <c r="K548" t="str" cm="1">
        <f t="array" ref="K548">_xlfn.IFS(Table4_2[[#This Row],[Growth Days]]&lt;=14,"Seedling",Table4_2[[#This Row],[Growth Days]]&lt;=35, "Vegetative",Table4_2[[#This Row],[Growth Days]]&lt;=50, "Maturity")</f>
        <v>Maturity</v>
      </c>
      <c r="L548" t="str">
        <f>IF(Table4_2[[#This Row],[TDS Value (ppm)]]&lt;560, "Low", IF(Table4_2[[#This Row],[TDS Value (ppm)]]&lt;=800,"Optimal","High"))</f>
        <v>Optimal</v>
      </c>
    </row>
    <row r="549" spans="1:12" x14ac:dyDescent="0.25">
      <c r="A549">
        <v>21</v>
      </c>
      <c r="B549" s="1">
        <v>45146</v>
      </c>
      <c r="C549" s="1" t="str">
        <f>TEXT(Table4_2[[#This Row],[Date]],"dddd")</f>
        <v>Tuesday</v>
      </c>
      <c r="D549" s="21">
        <v>32.299999999999997</v>
      </c>
      <c r="E549" s="21">
        <v>63</v>
      </c>
      <c r="F549" s="21">
        <v>443</v>
      </c>
      <c r="G549" s="21">
        <v>6.2</v>
      </c>
      <c r="H549">
        <v>6</v>
      </c>
      <c r="I549">
        <v>90.14</v>
      </c>
      <c r="J549">
        <v>0.63</v>
      </c>
      <c r="K549" t="str" cm="1">
        <f t="array" ref="K549">_xlfn.IFS(Table4_2[[#This Row],[Growth Days]]&lt;=14,"Seedling",Table4_2[[#This Row],[Growth Days]]&lt;=35, "Vegetative",Table4_2[[#This Row],[Growth Days]]&lt;=50, "Maturity")</f>
        <v>Seedling</v>
      </c>
      <c r="L549" t="str">
        <f>IF(Table4_2[[#This Row],[TDS Value (ppm)]]&lt;560, "Low", IF(Table4_2[[#This Row],[TDS Value (ppm)]]&lt;=800,"Optimal","High"))</f>
        <v>Low</v>
      </c>
    </row>
    <row r="550" spans="1:12" x14ac:dyDescent="0.25">
      <c r="A550">
        <v>21</v>
      </c>
      <c r="B550" s="1">
        <v>45153</v>
      </c>
      <c r="C550" s="1" t="str">
        <f>TEXT(Table4_2[[#This Row],[Date]],"dddd")</f>
        <v>Tuesday</v>
      </c>
      <c r="D550" s="21">
        <v>30.1</v>
      </c>
      <c r="E550" s="21">
        <v>76</v>
      </c>
      <c r="F550" s="21">
        <v>660</v>
      </c>
      <c r="G550" s="21">
        <v>6.2</v>
      </c>
      <c r="H550">
        <v>13</v>
      </c>
      <c r="I550">
        <v>86.18</v>
      </c>
      <c r="J550">
        <v>0.76</v>
      </c>
      <c r="K550" t="str" cm="1">
        <f t="array" ref="K550">_xlfn.IFS(Table4_2[[#This Row],[Growth Days]]&lt;=14,"Seedling",Table4_2[[#This Row],[Growth Days]]&lt;=35, "Vegetative",Table4_2[[#This Row],[Growth Days]]&lt;=50, "Maturity")</f>
        <v>Seedling</v>
      </c>
      <c r="L550" t="str">
        <f>IF(Table4_2[[#This Row],[TDS Value (ppm)]]&lt;560, "Low", IF(Table4_2[[#This Row],[TDS Value (ppm)]]&lt;=800,"Optimal","High"))</f>
        <v>Optimal</v>
      </c>
    </row>
    <row r="551" spans="1:12" x14ac:dyDescent="0.25">
      <c r="A551">
        <v>21</v>
      </c>
      <c r="B551" s="1">
        <v>45160</v>
      </c>
      <c r="C551" s="1" t="str">
        <f>TEXT(Table4_2[[#This Row],[Date]],"dddd")</f>
        <v>Tuesday</v>
      </c>
      <c r="D551" s="21">
        <v>30.5</v>
      </c>
      <c r="E551" s="21">
        <v>53</v>
      </c>
      <c r="F551" s="21">
        <v>576</v>
      </c>
      <c r="G551" s="21">
        <v>6.4</v>
      </c>
      <c r="H551">
        <v>20</v>
      </c>
      <c r="I551">
        <v>86.9</v>
      </c>
      <c r="J551">
        <v>0.53</v>
      </c>
      <c r="K551" t="str" cm="1">
        <f t="array" ref="K551">_xlfn.IFS(Table4_2[[#This Row],[Growth Days]]&lt;=14,"Seedling",Table4_2[[#This Row],[Growth Days]]&lt;=35, "Vegetative",Table4_2[[#This Row],[Growth Days]]&lt;=50, "Maturity")</f>
        <v>Vegetative</v>
      </c>
      <c r="L551" t="str">
        <f>IF(Table4_2[[#This Row],[TDS Value (ppm)]]&lt;560, "Low", IF(Table4_2[[#This Row],[TDS Value (ppm)]]&lt;=800,"Optimal","High"))</f>
        <v>Optimal</v>
      </c>
    </row>
    <row r="552" spans="1:12" x14ac:dyDescent="0.25">
      <c r="A552">
        <v>21</v>
      </c>
      <c r="B552" s="1">
        <v>45167</v>
      </c>
      <c r="C552" s="1" t="str">
        <f>TEXT(Table4_2[[#This Row],[Date]],"dddd")</f>
        <v>Tuesday</v>
      </c>
      <c r="D552" s="21">
        <v>28.7</v>
      </c>
      <c r="E552" s="21">
        <v>80</v>
      </c>
      <c r="F552" s="21">
        <v>500</v>
      </c>
      <c r="G552" s="21">
        <v>6.5</v>
      </c>
      <c r="H552">
        <v>27</v>
      </c>
      <c r="I552">
        <v>83.66</v>
      </c>
      <c r="J552">
        <v>0.8</v>
      </c>
      <c r="K552" t="str" cm="1">
        <f t="array" ref="K552">_xlfn.IFS(Table4_2[[#This Row],[Growth Days]]&lt;=14,"Seedling",Table4_2[[#This Row],[Growth Days]]&lt;=35, "Vegetative",Table4_2[[#This Row],[Growth Days]]&lt;=50, "Maturity")</f>
        <v>Vegetative</v>
      </c>
      <c r="L552" t="str">
        <f>IF(Table4_2[[#This Row],[TDS Value (ppm)]]&lt;560, "Low", IF(Table4_2[[#This Row],[TDS Value (ppm)]]&lt;=800,"Optimal","High"))</f>
        <v>Low</v>
      </c>
    </row>
    <row r="553" spans="1:12" x14ac:dyDescent="0.25">
      <c r="A553">
        <v>21</v>
      </c>
      <c r="B553" s="1">
        <v>45174</v>
      </c>
      <c r="C553" s="1" t="str">
        <f>TEXT(Table4_2[[#This Row],[Date]],"dddd")</f>
        <v>Tuesday</v>
      </c>
      <c r="D553" s="21">
        <v>32</v>
      </c>
      <c r="E553" s="21">
        <v>59</v>
      </c>
      <c r="F553" s="21">
        <v>686</v>
      </c>
      <c r="G553" s="21">
        <v>6.1</v>
      </c>
      <c r="H553">
        <v>34</v>
      </c>
      <c r="I553">
        <v>89.6</v>
      </c>
      <c r="J553">
        <v>0.59</v>
      </c>
      <c r="K553" t="str" cm="1">
        <f t="array" ref="K553">_xlfn.IFS(Table4_2[[#This Row],[Growth Days]]&lt;=14,"Seedling",Table4_2[[#This Row],[Growth Days]]&lt;=35, "Vegetative",Table4_2[[#This Row],[Growth Days]]&lt;=50, "Maturity")</f>
        <v>Vegetative</v>
      </c>
      <c r="L553" t="str">
        <f>IF(Table4_2[[#This Row],[TDS Value (ppm)]]&lt;560, "Low", IF(Table4_2[[#This Row],[TDS Value (ppm)]]&lt;=800,"Optimal","High"))</f>
        <v>Optimal</v>
      </c>
    </row>
    <row r="554" spans="1:12" x14ac:dyDescent="0.25">
      <c r="A554">
        <v>21</v>
      </c>
      <c r="B554" s="1">
        <v>45181</v>
      </c>
      <c r="C554" s="1" t="str">
        <f>TEXT(Table4_2[[#This Row],[Date]],"dddd")</f>
        <v>Tuesday</v>
      </c>
      <c r="D554" s="21">
        <v>31.2</v>
      </c>
      <c r="E554" s="21">
        <v>50</v>
      </c>
      <c r="F554" s="21">
        <v>479</v>
      </c>
      <c r="G554" s="21">
        <v>6.4</v>
      </c>
      <c r="H554">
        <v>41</v>
      </c>
      <c r="I554">
        <v>88.16</v>
      </c>
      <c r="J554">
        <v>0.5</v>
      </c>
      <c r="K554" t="str" cm="1">
        <f t="array" ref="K554">_xlfn.IFS(Table4_2[[#This Row],[Growth Days]]&lt;=14,"Seedling",Table4_2[[#This Row],[Growth Days]]&lt;=35, "Vegetative",Table4_2[[#This Row],[Growth Days]]&lt;=50, "Maturity")</f>
        <v>Maturity</v>
      </c>
      <c r="L554" t="str">
        <f>IF(Table4_2[[#This Row],[TDS Value (ppm)]]&lt;560, "Low", IF(Table4_2[[#This Row],[TDS Value (ppm)]]&lt;=800,"Optimal","High"))</f>
        <v>Low</v>
      </c>
    </row>
    <row r="555" spans="1:12" x14ac:dyDescent="0.25">
      <c r="A555">
        <v>22</v>
      </c>
      <c r="B555" s="1">
        <v>45146</v>
      </c>
      <c r="C555" s="1" t="str">
        <f>TEXT(Table4_2[[#This Row],[Date]],"dddd")</f>
        <v>Tuesday</v>
      </c>
      <c r="D555" s="21">
        <v>32.299999999999997</v>
      </c>
      <c r="E555" s="21">
        <v>77</v>
      </c>
      <c r="F555" s="21">
        <v>631</v>
      </c>
      <c r="G555" s="21">
        <v>6.8</v>
      </c>
      <c r="H555">
        <v>6</v>
      </c>
      <c r="I555">
        <v>90.14</v>
      </c>
      <c r="J555">
        <v>0.77</v>
      </c>
      <c r="K555" t="str" cm="1">
        <f t="array" ref="K555">_xlfn.IFS(Table4_2[[#This Row],[Growth Days]]&lt;=14,"Seedling",Table4_2[[#This Row],[Growth Days]]&lt;=35, "Vegetative",Table4_2[[#This Row],[Growth Days]]&lt;=50, "Maturity")</f>
        <v>Seedling</v>
      </c>
      <c r="L555" t="str">
        <f>IF(Table4_2[[#This Row],[TDS Value (ppm)]]&lt;560, "Low", IF(Table4_2[[#This Row],[TDS Value (ppm)]]&lt;=800,"Optimal","High"))</f>
        <v>Optimal</v>
      </c>
    </row>
    <row r="556" spans="1:12" x14ac:dyDescent="0.25">
      <c r="A556">
        <v>22</v>
      </c>
      <c r="B556" s="1">
        <v>45153</v>
      </c>
      <c r="C556" s="1" t="str">
        <f>TEXT(Table4_2[[#This Row],[Date]],"dddd")</f>
        <v>Tuesday</v>
      </c>
      <c r="D556" s="21">
        <v>30.1</v>
      </c>
      <c r="E556" s="21">
        <v>52</v>
      </c>
      <c r="F556" s="21">
        <v>405</v>
      </c>
      <c r="G556" s="21">
        <v>6.3</v>
      </c>
      <c r="H556">
        <v>13</v>
      </c>
      <c r="I556">
        <v>86.18</v>
      </c>
      <c r="J556">
        <v>0.52</v>
      </c>
      <c r="K556" t="str" cm="1">
        <f t="array" ref="K556">_xlfn.IFS(Table4_2[[#This Row],[Growth Days]]&lt;=14,"Seedling",Table4_2[[#This Row],[Growth Days]]&lt;=35, "Vegetative",Table4_2[[#This Row],[Growth Days]]&lt;=50, "Maturity")</f>
        <v>Seedling</v>
      </c>
      <c r="L556" t="str">
        <f>IF(Table4_2[[#This Row],[TDS Value (ppm)]]&lt;560, "Low", IF(Table4_2[[#This Row],[TDS Value (ppm)]]&lt;=800,"Optimal","High"))</f>
        <v>Low</v>
      </c>
    </row>
    <row r="557" spans="1:12" x14ac:dyDescent="0.25">
      <c r="A557">
        <v>22</v>
      </c>
      <c r="B557" s="1">
        <v>45160</v>
      </c>
      <c r="C557" s="1" t="str">
        <f>TEXT(Table4_2[[#This Row],[Date]],"dddd")</f>
        <v>Tuesday</v>
      </c>
      <c r="D557" s="21">
        <v>30.5</v>
      </c>
      <c r="E557" s="21">
        <v>52</v>
      </c>
      <c r="F557" s="21">
        <v>534</v>
      </c>
      <c r="G557" s="21">
        <v>6.2</v>
      </c>
      <c r="H557">
        <v>20</v>
      </c>
      <c r="I557">
        <v>86.9</v>
      </c>
      <c r="J557">
        <v>0.52</v>
      </c>
      <c r="K557" t="str" cm="1">
        <f t="array" ref="K557">_xlfn.IFS(Table4_2[[#This Row],[Growth Days]]&lt;=14,"Seedling",Table4_2[[#This Row],[Growth Days]]&lt;=35, "Vegetative",Table4_2[[#This Row],[Growth Days]]&lt;=50, "Maturity")</f>
        <v>Vegetative</v>
      </c>
      <c r="L557" t="str">
        <f>IF(Table4_2[[#This Row],[TDS Value (ppm)]]&lt;560, "Low", IF(Table4_2[[#This Row],[TDS Value (ppm)]]&lt;=800,"Optimal","High"))</f>
        <v>Low</v>
      </c>
    </row>
    <row r="558" spans="1:12" x14ac:dyDescent="0.25">
      <c r="A558">
        <v>22</v>
      </c>
      <c r="B558" s="1">
        <v>45167</v>
      </c>
      <c r="C558" s="1" t="str">
        <f>TEXT(Table4_2[[#This Row],[Date]],"dddd")</f>
        <v>Tuesday</v>
      </c>
      <c r="D558" s="21">
        <v>28.7</v>
      </c>
      <c r="E558" s="21">
        <v>57</v>
      </c>
      <c r="F558" s="21">
        <v>751</v>
      </c>
      <c r="G558" s="21">
        <v>6.4</v>
      </c>
      <c r="H558">
        <v>27</v>
      </c>
      <c r="I558">
        <v>83.66</v>
      </c>
      <c r="J558">
        <v>0.56999999999999995</v>
      </c>
      <c r="K558" t="str" cm="1">
        <f t="array" ref="K558">_xlfn.IFS(Table4_2[[#This Row],[Growth Days]]&lt;=14,"Seedling",Table4_2[[#This Row],[Growth Days]]&lt;=35, "Vegetative",Table4_2[[#This Row],[Growth Days]]&lt;=50, "Maturity")</f>
        <v>Vegetative</v>
      </c>
      <c r="L558" t="str">
        <f>IF(Table4_2[[#This Row],[TDS Value (ppm)]]&lt;560, "Low", IF(Table4_2[[#This Row],[TDS Value (ppm)]]&lt;=800,"Optimal","High"))</f>
        <v>Optimal</v>
      </c>
    </row>
    <row r="559" spans="1:12" x14ac:dyDescent="0.25">
      <c r="A559">
        <v>22</v>
      </c>
      <c r="B559" s="1">
        <v>45174</v>
      </c>
      <c r="C559" s="1" t="str">
        <f>TEXT(Table4_2[[#This Row],[Date]],"dddd")</f>
        <v>Tuesday</v>
      </c>
      <c r="D559" s="21">
        <v>32</v>
      </c>
      <c r="E559" s="21">
        <v>73</v>
      </c>
      <c r="F559" s="21">
        <v>414</v>
      </c>
      <c r="G559" s="21">
        <v>6.6</v>
      </c>
      <c r="H559">
        <v>34</v>
      </c>
      <c r="I559">
        <v>89.6</v>
      </c>
      <c r="J559">
        <v>0.73</v>
      </c>
      <c r="K559" t="str" cm="1">
        <f t="array" ref="K559">_xlfn.IFS(Table4_2[[#This Row],[Growth Days]]&lt;=14,"Seedling",Table4_2[[#This Row],[Growth Days]]&lt;=35, "Vegetative",Table4_2[[#This Row],[Growth Days]]&lt;=50, "Maturity")</f>
        <v>Vegetative</v>
      </c>
      <c r="L559" t="str">
        <f>IF(Table4_2[[#This Row],[TDS Value (ppm)]]&lt;560, "Low", IF(Table4_2[[#This Row],[TDS Value (ppm)]]&lt;=800,"Optimal","High"))</f>
        <v>Low</v>
      </c>
    </row>
    <row r="560" spans="1:12" x14ac:dyDescent="0.25">
      <c r="A560">
        <v>22</v>
      </c>
      <c r="B560" s="1">
        <v>45181</v>
      </c>
      <c r="C560" s="1" t="str">
        <f>TEXT(Table4_2[[#This Row],[Date]],"dddd")</f>
        <v>Tuesday</v>
      </c>
      <c r="D560" s="21">
        <v>31.2</v>
      </c>
      <c r="E560" s="21">
        <v>65</v>
      </c>
      <c r="F560" s="21">
        <v>724</v>
      </c>
      <c r="G560" s="21">
        <v>6.3</v>
      </c>
      <c r="H560">
        <v>41</v>
      </c>
      <c r="I560">
        <v>88.16</v>
      </c>
      <c r="J560">
        <v>0.65</v>
      </c>
      <c r="K560" t="str" cm="1">
        <f t="array" ref="K560">_xlfn.IFS(Table4_2[[#This Row],[Growth Days]]&lt;=14,"Seedling",Table4_2[[#This Row],[Growth Days]]&lt;=35, "Vegetative",Table4_2[[#This Row],[Growth Days]]&lt;=50, "Maturity")</f>
        <v>Maturity</v>
      </c>
      <c r="L560" t="str">
        <f>IF(Table4_2[[#This Row],[TDS Value (ppm)]]&lt;560, "Low", IF(Table4_2[[#This Row],[TDS Value (ppm)]]&lt;=800,"Optimal","High"))</f>
        <v>Optimal</v>
      </c>
    </row>
    <row r="561" spans="1:12" x14ac:dyDescent="0.25">
      <c r="A561">
        <v>23</v>
      </c>
      <c r="B561" s="1">
        <v>45146</v>
      </c>
      <c r="C561" s="1" t="str">
        <f>TEXT(Table4_2[[#This Row],[Date]],"dddd")</f>
        <v>Tuesday</v>
      </c>
      <c r="D561" s="21">
        <v>32.299999999999997</v>
      </c>
      <c r="E561" s="21">
        <v>78</v>
      </c>
      <c r="F561" s="21">
        <v>529</v>
      </c>
      <c r="G561" s="21">
        <v>6.4</v>
      </c>
      <c r="H561">
        <v>6</v>
      </c>
      <c r="I561">
        <v>90.14</v>
      </c>
      <c r="J561">
        <v>0.78</v>
      </c>
      <c r="K561" t="str" cm="1">
        <f t="array" ref="K561">_xlfn.IFS(Table4_2[[#This Row],[Growth Days]]&lt;=14,"Seedling",Table4_2[[#This Row],[Growth Days]]&lt;=35, "Vegetative",Table4_2[[#This Row],[Growth Days]]&lt;=50, "Maturity")</f>
        <v>Seedling</v>
      </c>
      <c r="L561" t="str">
        <f>IF(Table4_2[[#This Row],[TDS Value (ppm)]]&lt;560, "Low", IF(Table4_2[[#This Row],[TDS Value (ppm)]]&lt;=800,"Optimal","High"))</f>
        <v>Low</v>
      </c>
    </row>
    <row r="562" spans="1:12" x14ac:dyDescent="0.25">
      <c r="A562">
        <v>23</v>
      </c>
      <c r="B562" s="1">
        <v>45153</v>
      </c>
      <c r="C562" s="1" t="str">
        <f>TEXT(Table4_2[[#This Row],[Date]],"dddd")</f>
        <v>Tuesday</v>
      </c>
      <c r="D562" s="21">
        <v>30.1</v>
      </c>
      <c r="E562" s="21">
        <v>52</v>
      </c>
      <c r="F562" s="21">
        <v>607</v>
      </c>
      <c r="G562" s="21">
        <v>6.3</v>
      </c>
      <c r="H562">
        <v>13</v>
      </c>
      <c r="I562">
        <v>86.18</v>
      </c>
      <c r="J562">
        <v>0.52</v>
      </c>
      <c r="K562" t="str" cm="1">
        <f t="array" ref="K562">_xlfn.IFS(Table4_2[[#This Row],[Growth Days]]&lt;=14,"Seedling",Table4_2[[#This Row],[Growth Days]]&lt;=35, "Vegetative",Table4_2[[#This Row],[Growth Days]]&lt;=50, "Maturity")</f>
        <v>Seedling</v>
      </c>
      <c r="L562" t="str">
        <f>IF(Table4_2[[#This Row],[TDS Value (ppm)]]&lt;560, "Low", IF(Table4_2[[#This Row],[TDS Value (ppm)]]&lt;=800,"Optimal","High"))</f>
        <v>Optimal</v>
      </c>
    </row>
    <row r="563" spans="1:12" x14ac:dyDescent="0.25">
      <c r="A563">
        <v>23</v>
      </c>
      <c r="B563" s="1">
        <v>45160</v>
      </c>
      <c r="C563" s="1" t="str">
        <f>TEXT(Table4_2[[#This Row],[Date]],"dddd")</f>
        <v>Tuesday</v>
      </c>
      <c r="D563" s="21">
        <v>30.5</v>
      </c>
      <c r="E563" s="21">
        <v>67</v>
      </c>
      <c r="F563" s="21">
        <v>577</v>
      </c>
      <c r="G563" s="21">
        <v>6.3</v>
      </c>
      <c r="H563">
        <v>20</v>
      </c>
      <c r="I563">
        <v>86.9</v>
      </c>
      <c r="J563">
        <v>0.67</v>
      </c>
      <c r="K563" t="str" cm="1">
        <f t="array" ref="K563">_xlfn.IFS(Table4_2[[#This Row],[Growth Days]]&lt;=14,"Seedling",Table4_2[[#This Row],[Growth Days]]&lt;=35, "Vegetative",Table4_2[[#This Row],[Growth Days]]&lt;=50, "Maturity")</f>
        <v>Vegetative</v>
      </c>
      <c r="L563" t="str">
        <f>IF(Table4_2[[#This Row],[TDS Value (ppm)]]&lt;560, "Low", IF(Table4_2[[#This Row],[TDS Value (ppm)]]&lt;=800,"Optimal","High"))</f>
        <v>Optimal</v>
      </c>
    </row>
    <row r="564" spans="1:12" x14ac:dyDescent="0.25">
      <c r="A564">
        <v>23</v>
      </c>
      <c r="B564" s="1">
        <v>45167</v>
      </c>
      <c r="C564" s="1" t="str">
        <f>TEXT(Table4_2[[#This Row],[Date]],"dddd")</f>
        <v>Tuesday</v>
      </c>
      <c r="D564" s="21">
        <v>28.7</v>
      </c>
      <c r="E564" s="21">
        <v>78</v>
      </c>
      <c r="F564" s="21">
        <v>550</v>
      </c>
      <c r="G564" s="21">
        <v>6.1</v>
      </c>
      <c r="H564">
        <v>27</v>
      </c>
      <c r="I564">
        <v>83.66</v>
      </c>
      <c r="J564">
        <v>0.78</v>
      </c>
      <c r="K564" t="str" cm="1">
        <f t="array" ref="K564">_xlfn.IFS(Table4_2[[#This Row],[Growth Days]]&lt;=14,"Seedling",Table4_2[[#This Row],[Growth Days]]&lt;=35, "Vegetative",Table4_2[[#This Row],[Growth Days]]&lt;=50, "Maturity")</f>
        <v>Vegetative</v>
      </c>
      <c r="L564" t="str">
        <f>IF(Table4_2[[#This Row],[TDS Value (ppm)]]&lt;560, "Low", IF(Table4_2[[#This Row],[TDS Value (ppm)]]&lt;=800,"Optimal","High"))</f>
        <v>Low</v>
      </c>
    </row>
    <row r="565" spans="1:12" x14ac:dyDescent="0.25">
      <c r="A565">
        <v>23</v>
      </c>
      <c r="B565" s="1">
        <v>45174</v>
      </c>
      <c r="C565" s="1" t="str">
        <f>TEXT(Table4_2[[#This Row],[Date]],"dddd")</f>
        <v>Tuesday</v>
      </c>
      <c r="D565" s="21">
        <v>32</v>
      </c>
      <c r="E565" s="21">
        <v>71</v>
      </c>
      <c r="F565" s="21">
        <v>560</v>
      </c>
      <c r="G565" s="21">
        <v>6.7</v>
      </c>
      <c r="H565">
        <v>34</v>
      </c>
      <c r="I565">
        <v>89.6</v>
      </c>
      <c r="J565">
        <v>0.71</v>
      </c>
      <c r="K565" t="str" cm="1">
        <f t="array" ref="K565">_xlfn.IFS(Table4_2[[#This Row],[Growth Days]]&lt;=14,"Seedling",Table4_2[[#This Row],[Growth Days]]&lt;=35, "Vegetative",Table4_2[[#This Row],[Growth Days]]&lt;=50, "Maturity")</f>
        <v>Vegetative</v>
      </c>
      <c r="L565" t="str">
        <f>IF(Table4_2[[#This Row],[TDS Value (ppm)]]&lt;560, "Low", IF(Table4_2[[#This Row],[TDS Value (ppm)]]&lt;=800,"Optimal","High"))</f>
        <v>Optimal</v>
      </c>
    </row>
    <row r="566" spans="1:12" x14ac:dyDescent="0.25">
      <c r="A566">
        <v>23</v>
      </c>
      <c r="B566" s="1">
        <v>45181</v>
      </c>
      <c r="C566" s="1" t="str">
        <f>TEXT(Table4_2[[#This Row],[Date]],"dddd")</f>
        <v>Tuesday</v>
      </c>
      <c r="D566" s="21">
        <v>31.2</v>
      </c>
      <c r="E566" s="21">
        <v>53</v>
      </c>
      <c r="F566" s="21">
        <v>515</v>
      </c>
      <c r="G566" s="21">
        <v>6</v>
      </c>
      <c r="H566">
        <v>41</v>
      </c>
      <c r="I566">
        <v>88.16</v>
      </c>
      <c r="J566">
        <v>0.53</v>
      </c>
      <c r="K566" t="str" cm="1">
        <f t="array" ref="K566">_xlfn.IFS(Table4_2[[#This Row],[Growth Days]]&lt;=14,"Seedling",Table4_2[[#This Row],[Growth Days]]&lt;=35, "Vegetative",Table4_2[[#This Row],[Growth Days]]&lt;=50, "Maturity")</f>
        <v>Maturity</v>
      </c>
      <c r="L566" t="str">
        <f>IF(Table4_2[[#This Row],[TDS Value (ppm)]]&lt;560, "Low", IF(Table4_2[[#This Row],[TDS Value (ppm)]]&lt;=800,"Optimal","High"))</f>
        <v>Low</v>
      </c>
    </row>
    <row r="567" spans="1:12" x14ac:dyDescent="0.25">
      <c r="A567">
        <v>24</v>
      </c>
      <c r="B567" s="1">
        <v>45146</v>
      </c>
      <c r="C567" s="1" t="str">
        <f>TEXT(Table4_2[[#This Row],[Date]],"dddd")</f>
        <v>Tuesday</v>
      </c>
      <c r="D567" s="21">
        <v>32.299999999999997</v>
      </c>
      <c r="E567" s="21">
        <v>50</v>
      </c>
      <c r="F567" s="21">
        <v>782</v>
      </c>
      <c r="G567" s="21">
        <v>6.5</v>
      </c>
      <c r="H567">
        <v>6</v>
      </c>
      <c r="I567">
        <v>90.14</v>
      </c>
      <c r="J567">
        <v>0.5</v>
      </c>
      <c r="K567" t="str" cm="1">
        <f t="array" ref="K567">_xlfn.IFS(Table4_2[[#This Row],[Growth Days]]&lt;=14,"Seedling",Table4_2[[#This Row],[Growth Days]]&lt;=35, "Vegetative",Table4_2[[#This Row],[Growth Days]]&lt;=50, "Maturity")</f>
        <v>Seedling</v>
      </c>
      <c r="L567" t="str">
        <f>IF(Table4_2[[#This Row],[TDS Value (ppm)]]&lt;560, "Low", IF(Table4_2[[#This Row],[TDS Value (ppm)]]&lt;=800,"Optimal","High"))</f>
        <v>Optimal</v>
      </c>
    </row>
    <row r="568" spans="1:12" x14ac:dyDescent="0.25">
      <c r="A568">
        <v>24</v>
      </c>
      <c r="B568" s="1">
        <v>45153</v>
      </c>
      <c r="C568" s="1" t="str">
        <f>TEXT(Table4_2[[#This Row],[Date]],"dddd")</f>
        <v>Tuesday</v>
      </c>
      <c r="D568" s="21">
        <v>29.8</v>
      </c>
      <c r="E568" s="21">
        <v>74</v>
      </c>
      <c r="F568" s="21">
        <v>576</v>
      </c>
      <c r="G568" s="21">
        <v>6.3</v>
      </c>
      <c r="H568">
        <v>13</v>
      </c>
      <c r="I568">
        <v>85.64</v>
      </c>
      <c r="J568">
        <v>0.74</v>
      </c>
      <c r="K568" t="str" cm="1">
        <f t="array" ref="K568">_xlfn.IFS(Table4_2[[#This Row],[Growth Days]]&lt;=14,"Seedling",Table4_2[[#This Row],[Growth Days]]&lt;=35, "Vegetative",Table4_2[[#This Row],[Growth Days]]&lt;=50, "Maturity")</f>
        <v>Seedling</v>
      </c>
      <c r="L568" t="str">
        <f>IF(Table4_2[[#This Row],[TDS Value (ppm)]]&lt;560, "Low", IF(Table4_2[[#This Row],[TDS Value (ppm)]]&lt;=800,"Optimal","High"))</f>
        <v>Optimal</v>
      </c>
    </row>
    <row r="569" spans="1:12" x14ac:dyDescent="0.25">
      <c r="A569">
        <v>24</v>
      </c>
      <c r="B569" s="1">
        <v>45160</v>
      </c>
      <c r="C569" s="1" t="str">
        <f>TEXT(Table4_2[[#This Row],[Date]],"dddd")</f>
        <v>Tuesday</v>
      </c>
      <c r="D569" s="21">
        <v>30.8</v>
      </c>
      <c r="E569" s="21">
        <v>57</v>
      </c>
      <c r="F569" s="21">
        <v>716</v>
      </c>
      <c r="G569" s="21">
        <v>6.1</v>
      </c>
      <c r="H569">
        <v>20</v>
      </c>
      <c r="I569">
        <v>87.44</v>
      </c>
      <c r="J569">
        <v>0.56999999999999995</v>
      </c>
      <c r="K569" t="str" cm="1">
        <f t="array" ref="K569">_xlfn.IFS(Table4_2[[#This Row],[Growth Days]]&lt;=14,"Seedling",Table4_2[[#This Row],[Growth Days]]&lt;=35, "Vegetative",Table4_2[[#This Row],[Growth Days]]&lt;=50, "Maturity")</f>
        <v>Vegetative</v>
      </c>
      <c r="L569" t="str">
        <f>IF(Table4_2[[#This Row],[TDS Value (ppm)]]&lt;560, "Low", IF(Table4_2[[#This Row],[TDS Value (ppm)]]&lt;=800,"Optimal","High"))</f>
        <v>Optimal</v>
      </c>
    </row>
    <row r="570" spans="1:12" x14ac:dyDescent="0.25">
      <c r="A570">
        <v>24</v>
      </c>
      <c r="B570" s="1">
        <v>45167</v>
      </c>
      <c r="C570" s="1" t="str">
        <f>TEXT(Table4_2[[#This Row],[Date]],"dddd")</f>
        <v>Tuesday</v>
      </c>
      <c r="D570" s="21">
        <v>29.1</v>
      </c>
      <c r="E570" s="21">
        <v>68</v>
      </c>
      <c r="F570" s="21">
        <v>748</v>
      </c>
      <c r="G570" s="21">
        <v>6.6</v>
      </c>
      <c r="H570">
        <v>27</v>
      </c>
      <c r="I570">
        <v>84.38</v>
      </c>
      <c r="J570">
        <v>0.68</v>
      </c>
      <c r="K570" t="str" cm="1">
        <f t="array" ref="K570">_xlfn.IFS(Table4_2[[#This Row],[Growth Days]]&lt;=14,"Seedling",Table4_2[[#This Row],[Growth Days]]&lt;=35, "Vegetative",Table4_2[[#This Row],[Growth Days]]&lt;=50, "Maturity")</f>
        <v>Vegetative</v>
      </c>
      <c r="L570" t="str">
        <f>IF(Table4_2[[#This Row],[TDS Value (ppm)]]&lt;560, "Low", IF(Table4_2[[#This Row],[TDS Value (ppm)]]&lt;=800,"Optimal","High"))</f>
        <v>Optimal</v>
      </c>
    </row>
    <row r="571" spans="1:12" x14ac:dyDescent="0.25">
      <c r="A571">
        <v>24</v>
      </c>
      <c r="B571" s="1">
        <v>45174</v>
      </c>
      <c r="C571" s="1" t="str">
        <f>TEXT(Table4_2[[#This Row],[Date]],"dddd")</f>
        <v>Tuesday</v>
      </c>
      <c r="D571" s="21">
        <v>32.1</v>
      </c>
      <c r="E571" s="21">
        <v>61</v>
      </c>
      <c r="F571" s="21">
        <v>428</v>
      </c>
      <c r="G571" s="21">
        <v>6.5</v>
      </c>
      <c r="H571">
        <v>34</v>
      </c>
      <c r="I571">
        <v>89.78</v>
      </c>
      <c r="J571">
        <v>0.61</v>
      </c>
      <c r="K571" t="str" cm="1">
        <f t="array" ref="K571">_xlfn.IFS(Table4_2[[#This Row],[Growth Days]]&lt;=14,"Seedling",Table4_2[[#This Row],[Growth Days]]&lt;=35, "Vegetative",Table4_2[[#This Row],[Growth Days]]&lt;=50, "Maturity")</f>
        <v>Vegetative</v>
      </c>
      <c r="L571" t="str">
        <f>IF(Table4_2[[#This Row],[TDS Value (ppm)]]&lt;560, "Low", IF(Table4_2[[#This Row],[TDS Value (ppm)]]&lt;=800,"Optimal","High"))</f>
        <v>Low</v>
      </c>
    </row>
    <row r="572" spans="1:12" x14ac:dyDescent="0.25">
      <c r="A572">
        <v>24</v>
      </c>
      <c r="B572" s="1">
        <v>45181</v>
      </c>
      <c r="C572" s="1" t="str">
        <f>TEXT(Table4_2[[#This Row],[Date]],"dddd")</f>
        <v>Tuesday</v>
      </c>
      <c r="D572" s="21">
        <v>30.4</v>
      </c>
      <c r="E572" s="21">
        <v>69</v>
      </c>
      <c r="F572" s="21">
        <v>490</v>
      </c>
      <c r="G572" s="21">
        <v>6</v>
      </c>
      <c r="H572">
        <v>41</v>
      </c>
      <c r="I572">
        <v>86.72</v>
      </c>
      <c r="J572">
        <v>0.69</v>
      </c>
      <c r="K572" t="str" cm="1">
        <f t="array" ref="K572">_xlfn.IFS(Table4_2[[#This Row],[Growth Days]]&lt;=14,"Seedling",Table4_2[[#This Row],[Growth Days]]&lt;=35, "Vegetative",Table4_2[[#This Row],[Growth Days]]&lt;=50, "Maturity")</f>
        <v>Maturity</v>
      </c>
      <c r="L572" t="str">
        <f>IF(Table4_2[[#This Row],[TDS Value (ppm)]]&lt;560, "Low", IF(Table4_2[[#This Row],[TDS Value (ppm)]]&lt;=800,"Optimal","High"))</f>
        <v>Low</v>
      </c>
    </row>
    <row r="573" spans="1:12" x14ac:dyDescent="0.25">
      <c r="A573">
        <v>25</v>
      </c>
      <c r="B573" s="1">
        <v>45146</v>
      </c>
      <c r="C573" s="1" t="str">
        <f>TEXT(Table4_2[[#This Row],[Date]],"dddd")</f>
        <v>Tuesday</v>
      </c>
      <c r="D573" s="21">
        <v>32.299999999999997</v>
      </c>
      <c r="E573" s="21">
        <v>75</v>
      </c>
      <c r="F573" s="21">
        <v>603</v>
      </c>
      <c r="G573" s="21">
        <v>6.4</v>
      </c>
      <c r="H573">
        <v>6</v>
      </c>
      <c r="I573">
        <v>90.14</v>
      </c>
      <c r="J573">
        <v>0.75</v>
      </c>
      <c r="K573" t="str" cm="1">
        <f t="array" ref="K573">_xlfn.IFS(Table4_2[[#This Row],[Growth Days]]&lt;=14,"Seedling",Table4_2[[#This Row],[Growth Days]]&lt;=35, "Vegetative",Table4_2[[#This Row],[Growth Days]]&lt;=50, "Maturity")</f>
        <v>Seedling</v>
      </c>
      <c r="L573" t="str">
        <f>IF(Table4_2[[#This Row],[TDS Value (ppm)]]&lt;560, "Low", IF(Table4_2[[#This Row],[TDS Value (ppm)]]&lt;=800,"Optimal","High"))</f>
        <v>Optimal</v>
      </c>
    </row>
    <row r="574" spans="1:12" x14ac:dyDescent="0.25">
      <c r="A574">
        <v>25</v>
      </c>
      <c r="B574" s="1">
        <v>45153</v>
      </c>
      <c r="C574" s="1" t="str">
        <f>TEXT(Table4_2[[#This Row],[Date]],"dddd")</f>
        <v>Tuesday</v>
      </c>
      <c r="D574" s="21">
        <v>30.1</v>
      </c>
      <c r="E574" s="21">
        <v>76</v>
      </c>
      <c r="F574" s="21">
        <v>424</v>
      </c>
      <c r="G574" s="21">
        <v>6.4</v>
      </c>
      <c r="H574">
        <v>13</v>
      </c>
      <c r="I574">
        <v>86.18</v>
      </c>
      <c r="J574">
        <v>0.76</v>
      </c>
      <c r="K574" t="str" cm="1">
        <f t="array" ref="K574">_xlfn.IFS(Table4_2[[#This Row],[Growth Days]]&lt;=14,"Seedling",Table4_2[[#This Row],[Growth Days]]&lt;=35, "Vegetative",Table4_2[[#This Row],[Growth Days]]&lt;=50, "Maturity")</f>
        <v>Seedling</v>
      </c>
      <c r="L574" t="str">
        <f>IF(Table4_2[[#This Row],[TDS Value (ppm)]]&lt;560, "Low", IF(Table4_2[[#This Row],[TDS Value (ppm)]]&lt;=800,"Optimal","High"))</f>
        <v>Low</v>
      </c>
    </row>
    <row r="575" spans="1:12" x14ac:dyDescent="0.25">
      <c r="A575">
        <v>25</v>
      </c>
      <c r="B575" s="1">
        <v>45160</v>
      </c>
      <c r="C575" s="1" t="str">
        <f>TEXT(Table4_2[[#This Row],[Date]],"dddd")</f>
        <v>Tuesday</v>
      </c>
      <c r="D575" s="21">
        <v>30.5</v>
      </c>
      <c r="E575" s="21">
        <v>77</v>
      </c>
      <c r="F575" s="21">
        <v>703</v>
      </c>
      <c r="G575" s="21">
        <v>6.4</v>
      </c>
      <c r="H575">
        <v>20</v>
      </c>
      <c r="I575">
        <v>86.9</v>
      </c>
      <c r="J575">
        <v>0.77</v>
      </c>
      <c r="K575" t="str" cm="1">
        <f t="array" ref="K575">_xlfn.IFS(Table4_2[[#This Row],[Growth Days]]&lt;=14,"Seedling",Table4_2[[#This Row],[Growth Days]]&lt;=35, "Vegetative",Table4_2[[#This Row],[Growth Days]]&lt;=50, "Maturity")</f>
        <v>Vegetative</v>
      </c>
      <c r="L575" t="str">
        <f>IF(Table4_2[[#This Row],[TDS Value (ppm)]]&lt;560, "Low", IF(Table4_2[[#This Row],[TDS Value (ppm)]]&lt;=800,"Optimal","High"))</f>
        <v>Optimal</v>
      </c>
    </row>
    <row r="576" spans="1:12" x14ac:dyDescent="0.25">
      <c r="A576">
        <v>25</v>
      </c>
      <c r="B576" s="1">
        <v>45167</v>
      </c>
      <c r="C576" s="1" t="str">
        <f>TEXT(Table4_2[[#This Row],[Date]],"dddd")</f>
        <v>Tuesday</v>
      </c>
      <c r="D576" s="21">
        <v>28.7</v>
      </c>
      <c r="E576" s="21">
        <v>73</v>
      </c>
      <c r="F576" s="21">
        <v>474</v>
      </c>
      <c r="G576" s="21">
        <v>6</v>
      </c>
      <c r="H576">
        <v>27</v>
      </c>
      <c r="I576">
        <v>83.66</v>
      </c>
      <c r="J576">
        <v>0.73</v>
      </c>
      <c r="K576" t="str" cm="1">
        <f t="array" ref="K576">_xlfn.IFS(Table4_2[[#This Row],[Growth Days]]&lt;=14,"Seedling",Table4_2[[#This Row],[Growth Days]]&lt;=35, "Vegetative",Table4_2[[#This Row],[Growth Days]]&lt;=50, "Maturity")</f>
        <v>Vegetative</v>
      </c>
      <c r="L576" t="str">
        <f>IF(Table4_2[[#This Row],[TDS Value (ppm)]]&lt;560, "Low", IF(Table4_2[[#This Row],[TDS Value (ppm)]]&lt;=800,"Optimal","High"))</f>
        <v>Low</v>
      </c>
    </row>
    <row r="577" spans="1:12" x14ac:dyDescent="0.25">
      <c r="A577">
        <v>25</v>
      </c>
      <c r="B577" s="1">
        <v>45174</v>
      </c>
      <c r="C577" s="1" t="str">
        <f>TEXT(Table4_2[[#This Row],[Date]],"dddd")</f>
        <v>Tuesday</v>
      </c>
      <c r="D577" s="21">
        <v>32</v>
      </c>
      <c r="E577" s="21">
        <v>76</v>
      </c>
      <c r="F577" s="21">
        <v>648</v>
      </c>
      <c r="G577" s="21">
        <v>6.2</v>
      </c>
      <c r="H577">
        <v>34</v>
      </c>
      <c r="I577">
        <v>89.6</v>
      </c>
      <c r="J577">
        <v>0.76</v>
      </c>
      <c r="K577" t="str" cm="1">
        <f t="array" ref="K577">_xlfn.IFS(Table4_2[[#This Row],[Growth Days]]&lt;=14,"Seedling",Table4_2[[#This Row],[Growth Days]]&lt;=35, "Vegetative",Table4_2[[#This Row],[Growth Days]]&lt;=50, "Maturity")</f>
        <v>Vegetative</v>
      </c>
      <c r="L577" t="str">
        <f>IF(Table4_2[[#This Row],[TDS Value (ppm)]]&lt;560, "Low", IF(Table4_2[[#This Row],[TDS Value (ppm)]]&lt;=800,"Optimal","High"))</f>
        <v>Optimal</v>
      </c>
    </row>
    <row r="578" spans="1:12" x14ac:dyDescent="0.25">
      <c r="A578">
        <v>25</v>
      </c>
      <c r="B578" s="1">
        <v>45181</v>
      </c>
      <c r="C578" s="1" t="str">
        <f>TEXT(Table4_2[[#This Row],[Date]],"dddd")</f>
        <v>Tuesday</v>
      </c>
      <c r="D578" s="21">
        <v>31.2</v>
      </c>
      <c r="E578" s="21">
        <v>72</v>
      </c>
      <c r="F578" s="21">
        <v>682</v>
      </c>
      <c r="G578" s="21">
        <v>6.7</v>
      </c>
      <c r="H578">
        <v>41</v>
      </c>
      <c r="I578">
        <v>88.16</v>
      </c>
      <c r="J578">
        <v>0.72</v>
      </c>
      <c r="K578" t="str" cm="1">
        <f t="array" ref="K578">_xlfn.IFS(Table4_2[[#This Row],[Growth Days]]&lt;=14,"Seedling",Table4_2[[#This Row],[Growth Days]]&lt;=35, "Vegetative",Table4_2[[#This Row],[Growth Days]]&lt;=50, "Maturity")</f>
        <v>Maturity</v>
      </c>
      <c r="L578" t="str">
        <f>IF(Table4_2[[#This Row],[TDS Value (ppm)]]&lt;560, "Low", IF(Table4_2[[#This Row],[TDS Value (ppm)]]&lt;=800,"Optimal","High"))</f>
        <v>Optimal</v>
      </c>
    </row>
    <row r="579" spans="1:12" x14ac:dyDescent="0.25">
      <c r="A579">
        <v>26</v>
      </c>
      <c r="B579" s="1">
        <v>45146</v>
      </c>
      <c r="C579" s="1" t="str">
        <f>TEXT(Table4_2[[#This Row],[Date]],"dddd")</f>
        <v>Tuesday</v>
      </c>
      <c r="D579" s="21">
        <v>32.299999999999997</v>
      </c>
      <c r="E579" s="21">
        <v>63</v>
      </c>
      <c r="F579" s="21">
        <v>669</v>
      </c>
      <c r="G579" s="21">
        <v>6.1</v>
      </c>
      <c r="H579">
        <v>6</v>
      </c>
      <c r="I579">
        <v>90.14</v>
      </c>
      <c r="J579">
        <v>0.63</v>
      </c>
      <c r="K579" t="str" cm="1">
        <f t="array" ref="K579">_xlfn.IFS(Table4_2[[#This Row],[Growth Days]]&lt;=14,"Seedling",Table4_2[[#This Row],[Growth Days]]&lt;=35, "Vegetative",Table4_2[[#This Row],[Growth Days]]&lt;=50, "Maturity")</f>
        <v>Seedling</v>
      </c>
      <c r="L579" t="str">
        <f>IF(Table4_2[[#This Row],[TDS Value (ppm)]]&lt;560, "Low", IF(Table4_2[[#This Row],[TDS Value (ppm)]]&lt;=800,"Optimal","High"))</f>
        <v>Optimal</v>
      </c>
    </row>
    <row r="580" spans="1:12" x14ac:dyDescent="0.25">
      <c r="A580">
        <v>26</v>
      </c>
      <c r="B580" s="1">
        <v>45153</v>
      </c>
      <c r="C580" s="1" t="str">
        <f>TEXT(Table4_2[[#This Row],[Date]],"dddd")</f>
        <v>Tuesday</v>
      </c>
      <c r="D580" s="21">
        <v>30.1</v>
      </c>
      <c r="E580" s="21">
        <v>54</v>
      </c>
      <c r="F580" s="21">
        <v>607</v>
      </c>
      <c r="G580" s="21">
        <v>6.8</v>
      </c>
      <c r="H580">
        <v>13</v>
      </c>
      <c r="I580">
        <v>86.18</v>
      </c>
      <c r="J580">
        <v>0.54</v>
      </c>
      <c r="K580" t="str" cm="1">
        <f t="array" ref="K580">_xlfn.IFS(Table4_2[[#This Row],[Growth Days]]&lt;=14,"Seedling",Table4_2[[#This Row],[Growth Days]]&lt;=35, "Vegetative",Table4_2[[#This Row],[Growth Days]]&lt;=50, "Maturity")</f>
        <v>Seedling</v>
      </c>
      <c r="L580" t="str">
        <f>IF(Table4_2[[#This Row],[TDS Value (ppm)]]&lt;560, "Low", IF(Table4_2[[#This Row],[TDS Value (ppm)]]&lt;=800,"Optimal","High"))</f>
        <v>Optimal</v>
      </c>
    </row>
    <row r="581" spans="1:12" x14ac:dyDescent="0.25">
      <c r="A581">
        <v>26</v>
      </c>
      <c r="B581" s="1">
        <v>45160</v>
      </c>
      <c r="C581" s="1" t="str">
        <f>TEXT(Table4_2[[#This Row],[Date]],"dddd")</f>
        <v>Tuesday</v>
      </c>
      <c r="D581" s="21">
        <v>30.5</v>
      </c>
      <c r="E581" s="21">
        <v>55</v>
      </c>
      <c r="F581" s="21">
        <v>473</v>
      </c>
      <c r="G581" s="21">
        <v>6.3</v>
      </c>
      <c r="H581">
        <v>20</v>
      </c>
      <c r="I581">
        <v>86.9</v>
      </c>
      <c r="J581">
        <v>0.55000000000000004</v>
      </c>
      <c r="K581" t="str" cm="1">
        <f t="array" ref="K581">_xlfn.IFS(Table4_2[[#This Row],[Growth Days]]&lt;=14,"Seedling",Table4_2[[#This Row],[Growth Days]]&lt;=35, "Vegetative",Table4_2[[#This Row],[Growth Days]]&lt;=50, "Maturity")</f>
        <v>Vegetative</v>
      </c>
      <c r="L581" t="str">
        <f>IF(Table4_2[[#This Row],[TDS Value (ppm)]]&lt;560, "Low", IF(Table4_2[[#This Row],[TDS Value (ppm)]]&lt;=800,"Optimal","High"))</f>
        <v>Low</v>
      </c>
    </row>
    <row r="582" spans="1:12" x14ac:dyDescent="0.25">
      <c r="A582">
        <v>26</v>
      </c>
      <c r="B582" s="1">
        <v>45167</v>
      </c>
      <c r="C582" s="1" t="str">
        <f>TEXT(Table4_2[[#This Row],[Date]],"dddd")</f>
        <v>Tuesday</v>
      </c>
      <c r="D582" s="21">
        <v>28.7</v>
      </c>
      <c r="E582" s="21">
        <v>66</v>
      </c>
      <c r="F582" s="21">
        <v>413</v>
      </c>
      <c r="G582" s="21">
        <v>6.2</v>
      </c>
      <c r="H582">
        <v>27</v>
      </c>
      <c r="I582">
        <v>83.66</v>
      </c>
      <c r="J582">
        <v>0.66</v>
      </c>
      <c r="K582" t="str" cm="1">
        <f t="array" ref="K582">_xlfn.IFS(Table4_2[[#This Row],[Growth Days]]&lt;=14,"Seedling",Table4_2[[#This Row],[Growth Days]]&lt;=35, "Vegetative",Table4_2[[#This Row],[Growth Days]]&lt;=50, "Maturity")</f>
        <v>Vegetative</v>
      </c>
      <c r="L582" t="str">
        <f>IF(Table4_2[[#This Row],[TDS Value (ppm)]]&lt;560, "Low", IF(Table4_2[[#This Row],[TDS Value (ppm)]]&lt;=800,"Optimal","High"))</f>
        <v>Low</v>
      </c>
    </row>
    <row r="583" spans="1:12" x14ac:dyDescent="0.25">
      <c r="A583">
        <v>26</v>
      </c>
      <c r="B583" s="1">
        <v>45174</v>
      </c>
      <c r="C583" s="1" t="str">
        <f>TEXT(Table4_2[[#This Row],[Date]],"dddd")</f>
        <v>Tuesday</v>
      </c>
      <c r="D583" s="21">
        <v>32</v>
      </c>
      <c r="E583" s="21">
        <v>73</v>
      </c>
      <c r="F583" s="21">
        <v>459</v>
      </c>
      <c r="G583" s="21">
        <v>6.2</v>
      </c>
      <c r="H583">
        <v>34</v>
      </c>
      <c r="I583">
        <v>89.6</v>
      </c>
      <c r="J583">
        <v>0.73</v>
      </c>
      <c r="K583" t="str" cm="1">
        <f t="array" ref="K583">_xlfn.IFS(Table4_2[[#This Row],[Growth Days]]&lt;=14,"Seedling",Table4_2[[#This Row],[Growth Days]]&lt;=35, "Vegetative",Table4_2[[#This Row],[Growth Days]]&lt;=50, "Maturity")</f>
        <v>Vegetative</v>
      </c>
      <c r="L583" t="str">
        <f>IF(Table4_2[[#This Row],[TDS Value (ppm)]]&lt;560, "Low", IF(Table4_2[[#This Row],[TDS Value (ppm)]]&lt;=800,"Optimal","High"))</f>
        <v>Low</v>
      </c>
    </row>
    <row r="584" spans="1:12" x14ac:dyDescent="0.25">
      <c r="A584">
        <v>26</v>
      </c>
      <c r="B584" s="1">
        <v>45181</v>
      </c>
      <c r="C584" s="1" t="str">
        <f>TEXT(Table4_2[[#This Row],[Date]],"dddd")</f>
        <v>Tuesday</v>
      </c>
      <c r="D584" s="21">
        <v>31.2</v>
      </c>
      <c r="E584" s="21">
        <v>57</v>
      </c>
      <c r="F584" s="21">
        <v>545</v>
      </c>
      <c r="G584" s="21">
        <v>6.3</v>
      </c>
      <c r="H584">
        <v>41</v>
      </c>
      <c r="I584">
        <v>88.16</v>
      </c>
      <c r="J584">
        <v>0.56999999999999995</v>
      </c>
      <c r="K584" t="str" cm="1">
        <f t="array" ref="K584">_xlfn.IFS(Table4_2[[#This Row],[Growth Days]]&lt;=14,"Seedling",Table4_2[[#This Row],[Growth Days]]&lt;=35, "Vegetative",Table4_2[[#This Row],[Growth Days]]&lt;=50, "Maturity")</f>
        <v>Maturity</v>
      </c>
      <c r="L584" t="str">
        <f>IF(Table4_2[[#This Row],[TDS Value (ppm)]]&lt;560, "Low", IF(Table4_2[[#This Row],[TDS Value (ppm)]]&lt;=800,"Optimal","High"))</f>
        <v>Low</v>
      </c>
    </row>
    <row r="585" spans="1:12" x14ac:dyDescent="0.25">
      <c r="A585">
        <v>27</v>
      </c>
      <c r="B585" s="1">
        <v>45146</v>
      </c>
      <c r="C585" s="1" t="str">
        <f>TEXT(Table4_2[[#This Row],[Date]],"dddd")</f>
        <v>Tuesday</v>
      </c>
      <c r="D585" s="21">
        <v>32.299999999999997</v>
      </c>
      <c r="E585" s="21">
        <v>53</v>
      </c>
      <c r="F585" s="21">
        <v>461</v>
      </c>
      <c r="G585" s="21">
        <v>6.7</v>
      </c>
      <c r="H585">
        <v>6</v>
      </c>
      <c r="I585">
        <v>90.14</v>
      </c>
      <c r="J585">
        <v>0.53</v>
      </c>
      <c r="K585" t="str" cm="1">
        <f t="array" ref="K585">_xlfn.IFS(Table4_2[[#This Row],[Growth Days]]&lt;=14,"Seedling",Table4_2[[#This Row],[Growth Days]]&lt;=35, "Vegetative",Table4_2[[#This Row],[Growth Days]]&lt;=50, "Maturity")</f>
        <v>Seedling</v>
      </c>
      <c r="L585" t="str">
        <f>IF(Table4_2[[#This Row],[TDS Value (ppm)]]&lt;560, "Low", IF(Table4_2[[#This Row],[TDS Value (ppm)]]&lt;=800,"Optimal","High"))</f>
        <v>Low</v>
      </c>
    </row>
    <row r="586" spans="1:12" x14ac:dyDescent="0.25">
      <c r="A586">
        <v>27</v>
      </c>
      <c r="B586" s="1">
        <v>45153</v>
      </c>
      <c r="C586" s="1" t="str">
        <f>TEXT(Table4_2[[#This Row],[Date]],"dddd")</f>
        <v>Tuesday</v>
      </c>
      <c r="D586" s="21">
        <v>30.1</v>
      </c>
      <c r="E586" s="21">
        <v>50</v>
      </c>
      <c r="F586" s="21">
        <v>466</v>
      </c>
      <c r="G586" s="21">
        <v>6.6</v>
      </c>
      <c r="H586">
        <v>13</v>
      </c>
      <c r="I586">
        <v>86.18</v>
      </c>
      <c r="J586">
        <v>0.5</v>
      </c>
      <c r="K586" t="str" cm="1">
        <f t="array" ref="K586">_xlfn.IFS(Table4_2[[#This Row],[Growth Days]]&lt;=14,"Seedling",Table4_2[[#This Row],[Growth Days]]&lt;=35, "Vegetative",Table4_2[[#This Row],[Growth Days]]&lt;=50, "Maturity")</f>
        <v>Seedling</v>
      </c>
      <c r="L586" t="str">
        <f>IF(Table4_2[[#This Row],[TDS Value (ppm)]]&lt;560, "Low", IF(Table4_2[[#This Row],[TDS Value (ppm)]]&lt;=800,"Optimal","High"))</f>
        <v>Low</v>
      </c>
    </row>
    <row r="587" spans="1:12" x14ac:dyDescent="0.25">
      <c r="A587">
        <v>27</v>
      </c>
      <c r="B587" s="1">
        <v>45160</v>
      </c>
      <c r="C587" s="1" t="str">
        <f>TEXT(Table4_2[[#This Row],[Date]],"dddd")</f>
        <v>Tuesday</v>
      </c>
      <c r="D587" s="21">
        <v>30.5</v>
      </c>
      <c r="E587" s="21">
        <v>69</v>
      </c>
      <c r="F587" s="21">
        <v>703</v>
      </c>
      <c r="G587" s="21">
        <v>6.3</v>
      </c>
      <c r="H587">
        <v>20</v>
      </c>
      <c r="I587">
        <v>86.9</v>
      </c>
      <c r="J587">
        <v>0.69</v>
      </c>
      <c r="K587" t="str" cm="1">
        <f t="array" ref="K587">_xlfn.IFS(Table4_2[[#This Row],[Growth Days]]&lt;=14,"Seedling",Table4_2[[#This Row],[Growth Days]]&lt;=35, "Vegetative",Table4_2[[#This Row],[Growth Days]]&lt;=50, "Maturity")</f>
        <v>Vegetative</v>
      </c>
      <c r="L587" t="str">
        <f>IF(Table4_2[[#This Row],[TDS Value (ppm)]]&lt;560, "Low", IF(Table4_2[[#This Row],[TDS Value (ppm)]]&lt;=800,"Optimal","High"))</f>
        <v>Optimal</v>
      </c>
    </row>
    <row r="588" spans="1:12" x14ac:dyDescent="0.25">
      <c r="A588">
        <v>27</v>
      </c>
      <c r="B588" s="1">
        <v>45167</v>
      </c>
      <c r="C588" s="1" t="str">
        <f>TEXT(Table4_2[[#This Row],[Date]],"dddd")</f>
        <v>Tuesday</v>
      </c>
      <c r="D588" s="21">
        <v>28.7</v>
      </c>
      <c r="E588" s="21">
        <v>65</v>
      </c>
      <c r="F588" s="21">
        <v>800</v>
      </c>
      <c r="G588" s="21">
        <v>6.5</v>
      </c>
      <c r="H588">
        <v>27</v>
      </c>
      <c r="I588">
        <v>83.66</v>
      </c>
      <c r="J588">
        <v>0.65</v>
      </c>
      <c r="K588" t="str" cm="1">
        <f t="array" ref="K588">_xlfn.IFS(Table4_2[[#This Row],[Growth Days]]&lt;=14,"Seedling",Table4_2[[#This Row],[Growth Days]]&lt;=35, "Vegetative",Table4_2[[#This Row],[Growth Days]]&lt;=50, "Maturity")</f>
        <v>Vegetative</v>
      </c>
      <c r="L588" t="str">
        <f>IF(Table4_2[[#This Row],[TDS Value (ppm)]]&lt;560, "Low", IF(Table4_2[[#This Row],[TDS Value (ppm)]]&lt;=800,"Optimal","High"))</f>
        <v>Optimal</v>
      </c>
    </row>
    <row r="589" spans="1:12" x14ac:dyDescent="0.25">
      <c r="A589">
        <v>27</v>
      </c>
      <c r="B589" s="1">
        <v>45174</v>
      </c>
      <c r="C589" s="1" t="str">
        <f>TEXT(Table4_2[[#This Row],[Date]],"dddd")</f>
        <v>Tuesday</v>
      </c>
      <c r="D589" s="21">
        <v>32</v>
      </c>
      <c r="E589" s="21">
        <v>61</v>
      </c>
      <c r="F589" s="21">
        <v>772</v>
      </c>
      <c r="G589" s="21">
        <v>6.7</v>
      </c>
      <c r="H589">
        <v>34</v>
      </c>
      <c r="I589">
        <v>89.6</v>
      </c>
      <c r="J589">
        <v>0.61</v>
      </c>
      <c r="K589" t="str" cm="1">
        <f t="array" ref="K589">_xlfn.IFS(Table4_2[[#This Row],[Growth Days]]&lt;=14,"Seedling",Table4_2[[#This Row],[Growth Days]]&lt;=35, "Vegetative",Table4_2[[#This Row],[Growth Days]]&lt;=50, "Maturity")</f>
        <v>Vegetative</v>
      </c>
      <c r="L589" t="str">
        <f>IF(Table4_2[[#This Row],[TDS Value (ppm)]]&lt;560, "Low", IF(Table4_2[[#This Row],[TDS Value (ppm)]]&lt;=800,"Optimal","High"))</f>
        <v>Optimal</v>
      </c>
    </row>
    <row r="590" spans="1:12" x14ac:dyDescent="0.25">
      <c r="A590">
        <v>27</v>
      </c>
      <c r="B590" s="1">
        <v>45181</v>
      </c>
      <c r="C590" s="1" t="str">
        <f>TEXT(Table4_2[[#This Row],[Date]],"dddd")</f>
        <v>Tuesday</v>
      </c>
      <c r="D590" s="21">
        <v>31.2</v>
      </c>
      <c r="E590" s="21">
        <v>71</v>
      </c>
      <c r="F590" s="21">
        <v>539</v>
      </c>
      <c r="G590" s="21">
        <v>6.5</v>
      </c>
      <c r="H590">
        <v>41</v>
      </c>
      <c r="I590">
        <v>88.16</v>
      </c>
      <c r="J590">
        <v>0.71</v>
      </c>
      <c r="K590" t="str" cm="1">
        <f t="array" ref="K590">_xlfn.IFS(Table4_2[[#This Row],[Growth Days]]&lt;=14,"Seedling",Table4_2[[#This Row],[Growth Days]]&lt;=35, "Vegetative",Table4_2[[#This Row],[Growth Days]]&lt;=50, "Maturity")</f>
        <v>Maturity</v>
      </c>
      <c r="L590" t="str">
        <f>IF(Table4_2[[#This Row],[TDS Value (ppm)]]&lt;560, "Low", IF(Table4_2[[#This Row],[TDS Value (ppm)]]&lt;=800,"Optimal","High"))</f>
        <v>Low</v>
      </c>
    </row>
    <row r="591" spans="1:12" x14ac:dyDescent="0.25">
      <c r="A591">
        <v>28</v>
      </c>
      <c r="B591" s="1">
        <v>45146</v>
      </c>
      <c r="C591" s="1" t="str">
        <f>TEXT(Table4_2[[#This Row],[Date]],"dddd")</f>
        <v>Tuesday</v>
      </c>
      <c r="D591" s="21">
        <v>32.299999999999997</v>
      </c>
      <c r="E591" s="21">
        <v>55</v>
      </c>
      <c r="F591" s="21">
        <v>786</v>
      </c>
      <c r="G591" s="21">
        <v>6.3</v>
      </c>
      <c r="H591">
        <v>6</v>
      </c>
      <c r="I591">
        <v>90.14</v>
      </c>
      <c r="J591">
        <v>0.55000000000000004</v>
      </c>
      <c r="K591" t="str" cm="1">
        <f t="array" ref="K591">_xlfn.IFS(Table4_2[[#This Row],[Growth Days]]&lt;=14,"Seedling",Table4_2[[#This Row],[Growth Days]]&lt;=35, "Vegetative",Table4_2[[#This Row],[Growth Days]]&lt;=50, "Maturity")</f>
        <v>Seedling</v>
      </c>
      <c r="L591" t="str">
        <f>IF(Table4_2[[#This Row],[TDS Value (ppm)]]&lt;560, "Low", IF(Table4_2[[#This Row],[TDS Value (ppm)]]&lt;=800,"Optimal","High"))</f>
        <v>Optimal</v>
      </c>
    </row>
    <row r="592" spans="1:12" x14ac:dyDescent="0.25">
      <c r="A592">
        <v>28</v>
      </c>
      <c r="B592" s="1">
        <v>45153</v>
      </c>
      <c r="C592" s="1" t="str">
        <f>TEXT(Table4_2[[#This Row],[Date]],"dddd")</f>
        <v>Tuesday</v>
      </c>
      <c r="D592" s="21">
        <v>30.1</v>
      </c>
      <c r="E592" s="21">
        <v>56</v>
      </c>
      <c r="F592" s="21">
        <v>421</v>
      </c>
      <c r="G592" s="21">
        <v>6.6</v>
      </c>
      <c r="H592">
        <v>13</v>
      </c>
      <c r="I592">
        <v>86.18</v>
      </c>
      <c r="J592">
        <v>0.56000000000000005</v>
      </c>
      <c r="K592" t="str" cm="1">
        <f t="array" ref="K592">_xlfn.IFS(Table4_2[[#This Row],[Growth Days]]&lt;=14,"Seedling",Table4_2[[#This Row],[Growth Days]]&lt;=35, "Vegetative",Table4_2[[#This Row],[Growth Days]]&lt;=50, "Maturity")</f>
        <v>Seedling</v>
      </c>
      <c r="L592" t="str">
        <f>IF(Table4_2[[#This Row],[TDS Value (ppm)]]&lt;560, "Low", IF(Table4_2[[#This Row],[TDS Value (ppm)]]&lt;=800,"Optimal","High"))</f>
        <v>Low</v>
      </c>
    </row>
    <row r="593" spans="1:12" x14ac:dyDescent="0.25">
      <c r="A593">
        <v>28</v>
      </c>
      <c r="B593" s="1">
        <v>45160</v>
      </c>
      <c r="C593" s="1" t="str">
        <f>TEXT(Table4_2[[#This Row],[Date]],"dddd")</f>
        <v>Tuesday</v>
      </c>
      <c r="D593" s="21">
        <v>30.5</v>
      </c>
      <c r="E593" s="21">
        <v>52</v>
      </c>
      <c r="F593" s="21">
        <v>639</v>
      </c>
      <c r="G593" s="21">
        <v>6.3</v>
      </c>
      <c r="H593">
        <v>20</v>
      </c>
      <c r="I593">
        <v>86.9</v>
      </c>
      <c r="J593">
        <v>0.52</v>
      </c>
      <c r="K593" t="str" cm="1">
        <f t="array" ref="K593">_xlfn.IFS(Table4_2[[#This Row],[Growth Days]]&lt;=14,"Seedling",Table4_2[[#This Row],[Growth Days]]&lt;=35, "Vegetative",Table4_2[[#This Row],[Growth Days]]&lt;=50, "Maturity")</f>
        <v>Vegetative</v>
      </c>
      <c r="L593" t="str">
        <f>IF(Table4_2[[#This Row],[TDS Value (ppm)]]&lt;560, "Low", IF(Table4_2[[#This Row],[TDS Value (ppm)]]&lt;=800,"Optimal","High"))</f>
        <v>Optimal</v>
      </c>
    </row>
    <row r="594" spans="1:12" x14ac:dyDescent="0.25">
      <c r="A594">
        <v>28</v>
      </c>
      <c r="B594" s="1">
        <v>45167</v>
      </c>
      <c r="C594" s="1" t="str">
        <f>TEXT(Table4_2[[#This Row],[Date]],"dddd")</f>
        <v>Tuesday</v>
      </c>
      <c r="D594" s="21">
        <v>28.7</v>
      </c>
      <c r="E594" s="21">
        <v>60</v>
      </c>
      <c r="F594" s="21">
        <v>728</v>
      </c>
      <c r="G594" s="21">
        <v>6.6</v>
      </c>
      <c r="H594">
        <v>27</v>
      </c>
      <c r="I594">
        <v>83.66</v>
      </c>
      <c r="J594">
        <v>0.6</v>
      </c>
      <c r="K594" t="str" cm="1">
        <f t="array" ref="K594">_xlfn.IFS(Table4_2[[#This Row],[Growth Days]]&lt;=14,"Seedling",Table4_2[[#This Row],[Growth Days]]&lt;=35, "Vegetative",Table4_2[[#This Row],[Growth Days]]&lt;=50, "Maturity")</f>
        <v>Vegetative</v>
      </c>
      <c r="L594" t="str">
        <f>IF(Table4_2[[#This Row],[TDS Value (ppm)]]&lt;560, "Low", IF(Table4_2[[#This Row],[TDS Value (ppm)]]&lt;=800,"Optimal","High"))</f>
        <v>Optimal</v>
      </c>
    </row>
    <row r="595" spans="1:12" x14ac:dyDescent="0.25">
      <c r="A595">
        <v>28</v>
      </c>
      <c r="B595" s="1">
        <v>45174</v>
      </c>
      <c r="C595" s="1" t="str">
        <f>TEXT(Table4_2[[#This Row],[Date]],"dddd")</f>
        <v>Tuesday</v>
      </c>
      <c r="D595" s="21">
        <v>32</v>
      </c>
      <c r="E595" s="21">
        <v>78</v>
      </c>
      <c r="F595" s="21">
        <v>789</v>
      </c>
      <c r="G595" s="21">
        <v>6.1</v>
      </c>
      <c r="H595">
        <v>34</v>
      </c>
      <c r="I595">
        <v>89.6</v>
      </c>
      <c r="J595">
        <v>0.78</v>
      </c>
      <c r="K595" t="str" cm="1">
        <f t="array" ref="K595">_xlfn.IFS(Table4_2[[#This Row],[Growth Days]]&lt;=14,"Seedling",Table4_2[[#This Row],[Growth Days]]&lt;=35, "Vegetative",Table4_2[[#This Row],[Growth Days]]&lt;=50, "Maturity")</f>
        <v>Vegetative</v>
      </c>
      <c r="L595" t="str">
        <f>IF(Table4_2[[#This Row],[TDS Value (ppm)]]&lt;560, "Low", IF(Table4_2[[#This Row],[TDS Value (ppm)]]&lt;=800,"Optimal","High"))</f>
        <v>Optimal</v>
      </c>
    </row>
    <row r="596" spans="1:12" x14ac:dyDescent="0.25">
      <c r="A596">
        <v>28</v>
      </c>
      <c r="B596" s="1">
        <v>45181</v>
      </c>
      <c r="C596" s="1" t="str">
        <f>TEXT(Table4_2[[#This Row],[Date]],"dddd")</f>
        <v>Tuesday</v>
      </c>
      <c r="D596" s="21">
        <v>31.2</v>
      </c>
      <c r="E596" s="21">
        <v>60</v>
      </c>
      <c r="F596" s="21">
        <v>774</v>
      </c>
      <c r="G596" s="21">
        <v>6.8</v>
      </c>
      <c r="H596">
        <v>41</v>
      </c>
      <c r="I596">
        <v>88.16</v>
      </c>
      <c r="J596">
        <v>0.6</v>
      </c>
      <c r="K596" t="str" cm="1">
        <f t="array" ref="K596">_xlfn.IFS(Table4_2[[#This Row],[Growth Days]]&lt;=14,"Seedling",Table4_2[[#This Row],[Growth Days]]&lt;=35, "Vegetative",Table4_2[[#This Row],[Growth Days]]&lt;=50, "Maturity")</f>
        <v>Maturity</v>
      </c>
      <c r="L596" t="str">
        <f>IF(Table4_2[[#This Row],[TDS Value (ppm)]]&lt;560, "Low", IF(Table4_2[[#This Row],[TDS Value (ppm)]]&lt;=800,"Optimal","High"))</f>
        <v>Optimal</v>
      </c>
    </row>
    <row r="597" spans="1:12" x14ac:dyDescent="0.25">
      <c r="A597">
        <v>29</v>
      </c>
      <c r="B597" s="1">
        <v>45146</v>
      </c>
      <c r="C597" s="1" t="str">
        <f>TEXT(Table4_2[[#This Row],[Date]],"dddd")</f>
        <v>Tuesday</v>
      </c>
      <c r="D597" s="21">
        <v>32.299999999999997</v>
      </c>
      <c r="E597" s="21">
        <v>63</v>
      </c>
      <c r="F597" s="21">
        <v>703</v>
      </c>
      <c r="G597" s="21">
        <v>6.2</v>
      </c>
      <c r="H597">
        <v>6</v>
      </c>
      <c r="I597">
        <v>90.14</v>
      </c>
      <c r="J597">
        <v>0.63</v>
      </c>
      <c r="K597" t="str" cm="1">
        <f t="array" ref="K597">_xlfn.IFS(Table4_2[[#This Row],[Growth Days]]&lt;=14,"Seedling",Table4_2[[#This Row],[Growth Days]]&lt;=35, "Vegetative",Table4_2[[#This Row],[Growth Days]]&lt;=50, "Maturity")</f>
        <v>Seedling</v>
      </c>
      <c r="L597" t="str">
        <f>IF(Table4_2[[#This Row],[TDS Value (ppm)]]&lt;560, "Low", IF(Table4_2[[#This Row],[TDS Value (ppm)]]&lt;=800,"Optimal","High"))</f>
        <v>Optimal</v>
      </c>
    </row>
    <row r="598" spans="1:12" x14ac:dyDescent="0.25">
      <c r="A598">
        <v>29</v>
      </c>
      <c r="B598" s="1">
        <v>45153</v>
      </c>
      <c r="C598" s="1" t="str">
        <f>TEXT(Table4_2[[#This Row],[Date]],"dddd")</f>
        <v>Tuesday</v>
      </c>
      <c r="D598" s="21">
        <v>30.1</v>
      </c>
      <c r="E598" s="21">
        <v>77</v>
      </c>
      <c r="F598" s="21">
        <v>688</v>
      </c>
      <c r="G598" s="21">
        <v>6.2</v>
      </c>
      <c r="H598">
        <v>13</v>
      </c>
      <c r="I598">
        <v>86.18</v>
      </c>
      <c r="J598">
        <v>0.77</v>
      </c>
      <c r="K598" t="str" cm="1">
        <f t="array" ref="K598">_xlfn.IFS(Table4_2[[#This Row],[Growth Days]]&lt;=14,"Seedling",Table4_2[[#This Row],[Growth Days]]&lt;=35, "Vegetative",Table4_2[[#This Row],[Growth Days]]&lt;=50, "Maturity")</f>
        <v>Seedling</v>
      </c>
      <c r="L598" t="str">
        <f>IF(Table4_2[[#This Row],[TDS Value (ppm)]]&lt;560, "Low", IF(Table4_2[[#This Row],[TDS Value (ppm)]]&lt;=800,"Optimal","High"))</f>
        <v>Optimal</v>
      </c>
    </row>
    <row r="599" spans="1:12" x14ac:dyDescent="0.25">
      <c r="A599">
        <v>29</v>
      </c>
      <c r="B599" s="1">
        <v>45160</v>
      </c>
      <c r="C599" s="1" t="str">
        <f>TEXT(Table4_2[[#This Row],[Date]],"dddd")</f>
        <v>Tuesday</v>
      </c>
      <c r="D599" s="21">
        <v>30.5</v>
      </c>
      <c r="E599" s="21">
        <v>51</v>
      </c>
      <c r="F599" s="21">
        <v>548</v>
      </c>
      <c r="G599" s="21">
        <v>6.3</v>
      </c>
      <c r="H599">
        <v>20</v>
      </c>
      <c r="I599">
        <v>86.9</v>
      </c>
      <c r="J599">
        <v>0.51</v>
      </c>
      <c r="K599" t="str" cm="1">
        <f t="array" ref="K599">_xlfn.IFS(Table4_2[[#This Row],[Growth Days]]&lt;=14,"Seedling",Table4_2[[#This Row],[Growth Days]]&lt;=35, "Vegetative",Table4_2[[#This Row],[Growth Days]]&lt;=50, "Maturity")</f>
        <v>Vegetative</v>
      </c>
      <c r="L599" t="str">
        <f>IF(Table4_2[[#This Row],[TDS Value (ppm)]]&lt;560, "Low", IF(Table4_2[[#This Row],[TDS Value (ppm)]]&lt;=800,"Optimal","High"))</f>
        <v>Low</v>
      </c>
    </row>
    <row r="600" spans="1:12" x14ac:dyDescent="0.25">
      <c r="A600">
        <v>29</v>
      </c>
      <c r="B600" s="1">
        <v>45167</v>
      </c>
      <c r="C600" s="1" t="str">
        <f>TEXT(Table4_2[[#This Row],[Date]],"dddd")</f>
        <v>Tuesday</v>
      </c>
      <c r="D600" s="21">
        <v>28.7</v>
      </c>
      <c r="E600" s="21">
        <v>70</v>
      </c>
      <c r="F600" s="21">
        <v>641</v>
      </c>
      <c r="G600" s="21">
        <v>6.3</v>
      </c>
      <c r="H600">
        <v>27</v>
      </c>
      <c r="I600">
        <v>83.66</v>
      </c>
      <c r="J600">
        <v>0.7</v>
      </c>
      <c r="K600" t="str" cm="1">
        <f t="array" ref="K600">_xlfn.IFS(Table4_2[[#This Row],[Growth Days]]&lt;=14,"Seedling",Table4_2[[#This Row],[Growth Days]]&lt;=35, "Vegetative",Table4_2[[#This Row],[Growth Days]]&lt;=50, "Maturity")</f>
        <v>Vegetative</v>
      </c>
      <c r="L600" t="str">
        <f>IF(Table4_2[[#This Row],[TDS Value (ppm)]]&lt;560, "Low", IF(Table4_2[[#This Row],[TDS Value (ppm)]]&lt;=800,"Optimal","High"))</f>
        <v>Optimal</v>
      </c>
    </row>
    <row r="601" spans="1:12" x14ac:dyDescent="0.25">
      <c r="A601">
        <v>29</v>
      </c>
      <c r="B601" s="1">
        <v>45174</v>
      </c>
      <c r="C601" s="1" t="str">
        <f>TEXT(Table4_2[[#This Row],[Date]],"dddd")</f>
        <v>Tuesday</v>
      </c>
      <c r="D601" s="21">
        <v>32</v>
      </c>
      <c r="E601" s="21">
        <v>71</v>
      </c>
      <c r="F601" s="21">
        <v>592</v>
      </c>
      <c r="G601" s="21">
        <v>6.4</v>
      </c>
      <c r="H601">
        <v>34</v>
      </c>
      <c r="I601">
        <v>89.6</v>
      </c>
      <c r="J601">
        <v>0.71</v>
      </c>
      <c r="K601" t="str" cm="1">
        <f t="array" ref="K601">_xlfn.IFS(Table4_2[[#This Row],[Growth Days]]&lt;=14,"Seedling",Table4_2[[#This Row],[Growth Days]]&lt;=35, "Vegetative",Table4_2[[#This Row],[Growth Days]]&lt;=50, "Maturity")</f>
        <v>Vegetative</v>
      </c>
      <c r="L601" t="str">
        <f>IF(Table4_2[[#This Row],[TDS Value (ppm)]]&lt;560, "Low", IF(Table4_2[[#This Row],[TDS Value (ppm)]]&lt;=800,"Optimal","High"))</f>
        <v>Optimal</v>
      </c>
    </row>
    <row r="602" spans="1:12" x14ac:dyDescent="0.25">
      <c r="A602">
        <v>29</v>
      </c>
      <c r="B602" s="1">
        <v>45181</v>
      </c>
      <c r="C602" s="1" t="str">
        <f>TEXT(Table4_2[[#This Row],[Date]],"dddd")</f>
        <v>Tuesday</v>
      </c>
      <c r="D602" s="21">
        <v>31.2</v>
      </c>
      <c r="E602" s="21">
        <v>66</v>
      </c>
      <c r="F602" s="21">
        <v>489</v>
      </c>
      <c r="G602" s="21">
        <v>6.7</v>
      </c>
      <c r="H602">
        <v>41</v>
      </c>
      <c r="I602">
        <v>88.16</v>
      </c>
      <c r="J602">
        <v>0.66</v>
      </c>
      <c r="K602" t="str" cm="1">
        <f t="array" ref="K602">_xlfn.IFS(Table4_2[[#This Row],[Growth Days]]&lt;=14,"Seedling",Table4_2[[#This Row],[Growth Days]]&lt;=35, "Vegetative",Table4_2[[#This Row],[Growth Days]]&lt;=50, "Maturity")</f>
        <v>Maturity</v>
      </c>
      <c r="L602" t="str">
        <f>IF(Table4_2[[#This Row],[TDS Value (ppm)]]&lt;560, "Low", IF(Table4_2[[#This Row],[TDS Value (ppm)]]&lt;=800,"Optimal","High"))</f>
        <v>Low</v>
      </c>
    </row>
    <row r="603" spans="1:12" x14ac:dyDescent="0.25">
      <c r="A603">
        <v>30</v>
      </c>
      <c r="B603" s="1">
        <v>45146</v>
      </c>
      <c r="C603" s="1" t="str">
        <f>TEXT(Table4_2[[#This Row],[Date]],"dddd")</f>
        <v>Tuesday</v>
      </c>
      <c r="D603" s="21">
        <v>32.299999999999997</v>
      </c>
      <c r="E603" s="21">
        <v>57</v>
      </c>
      <c r="F603" s="21">
        <v>620</v>
      </c>
      <c r="G603" s="21">
        <v>6.2</v>
      </c>
      <c r="H603">
        <v>6</v>
      </c>
      <c r="I603">
        <v>90.14</v>
      </c>
      <c r="J603">
        <v>0.56999999999999995</v>
      </c>
      <c r="K603" t="str" cm="1">
        <f t="array" ref="K603">_xlfn.IFS(Table4_2[[#This Row],[Growth Days]]&lt;=14,"Seedling",Table4_2[[#This Row],[Growth Days]]&lt;=35, "Vegetative",Table4_2[[#This Row],[Growth Days]]&lt;=50, "Maturity")</f>
        <v>Seedling</v>
      </c>
      <c r="L603" t="str">
        <f>IF(Table4_2[[#This Row],[TDS Value (ppm)]]&lt;560, "Low", IF(Table4_2[[#This Row],[TDS Value (ppm)]]&lt;=800,"Optimal","High"))</f>
        <v>Optimal</v>
      </c>
    </row>
    <row r="604" spans="1:12" x14ac:dyDescent="0.25">
      <c r="A604">
        <v>30</v>
      </c>
      <c r="B604" s="1">
        <v>45153</v>
      </c>
      <c r="C604" s="1" t="str">
        <f>TEXT(Table4_2[[#This Row],[Date]],"dddd")</f>
        <v>Tuesday</v>
      </c>
      <c r="D604" s="21">
        <v>30.1</v>
      </c>
      <c r="E604" s="21">
        <v>75</v>
      </c>
      <c r="F604" s="21">
        <v>757</v>
      </c>
      <c r="G604" s="21">
        <v>6.5</v>
      </c>
      <c r="H604">
        <v>13</v>
      </c>
      <c r="I604">
        <v>86.18</v>
      </c>
      <c r="J604">
        <v>0.75</v>
      </c>
      <c r="K604" t="str" cm="1">
        <f t="array" ref="K604">_xlfn.IFS(Table4_2[[#This Row],[Growth Days]]&lt;=14,"Seedling",Table4_2[[#This Row],[Growth Days]]&lt;=35, "Vegetative",Table4_2[[#This Row],[Growth Days]]&lt;=50, "Maturity")</f>
        <v>Seedling</v>
      </c>
      <c r="L604" t="str">
        <f>IF(Table4_2[[#This Row],[TDS Value (ppm)]]&lt;560, "Low", IF(Table4_2[[#This Row],[TDS Value (ppm)]]&lt;=800,"Optimal","High"))</f>
        <v>Optimal</v>
      </c>
    </row>
    <row r="605" spans="1:12" x14ac:dyDescent="0.25">
      <c r="A605">
        <v>30</v>
      </c>
      <c r="B605" s="1">
        <v>45160</v>
      </c>
      <c r="C605" s="1" t="str">
        <f>TEXT(Table4_2[[#This Row],[Date]],"dddd")</f>
        <v>Tuesday</v>
      </c>
      <c r="D605" s="21">
        <v>30.5</v>
      </c>
      <c r="E605" s="21">
        <v>61</v>
      </c>
      <c r="F605" s="21">
        <v>442</v>
      </c>
      <c r="G605" s="21">
        <v>6.7</v>
      </c>
      <c r="H605">
        <v>20</v>
      </c>
      <c r="I605">
        <v>86.9</v>
      </c>
      <c r="J605">
        <v>0.61</v>
      </c>
      <c r="K605" t="str" cm="1">
        <f t="array" ref="K605">_xlfn.IFS(Table4_2[[#This Row],[Growth Days]]&lt;=14,"Seedling",Table4_2[[#This Row],[Growth Days]]&lt;=35, "Vegetative",Table4_2[[#This Row],[Growth Days]]&lt;=50, "Maturity")</f>
        <v>Vegetative</v>
      </c>
      <c r="L605" t="str">
        <f>IF(Table4_2[[#This Row],[TDS Value (ppm)]]&lt;560, "Low", IF(Table4_2[[#This Row],[TDS Value (ppm)]]&lt;=800,"Optimal","High"))</f>
        <v>Low</v>
      </c>
    </row>
    <row r="606" spans="1:12" x14ac:dyDescent="0.25">
      <c r="A606">
        <v>30</v>
      </c>
      <c r="B606" s="1">
        <v>45167</v>
      </c>
      <c r="C606" s="1" t="str">
        <f>TEXT(Table4_2[[#This Row],[Date]],"dddd")</f>
        <v>Tuesday</v>
      </c>
      <c r="D606" s="21">
        <v>28.7</v>
      </c>
      <c r="E606" s="21">
        <v>71</v>
      </c>
      <c r="F606" s="21">
        <v>549</v>
      </c>
      <c r="G606" s="21">
        <v>6.7</v>
      </c>
      <c r="H606">
        <v>27</v>
      </c>
      <c r="I606">
        <v>83.66</v>
      </c>
      <c r="J606">
        <v>0.71</v>
      </c>
      <c r="K606" t="str" cm="1">
        <f t="array" ref="K606">_xlfn.IFS(Table4_2[[#This Row],[Growth Days]]&lt;=14,"Seedling",Table4_2[[#This Row],[Growth Days]]&lt;=35, "Vegetative",Table4_2[[#This Row],[Growth Days]]&lt;=50, "Maturity")</f>
        <v>Vegetative</v>
      </c>
      <c r="L606" t="str">
        <f>IF(Table4_2[[#This Row],[TDS Value (ppm)]]&lt;560, "Low", IF(Table4_2[[#This Row],[TDS Value (ppm)]]&lt;=800,"Optimal","High"))</f>
        <v>Low</v>
      </c>
    </row>
    <row r="607" spans="1:12" x14ac:dyDescent="0.25">
      <c r="A607">
        <v>30</v>
      </c>
      <c r="B607" s="1">
        <v>45174</v>
      </c>
      <c r="C607" s="1" t="str">
        <f>TEXT(Table4_2[[#This Row],[Date]],"dddd")</f>
        <v>Tuesday</v>
      </c>
      <c r="D607" s="21">
        <v>32</v>
      </c>
      <c r="E607" s="21">
        <v>60</v>
      </c>
      <c r="F607" s="21">
        <v>470</v>
      </c>
      <c r="G607" s="21">
        <v>6.1</v>
      </c>
      <c r="H607">
        <v>34</v>
      </c>
      <c r="I607">
        <v>89.6</v>
      </c>
      <c r="J607">
        <v>0.6</v>
      </c>
      <c r="K607" t="str" cm="1">
        <f t="array" ref="K607">_xlfn.IFS(Table4_2[[#This Row],[Growth Days]]&lt;=14,"Seedling",Table4_2[[#This Row],[Growth Days]]&lt;=35, "Vegetative",Table4_2[[#This Row],[Growth Days]]&lt;=50, "Maturity")</f>
        <v>Vegetative</v>
      </c>
      <c r="L607" t="str">
        <f>IF(Table4_2[[#This Row],[TDS Value (ppm)]]&lt;560, "Low", IF(Table4_2[[#This Row],[TDS Value (ppm)]]&lt;=800,"Optimal","High"))</f>
        <v>Low</v>
      </c>
    </row>
    <row r="608" spans="1:12" x14ac:dyDescent="0.25">
      <c r="A608">
        <v>30</v>
      </c>
      <c r="B608" s="1">
        <v>45181</v>
      </c>
      <c r="C608" s="1" t="str">
        <f>TEXT(Table4_2[[#This Row],[Date]],"dddd")</f>
        <v>Tuesday</v>
      </c>
      <c r="D608" s="21">
        <v>31.2</v>
      </c>
      <c r="E608" s="21">
        <v>70</v>
      </c>
      <c r="F608" s="21">
        <v>672</v>
      </c>
      <c r="G608" s="21">
        <v>6.1</v>
      </c>
      <c r="H608">
        <v>41</v>
      </c>
      <c r="I608">
        <v>88.16</v>
      </c>
      <c r="J608">
        <v>0.7</v>
      </c>
      <c r="K608" t="str" cm="1">
        <f t="array" ref="K608">_xlfn.IFS(Table4_2[[#This Row],[Growth Days]]&lt;=14,"Seedling",Table4_2[[#This Row],[Growth Days]]&lt;=35, "Vegetative",Table4_2[[#This Row],[Growth Days]]&lt;=50, "Maturity")</f>
        <v>Maturity</v>
      </c>
      <c r="L608" t="str">
        <f>IF(Table4_2[[#This Row],[TDS Value (ppm)]]&lt;560, "Low", IF(Table4_2[[#This Row],[TDS Value (ppm)]]&lt;=800,"Optimal","High"))</f>
        <v>Optimal</v>
      </c>
    </row>
    <row r="609" spans="1:12" x14ac:dyDescent="0.25">
      <c r="A609">
        <v>31</v>
      </c>
      <c r="B609" s="1">
        <v>45146</v>
      </c>
      <c r="C609" s="1" t="str">
        <f>TEXT(Table4_2[[#This Row],[Date]],"dddd")</f>
        <v>Tuesday</v>
      </c>
      <c r="D609" s="21">
        <v>32.299999999999997</v>
      </c>
      <c r="E609" s="21">
        <v>51</v>
      </c>
      <c r="F609" s="21">
        <v>757</v>
      </c>
      <c r="G609" s="21">
        <v>6.6</v>
      </c>
      <c r="H609">
        <v>6</v>
      </c>
      <c r="I609">
        <v>90.14</v>
      </c>
      <c r="J609">
        <v>0.51</v>
      </c>
      <c r="K609" t="str" cm="1">
        <f t="array" ref="K609">_xlfn.IFS(Table4_2[[#This Row],[Growth Days]]&lt;=14,"Seedling",Table4_2[[#This Row],[Growth Days]]&lt;=35, "Vegetative",Table4_2[[#This Row],[Growth Days]]&lt;=50, "Maturity")</f>
        <v>Seedling</v>
      </c>
      <c r="L609" t="str">
        <f>IF(Table4_2[[#This Row],[TDS Value (ppm)]]&lt;560, "Low", IF(Table4_2[[#This Row],[TDS Value (ppm)]]&lt;=800,"Optimal","High"))</f>
        <v>Optimal</v>
      </c>
    </row>
    <row r="610" spans="1:12" x14ac:dyDescent="0.25">
      <c r="A610">
        <v>31</v>
      </c>
      <c r="B610" s="1">
        <v>45153</v>
      </c>
      <c r="C610" s="1" t="str">
        <f>TEXT(Table4_2[[#This Row],[Date]],"dddd")</f>
        <v>Tuesday</v>
      </c>
      <c r="D610" s="21">
        <v>30.1</v>
      </c>
      <c r="E610" s="21">
        <v>57</v>
      </c>
      <c r="F610" s="21">
        <v>554</v>
      </c>
      <c r="G610" s="21">
        <v>6.1</v>
      </c>
      <c r="H610">
        <v>13</v>
      </c>
      <c r="I610">
        <v>86.18</v>
      </c>
      <c r="J610">
        <v>0.56999999999999995</v>
      </c>
      <c r="K610" t="str" cm="1">
        <f t="array" ref="K610">_xlfn.IFS(Table4_2[[#This Row],[Growth Days]]&lt;=14,"Seedling",Table4_2[[#This Row],[Growth Days]]&lt;=35, "Vegetative",Table4_2[[#This Row],[Growth Days]]&lt;=50, "Maturity")</f>
        <v>Seedling</v>
      </c>
      <c r="L610" t="str">
        <f>IF(Table4_2[[#This Row],[TDS Value (ppm)]]&lt;560, "Low", IF(Table4_2[[#This Row],[TDS Value (ppm)]]&lt;=800,"Optimal","High"))</f>
        <v>Low</v>
      </c>
    </row>
    <row r="611" spans="1:12" x14ac:dyDescent="0.25">
      <c r="A611">
        <v>31</v>
      </c>
      <c r="B611" s="1">
        <v>45160</v>
      </c>
      <c r="C611" s="1" t="str">
        <f>TEXT(Table4_2[[#This Row],[Date]],"dddd")</f>
        <v>Tuesday</v>
      </c>
      <c r="D611" s="21">
        <v>30.5</v>
      </c>
      <c r="E611" s="21">
        <v>77</v>
      </c>
      <c r="F611" s="21">
        <v>455</v>
      </c>
      <c r="G611" s="21">
        <v>6.3</v>
      </c>
      <c r="H611">
        <v>20</v>
      </c>
      <c r="I611">
        <v>86.9</v>
      </c>
      <c r="J611">
        <v>0.77</v>
      </c>
      <c r="K611" t="str" cm="1">
        <f t="array" ref="K611">_xlfn.IFS(Table4_2[[#This Row],[Growth Days]]&lt;=14,"Seedling",Table4_2[[#This Row],[Growth Days]]&lt;=35, "Vegetative",Table4_2[[#This Row],[Growth Days]]&lt;=50, "Maturity")</f>
        <v>Vegetative</v>
      </c>
      <c r="L611" t="str">
        <f>IF(Table4_2[[#This Row],[TDS Value (ppm)]]&lt;560, "Low", IF(Table4_2[[#This Row],[TDS Value (ppm)]]&lt;=800,"Optimal","High"))</f>
        <v>Low</v>
      </c>
    </row>
    <row r="612" spans="1:12" x14ac:dyDescent="0.25">
      <c r="A612">
        <v>31</v>
      </c>
      <c r="B612" s="1">
        <v>45167</v>
      </c>
      <c r="C612" s="1" t="str">
        <f>TEXT(Table4_2[[#This Row],[Date]],"dddd")</f>
        <v>Tuesday</v>
      </c>
      <c r="D612" s="21">
        <v>28.7</v>
      </c>
      <c r="E612" s="21">
        <v>76</v>
      </c>
      <c r="F612" s="21">
        <v>749</v>
      </c>
      <c r="G612" s="21">
        <v>6.3</v>
      </c>
      <c r="H612">
        <v>27</v>
      </c>
      <c r="I612">
        <v>83.66</v>
      </c>
      <c r="J612">
        <v>0.76</v>
      </c>
      <c r="K612" t="str" cm="1">
        <f t="array" ref="K612">_xlfn.IFS(Table4_2[[#This Row],[Growth Days]]&lt;=14,"Seedling",Table4_2[[#This Row],[Growth Days]]&lt;=35, "Vegetative",Table4_2[[#This Row],[Growth Days]]&lt;=50, "Maturity")</f>
        <v>Vegetative</v>
      </c>
      <c r="L612" t="str">
        <f>IF(Table4_2[[#This Row],[TDS Value (ppm)]]&lt;560, "Low", IF(Table4_2[[#This Row],[TDS Value (ppm)]]&lt;=800,"Optimal","High"))</f>
        <v>Optimal</v>
      </c>
    </row>
    <row r="613" spans="1:12" x14ac:dyDescent="0.25">
      <c r="A613">
        <v>31</v>
      </c>
      <c r="B613" s="1">
        <v>45174</v>
      </c>
      <c r="C613" s="1" t="str">
        <f>TEXT(Table4_2[[#This Row],[Date]],"dddd")</f>
        <v>Tuesday</v>
      </c>
      <c r="D613" s="21">
        <v>32</v>
      </c>
      <c r="E613" s="21">
        <v>66</v>
      </c>
      <c r="F613" s="21">
        <v>411</v>
      </c>
      <c r="G613" s="21">
        <v>6.7</v>
      </c>
      <c r="H613">
        <v>34</v>
      </c>
      <c r="I613">
        <v>89.6</v>
      </c>
      <c r="J613">
        <v>0.66</v>
      </c>
      <c r="K613" t="str" cm="1">
        <f t="array" ref="K613">_xlfn.IFS(Table4_2[[#This Row],[Growth Days]]&lt;=14,"Seedling",Table4_2[[#This Row],[Growth Days]]&lt;=35, "Vegetative",Table4_2[[#This Row],[Growth Days]]&lt;=50, "Maturity")</f>
        <v>Vegetative</v>
      </c>
      <c r="L613" t="str">
        <f>IF(Table4_2[[#This Row],[TDS Value (ppm)]]&lt;560, "Low", IF(Table4_2[[#This Row],[TDS Value (ppm)]]&lt;=800,"Optimal","High"))</f>
        <v>Low</v>
      </c>
    </row>
    <row r="614" spans="1:12" x14ac:dyDescent="0.25">
      <c r="A614">
        <v>31</v>
      </c>
      <c r="B614" s="1">
        <v>45181</v>
      </c>
      <c r="C614" s="1" t="str">
        <f>TEXT(Table4_2[[#This Row],[Date]],"dddd")</f>
        <v>Tuesday</v>
      </c>
      <c r="D614" s="21">
        <v>31.2</v>
      </c>
      <c r="E614" s="21">
        <v>67</v>
      </c>
      <c r="F614" s="21">
        <v>621</v>
      </c>
      <c r="G614" s="21">
        <v>6.7</v>
      </c>
      <c r="H614">
        <v>41</v>
      </c>
      <c r="I614">
        <v>88.16</v>
      </c>
      <c r="J614">
        <v>0.67</v>
      </c>
      <c r="K614" t="str" cm="1">
        <f t="array" ref="K614">_xlfn.IFS(Table4_2[[#This Row],[Growth Days]]&lt;=14,"Seedling",Table4_2[[#This Row],[Growth Days]]&lt;=35, "Vegetative",Table4_2[[#This Row],[Growth Days]]&lt;=50, "Maturity")</f>
        <v>Maturity</v>
      </c>
      <c r="L614" t="str">
        <f>IF(Table4_2[[#This Row],[TDS Value (ppm)]]&lt;560, "Low", IF(Table4_2[[#This Row],[TDS Value (ppm)]]&lt;=800,"Optimal","High"))</f>
        <v>Optimal</v>
      </c>
    </row>
    <row r="615" spans="1:12" x14ac:dyDescent="0.25">
      <c r="A615">
        <v>32</v>
      </c>
      <c r="B615" s="1">
        <v>45146</v>
      </c>
      <c r="C615" s="1" t="str">
        <f>TEXT(Table4_2[[#This Row],[Date]],"dddd")</f>
        <v>Tuesday</v>
      </c>
      <c r="D615" s="21">
        <v>32.299999999999997</v>
      </c>
      <c r="E615" s="21">
        <v>66</v>
      </c>
      <c r="F615" s="21">
        <v>494</v>
      </c>
      <c r="G615" s="21">
        <v>6.4</v>
      </c>
      <c r="H615">
        <v>6</v>
      </c>
      <c r="I615">
        <v>90.14</v>
      </c>
      <c r="J615">
        <v>0.66</v>
      </c>
      <c r="K615" t="str" cm="1">
        <f t="array" ref="K615">_xlfn.IFS(Table4_2[[#This Row],[Growth Days]]&lt;=14,"Seedling",Table4_2[[#This Row],[Growth Days]]&lt;=35, "Vegetative",Table4_2[[#This Row],[Growth Days]]&lt;=50, "Maturity")</f>
        <v>Seedling</v>
      </c>
      <c r="L615" t="str">
        <f>IF(Table4_2[[#This Row],[TDS Value (ppm)]]&lt;560, "Low", IF(Table4_2[[#This Row],[TDS Value (ppm)]]&lt;=800,"Optimal","High"))</f>
        <v>Low</v>
      </c>
    </row>
    <row r="616" spans="1:12" x14ac:dyDescent="0.25">
      <c r="A616">
        <v>32</v>
      </c>
      <c r="B616" s="1">
        <v>45153</v>
      </c>
      <c r="C616" s="1" t="str">
        <f>TEXT(Table4_2[[#This Row],[Date]],"dddd")</f>
        <v>Tuesday</v>
      </c>
      <c r="D616" s="21">
        <v>30.1</v>
      </c>
      <c r="E616" s="21">
        <v>50</v>
      </c>
      <c r="F616" s="21">
        <v>514</v>
      </c>
      <c r="G616" s="21">
        <v>6.3</v>
      </c>
      <c r="H616">
        <v>13</v>
      </c>
      <c r="I616">
        <v>86.18</v>
      </c>
      <c r="J616">
        <v>0.5</v>
      </c>
      <c r="K616" t="str" cm="1">
        <f t="array" ref="K616">_xlfn.IFS(Table4_2[[#This Row],[Growth Days]]&lt;=14,"Seedling",Table4_2[[#This Row],[Growth Days]]&lt;=35, "Vegetative",Table4_2[[#This Row],[Growth Days]]&lt;=50, "Maturity")</f>
        <v>Seedling</v>
      </c>
      <c r="L616" t="str">
        <f>IF(Table4_2[[#This Row],[TDS Value (ppm)]]&lt;560, "Low", IF(Table4_2[[#This Row],[TDS Value (ppm)]]&lt;=800,"Optimal","High"))</f>
        <v>Low</v>
      </c>
    </row>
    <row r="617" spans="1:12" x14ac:dyDescent="0.25">
      <c r="A617">
        <v>32</v>
      </c>
      <c r="B617" s="1">
        <v>45160</v>
      </c>
      <c r="C617" s="1" t="str">
        <f>TEXT(Table4_2[[#This Row],[Date]],"dddd")</f>
        <v>Tuesday</v>
      </c>
      <c r="D617" s="21">
        <v>30.5</v>
      </c>
      <c r="E617" s="21">
        <v>78</v>
      </c>
      <c r="F617" s="21">
        <v>641</v>
      </c>
      <c r="G617" s="21">
        <v>6.4</v>
      </c>
      <c r="H617">
        <v>20</v>
      </c>
      <c r="I617">
        <v>86.9</v>
      </c>
      <c r="J617">
        <v>0.78</v>
      </c>
      <c r="K617" t="str" cm="1">
        <f t="array" ref="K617">_xlfn.IFS(Table4_2[[#This Row],[Growth Days]]&lt;=14,"Seedling",Table4_2[[#This Row],[Growth Days]]&lt;=35, "Vegetative",Table4_2[[#This Row],[Growth Days]]&lt;=50, "Maturity")</f>
        <v>Vegetative</v>
      </c>
      <c r="L617" t="str">
        <f>IF(Table4_2[[#This Row],[TDS Value (ppm)]]&lt;560, "Low", IF(Table4_2[[#This Row],[TDS Value (ppm)]]&lt;=800,"Optimal","High"))</f>
        <v>Optimal</v>
      </c>
    </row>
    <row r="618" spans="1:12" x14ac:dyDescent="0.25">
      <c r="A618">
        <v>32</v>
      </c>
      <c r="B618" s="1">
        <v>45167</v>
      </c>
      <c r="C618" s="1" t="str">
        <f>TEXT(Table4_2[[#This Row],[Date]],"dddd")</f>
        <v>Tuesday</v>
      </c>
      <c r="D618" s="21">
        <v>28.7</v>
      </c>
      <c r="E618" s="21">
        <v>63</v>
      </c>
      <c r="F618" s="21">
        <v>495</v>
      </c>
      <c r="G618" s="21">
        <v>6.1</v>
      </c>
      <c r="H618">
        <v>27</v>
      </c>
      <c r="I618">
        <v>83.66</v>
      </c>
      <c r="J618">
        <v>0.63</v>
      </c>
      <c r="K618" t="str" cm="1">
        <f t="array" ref="K618">_xlfn.IFS(Table4_2[[#This Row],[Growth Days]]&lt;=14,"Seedling",Table4_2[[#This Row],[Growth Days]]&lt;=35, "Vegetative",Table4_2[[#This Row],[Growth Days]]&lt;=50, "Maturity")</f>
        <v>Vegetative</v>
      </c>
      <c r="L618" t="str">
        <f>IF(Table4_2[[#This Row],[TDS Value (ppm)]]&lt;560, "Low", IF(Table4_2[[#This Row],[TDS Value (ppm)]]&lt;=800,"Optimal","High"))</f>
        <v>Low</v>
      </c>
    </row>
    <row r="619" spans="1:12" x14ac:dyDescent="0.25">
      <c r="A619">
        <v>32</v>
      </c>
      <c r="B619" s="1">
        <v>45174</v>
      </c>
      <c r="C619" s="1" t="str">
        <f>TEXT(Table4_2[[#This Row],[Date]],"dddd")</f>
        <v>Tuesday</v>
      </c>
      <c r="D619" s="21">
        <v>32</v>
      </c>
      <c r="E619" s="21">
        <v>62</v>
      </c>
      <c r="F619" s="21">
        <v>495</v>
      </c>
      <c r="G619" s="21">
        <v>6.2</v>
      </c>
      <c r="H619">
        <v>34</v>
      </c>
      <c r="I619">
        <v>89.6</v>
      </c>
      <c r="J619">
        <v>0.62</v>
      </c>
      <c r="K619" t="str" cm="1">
        <f t="array" ref="K619">_xlfn.IFS(Table4_2[[#This Row],[Growth Days]]&lt;=14,"Seedling",Table4_2[[#This Row],[Growth Days]]&lt;=35, "Vegetative",Table4_2[[#This Row],[Growth Days]]&lt;=50, "Maturity")</f>
        <v>Vegetative</v>
      </c>
      <c r="L619" t="str">
        <f>IF(Table4_2[[#This Row],[TDS Value (ppm)]]&lt;560, "Low", IF(Table4_2[[#This Row],[TDS Value (ppm)]]&lt;=800,"Optimal","High"))</f>
        <v>Low</v>
      </c>
    </row>
    <row r="620" spans="1:12" x14ac:dyDescent="0.25">
      <c r="A620">
        <v>32</v>
      </c>
      <c r="B620" s="1">
        <v>45181</v>
      </c>
      <c r="C620" s="1" t="str">
        <f>TEXT(Table4_2[[#This Row],[Date]],"dddd")</f>
        <v>Tuesday</v>
      </c>
      <c r="D620" s="21">
        <v>31.2</v>
      </c>
      <c r="E620" s="21">
        <v>67</v>
      </c>
      <c r="F620" s="21">
        <v>768</v>
      </c>
      <c r="G620" s="21">
        <v>6.7</v>
      </c>
      <c r="H620">
        <v>41</v>
      </c>
      <c r="I620">
        <v>88.16</v>
      </c>
      <c r="J620">
        <v>0.67</v>
      </c>
      <c r="K620" t="str" cm="1">
        <f t="array" ref="K620">_xlfn.IFS(Table4_2[[#This Row],[Growth Days]]&lt;=14,"Seedling",Table4_2[[#This Row],[Growth Days]]&lt;=35, "Vegetative",Table4_2[[#This Row],[Growth Days]]&lt;=50, "Maturity")</f>
        <v>Maturity</v>
      </c>
      <c r="L620" t="str">
        <f>IF(Table4_2[[#This Row],[TDS Value (ppm)]]&lt;560, "Low", IF(Table4_2[[#This Row],[TDS Value (ppm)]]&lt;=800,"Optimal","High"))</f>
        <v>Optimal</v>
      </c>
    </row>
    <row r="621" spans="1:12" x14ac:dyDescent="0.25">
      <c r="A621">
        <v>33</v>
      </c>
      <c r="B621" s="1">
        <v>45146</v>
      </c>
      <c r="C621" s="1" t="str">
        <f>TEXT(Table4_2[[#This Row],[Date]],"dddd")</f>
        <v>Tuesday</v>
      </c>
      <c r="D621" s="21">
        <v>32.299999999999997</v>
      </c>
      <c r="E621" s="21">
        <v>80</v>
      </c>
      <c r="F621" s="21">
        <v>612</v>
      </c>
      <c r="G621" s="21">
        <v>6.2</v>
      </c>
      <c r="H621">
        <v>6</v>
      </c>
      <c r="I621">
        <v>90.14</v>
      </c>
      <c r="J621">
        <v>0.8</v>
      </c>
      <c r="K621" t="str" cm="1">
        <f t="array" ref="K621">_xlfn.IFS(Table4_2[[#This Row],[Growth Days]]&lt;=14,"Seedling",Table4_2[[#This Row],[Growth Days]]&lt;=35, "Vegetative",Table4_2[[#This Row],[Growth Days]]&lt;=50, "Maturity")</f>
        <v>Seedling</v>
      </c>
      <c r="L621" t="str">
        <f>IF(Table4_2[[#This Row],[TDS Value (ppm)]]&lt;560, "Low", IF(Table4_2[[#This Row],[TDS Value (ppm)]]&lt;=800,"Optimal","High"))</f>
        <v>Optimal</v>
      </c>
    </row>
    <row r="622" spans="1:12" x14ac:dyDescent="0.25">
      <c r="A622">
        <v>33</v>
      </c>
      <c r="B622" s="1">
        <v>45153</v>
      </c>
      <c r="C622" s="1" t="str">
        <f>TEXT(Table4_2[[#This Row],[Date]],"dddd")</f>
        <v>Tuesday</v>
      </c>
      <c r="D622" s="21">
        <v>30.1</v>
      </c>
      <c r="E622" s="21">
        <v>59</v>
      </c>
      <c r="F622" s="21">
        <v>557</v>
      </c>
      <c r="G622" s="21">
        <v>6</v>
      </c>
      <c r="H622">
        <v>13</v>
      </c>
      <c r="I622">
        <v>86.18</v>
      </c>
      <c r="J622">
        <v>0.59</v>
      </c>
      <c r="K622" t="str" cm="1">
        <f t="array" ref="K622">_xlfn.IFS(Table4_2[[#This Row],[Growth Days]]&lt;=14,"Seedling",Table4_2[[#This Row],[Growth Days]]&lt;=35, "Vegetative",Table4_2[[#This Row],[Growth Days]]&lt;=50, "Maturity")</f>
        <v>Seedling</v>
      </c>
      <c r="L622" t="str">
        <f>IF(Table4_2[[#This Row],[TDS Value (ppm)]]&lt;560, "Low", IF(Table4_2[[#This Row],[TDS Value (ppm)]]&lt;=800,"Optimal","High"))</f>
        <v>Low</v>
      </c>
    </row>
    <row r="623" spans="1:12" x14ac:dyDescent="0.25">
      <c r="A623">
        <v>33</v>
      </c>
      <c r="B623" s="1">
        <v>45160</v>
      </c>
      <c r="C623" s="1" t="str">
        <f>TEXT(Table4_2[[#This Row],[Date]],"dddd")</f>
        <v>Tuesday</v>
      </c>
      <c r="D623" s="21">
        <v>30.5</v>
      </c>
      <c r="E623" s="21">
        <v>60</v>
      </c>
      <c r="F623" s="21">
        <v>784</v>
      </c>
      <c r="G623" s="21">
        <v>6.4</v>
      </c>
      <c r="H623">
        <v>20</v>
      </c>
      <c r="I623">
        <v>86.9</v>
      </c>
      <c r="J623">
        <v>0.6</v>
      </c>
      <c r="K623" t="str" cm="1">
        <f t="array" ref="K623">_xlfn.IFS(Table4_2[[#This Row],[Growth Days]]&lt;=14,"Seedling",Table4_2[[#This Row],[Growth Days]]&lt;=35, "Vegetative",Table4_2[[#This Row],[Growth Days]]&lt;=50, "Maturity")</f>
        <v>Vegetative</v>
      </c>
      <c r="L623" t="str">
        <f>IF(Table4_2[[#This Row],[TDS Value (ppm)]]&lt;560, "Low", IF(Table4_2[[#This Row],[TDS Value (ppm)]]&lt;=800,"Optimal","High"))</f>
        <v>Optimal</v>
      </c>
    </row>
    <row r="624" spans="1:12" x14ac:dyDescent="0.25">
      <c r="A624">
        <v>33</v>
      </c>
      <c r="B624" s="1">
        <v>45167</v>
      </c>
      <c r="C624" s="1" t="str">
        <f>TEXT(Table4_2[[#This Row],[Date]],"dddd")</f>
        <v>Tuesday</v>
      </c>
      <c r="D624" s="21">
        <v>28.7</v>
      </c>
      <c r="E624" s="21">
        <v>78</v>
      </c>
      <c r="F624" s="21">
        <v>423</v>
      </c>
      <c r="G624" s="21">
        <v>6.2</v>
      </c>
      <c r="H624">
        <v>27</v>
      </c>
      <c r="I624">
        <v>83.66</v>
      </c>
      <c r="J624">
        <v>0.78</v>
      </c>
      <c r="K624" t="str" cm="1">
        <f t="array" ref="K624">_xlfn.IFS(Table4_2[[#This Row],[Growth Days]]&lt;=14,"Seedling",Table4_2[[#This Row],[Growth Days]]&lt;=35, "Vegetative",Table4_2[[#This Row],[Growth Days]]&lt;=50, "Maturity")</f>
        <v>Vegetative</v>
      </c>
      <c r="L624" t="str">
        <f>IF(Table4_2[[#This Row],[TDS Value (ppm)]]&lt;560, "Low", IF(Table4_2[[#This Row],[TDS Value (ppm)]]&lt;=800,"Optimal","High"))</f>
        <v>Low</v>
      </c>
    </row>
    <row r="625" spans="1:12" x14ac:dyDescent="0.25">
      <c r="A625">
        <v>33</v>
      </c>
      <c r="B625" s="1">
        <v>45174</v>
      </c>
      <c r="C625" s="1" t="str">
        <f>TEXT(Table4_2[[#This Row],[Date]],"dddd")</f>
        <v>Tuesday</v>
      </c>
      <c r="D625" s="21">
        <v>32</v>
      </c>
      <c r="E625" s="21">
        <v>74</v>
      </c>
      <c r="F625" s="21">
        <v>501</v>
      </c>
      <c r="G625" s="21">
        <v>6.3</v>
      </c>
      <c r="H625">
        <v>34</v>
      </c>
      <c r="I625">
        <v>89.6</v>
      </c>
      <c r="J625">
        <v>0.74</v>
      </c>
      <c r="K625" t="str" cm="1">
        <f t="array" ref="K625">_xlfn.IFS(Table4_2[[#This Row],[Growth Days]]&lt;=14,"Seedling",Table4_2[[#This Row],[Growth Days]]&lt;=35, "Vegetative",Table4_2[[#This Row],[Growth Days]]&lt;=50, "Maturity")</f>
        <v>Vegetative</v>
      </c>
      <c r="L625" t="str">
        <f>IF(Table4_2[[#This Row],[TDS Value (ppm)]]&lt;560, "Low", IF(Table4_2[[#This Row],[TDS Value (ppm)]]&lt;=800,"Optimal","High"))</f>
        <v>Low</v>
      </c>
    </row>
    <row r="626" spans="1:12" x14ac:dyDescent="0.25">
      <c r="A626">
        <v>33</v>
      </c>
      <c r="B626" s="1">
        <v>45181</v>
      </c>
      <c r="C626" s="1" t="str">
        <f>TEXT(Table4_2[[#This Row],[Date]],"dddd")</f>
        <v>Tuesday</v>
      </c>
      <c r="D626" s="21">
        <v>31.2</v>
      </c>
      <c r="E626" s="21">
        <v>63</v>
      </c>
      <c r="F626" s="21">
        <v>664</v>
      </c>
      <c r="G626" s="21">
        <v>6.8</v>
      </c>
      <c r="H626">
        <v>41</v>
      </c>
      <c r="I626">
        <v>88.16</v>
      </c>
      <c r="J626">
        <v>0.63</v>
      </c>
      <c r="K626" t="str" cm="1">
        <f t="array" ref="K626">_xlfn.IFS(Table4_2[[#This Row],[Growth Days]]&lt;=14,"Seedling",Table4_2[[#This Row],[Growth Days]]&lt;=35, "Vegetative",Table4_2[[#This Row],[Growth Days]]&lt;=50, "Maturity")</f>
        <v>Maturity</v>
      </c>
      <c r="L626" t="str">
        <f>IF(Table4_2[[#This Row],[TDS Value (ppm)]]&lt;560, "Low", IF(Table4_2[[#This Row],[TDS Value (ppm)]]&lt;=800,"Optimal","High"))</f>
        <v>Optimal</v>
      </c>
    </row>
    <row r="627" spans="1:12" x14ac:dyDescent="0.25">
      <c r="A627">
        <v>34</v>
      </c>
      <c r="B627" s="1">
        <v>45146</v>
      </c>
      <c r="C627" s="1" t="str">
        <f>TEXT(Table4_2[[#This Row],[Date]],"dddd")</f>
        <v>Tuesday</v>
      </c>
      <c r="D627" s="21">
        <v>32.299999999999997</v>
      </c>
      <c r="E627" s="21">
        <v>63</v>
      </c>
      <c r="F627" s="21">
        <v>434</v>
      </c>
      <c r="G627" s="21">
        <v>6.3</v>
      </c>
      <c r="H627">
        <v>6</v>
      </c>
      <c r="I627">
        <v>90.14</v>
      </c>
      <c r="J627">
        <v>0.63</v>
      </c>
      <c r="K627" t="str" cm="1">
        <f t="array" ref="K627">_xlfn.IFS(Table4_2[[#This Row],[Growth Days]]&lt;=14,"Seedling",Table4_2[[#This Row],[Growth Days]]&lt;=35, "Vegetative",Table4_2[[#This Row],[Growth Days]]&lt;=50, "Maturity")</f>
        <v>Seedling</v>
      </c>
      <c r="L627" t="str">
        <f>IF(Table4_2[[#This Row],[TDS Value (ppm)]]&lt;560, "Low", IF(Table4_2[[#This Row],[TDS Value (ppm)]]&lt;=800,"Optimal","High"))</f>
        <v>Low</v>
      </c>
    </row>
    <row r="628" spans="1:12" x14ac:dyDescent="0.25">
      <c r="A628">
        <v>34</v>
      </c>
      <c r="B628" s="1">
        <v>45153</v>
      </c>
      <c r="C628" s="1" t="str">
        <f>TEXT(Table4_2[[#This Row],[Date]],"dddd")</f>
        <v>Tuesday</v>
      </c>
      <c r="D628" s="21">
        <v>30.1</v>
      </c>
      <c r="E628" s="21">
        <v>78</v>
      </c>
      <c r="F628" s="21">
        <v>561</v>
      </c>
      <c r="G628" s="21">
        <v>6.8</v>
      </c>
      <c r="H628">
        <v>13</v>
      </c>
      <c r="I628">
        <v>86.18</v>
      </c>
      <c r="J628">
        <v>0.78</v>
      </c>
      <c r="K628" t="str" cm="1">
        <f t="array" ref="K628">_xlfn.IFS(Table4_2[[#This Row],[Growth Days]]&lt;=14,"Seedling",Table4_2[[#This Row],[Growth Days]]&lt;=35, "Vegetative",Table4_2[[#This Row],[Growth Days]]&lt;=50, "Maturity")</f>
        <v>Seedling</v>
      </c>
      <c r="L628" t="str">
        <f>IF(Table4_2[[#This Row],[TDS Value (ppm)]]&lt;560, "Low", IF(Table4_2[[#This Row],[TDS Value (ppm)]]&lt;=800,"Optimal","High"))</f>
        <v>Optimal</v>
      </c>
    </row>
    <row r="629" spans="1:12" x14ac:dyDescent="0.25">
      <c r="A629">
        <v>34</v>
      </c>
      <c r="B629" s="1">
        <v>45160</v>
      </c>
      <c r="C629" s="1" t="str">
        <f>TEXT(Table4_2[[#This Row],[Date]],"dddd")</f>
        <v>Tuesday</v>
      </c>
      <c r="D629" s="21">
        <v>30.5</v>
      </c>
      <c r="E629" s="21">
        <v>56</v>
      </c>
      <c r="F629" s="21">
        <v>725</v>
      </c>
      <c r="G629" s="21">
        <v>6.7</v>
      </c>
      <c r="H629">
        <v>20</v>
      </c>
      <c r="I629">
        <v>86.9</v>
      </c>
      <c r="J629">
        <v>0.56000000000000005</v>
      </c>
      <c r="K629" t="str" cm="1">
        <f t="array" ref="K629">_xlfn.IFS(Table4_2[[#This Row],[Growth Days]]&lt;=14,"Seedling",Table4_2[[#This Row],[Growth Days]]&lt;=35, "Vegetative",Table4_2[[#This Row],[Growth Days]]&lt;=50, "Maturity")</f>
        <v>Vegetative</v>
      </c>
      <c r="L629" t="str">
        <f>IF(Table4_2[[#This Row],[TDS Value (ppm)]]&lt;560, "Low", IF(Table4_2[[#This Row],[TDS Value (ppm)]]&lt;=800,"Optimal","High"))</f>
        <v>Optimal</v>
      </c>
    </row>
    <row r="630" spans="1:12" x14ac:dyDescent="0.25">
      <c r="A630">
        <v>34</v>
      </c>
      <c r="B630" s="1">
        <v>45167</v>
      </c>
      <c r="C630" s="1" t="str">
        <f>TEXT(Table4_2[[#This Row],[Date]],"dddd")</f>
        <v>Tuesday</v>
      </c>
      <c r="D630" s="21">
        <v>28.7</v>
      </c>
      <c r="E630" s="21">
        <v>72</v>
      </c>
      <c r="F630" s="21">
        <v>798</v>
      </c>
      <c r="G630" s="21">
        <v>6.4</v>
      </c>
      <c r="H630">
        <v>27</v>
      </c>
      <c r="I630">
        <v>83.66</v>
      </c>
      <c r="J630">
        <v>0.72</v>
      </c>
      <c r="K630" t="str" cm="1">
        <f t="array" ref="K630">_xlfn.IFS(Table4_2[[#This Row],[Growth Days]]&lt;=14,"Seedling",Table4_2[[#This Row],[Growth Days]]&lt;=35, "Vegetative",Table4_2[[#This Row],[Growth Days]]&lt;=50, "Maturity")</f>
        <v>Vegetative</v>
      </c>
      <c r="L630" t="str">
        <f>IF(Table4_2[[#This Row],[TDS Value (ppm)]]&lt;560, "Low", IF(Table4_2[[#This Row],[TDS Value (ppm)]]&lt;=800,"Optimal","High"))</f>
        <v>Optimal</v>
      </c>
    </row>
    <row r="631" spans="1:12" x14ac:dyDescent="0.25">
      <c r="A631">
        <v>34</v>
      </c>
      <c r="B631" s="1">
        <v>45174</v>
      </c>
      <c r="C631" s="1" t="str">
        <f>TEXT(Table4_2[[#This Row],[Date]],"dddd")</f>
        <v>Tuesday</v>
      </c>
      <c r="D631" s="21">
        <v>32</v>
      </c>
      <c r="E631" s="21">
        <v>63</v>
      </c>
      <c r="F631" s="21">
        <v>758</v>
      </c>
      <c r="G631" s="21">
        <v>6.1</v>
      </c>
      <c r="H631">
        <v>34</v>
      </c>
      <c r="I631">
        <v>89.6</v>
      </c>
      <c r="J631">
        <v>0.63</v>
      </c>
      <c r="K631" t="str" cm="1">
        <f t="array" ref="K631">_xlfn.IFS(Table4_2[[#This Row],[Growth Days]]&lt;=14,"Seedling",Table4_2[[#This Row],[Growth Days]]&lt;=35, "Vegetative",Table4_2[[#This Row],[Growth Days]]&lt;=50, "Maturity")</f>
        <v>Vegetative</v>
      </c>
      <c r="L631" t="str">
        <f>IF(Table4_2[[#This Row],[TDS Value (ppm)]]&lt;560, "Low", IF(Table4_2[[#This Row],[TDS Value (ppm)]]&lt;=800,"Optimal","High"))</f>
        <v>Optimal</v>
      </c>
    </row>
    <row r="632" spans="1:12" x14ac:dyDescent="0.25">
      <c r="A632">
        <v>34</v>
      </c>
      <c r="B632" s="1">
        <v>45181</v>
      </c>
      <c r="C632" s="1" t="str">
        <f>TEXT(Table4_2[[#This Row],[Date]],"dddd")</f>
        <v>Tuesday</v>
      </c>
      <c r="D632" s="21">
        <v>31.2</v>
      </c>
      <c r="E632" s="21">
        <v>51</v>
      </c>
      <c r="F632" s="21">
        <v>546</v>
      </c>
      <c r="G632" s="21">
        <v>6.1</v>
      </c>
      <c r="H632">
        <v>41</v>
      </c>
      <c r="I632">
        <v>88.16</v>
      </c>
      <c r="J632">
        <v>0.51</v>
      </c>
      <c r="K632" t="str" cm="1">
        <f t="array" ref="K632">_xlfn.IFS(Table4_2[[#This Row],[Growth Days]]&lt;=14,"Seedling",Table4_2[[#This Row],[Growth Days]]&lt;=35, "Vegetative",Table4_2[[#This Row],[Growth Days]]&lt;=50, "Maturity")</f>
        <v>Maturity</v>
      </c>
      <c r="L632" t="str">
        <f>IF(Table4_2[[#This Row],[TDS Value (ppm)]]&lt;560, "Low", IF(Table4_2[[#This Row],[TDS Value (ppm)]]&lt;=800,"Optimal","High"))</f>
        <v>Low</v>
      </c>
    </row>
    <row r="633" spans="1:12" x14ac:dyDescent="0.25">
      <c r="A633">
        <v>35</v>
      </c>
      <c r="B633" s="1">
        <v>45146</v>
      </c>
      <c r="C633" s="1" t="str">
        <f>TEXT(Table4_2[[#This Row],[Date]],"dddd")</f>
        <v>Tuesday</v>
      </c>
      <c r="D633" s="21">
        <v>32.299999999999997</v>
      </c>
      <c r="E633" s="21">
        <v>56</v>
      </c>
      <c r="F633" s="21">
        <v>619</v>
      </c>
      <c r="G633" s="21">
        <v>6.4</v>
      </c>
      <c r="H633">
        <v>6</v>
      </c>
      <c r="I633">
        <v>90.14</v>
      </c>
      <c r="J633">
        <v>0.56000000000000005</v>
      </c>
      <c r="K633" t="str" cm="1">
        <f t="array" ref="K633">_xlfn.IFS(Table4_2[[#This Row],[Growth Days]]&lt;=14,"Seedling",Table4_2[[#This Row],[Growth Days]]&lt;=35, "Vegetative",Table4_2[[#This Row],[Growth Days]]&lt;=50, "Maturity")</f>
        <v>Seedling</v>
      </c>
      <c r="L633" t="str">
        <f>IF(Table4_2[[#This Row],[TDS Value (ppm)]]&lt;560, "Low", IF(Table4_2[[#This Row],[TDS Value (ppm)]]&lt;=800,"Optimal","High"))</f>
        <v>Optimal</v>
      </c>
    </row>
    <row r="634" spans="1:12" x14ac:dyDescent="0.25">
      <c r="A634">
        <v>35</v>
      </c>
      <c r="B634" s="1">
        <v>45153</v>
      </c>
      <c r="C634" s="1" t="str">
        <f>TEXT(Table4_2[[#This Row],[Date]],"dddd")</f>
        <v>Tuesday</v>
      </c>
      <c r="D634" s="21">
        <v>30.1</v>
      </c>
      <c r="E634" s="21">
        <v>56</v>
      </c>
      <c r="F634" s="21">
        <v>495</v>
      </c>
      <c r="G634" s="21">
        <v>6.5</v>
      </c>
      <c r="H634">
        <v>13</v>
      </c>
      <c r="I634">
        <v>86.18</v>
      </c>
      <c r="J634">
        <v>0.56000000000000005</v>
      </c>
      <c r="K634" t="str" cm="1">
        <f t="array" ref="K634">_xlfn.IFS(Table4_2[[#This Row],[Growth Days]]&lt;=14,"Seedling",Table4_2[[#This Row],[Growth Days]]&lt;=35, "Vegetative",Table4_2[[#This Row],[Growth Days]]&lt;=50, "Maturity")</f>
        <v>Seedling</v>
      </c>
      <c r="L634" t="str">
        <f>IF(Table4_2[[#This Row],[TDS Value (ppm)]]&lt;560, "Low", IF(Table4_2[[#This Row],[TDS Value (ppm)]]&lt;=800,"Optimal","High"))</f>
        <v>Low</v>
      </c>
    </row>
    <row r="635" spans="1:12" x14ac:dyDescent="0.25">
      <c r="A635">
        <v>35</v>
      </c>
      <c r="B635" s="1">
        <v>45160</v>
      </c>
      <c r="C635" s="1" t="str">
        <f>TEXT(Table4_2[[#This Row],[Date]],"dddd")</f>
        <v>Tuesday</v>
      </c>
      <c r="D635" s="21">
        <v>30.5</v>
      </c>
      <c r="E635" s="21">
        <v>72</v>
      </c>
      <c r="F635" s="21">
        <v>779</v>
      </c>
      <c r="G635" s="21">
        <v>6.5</v>
      </c>
      <c r="H635">
        <v>20</v>
      </c>
      <c r="I635">
        <v>86.9</v>
      </c>
      <c r="J635">
        <v>0.72</v>
      </c>
      <c r="K635" t="str" cm="1">
        <f t="array" ref="K635">_xlfn.IFS(Table4_2[[#This Row],[Growth Days]]&lt;=14,"Seedling",Table4_2[[#This Row],[Growth Days]]&lt;=35, "Vegetative",Table4_2[[#This Row],[Growth Days]]&lt;=50, "Maturity")</f>
        <v>Vegetative</v>
      </c>
      <c r="L635" t="str">
        <f>IF(Table4_2[[#This Row],[TDS Value (ppm)]]&lt;560, "Low", IF(Table4_2[[#This Row],[TDS Value (ppm)]]&lt;=800,"Optimal","High"))</f>
        <v>Optimal</v>
      </c>
    </row>
    <row r="636" spans="1:12" x14ac:dyDescent="0.25">
      <c r="A636">
        <v>35</v>
      </c>
      <c r="B636" s="1">
        <v>45167</v>
      </c>
      <c r="C636" s="1" t="str">
        <f>TEXT(Table4_2[[#This Row],[Date]],"dddd")</f>
        <v>Tuesday</v>
      </c>
      <c r="D636" s="21">
        <v>28.7</v>
      </c>
      <c r="E636" s="21">
        <v>77</v>
      </c>
      <c r="F636" s="21">
        <v>554</v>
      </c>
      <c r="G636" s="21">
        <v>6.5</v>
      </c>
      <c r="H636">
        <v>27</v>
      </c>
      <c r="I636">
        <v>83.66</v>
      </c>
      <c r="J636">
        <v>0.77</v>
      </c>
      <c r="K636" t="str" cm="1">
        <f t="array" ref="K636">_xlfn.IFS(Table4_2[[#This Row],[Growth Days]]&lt;=14,"Seedling",Table4_2[[#This Row],[Growth Days]]&lt;=35, "Vegetative",Table4_2[[#This Row],[Growth Days]]&lt;=50, "Maturity")</f>
        <v>Vegetative</v>
      </c>
      <c r="L636" t="str">
        <f>IF(Table4_2[[#This Row],[TDS Value (ppm)]]&lt;560, "Low", IF(Table4_2[[#This Row],[TDS Value (ppm)]]&lt;=800,"Optimal","High"))</f>
        <v>Low</v>
      </c>
    </row>
    <row r="637" spans="1:12" x14ac:dyDescent="0.25">
      <c r="A637">
        <v>35</v>
      </c>
      <c r="B637" s="1">
        <v>45174</v>
      </c>
      <c r="C637" s="1" t="str">
        <f>TEXT(Table4_2[[#This Row],[Date]],"dddd")</f>
        <v>Tuesday</v>
      </c>
      <c r="D637" s="21">
        <v>32</v>
      </c>
      <c r="E637" s="21">
        <v>70</v>
      </c>
      <c r="F637" s="21">
        <v>787</v>
      </c>
      <c r="G637" s="21">
        <v>6.4</v>
      </c>
      <c r="H637">
        <v>34</v>
      </c>
      <c r="I637">
        <v>89.6</v>
      </c>
      <c r="J637">
        <v>0.7</v>
      </c>
      <c r="K637" t="str" cm="1">
        <f t="array" ref="K637">_xlfn.IFS(Table4_2[[#This Row],[Growth Days]]&lt;=14,"Seedling",Table4_2[[#This Row],[Growth Days]]&lt;=35, "Vegetative",Table4_2[[#This Row],[Growth Days]]&lt;=50, "Maturity")</f>
        <v>Vegetative</v>
      </c>
      <c r="L637" t="str">
        <f>IF(Table4_2[[#This Row],[TDS Value (ppm)]]&lt;560, "Low", IF(Table4_2[[#This Row],[TDS Value (ppm)]]&lt;=800,"Optimal","High"))</f>
        <v>Optimal</v>
      </c>
    </row>
    <row r="638" spans="1:12" x14ac:dyDescent="0.25">
      <c r="A638">
        <v>35</v>
      </c>
      <c r="B638" s="1">
        <v>45181</v>
      </c>
      <c r="C638" s="1" t="str">
        <f>TEXT(Table4_2[[#This Row],[Date]],"dddd")</f>
        <v>Tuesday</v>
      </c>
      <c r="D638" s="21">
        <v>31.2</v>
      </c>
      <c r="E638" s="21">
        <v>75</v>
      </c>
      <c r="F638" s="21">
        <v>419</v>
      </c>
      <c r="G638" s="21">
        <v>6.1</v>
      </c>
      <c r="H638">
        <v>41</v>
      </c>
      <c r="I638">
        <v>88.16</v>
      </c>
      <c r="J638">
        <v>0.75</v>
      </c>
      <c r="K638" t="str" cm="1">
        <f t="array" ref="K638">_xlfn.IFS(Table4_2[[#This Row],[Growth Days]]&lt;=14,"Seedling",Table4_2[[#This Row],[Growth Days]]&lt;=35, "Vegetative",Table4_2[[#This Row],[Growth Days]]&lt;=50, "Maturity")</f>
        <v>Maturity</v>
      </c>
      <c r="L638" t="str">
        <f>IF(Table4_2[[#This Row],[TDS Value (ppm)]]&lt;560, "Low", IF(Table4_2[[#This Row],[TDS Value (ppm)]]&lt;=800,"Optimal","High"))</f>
        <v>Low</v>
      </c>
    </row>
    <row r="639" spans="1:12" x14ac:dyDescent="0.25">
      <c r="A639">
        <v>36</v>
      </c>
      <c r="B639" s="1">
        <v>45146</v>
      </c>
      <c r="C639" s="1" t="str">
        <f>TEXT(Table4_2[[#This Row],[Date]],"dddd")</f>
        <v>Tuesday</v>
      </c>
      <c r="D639" s="21">
        <v>32.299999999999997</v>
      </c>
      <c r="E639" s="21">
        <v>63</v>
      </c>
      <c r="F639" s="21">
        <v>467</v>
      </c>
      <c r="G639" s="21">
        <v>6.8</v>
      </c>
      <c r="H639">
        <v>6</v>
      </c>
      <c r="I639">
        <v>90.14</v>
      </c>
      <c r="J639">
        <v>0.63</v>
      </c>
      <c r="K639" t="str" cm="1">
        <f t="array" ref="K639">_xlfn.IFS(Table4_2[[#This Row],[Growth Days]]&lt;=14,"Seedling",Table4_2[[#This Row],[Growth Days]]&lt;=35, "Vegetative",Table4_2[[#This Row],[Growth Days]]&lt;=50, "Maturity")</f>
        <v>Seedling</v>
      </c>
      <c r="L639" t="str">
        <f>IF(Table4_2[[#This Row],[TDS Value (ppm)]]&lt;560, "Low", IF(Table4_2[[#This Row],[TDS Value (ppm)]]&lt;=800,"Optimal","High"))</f>
        <v>Low</v>
      </c>
    </row>
    <row r="640" spans="1:12" x14ac:dyDescent="0.25">
      <c r="A640">
        <v>36</v>
      </c>
      <c r="B640" s="1">
        <v>45153</v>
      </c>
      <c r="C640" s="1" t="str">
        <f>TEXT(Table4_2[[#This Row],[Date]],"dddd")</f>
        <v>Tuesday</v>
      </c>
      <c r="D640" s="21">
        <v>30.1</v>
      </c>
      <c r="E640" s="21">
        <v>78</v>
      </c>
      <c r="F640" s="21">
        <v>620</v>
      </c>
      <c r="G640" s="21">
        <v>6.1</v>
      </c>
      <c r="H640">
        <v>13</v>
      </c>
      <c r="I640">
        <v>86.18</v>
      </c>
      <c r="J640">
        <v>0.78</v>
      </c>
      <c r="K640" t="str" cm="1">
        <f t="array" ref="K640">_xlfn.IFS(Table4_2[[#This Row],[Growth Days]]&lt;=14,"Seedling",Table4_2[[#This Row],[Growth Days]]&lt;=35, "Vegetative",Table4_2[[#This Row],[Growth Days]]&lt;=50, "Maturity")</f>
        <v>Seedling</v>
      </c>
      <c r="L640" t="str">
        <f>IF(Table4_2[[#This Row],[TDS Value (ppm)]]&lt;560, "Low", IF(Table4_2[[#This Row],[TDS Value (ppm)]]&lt;=800,"Optimal","High"))</f>
        <v>Optimal</v>
      </c>
    </row>
    <row r="641" spans="1:12" x14ac:dyDescent="0.25">
      <c r="A641">
        <v>36</v>
      </c>
      <c r="B641" s="1">
        <v>45160</v>
      </c>
      <c r="C641" s="1" t="str">
        <f>TEXT(Table4_2[[#This Row],[Date]],"dddd")</f>
        <v>Tuesday</v>
      </c>
      <c r="D641" s="21">
        <v>30.5</v>
      </c>
      <c r="E641" s="21">
        <v>65</v>
      </c>
      <c r="F641" s="21">
        <v>634</v>
      </c>
      <c r="G641" s="21">
        <v>6.1</v>
      </c>
      <c r="H641">
        <v>20</v>
      </c>
      <c r="I641">
        <v>86.9</v>
      </c>
      <c r="J641">
        <v>0.65</v>
      </c>
      <c r="K641" t="str" cm="1">
        <f t="array" ref="K641">_xlfn.IFS(Table4_2[[#This Row],[Growth Days]]&lt;=14,"Seedling",Table4_2[[#This Row],[Growth Days]]&lt;=35, "Vegetative",Table4_2[[#This Row],[Growth Days]]&lt;=50, "Maturity")</f>
        <v>Vegetative</v>
      </c>
      <c r="L641" t="str">
        <f>IF(Table4_2[[#This Row],[TDS Value (ppm)]]&lt;560, "Low", IF(Table4_2[[#This Row],[TDS Value (ppm)]]&lt;=800,"Optimal","High"))</f>
        <v>Optimal</v>
      </c>
    </row>
    <row r="642" spans="1:12" x14ac:dyDescent="0.25">
      <c r="A642">
        <v>36</v>
      </c>
      <c r="B642" s="1">
        <v>45167</v>
      </c>
      <c r="C642" s="1" t="str">
        <f>TEXT(Table4_2[[#This Row],[Date]],"dddd")</f>
        <v>Tuesday</v>
      </c>
      <c r="D642" s="21">
        <v>28.7</v>
      </c>
      <c r="E642" s="21">
        <v>60</v>
      </c>
      <c r="F642" s="21">
        <v>686</v>
      </c>
      <c r="G642" s="21">
        <v>6.2</v>
      </c>
      <c r="H642">
        <v>27</v>
      </c>
      <c r="I642">
        <v>83.66</v>
      </c>
      <c r="J642">
        <v>0.6</v>
      </c>
      <c r="K642" t="str" cm="1">
        <f t="array" ref="K642">_xlfn.IFS(Table4_2[[#This Row],[Growth Days]]&lt;=14,"Seedling",Table4_2[[#This Row],[Growth Days]]&lt;=35, "Vegetative",Table4_2[[#This Row],[Growth Days]]&lt;=50, "Maturity")</f>
        <v>Vegetative</v>
      </c>
      <c r="L642" t="str">
        <f>IF(Table4_2[[#This Row],[TDS Value (ppm)]]&lt;560, "Low", IF(Table4_2[[#This Row],[TDS Value (ppm)]]&lt;=800,"Optimal","High"))</f>
        <v>Optimal</v>
      </c>
    </row>
    <row r="643" spans="1:12" x14ac:dyDescent="0.25">
      <c r="A643">
        <v>36</v>
      </c>
      <c r="B643" s="1">
        <v>45174</v>
      </c>
      <c r="C643" s="1" t="str">
        <f>TEXT(Table4_2[[#This Row],[Date]],"dddd")</f>
        <v>Tuesday</v>
      </c>
      <c r="D643" s="21">
        <v>32</v>
      </c>
      <c r="E643" s="21">
        <v>63</v>
      </c>
      <c r="F643" s="21">
        <v>558</v>
      </c>
      <c r="G643" s="21">
        <v>6.6</v>
      </c>
      <c r="H643">
        <v>34</v>
      </c>
      <c r="I643">
        <v>89.6</v>
      </c>
      <c r="J643">
        <v>0.63</v>
      </c>
      <c r="K643" t="str" cm="1">
        <f t="array" ref="K643">_xlfn.IFS(Table4_2[[#This Row],[Growth Days]]&lt;=14,"Seedling",Table4_2[[#This Row],[Growth Days]]&lt;=35, "Vegetative",Table4_2[[#This Row],[Growth Days]]&lt;=50, "Maturity")</f>
        <v>Vegetative</v>
      </c>
      <c r="L643" t="str">
        <f>IF(Table4_2[[#This Row],[TDS Value (ppm)]]&lt;560, "Low", IF(Table4_2[[#This Row],[TDS Value (ppm)]]&lt;=800,"Optimal","High"))</f>
        <v>Low</v>
      </c>
    </row>
    <row r="644" spans="1:12" x14ac:dyDescent="0.25">
      <c r="A644">
        <v>36</v>
      </c>
      <c r="B644" s="1">
        <v>45181</v>
      </c>
      <c r="C644" s="1" t="str">
        <f>TEXT(Table4_2[[#This Row],[Date]],"dddd")</f>
        <v>Tuesday</v>
      </c>
      <c r="D644" s="21">
        <v>31.2</v>
      </c>
      <c r="E644" s="21">
        <v>70</v>
      </c>
      <c r="F644" s="21">
        <v>756</v>
      </c>
      <c r="G644" s="21">
        <v>6.1</v>
      </c>
      <c r="H644">
        <v>41</v>
      </c>
      <c r="I644">
        <v>88.16</v>
      </c>
      <c r="J644">
        <v>0.7</v>
      </c>
      <c r="K644" t="str" cm="1">
        <f t="array" ref="K644">_xlfn.IFS(Table4_2[[#This Row],[Growth Days]]&lt;=14,"Seedling",Table4_2[[#This Row],[Growth Days]]&lt;=35, "Vegetative",Table4_2[[#This Row],[Growth Days]]&lt;=50, "Maturity")</f>
        <v>Maturity</v>
      </c>
      <c r="L644" t="str">
        <f>IF(Table4_2[[#This Row],[TDS Value (ppm)]]&lt;560, "Low", IF(Table4_2[[#This Row],[TDS Value (ppm)]]&lt;=800,"Optimal","High"))</f>
        <v>Optimal</v>
      </c>
    </row>
    <row r="645" spans="1:12" x14ac:dyDescent="0.25">
      <c r="A645">
        <v>37</v>
      </c>
      <c r="B645" s="1">
        <v>45146</v>
      </c>
      <c r="C645" s="1" t="str">
        <f>TEXT(Table4_2[[#This Row],[Date]],"dddd")</f>
        <v>Tuesday</v>
      </c>
      <c r="D645" s="21">
        <v>32.299999999999997</v>
      </c>
      <c r="E645" s="21">
        <v>58</v>
      </c>
      <c r="F645" s="21">
        <v>725</v>
      </c>
      <c r="G645" s="21">
        <v>6.8</v>
      </c>
      <c r="H645">
        <v>6</v>
      </c>
      <c r="I645">
        <v>90.14</v>
      </c>
      <c r="J645">
        <v>0.57999999999999996</v>
      </c>
      <c r="K645" t="str" cm="1">
        <f t="array" ref="K645">_xlfn.IFS(Table4_2[[#This Row],[Growth Days]]&lt;=14,"Seedling",Table4_2[[#This Row],[Growth Days]]&lt;=35, "Vegetative",Table4_2[[#This Row],[Growth Days]]&lt;=50, "Maturity")</f>
        <v>Seedling</v>
      </c>
      <c r="L645" t="str">
        <f>IF(Table4_2[[#This Row],[TDS Value (ppm)]]&lt;560, "Low", IF(Table4_2[[#This Row],[TDS Value (ppm)]]&lt;=800,"Optimal","High"))</f>
        <v>Optimal</v>
      </c>
    </row>
    <row r="646" spans="1:12" x14ac:dyDescent="0.25">
      <c r="A646">
        <v>37</v>
      </c>
      <c r="B646" s="1">
        <v>45153</v>
      </c>
      <c r="C646" s="1" t="str">
        <f>TEXT(Table4_2[[#This Row],[Date]],"dddd")</f>
        <v>Tuesday</v>
      </c>
      <c r="D646" s="21">
        <v>30.1</v>
      </c>
      <c r="E646" s="21">
        <v>56</v>
      </c>
      <c r="F646" s="21">
        <v>721</v>
      </c>
      <c r="G646" s="21">
        <v>6</v>
      </c>
      <c r="H646">
        <v>13</v>
      </c>
      <c r="I646">
        <v>86.18</v>
      </c>
      <c r="J646">
        <v>0.56000000000000005</v>
      </c>
      <c r="K646" t="str" cm="1">
        <f t="array" ref="K646">_xlfn.IFS(Table4_2[[#This Row],[Growth Days]]&lt;=14,"Seedling",Table4_2[[#This Row],[Growth Days]]&lt;=35, "Vegetative",Table4_2[[#This Row],[Growth Days]]&lt;=50, "Maturity")</f>
        <v>Seedling</v>
      </c>
      <c r="L646" t="str">
        <f>IF(Table4_2[[#This Row],[TDS Value (ppm)]]&lt;560, "Low", IF(Table4_2[[#This Row],[TDS Value (ppm)]]&lt;=800,"Optimal","High"))</f>
        <v>Optimal</v>
      </c>
    </row>
    <row r="647" spans="1:12" x14ac:dyDescent="0.25">
      <c r="A647">
        <v>37</v>
      </c>
      <c r="B647" s="1">
        <v>45160</v>
      </c>
      <c r="C647" s="1" t="str">
        <f>TEXT(Table4_2[[#This Row],[Date]],"dddd")</f>
        <v>Tuesday</v>
      </c>
      <c r="D647" s="21">
        <v>30.5</v>
      </c>
      <c r="E647" s="21">
        <v>79</v>
      </c>
      <c r="F647" s="21">
        <v>503</v>
      </c>
      <c r="G647" s="21">
        <v>6.1</v>
      </c>
      <c r="H647">
        <v>20</v>
      </c>
      <c r="I647">
        <v>86.9</v>
      </c>
      <c r="J647">
        <v>0.79</v>
      </c>
      <c r="K647" t="str" cm="1">
        <f t="array" ref="K647">_xlfn.IFS(Table4_2[[#This Row],[Growth Days]]&lt;=14,"Seedling",Table4_2[[#This Row],[Growth Days]]&lt;=35, "Vegetative",Table4_2[[#This Row],[Growth Days]]&lt;=50, "Maturity")</f>
        <v>Vegetative</v>
      </c>
      <c r="L647" t="str">
        <f>IF(Table4_2[[#This Row],[TDS Value (ppm)]]&lt;560, "Low", IF(Table4_2[[#This Row],[TDS Value (ppm)]]&lt;=800,"Optimal","High"))</f>
        <v>Low</v>
      </c>
    </row>
    <row r="648" spans="1:12" x14ac:dyDescent="0.25">
      <c r="A648">
        <v>37</v>
      </c>
      <c r="B648" s="1">
        <v>45167</v>
      </c>
      <c r="C648" s="1" t="str">
        <f>TEXT(Table4_2[[#This Row],[Date]],"dddd")</f>
        <v>Tuesday</v>
      </c>
      <c r="D648" s="21">
        <v>28.7</v>
      </c>
      <c r="E648" s="21">
        <v>56</v>
      </c>
      <c r="F648" s="21">
        <v>539</v>
      </c>
      <c r="G648" s="21">
        <v>6.1</v>
      </c>
      <c r="H648">
        <v>27</v>
      </c>
      <c r="I648">
        <v>83.66</v>
      </c>
      <c r="J648">
        <v>0.56000000000000005</v>
      </c>
      <c r="K648" t="str" cm="1">
        <f t="array" ref="K648">_xlfn.IFS(Table4_2[[#This Row],[Growth Days]]&lt;=14,"Seedling",Table4_2[[#This Row],[Growth Days]]&lt;=35, "Vegetative",Table4_2[[#This Row],[Growth Days]]&lt;=50, "Maturity")</f>
        <v>Vegetative</v>
      </c>
      <c r="L648" t="str">
        <f>IF(Table4_2[[#This Row],[TDS Value (ppm)]]&lt;560, "Low", IF(Table4_2[[#This Row],[TDS Value (ppm)]]&lt;=800,"Optimal","High"))</f>
        <v>Low</v>
      </c>
    </row>
    <row r="649" spans="1:12" x14ac:dyDescent="0.25">
      <c r="A649">
        <v>37</v>
      </c>
      <c r="B649" s="1">
        <v>45174</v>
      </c>
      <c r="C649" s="1" t="str">
        <f>TEXT(Table4_2[[#This Row],[Date]],"dddd")</f>
        <v>Tuesday</v>
      </c>
      <c r="D649" s="21">
        <v>32</v>
      </c>
      <c r="E649" s="21">
        <v>64</v>
      </c>
      <c r="F649" s="21">
        <v>426</v>
      </c>
      <c r="G649" s="21">
        <v>6.3</v>
      </c>
      <c r="H649">
        <v>34</v>
      </c>
      <c r="I649">
        <v>89.6</v>
      </c>
      <c r="J649">
        <v>0.64</v>
      </c>
      <c r="K649" t="str" cm="1">
        <f t="array" ref="K649">_xlfn.IFS(Table4_2[[#This Row],[Growth Days]]&lt;=14,"Seedling",Table4_2[[#This Row],[Growth Days]]&lt;=35, "Vegetative",Table4_2[[#This Row],[Growth Days]]&lt;=50, "Maturity")</f>
        <v>Vegetative</v>
      </c>
      <c r="L649" t="str">
        <f>IF(Table4_2[[#This Row],[TDS Value (ppm)]]&lt;560, "Low", IF(Table4_2[[#This Row],[TDS Value (ppm)]]&lt;=800,"Optimal","High"))</f>
        <v>Low</v>
      </c>
    </row>
    <row r="650" spans="1:12" x14ac:dyDescent="0.25">
      <c r="A650">
        <v>37</v>
      </c>
      <c r="B650" s="1">
        <v>45181</v>
      </c>
      <c r="C650" s="1" t="str">
        <f>TEXT(Table4_2[[#This Row],[Date]],"dddd")</f>
        <v>Tuesday</v>
      </c>
      <c r="D650" s="21">
        <v>31.2</v>
      </c>
      <c r="E650" s="21">
        <v>51</v>
      </c>
      <c r="F650" s="21">
        <v>622</v>
      </c>
      <c r="G650" s="21">
        <v>6.6</v>
      </c>
      <c r="H650">
        <v>41</v>
      </c>
      <c r="I650">
        <v>88.16</v>
      </c>
      <c r="J650">
        <v>0.51</v>
      </c>
      <c r="K650" t="str" cm="1">
        <f t="array" ref="K650">_xlfn.IFS(Table4_2[[#This Row],[Growth Days]]&lt;=14,"Seedling",Table4_2[[#This Row],[Growth Days]]&lt;=35, "Vegetative",Table4_2[[#This Row],[Growth Days]]&lt;=50, "Maturity")</f>
        <v>Maturity</v>
      </c>
      <c r="L650" t="str">
        <f>IF(Table4_2[[#This Row],[TDS Value (ppm)]]&lt;560, "Low", IF(Table4_2[[#This Row],[TDS Value (ppm)]]&lt;=800,"Optimal","High"))</f>
        <v>Optimal</v>
      </c>
    </row>
    <row r="651" spans="1:12" x14ac:dyDescent="0.25">
      <c r="A651">
        <v>38</v>
      </c>
      <c r="B651" s="1">
        <v>45146</v>
      </c>
      <c r="C651" s="1" t="str">
        <f>TEXT(Table4_2[[#This Row],[Date]],"dddd")</f>
        <v>Tuesday</v>
      </c>
      <c r="D651" s="21">
        <v>32.299999999999997</v>
      </c>
      <c r="E651" s="21">
        <v>67</v>
      </c>
      <c r="F651" s="21">
        <v>745</v>
      </c>
      <c r="G651" s="21">
        <v>6.1</v>
      </c>
      <c r="H651">
        <v>6</v>
      </c>
      <c r="I651">
        <v>90.14</v>
      </c>
      <c r="J651">
        <v>0.67</v>
      </c>
      <c r="K651" t="str" cm="1">
        <f t="array" ref="K651">_xlfn.IFS(Table4_2[[#This Row],[Growth Days]]&lt;=14,"Seedling",Table4_2[[#This Row],[Growth Days]]&lt;=35, "Vegetative",Table4_2[[#This Row],[Growth Days]]&lt;=50, "Maturity")</f>
        <v>Seedling</v>
      </c>
      <c r="L651" t="str">
        <f>IF(Table4_2[[#This Row],[TDS Value (ppm)]]&lt;560, "Low", IF(Table4_2[[#This Row],[TDS Value (ppm)]]&lt;=800,"Optimal","High"))</f>
        <v>Optimal</v>
      </c>
    </row>
    <row r="652" spans="1:12" x14ac:dyDescent="0.25">
      <c r="A652">
        <v>38</v>
      </c>
      <c r="B652" s="1">
        <v>45153</v>
      </c>
      <c r="C652" s="1" t="str">
        <f>TEXT(Table4_2[[#This Row],[Date]],"dddd")</f>
        <v>Tuesday</v>
      </c>
      <c r="D652" s="21">
        <v>30.1</v>
      </c>
      <c r="E652" s="21">
        <v>60</v>
      </c>
      <c r="F652" s="21">
        <v>582</v>
      </c>
      <c r="G652" s="21">
        <v>6</v>
      </c>
      <c r="H652">
        <v>13</v>
      </c>
      <c r="I652">
        <v>86.18</v>
      </c>
      <c r="J652">
        <v>0.6</v>
      </c>
      <c r="K652" t="str" cm="1">
        <f t="array" ref="K652">_xlfn.IFS(Table4_2[[#This Row],[Growth Days]]&lt;=14,"Seedling",Table4_2[[#This Row],[Growth Days]]&lt;=35, "Vegetative",Table4_2[[#This Row],[Growth Days]]&lt;=50, "Maturity")</f>
        <v>Seedling</v>
      </c>
      <c r="L652" t="str">
        <f>IF(Table4_2[[#This Row],[TDS Value (ppm)]]&lt;560, "Low", IF(Table4_2[[#This Row],[TDS Value (ppm)]]&lt;=800,"Optimal","High"))</f>
        <v>Optimal</v>
      </c>
    </row>
    <row r="653" spans="1:12" x14ac:dyDescent="0.25">
      <c r="A653">
        <v>38</v>
      </c>
      <c r="B653" s="1">
        <v>45160</v>
      </c>
      <c r="C653" s="1" t="str">
        <f>TEXT(Table4_2[[#This Row],[Date]],"dddd")</f>
        <v>Tuesday</v>
      </c>
      <c r="D653" s="21">
        <v>30.5</v>
      </c>
      <c r="E653" s="21">
        <v>53</v>
      </c>
      <c r="F653" s="21">
        <v>421</v>
      </c>
      <c r="G653" s="21">
        <v>6.6</v>
      </c>
      <c r="H653">
        <v>20</v>
      </c>
      <c r="I653">
        <v>86.9</v>
      </c>
      <c r="J653">
        <v>0.53</v>
      </c>
      <c r="K653" t="str" cm="1">
        <f t="array" ref="K653">_xlfn.IFS(Table4_2[[#This Row],[Growth Days]]&lt;=14,"Seedling",Table4_2[[#This Row],[Growth Days]]&lt;=35, "Vegetative",Table4_2[[#This Row],[Growth Days]]&lt;=50, "Maturity")</f>
        <v>Vegetative</v>
      </c>
      <c r="L653" t="str">
        <f>IF(Table4_2[[#This Row],[TDS Value (ppm)]]&lt;560, "Low", IF(Table4_2[[#This Row],[TDS Value (ppm)]]&lt;=800,"Optimal","High"))</f>
        <v>Low</v>
      </c>
    </row>
    <row r="654" spans="1:12" x14ac:dyDescent="0.25">
      <c r="A654">
        <v>38</v>
      </c>
      <c r="B654" s="1">
        <v>45167</v>
      </c>
      <c r="C654" s="1" t="str">
        <f>TEXT(Table4_2[[#This Row],[Date]],"dddd")</f>
        <v>Tuesday</v>
      </c>
      <c r="D654" s="21">
        <v>28.7</v>
      </c>
      <c r="E654" s="21">
        <v>72</v>
      </c>
      <c r="F654" s="21">
        <v>656</v>
      </c>
      <c r="G654" s="21">
        <v>6</v>
      </c>
      <c r="H654">
        <v>27</v>
      </c>
      <c r="I654">
        <v>83.66</v>
      </c>
      <c r="J654">
        <v>0.72</v>
      </c>
      <c r="K654" t="str" cm="1">
        <f t="array" ref="K654">_xlfn.IFS(Table4_2[[#This Row],[Growth Days]]&lt;=14,"Seedling",Table4_2[[#This Row],[Growth Days]]&lt;=35, "Vegetative",Table4_2[[#This Row],[Growth Days]]&lt;=50, "Maturity")</f>
        <v>Vegetative</v>
      </c>
      <c r="L654" t="str">
        <f>IF(Table4_2[[#This Row],[TDS Value (ppm)]]&lt;560, "Low", IF(Table4_2[[#This Row],[TDS Value (ppm)]]&lt;=800,"Optimal","High"))</f>
        <v>Optimal</v>
      </c>
    </row>
    <row r="655" spans="1:12" x14ac:dyDescent="0.25">
      <c r="A655">
        <v>38</v>
      </c>
      <c r="B655" s="1">
        <v>45174</v>
      </c>
      <c r="C655" s="1" t="str">
        <f>TEXT(Table4_2[[#This Row],[Date]],"dddd")</f>
        <v>Tuesday</v>
      </c>
      <c r="D655" s="21">
        <v>32</v>
      </c>
      <c r="E655" s="21">
        <v>51</v>
      </c>
      <c r="F655" s="21">
        <v>724</v>
      </c>
      <c r="G655" s="21">
        <v>6.7</v>
      </c>
      <c r="H655">
        <v>34</v>
      </c>
      <c r="I655">
        <v>89.6</v>
      </c>
      <c r="J655">
        <v>0.51</v>
      </c>
      <c r="K655" t="str" cm="1">
        <f t="array" ref="K655">_xlfn.IFS(Table4_2[[#This Row],[Growth Days]]&lt;=14,"Seedling",Table4_2[[#This Row],[Growth Days]]&lt;=35, "Vegetative",Table4_2[[#This Row],[Growth Days]]&lt;=50, "Maturity")</f>
        <v>Vegetative</v>
      </c>
      <c r="L655" t="str">
        <f>IF(Table4_2[[#This Row],[TDS Value (ppm)]]&lt;560, "Low", IF(Table4_2[[#This Row],[TDS Value (ppm)]]&lt;=800,"Optimal","High"))</f>
        <v>Optimal</v>
      </c>
    </row>
    <row r="656" spans="1:12" x14ac:dyDescent="0.25">
      <c r="A656">
        <v>38</v>
      </c>
      <c r="B656" s="1">
        <v>45181</v>
      </c>
      <c r="C656" s="1" t="str">
        <f>TEXT(Table4_2[[#This Row],[Date]],"dddd")</f>
        <v>Tuesday</v>
      </c>
      <c r="D656" s="21">
        <v>31.2</v>
      </c>
      <c r="E656" s="21">
        <v>58</v>
      </c>
      <c r="F656" s="21">
        <v>611</v>
      </c>
      <c r="G656" s="21">
        <v>6.1</v>
      </c>
      <c r="H656">
        <v>41</v>
      </c>
      <c r="I656">
        <v>88.16</v>
      </c>
      <c r="J656">
        <v>0.57999999999999996</v>
      </c>
      <c r="K656" t="str" cm="1">
        <f t="array" ref="K656">_xlfn.IFS(Table4_2[[#This Row],[Growth Days]]&lt;=14,"Seedling",Table4_2[[#This Row],[Growth Days]]&lt;=35, "Vegetative",Table4_2[[#This Row],[Growth Days]]&lt;=50, "Maturity")</f>
        <v>Maturity</v>
      </c>
      <c r="L656" t="str">
        <f>IF(Table4_2[[#This Row],[TDS Value (ppm)]]&lt;560, "Low", IF(Table4_2[[#This Row],[TDS Value (ppm)]]&lt;=800,"Optimal","High"))</f>
        <v>Optimal</v>
      </c>
    </row>
    <row r="657" spans="1:12" x14ac:dyDescent="0.25">
      <c r="A657">
        <v>39</v>
      </c>
      <c r="B657" s="1">
        <v>45146</v>
      </c>
      <c r="C657" s="1" t="str">
        <f>TEXT(Table4_2[[#This Row],[Date]],"dddd")</f>
        <v>Tuesday</v>
      </c>
      <c r="D657" s="21">
        <v>32.299999999999997</v>
      </c>
      <c r="E657" s="21">
        <v>68</v>
      </c>
      <c r="F657" s="21">
        <v>791</v>
      </c>
      <c r="G657" s="21">
        <v>6.3</v>
      </c>
      <c r="H657">
        <v>6</v>
      </c>
      <c r="I657">
        <v>90.14</v>
      </c>
      <c r="J657">
        <v>0.68</v>
      </c>
      <c r="K657" t="str" cm="1">
        <f t="array" ref="K657">_xlfn.IFS(Table4_2[[#This Row],[Growth Days]]&lt;=14,"Seedling",Table4_2[[#This Row],[Growth Days]]&lt;=35, "Vegetative",Table4_2[[#This Row],[Growth Days]]&lt;=50, "Maturity")</f>
        <v>Seedling</v>
      </c>
      <c r="L657" t="str">
        <f>IF(Table4_2[[#This Row],[TDS Value (ppm)]]&lt;560, "Low", IF(Table4_2[[#This Row],[TDS Value (ppm)]]&lt;=800,"Optimal","High"))</f>
        <v>Optimal</v>
      </c>
    </row>
    <row r="658" spans="1:12" x14ac:dyDescent="0.25">
      <c r="A658">
        <v>39</v>
      </c>
      <c r="B658" s="1">
        <v>45153</v>
      </c>
      <c r="C658" s="1" t="str">
        <f>TEXT(Table4_2[[#This Row],[Date]],"dddd")</f>
        <v>Tuesday</v>
      </c>
      <c r="D658" s="21">
        <v>30.1</v>
      </c>
      <c r="E658" s="21">
        <v>61</v>
      </c>
      <c r="F658" s="21">
        <v>705</v>
      </c>
      <c r="G658" s="21">
        <v>6.7</v>
      </c>
      <c r="H658">
        <v>13</v>
      </c>
      <c r="I658">
        <v>86.18</v>
      </c>
      <c r="J658">
        <v>0.61</v>
      </c>
      <c r="K658" t="str" cm="1">
        <f t="array" ref="K658">_xlfn.IFS(Table4_2[[#This Row],[Growth Days]]&lt;=14,"Seedling",Table4_2[[#This Row],[Growth Days]]&lt;=35, "Vegetative",Table4_2[[#This Row],[Growth Days]]&lt;=50, "Maturity")</f>
        <v>Seedling</v>
      </c>
      <c r="L658" t="str">
        <f>IF(Table4_2[[#This Row],[TDS Value (ppm)]]&lt;560, "Low", IF(Table4_2[[#This Row],[TDS Value (ppm)]]&lt;=800,"Optimal","High"))</f>
        <v>Optimal</v>
      </c>
    </row>
    <row r="659" spans="1:12" x14ac:dyDescent="0.25">
      <c r="A659">
        <v>39</v>
      </c>
      <c r="B659" s="1">
        <v>45160</v>
      </c>
      <c r="C659" s="1" t="str">
        <f>TEXT(Table4_2[[#This Row],[Date]],"dddd")</f>
        <v>Tuesday</v>
      </c>
      <c r="D659" s="21">
        <v>30.5</v>
      </c>
      <c r="E659" s="21">
        <v>52</v>
      </c>
      <c r="F659" s="21">
        <v>707</v>
      </c>
      <c r="G659" s="21">
        <v>6.1</v>
      </c>
      <c r="H659">
        <v>20</v>
      </c>
      <c r="I659">
        <v>86.9</v>
      </c>
      <c r="J659">
        <v>0.52</v>
      </c>
      <c r="K659" t="str" cm="1">
        <f t="array" ref="K659">_xlfn.IFS(Table4_2[[#This Row],[Growth Days]]&lt;=14,"Seedling",Table4_2[[#This Row],[Growth Days]]&lt;=35, "Vegetative",Table4_2[[#This Row],[Growth Days]]&lt;=50, "Maturity")</f>
        <v>Vegetative</v>
      </c>
      <c r="L659" t="str">
        <f>IF(Table4_2[[#This Row],[TDS Value (ppm)]]&lt;560, "Low", IF(Table4_2[[#This Row],[TDS Value (ppm)]]&lt;=800,"Optimal","High"))</f>
        <v>Optimal</v>
      </c>
    </row>
    <row r="660" spans="1:12" x14ac:dyDescent="0.25">
      <c r="A660">
        <v>39</v>
      </c>
      <c r="B660" s="1">
        <v>45167</v>
      </c>
      <c r="C660" s="1" t="str">
        <f>TEXT(Table4_2[[#This Row],[Date]],"dddd")</f>
        <v>Tuesday</v>
      </c>
      <c r="D660" s="21">
        <v>28.7</v>
      </c>
      <c r="E660" s="21">
        <v>68</v>
      </c>
      <c r="F660" s="21">
        <v>480</v>
      </c>
      <c r="G660" s="21">
        <v>6.8</v>
      </c>
      <c r="H660">
        <v>27</v>
      </c>
      <c r="I660">
        <v>83.66</v>
      </c>
      <c r="J660">
        <v>0.68</v>
      </c>
      <c r="K660" t="str" cm="1">
        <f t="array" ref="K660">_xlfn.IFS(Table4_2[[#This Row],[Growth Days]]&lt;=14,"Seedling",Table4_2[[#This Row],[Growth Days]]&lt;=35, "Vegetative",Table4_2[[#This Row],[Growth Days]]&lt;=50, "Maturity")</f>
        <v>Vegetative</v>
      </c>
      <c r="L660" t="str">
        <f>IF(Table4_2[[#This Row],[TDS Value (ppm)]]&lt;560, "Low", IF(Table4_2[[#This Row],[TDS Value (ppm)]]&lt;=800,"Optimal","High"))</f>
        <v>Low</v>
      </c>
    </row>
    <row r="661" spans="1:12" x14ac:dyDescent="0.25">
      <c r="A661">
        <v>39</v>
      </c>
      <c r="B661" s="1">
        <v>45174</v>
      </c>
      <c r="C661" s="1" t="str">
        <f>TEXT(Table4_2[[#This Row],[Date]],"dddd")</f>
        <v>Tuesday</v>
      </c>
      <c r="D661" s="21">
        <v>32</v>
      </c>
      <c r="E661" s="21">
        <v>55</v>
      </c>
      <c r="F661" s="21">
        <v>413</v>
      </c>
      <c r="G661" s="21">
        <v>6.8</v>
      </c>
      <c r="H661">
        <v>34</v>
      </c>
      <c r="I661">
        <v>89.6</v>
      </c>
      <c r="J661">
        <v>0.55000000000000004</v>
      </c>
      <c r="K661" t="str" cm="1">
        <f t="array" ref="K661">_xlfn.IFS(Table4_2[[#This Row],[Growth Days]]&lt;=14,"Seedling",Table4_2[[#This Row],[Growth Days]]&lt;=35, "Vegetative",Table4_2[[#This Row],[Growth Days]]&lt;=50, "Maturity")</f>
        <v>Vegetative</v>
      </c>
      <c r="L661" t="str">
        <f>IF(Table4_2[[#This Row],[TDS Value (ppm)]]&lt;560, "Low", IF(Table4_2[[#This Row],[TDS Value (ppm)]]&lt;=800,"Optimal","High"))</f>
        <v>Low</v>
      </c>
    </row>
    <row r="662" spans="1:12" x14ac:dyDescent="0.25">
      <c r="A662">
        <v>39</v>
      </c>
      <c r="B662" s="1">
        <v>45181</v>
      </c>
      <c r="C662" s="1" t="str">
        <f>TEXT(Table4_2[[#This Row],[Date]],"dddd")</f>
        <v>Tuesday</v>
      </c>
      <c r="D662" s="21">
        <v>31.2</v>
      </c>
      <c r="E662" s="21">
        <v>55</v>
      </c>
      <c r="F662" s="21">
        <v>539</v>
      </c>
      <c r="G662" s="21">
        <v>6.1</v>
      </c>
      <c r="H662">
        <v>41</v>
      </c>
      <c r="I662">
        <v>88.16</v>
      </c>
      <c r="J662">
        <v>0.55000000000000004</v>
      </c>
      <c r="K662" t="str" cm="1">
        <f t="array" ref="K662">_xlfn.IFS(Table4_2[[#This Row],[Growth Days]]&lt;=14,"Seedling",Table4_2[[#This Row],[Growth Days]]&lt;=35, "Vegetative",Table4_2[[#This Row],[Growth Days]]&lt;=50, "Maturity")</f>
        <v>Maturity</v>
      </c>
      <c r="L662" t="str">
        <f>IF(Table4_2[[#This Row],[TDS Value (ppm)]]&lt;560, "Low", IF(Table4_2[[#This Row],[TDS Value (ppm)]]&lt;=800,"Optimal","High"))</f>
        <v>Low</v>
      </c>
    </row>
    <row r="663" spans="1:12" x14ac:dyDescent="0.25">
      <c r="A663">
        <v>40</v>
      </c>
      <c r="B663" s="1">
        <v>45146</v>
      </c>
      <c r="C663" s="1" t="str">
        <f>TEXT(Table4_2[[#This Row],[Date]],"dddd")</f>
        <v>Tuesday</v>
      </c>
      <c r="D663" s="21">
        <v>32.299999999999997</v>
      </c>
      <c r="E663" s="21">
        <v>65</v>
      </c>
      <c r="F663" s="21">
        <v>475</v>
      </c>
      <c r="G663" s="21">
        <v>6</v>
      </c>
      <c r="H663">
        <v>6</v>
      </c>
      <c r="I663">
        <v>90.14</v>
      </c>
      <c r="J663">
        <v>0.65</v>
      </c>
      <c r="K663" t="str" cm="1">
        <f t="array" ref="K663">_xlfn.IFS(Table4_2[[#This Row],[Growth Days]]&lt;=14,"Seedling",Table4_2[[#This Row],[Growth Days]]&lt;=35, "Vegetative",Table4_2[[#This Row],[Growth Days]]&lt;=50, "Maturity")</f>
        <v>Seedling</v>
      </c>
      <c r="L663" t="str">
        <f>IF(Table4_2[[#This Row],[TDS Value (ppm)]]&lt;560, "Low", IF(Table4_2[[#This Row],[TDS Value (ppm)]]&lt;=800,"Optimal","High"))</f>
        <v>Low</v>
      </c>
    </row>
    <row r="664" spans="1:12" x14ac:dyDescent="0.25">
      <c r="A664">
        <v>40</v>
      </c>
      <c r="B664" s="1">
        <v>45153</v>
      </c>
      <c r="C664" s="1" t="str">
        <f>TEXT(Table4_2[[#This Row],[Date]],"dddd")</f>
        <v>Tuesday</v>
      </c>
      <c r="D664" s="21">
        <v>30.1</v>
      </c>
      <c r="E664" s="21">
        <v>68</v>
      </c>
      <c r="F664" s="21">
        <v>402</v>
      </c>
      <c r="G664" s="21">
        <v>6.6</v>
      </c>
      <c r="H664">
        <v>13</v>
      </c>
      <c r="I664">
        <v>86.18</v>
      </c>
      <c r="J664">
        <v>0.68</v>
      </c>
      <c r="K664" t="str" cm="1">
        <f t="array" ref="K664">_xlfn.IFS(Table4_2[[#This Row],[Growth Days]]&lt;=14,"Seedling",Table4_2[[#This Row],[Growth Days]]&lt;=35, "Vegetative",Table4_2[[#This Row],[Growth Days]]&lt;=50, "Maturity")</f>
        <v>Seedling</v>
      </c>
      <c r="L664" t="str">
        <f>IF(Table4_2[[#This Row],[TDS Value (ppm)]]&lt;560, "Low", IF(Table4_2[[#This Row],[TDS Value (ppm)]]&lt;=800,"Optimal","High"))</f>
        <v>Low</v>
      </c>
    </row>
    <row r="665" spans="1:12" x14ac:dyDescent="0.25">
      <c r="A665">
        <v>40</v>
      </c>
      <c r="B665" s="1">
        <v>45160</v>
      </c>
      <c r="C665" s="1" t="str">
        <f>TEXT(Table4_2[[#This Row],[Date]],"dddd")</f>
        <v>Tuesday</v>
      </c>
      <c r="D665" s="21">
        <v>30.5</v>
      </c>
      <c r="E665" s="21">
        <v>56</v>
      </c>
      <c r="F665" s="21">
        <v>732</v>
      </c>
      <c r="G665" s="21">
        <v>6.8</v>
      </c>
      <c r="H665">
        <v>20</v>
      </c>
      <c r="I665">
        <v>86.9</v>
      </c>
      <c r="J665">
        <v>0.56000000000000005</v>
      </c>
      <c r="K665" t="str" cm="1">
        <f t="array" ref="K665">_xlfn.IFS(Table4_2[[#This Row],[Growth Days]]&lt;=14,"Seedling",Table4_2[[#This Row],[Growth Days]]&lt;=35, "Vegetative",Table4_2[[#This Row],[Growth Days]]&lt;=50, "Maturity")</f>
        <v>Vegetative</v>
      </c>
      <c r="L665" t="str">
        <f>IF(Table4_2[[#This Row],[TDS Value (ppm)]]&lt;560, "Low", IF(Table4_2[[#This Row],[TDS Value (ppm)]]&lt;=800,"Optimal","High"))</f>
        <v>Optimal</v>
      </c>
    </row>
    <row r="666" spans="1:12" x14ac:dyDescent="0.25">
      <c r="A666">
        <v>40</v>
      </c>
      <c r="B666" s="1">
        <v>45167</v>
      </c>
      <c r="C666" s="1" t="str">
        <f>TEXT(Table4_2[[#This Row],[Date]],"dddd")</f>
        <v>Tuesday</v>
      </c>
      <c r="D666" s="21">
        <v>28.7</v>
      </c>
      <c r="E666" s="21">
        <v>71</v>
      </c>
      <c r="F666" s="21">
        <v>536</v>
      </c>
      <c r="G666" s="21">
        <v>6.3</v>
      </c>
      <c r="H666">
        <v>27</v>
      </c>
      <c r="I666">
        <v>83.66</v>
      </c>
      <c r="J666">
        <v>0.71</v>
      </c>
      <c r="K666" t="str" cm="1">
        <f t="array" ref="K666">_xlfn.IFS(Table4_2[[#This Row],[Growth Days]]&lt;=14,"Seedling",Table4_2[[#This Row],[Growth Days]]&lt;=35, "Vegetative",Table4_2[[#This Row],[Growth Days]]&lt;=50, "Maturity")</f>
        <v>Vegetative</v>
      </c>
      <c r="L666" t="str">
        <f>IF(Table4_2[[#This Row],[TDS Value (ppm)]]&lt;560, "Low", IF(Table4_2[[#This Row],[TDS Value (ppm)]]&lt;=800,"Optimal","High"))</f>
        <v>Low</v>
      </c>
    </row>
    <row r="667" spans="1:12" x14ac:dyDescent="0.25">
      <c r="A667">
        <v>40</v>
      </c>
      <c r="B667" s="1">
        <v>45174</v>
      </c>
      <c r="C667" s="1" t="str">
        <f>TEXT(Table4_2[[#This Row],[Date]],"dddd")</f>
        <v>Tuesday</v>
      </c>
      <c r="D667" s="21">
        <v>32</v>
      </c>
      <c r="E667" s="21">
        <v>63</v>
      </c>
      <c r="F667" s="21">
        <v>731</v>
      </c>
      <c r="G667" s="21">
        <v>6.6</v>
      </c>
      <c r="H667">
        <v>34</v>
      </c>
      <c r="I667">
        <v>89.6</v>
      </c>
      <c r="J667">
        <v>0.63</v>
      </c>
      <c r="K667" t="str" cm="1">
        <f t="array" ref="K667">_xlfn.IFS(Table4_2[[#This Row],[Growth Days]]&lt;=14,"Seedling",Table4_2[[#This Row],[Growth Days]]&lt;=35, "Vegetative",Table4_2[[#This Row],[Growth Days]]&lt;=50, "Maturity")</f>
        <v>Vegetative</v>
      </c>
      <c r="L667" t="str">
        <f>IF(Table4_2[[#This Row],[TDS Value (ppm)]]&lt;560, "Low", IF(Table4_2[[#This Row],[TDS Value (ppm)]]&lt;=800,"Optimal","High"))</f>
        <v>Optimal</v>
      </c>
    </row>
    <row r="668" spans="1:12" x14ac:dyDescent="0.25">
      <c r="A668">
        <v>40</v>
      </c>
      <c r="B668" s="1">
        <v>45181</v>
      </c>
      <c r="C668" s="1" t="str">
        <f>TEXT(Table4_2[[#This Row],[Date]],"dddd")</f>
        <v>Tuesday</v>
      </c>
      <c r="D668" s="21">
        <v>31.2</v>
      </c>
      <c r="E668" s="21">
        <v>55</v>
      </c>
      <c r="F668" s="21">
        <v>503</v>
      </c>
      <c r="G668" s="21">
        <v>6.8</v>
      </c>
      <c r="H668">
        <v>41</v>
      </c>
      <c r="I668">
        <v>88.16</v>
      </c>
      <c r="J668">
        <v>0.55000000000000004</v>
      </c>
      <c r="K668" t="str" cm="1">
        <f t="array" ref="K668">_xlfn.IFS(Table4_2[[#This Row],[Growth Days]]&lt;=14,"Seedling",Table4_2[[#This Row],[Growth Days]]&lt;=35, "Vegetative",Table4_2[[#This Row],[Growth Days]]&lt;=50, "Maturity")</f>
        <v>Maturity</v>
      </c>
      <c r="L668" t="str">
        <f>IF(Table4_2[[#This Row],[TDS Value (ppm)]]&lt;560, "Low", IF(Table4_2[[#This Row],[TDS Value (ppm)]]&lt;=800,"Optimal","High"))</f>
        <v>Low</v>
      </c>
    </row>
    <row r="669" spans="1:12" x14ac:dyDescent="0.25">
      <c r="A669">
        <v>41</v>
      </c>
      <c r="B669" s="1">
        <v>45146</v>
      </c>
      <c r="C669" s="1" t="str">
        <f>TEXT(Table4_2[[#This Row],[Date]],"dddd")</f>
        <v>Tuesday</v>
      </c>
      <c r="D669" s="21">
        <v>32.299999999999997</v>
      </c>
      <c r="E669" s="21">
        <v>56</v>
      </c>
      <c r="F669" s="21">
        <v>460</v>
      </c>
      <c r="G669" s="21">
        <v>6.6</v>
      </c>
      <c r="H669">
        <v>6</v>
      </c>
      <c r="I669">
        <v>90.14</v>
      </c>
      <c r="J669">
        <v>0.56000000000000005</v>
      </c>
      <c r="K669" t="str" cm="1">
        <f t="array" ref="K669">_xlfn.IFS(Table4_2[[#This Row],[Growth Days]]&lt;=14,"Seedling",Table4_2[[#This Row],[Growth Days]]&lt;=35, "Vegetative",Table4_2[[#This Row],[Growth Days]]&lt;=50, "Maturity")</f>
        <v>Seedling</v>
      </c>
      <c r="L669" t="str">
        <f>IF(Table4_2[[#This Row],[TDS Value (ppm)]]&lt;560, "Low", IF(Table4_2[[#This Row],[TDS Value (ppm)]]&lt;=800,"Optimal","High"))</f>
        <v>Low</v>
      </c>
    </row>
    <row r="670" spans="1:12" x14ac:dyDescent="0.25">
      <c r="A670">
        <v>41</v>
      </c>
      <c r="B670" s="1">
        <v>45153</v>
      </c>
      <c r="C670" s="1" t="str">
        <f>TEXT(Table4_2[[#This Row],[Date]],"dddd")</f>
        <v>Tuesday</v>
      </c>
      <c r="D670" s="21">
        <v>30.1</v>
      </c>
      <c r="E670" s="21">
        <v>73</v>
      </c>
      <c r="F670" s="21">
        <v>584</v>
      </c>
      <c r="G670" s="21">
        <v>6.8</v>
      </c>
      <c r="H670">
        <v>13</v>
      </c>
      <c r="I670">
        <v>86.18</v>
      </c>
      <c r="J670">
        <v>0.73</v>
      </c>
      <c r="K670" t="str" cm="1">
        <f t="array" ref="K670">_xlfn.IFS(Table4_2[[#This Row],[Growth Days]]&lt;=14,"Seedling",Table4_2[[#This Row],[Growth Days]]&lt;=35, "Vegetative",Table4_2[[#This Row],[Growth Days]]&lt;=50, "Maturity")</f>
        <v>Seedling</v>
      </c>
      <c r="L670" t="str">
        <f>IF(Table4_2[[#This Row],[TDS Value (ppm)]]&lt;560, "Low", IF(Table4_2[[#This Row],[TDS Value (ppm)]]&lt;=800,"Optimal","High"))</f>
        <v>Optimal</v>
      </c>
    </row>
    <row r="671" spans="1:12" x14ac:dyDescent="0.25">
      <c r="A671">
        <v>41</v>
      </c>
      <c r="B671" s="1">
        <v>45160</v>
      </c>
      <c r="C671" s="1" t="str">
        <f>TEXT(Table4_2[[#This Row],[Date]],"dddd")</f>
        <v>Tuesday</v>
      </c>
      <c r="D671" s="21">
        <v>30.5</v>
      </c>
      <c r="E671" s="21">
        <v>53</v>
      </c>
      <c r="F671" s="21">
        <v>762</v>
      </c>
      <c r="G671" s="21">
        <v>6.3</v>
      </c>
      <c r="H671">
        <v>20</v>
      </c>
      <c r="I671">
        <v>86.9</v>
      </c>
      <c r="J671">
        <v>0.53</v>
      </c>
      <c r="K671" t="str" cm="1">
        <f t="array" ref="K671">_xlfn.IFS(Table4_2[[#This Row],[Growth Days]]&lt;=14,"Seedling",Table4_2[[#This Row],[Growth Days]]&lt;=35, "Vegetative",Table4_2[[#This Row],[Growth Days]]&lt;=50, "Maturity")</f>
        <v>Vegetative</v>
      </c>
      <c r="L671" t="str">
        <f>IF(Table4_2[[#This Row],[TDS Value (ppm)]]&lt;560, "Low", IF(Table4_2[[#This Row],[TDS Value (ppm)]]&lt;=800,"Optimal","High"))</f>
        <v>Optimal</v>
      </c>
    </row>
    <row r="672" spans="1:12" x14ac:dyDescent="0.25">
      <c r="A672">
        <v>41</v>
      </c>
      <c r="B672" s="1">
        <v>45167</v>
      </c>
      <c r="C672" s="1" t="str">
        <f>TEXT(Table4_2[[#This Row],[Date]],"dddd")</f>
        <v>Tuesday</v>
      </c>
      <c r="D672" s="21">
        <v>28.7</v>
      </c>
      <c r="E672" s="21">
        <v>72</v>
      </c>
      <c r="F672" s="21">
        <v>575</v>
      </c>
      <c r="G672" s="21">
        <v>6.6</v>
      </c>
      <c r="H672">
        <v>27</v>
      </c>
      <c r="I672">
        <v>83.66</v>
      </c>
      <c r="J672">
        <v>0.72</v>
      </c>
      <c r="K672" t="str" cm="1">
        <f t="array" ref="K672">_xlfn.IFS(Table4_2[[#This Row],[Growth Days]]&lt;=14,"Seedling",Table4_2[[#This Row],[Growth Days]]&lt;=35, "Vegetative",Table4_2[[#This Row],[Growth Days]]&lt;=50, "Maturity")</f>
        <v>Vegetative</v>
      </c>
      <c r="L672" t="str">
        <f>IF(Table4_2[[#This Row],[TDS Value (ppm)]]&lt;560, "Low", IF(Table4_2[[#This Row],[TDS Value (ppm)]]&lt;=800,"Optimal","High"))</f>
        <v>Optimal</v>
      </c>
    </row>
    <row r="673" spans="1:12" x14ac:dyDescent="0.25">
      <c r="A673">
        <v>41</v>
      </c>
      <c r="B673" s="1">
        <v>45174</v>
      </c>
      <c r="C673" s="1" t="str">
        <f>TEXT(Table4_2[[#This Row],[Date]],"dddd")</f>
        <v>Tuesday</v>
      </c>
      <c r="D673" s="21">
        <v>32</v>
      </c>
      <c r="E673" s="21">
        <v>51</v>
      </c>
      <c r="F673" s="21">
        <v>456</v>
      </c>
      <c r="G673" s="21">
        <v>6</v>
      </c>
      <c r="H673">
        <v>34</v>
      </c>
      <c r="I673">
        <v>89.6</v>
      </c>
      <c r="J673">
        <v>0.51</v>
      </c>
      <c r="K673" t="str" cm="1">
        <f t="array" ref="K673">_xlfn.IFS(Table4_2[[#This Row],[Growth Days]]&lt;=14,"Seedling",Table4_2[[#This Row],[Growth Days]]&lt;=35, "Vegetative",Table4_2[[#This Row],[Growth Days]]&lt;=50, "Maturity")</f>
        <v>Vegetative</v>
      </c>
      <c r="L673" t="str">
        <f>IF(Table4_2[[#This Row],[TDS Value (ppm)]]&lt;560, "Low", IF(Table4_2[[#This Row],[TDS Value (ppm)]]&lt;=800,"Optimal","High"))</f>
        <v>Low</v>
      </c>
    </row>
    <row r="674" spans="1:12" x14ac:dyDescent="0.25">
      <c r="A674">
        <v>41</v>
      </c>
      <c r="B674" s="1">
        <v>45181</v>
      </c>
      <c r="C674" s="1" t="str">
        <f>TEXT(Table4_2[[#This Row],[Date]],"dddd")</f>
        <v>Tuesday</v>
      </c>
      <c r="D674" s="21">
        <v>31.2</v>
      </c>
      <c r="E674" s="21">
        <v>51</v>
      </c>
      <c r="F674" s="21">
        <v>716</v>
      </c>
      <c r="G674" s="21">
        <v>6.7</v>
      </c>
      <c r="H674">
        <v>41</v>
      </c>
      <c r="I674">
        <v>88.16</v>
      </c>
      <c r="J674">
        <v>0.51</v>
      </c>
      <c r="K674" t="str" cm="1">
        <f t="array" ref="K674">_xlfn.IFS(Table4_2[[#This Row],[Growth Days]]&lt;=14,"Seedling",Table4_2[[#This Row],[Growth Days]]&lt;=35, "Vegetative",Table4_2[[#This Row],[Growth Days]]&lt;=50, "Maturity")</f>
        <v>Maturity</v>
      </c>
      <c r="L674" t="str">
        <f>IF(Table4_2[[#This Row],[TDS Value (ppm)]]&lt;560, "Low", IF(Table4_2[[#This Row],[TDS Value (ppm)]]&lt;=800,"Optimal","High"))</f>
        <v>Optimal</v>
      </c>
    </row>
    <row r="675" spans="1:12" x14ac:dyDescent="0.25">
      <c r="A675">
        <v>42</v>
      </c>
      <c r="B675" s="1">
        <v>45146</v>
      </c>
      <c r="C675" s="1" t="str">
        <f>TEXT(Table4_2[[#This Row],[Date]],"dddd")</f>
        <v>Tuesday</v>
      </c>
      <c r="D675" s="21">
        <v>32.299999999999997</v>
      </c>
      <c r="E675" s="21">
        <v>54</v>
      </c>
      <c r="F675" s="21">
        <v>473</v>
      </c>
      <c r="G675" s="21">
        <v>6.2</v>
      </c>
      <c r="H675">
        <v>6</v>
      </c>
      <c r="I675">
        <v>90.14</v>
      </c>
      <c r="J675">
        <v>0.54</v>
      </c>
      <c r="K675" t="str" cm="1">
        <f t="array" ref="K675">_xlfn.IFS(Table4_2[[#This Row],[Growth Days]]&lt;=14,"Seedling",Table4_2[[#This Row],[Growth Days]]&lt;=35, "Vegetative",Table4_2[[#This Row],[Growth Days]]&lt;=50, "Maturity")</f>
        <v>Seedling</v>
      </c>
      <c r="L675" t="str">
        <f>IF(Table4_2[[#This Row],[TDS Value (ppm)]]&lt;560, "Low", IF(Table4_2[[#This Row],[TDS Value (ppm)]]&lt;=800,"Optimal","High"))</f>
        <v>Low</v>
      </c>
    </row>
    <row r="676" spans="1:12" x14ac:dyDescent="0.25">
      <c r="A676">
        <v>42</v>
      </c>
      <c r="B676" s="1">
        <v>45153</v>
      </c>
      <c r="C676" s="1" t="str">
        <f>TEXT(Table4_2[[#This Row],[Date]],"dddd")</f>
        <v>Tuesday</v>
      </c>
      <c r="D676" s="21">
        <v>30.1</v>
      </c>
      <c r="E676" s="21">
        <v>73</v>
      </c>
      <c r="F676" s="21">
        <v>600</v>
      </c>
      <c r="G676" s="21">
        <v>6.7</v>
      </c>
      <c r="H676">
        <v>13</v>
      </c>
      <c r="I676">
        <v>86.18</v>
      </c>
      <c r="J676">
        <v>0.73</v>
      </c>
      <c r="K676" t="str" cm="1">
        <f t="array" ref="K676">_xlfn.IFS(Table4_2[[#This Row],[Growth Days]]&lt;=14,"Seedling",Table4_2[[#This Row],[Growth Days]]&lt;=35, "Vegetative",Table4_2[[#This Row],[Growth Days]]&lt;=50, "Maturity")</f>
        <v>Seedling</v>
      </c>
      <c r="L676" t="str">
        <f>IF(Table4_2[[#This Row],[TDS Value (ppm)]]&lt;560, "Low", IF(Table4_2[[#This Row],[TDS Value (ppm)]]&lt;=800,"Optimal","High"))</f>
        <v>Optimal</v>
      </c>
    </row>
    <row r="677" spans="1:12" x14ac:dyDescent="0.25">
      <c r="A677">
        <v>42</v>
      </c>
      <c r="B677" s="1">
        <v>45160</v>
      </c>
      <c r="C677" s="1" t="str">
        <f>TEXT(Table4_2[[#This Row],[Date]],"dddd")</f>
        <v>Tuesday</v>
      </c>
      <c r="D677" s="21">
        <v>30.5</v>
      </c>
      <c r="E677" s="21">
        <v>64</v>
      </c>
      <c r="F677" s="21">
        <v>472</v>
      </c>
      <c r="G677" s="21">
        <v>6.5</v>
      </c>
      <c r="H677">
        <v>20</v>
      </c>
      <c r="I677">
        <v>86.9</v>
      </c>
      <c r="J677">
        <v>0.64</v>
      </c>
      <c r="K677" t="str" cm="1">
        <f t="array" ref="K677">_xlfn.IFS(Table4_2[[#This Row],[Growth Days]]&lt;=14,"Seedling",Table4_2[[#This Row],[Growth Days]]&lt;=35, "Vegetative",Table4_2[[#This Row],[Growth Days]]&lt;=50, "Maturity")</f>
        <v>Vegetative</v>
      </c>
      <c r="L677" t="str">
        <f>IF(Table4_2[[#This Row],[TDS Value (ppm)]]&lt;560, "Low", IF(Table4_2[[#This Row],[TDS Value (ppm)]]&lt;=800,"Optimal","High"))</f>
        <v>Low</v>
      </c>
    </row>
    <row r="678" spans="1:12" x14ac:dyDescent="0.25">
      <c r="A678">
        <v>42</v>
      </c>
      <c r="B678" s="1">
        <v>45167</v>
      </c>
      <c r="C678" s="1" t="str">
        <f>TEXT(Table4_2[[#This Row],[Date]],"dddd")</f>
        <v>Tuesday</v>
      </c>
      <c r="D678" s="21">
        <v>28.7</v>
      </c>
      <c r="E678" s="21">
        <v>70</v>
      </c>
      <c r="F678" s="21">
        <v>767</v>
      </c>
      <c r="G678" s="21">
        <v>6.1</v>
      </c>
      <c r="H678">
        <v>27</v>
      </c>
      <c r="I678">
        <v>83.66</v>
      </c>
      <c r="J678">
        <v>0.7</v>
      </c>
      <c r="K678" t="str" cm="1">
        <f t="array" ref="K678">_xlfn.IFS(Table4_2[[#This Row],[Growth Days]]&lt;=14,"Seedling",Table4_2[[#This Row],[Growth Days]]&lt;=35, "Vegetative",Table4_2[[#This Row],[Growth Days]]&lt;=50, "Maturity")</f>
        <v>Vegetative</v>
      </c>
      <c r="L678" t="str">
        <f>IF(Table4_2[[#This Row],[TDS Value (ppm)]]&lt;560, "Low", IF(Table4_2[[#This Row],[TDS Value (ppm)]]&lt;=800,"Optimal","High"))</f>
        <v>Optimal</v>
      </c>
    </row>
    <row r="679" spans="1:12" x14ac:dyDescent="0.25">
      <c r="A679">
        <v>42</v>
      </c>
      <c r="B679" s="1">
        <v>45174</v>
      </c>
      <c r="C679" s="1" t="str">
        <f>TEXT(Table4_2[[#This Row],[Date]],"dddd")</f>
        <v>Tuesday</v>
      </c>
      <c r="D679" s="21">
        <v>32</v>
      </c>
      <c r="E679" s="21">
        <v>52</v>
      </c>
      <c r="F679" s="21">
        <v>497</v>
      </c>
      <c r="G679" s="21">
        <v>6.3</v>
      </c>
      <c r="H679">
        <v>34</v>
      </c>
      <c r="I679">
        <v>89.6</v>
      </c>
      <c r="J679">
        <v>0.52</v>
      </c>
      <c r="K679" t="str" cm="1">
        <f t="array" ref="K679">_xlfn.IFS(Table4_2[[#This Row],[Growth Days]]&lt;=14,"Seedling",Table4_2[[#This Row],[Growth Days]]&lt;=35, "Vegetative",Table4_2[[#This Row],[Growth Days]]&lt;=50, "Maturity")</f>
        <v>Vegetative</v>
      </c>
      <c r="L679" t="str">
        <f>IF(Table4_2[[#This Row],[TDS Value (ppm)]]&lt;560, "Low", IF(Table4_2[[#This Row],[TDS Value (ppm)]]&lt;=800,"Optimal","High"))</f>
        <v>Low</v>
      </c>
    </row>
    <row r="680" spans="1:12" x14ac:dyDescent="0.25">
      <c r="A680">
        <v>42</v>
      </c>
      <c r="B680" s="1">
        <v>45181</v>
      </c>
      <c r="C680" s="1" t="str">
        <f>TEXT(Table4_2[[#This Row],[Date]],"dddd")</f>
        <v>Tuesday</v>
      </c>
      <c r="D680" s="21">
        <v>31.2</v>
      </c>
      <c r="E680" s="21">
        <v>50</v>
      </c>
      <c r="F680" s="21">
        <v>554</v>
      </c>
      <c r="G680" s="21">
        <v>6.3</v>
      </c>
      <c r="H680">
        <v>41</v>
      </c>
      <c r="I680">
        <v>88.16</v>
      </c>
      <c r="J680">
        <v>0.5</v>
      </c>
      <c r="K680" t="str" cm="1">
        <f t="array" ref="K680">_xlfn.IFS(Table4_2[[#This Row],[Growth Days]]&lt;=14,"Seedling",Table4_2[[#This Row],[Growth Days]]&lt;=35, "Vegetative",Table4_2[[#This Row],[Growth Days]]&lt;=50, "Maturity")</f>
        <v>Maturity</v>
      </c>
      <c r="L680" t="str">
        <f>IF(Table4_2[[#This Row],[TDS Value (ppm)]]&lt;560, "Low", IF(Table4_2[[#This Row],[TDS Value (ppm)]]&lt;=800,"Optimal","High"))</f>
        <v>Low</v>
      </c>
    </row>
    <row r="681" spans="1:12" x14ac:dyDescent="0.25">
      <c r="A681">
        <v>43</v>
      </c>
      <c r="B681" s="1">
        <v>45146</v>
      </c>
      <c r="C681" s="1" t="str">
        <f>TEXT(Table4_2[[#This Row],[Date]],"dddd")</f>
        <v>Tuesday</v>
      </c>
      <c r="D681" s="21">
        <v>32.299999999999997</v>
      </c>
      <c r="E681" s="21">
        <v>80</v>
      </c>
      <c r="F681" s="21">
        <v>654</v>
      </c>
      <c r="G681" s="21">
        <v>6.3</v>
      </c>
      <c r="H681">
        <v>6</v>
      </c>
      <c r="I681">
        <v>90.14</v>
      </c>
      <c r="J681">
        <v>0.8</v>
      </c>
      <c r="K681" t="str" cm="1">
        <f t="array" ref="K681">_xlfn.IFS(Table4_2[[#This Row],[Growth Days]]&lt;=14,"Seedling",Table4_2[[#This Row],[Growth Days]]&lt;=35, "Vegetative",Table4_2[[#This Row],[Growth Days]]&lt;=50, "Maturity")</f>
        <v>Seedling</v>
      </c>
      <c r="L681" t="str">
        <f>IF(Table4_2[[#This Row],[TDS Value (ppm)]]&lt;560, "Low", IF(Table4_2[[#This Row],[TDS Value (ppm)]]&lt;=800,"Optimal","High"))</f>
        <v>Optimal</v>
      </c>
    </row>
    <row r="682" spans="1:12" x14ac:dyDescent="0.25">
      <c r="A682">
        <v>43</v>
      </c>
      <c r="B682" s="1">
        <v>45153</v>
      </c>
      <c r="C682" s="1" t="str">
        <f>TEXT(Table4_2[[#This Row],[Date]],"dddd")</f>
        <v>Tuesday</v>
      </c>
      <c r="D682" s="21">
        <v>30.1</v>
      </c>
      <c r="E682" s="21">
        <v>56</v>
      </c>
      <c r="F682" s="21">
        <v>408</v>
      </c>
      <c r="G682" s="21">
        <v>6.4</v>
      </c>
      <c r="H682">
        <v>13</v>
      </c>
      <c r="I682">
        <v>86.18</v>
      </c>
      <c r="J682">
        <v>0.56000000000000005</v>
      </c>
      <c r="K682" t="str" cm="1">
        <f t="array" ref="K682">_xlfn.IFS(Table4_2[[#This Row],[Growth Days]]&lt;=14,"Seedling",Table4_2[[#This Row],[Growth Days]]&lt;=35, "Vegetative",Table4_2[[#This Row],[Growth Days]]&lt;=50, "Maturity")</f>
        <v>Seedling</v>
      </c>
      <c r="L682" t="str">
        <f>IF(Table4_2[[#This Row],[TDS Value (ppm)]]&lt;560, "Low", IF(Table4_2[[#This Row],[TDS Value (ppm)]]&lt;=800,"Optimal","High"))</f>
        <v>Low</v>
      </c>
    </row>
    <row r="683" spans="1:12" x14ac:dyDescent="0.25">
      <c r="A683">
        <v>43</v>
      </c>
      <c r="B683" s="1">
        <v>45160</v>
      </c>
      <c r="C683" s="1" t="str">
        <f>TEXT(Table4_2[[#This Row],[Date]],"dddd")</f>
        <v>Tuesday</v>
      </c>
      <c r="D683" s="21">
        <v>30.5</v>
      </c>
      <c r="E683" s="21">
        <v>60</v>
      </c>
      <c r="F683" s="21">
        <v>749</v>
      </c>
      <c r="G683" s="21">
        <v>6.2</v>
      </c>
      <c r="H683">
        <v>20</v>
      </c>
      <c r="I683">
        <v>86.9</v>
      </c>
      <c r="J683">
        <v>0.6</v>
      </c>
      <c r="K683" t="str" cm="1">
        <f t="array" ref="K683">_xlfn.IFS(Table4_2[[#This Row],[Growth Days]]&lt;=14,"Seedling",Table4_2[[#This Row],[Growth Days]]&lt;=35, "Vegetative",Table4_2[[#This Row],[Growth Days]]&lt;=50, "Maturity")</f>
        <v>Vegetative</v>
      </c>
      <c r="L683" t="str">
        <f>IF(Table4_2[[#This Row],[TDS Value (ppm)]]&lt;560, "Low", IF(Table4_2[[#This Row],[TDS Value (ppm)]]&lt;=800,"Optimal","High"))</f>
        <v>Optimal</v>
      </c>
    </row>
    <row r="684" spans="1:12" x14ac:dyDescent="0.25">
      <c r="A684">
        <v>43</v>
      </c>
      <c r="B684" s="1">
        <v>45167</v>
      </c>
      <c r="C684" s="1" t="str">
        <f>TEXT(Table4_2[[#This Row],[Date]],"dddd")</f>
        <v>Tuesday</v>
      </c>
      <c r="D684" s="21">
        <v>28.7</v>
      </c>
      <c r="E684" s="21">
        <v>77</v>
      </c>
      <c r="F684" s="21">
        <v>506</v>
      </c>
      <c r="G684" s="21">
        <v>6.3</v>
      </c>
      <c r="H684">
        <v>27</v>
      </c>
      <c r="I684">
        <v>83.66</v>
      </c>
      <c r="J684">
        <v>0.77</v>
      </c>
      <c r="K684" t="str" cm="1">
        <f t="array" ref="K684">_xlfn.IFS(Table4_2[[#This Row],[Growth Days]]&lt;=14,"Seedling",Table4_2[[#This Row],[Growth Days]]&lt;=35, "Vegetative",Table4_2[[#This Row],[Growth Days]]&lt;=50, "Maturity")</f>
        <v>Vegetative</v>
      </c>
      <c r="L684" t="str">
        <f>IF(Table4_2[[#This Row],[TDS Value (ppm)]]&lt;560, "Low", IF(Table4_2[[#This Row],[TDS Value (ppm)]]&lt;=800,"Optimal","High"))</f>
        <v>Low</v>
      </c>
    </row>
    <row r="685" spans="1:12" x14ac:dyDescent="0.25">
      <c r="A685">
        <v>43</v>
      </c>
      <c r="B685" s="1">
        <v>45174</v>
      </c>
      <c r="C685" s="1" t="str">
        <f>TEXT(Table4_2[[#This Row],[Date]],"dddd")</f>
        <v>Tuesday</v>
      </c>
      <c r="D685" s="21">
        <v>32</v>
      </c>
      <c r="E685" s="21">
        <v>73</v>
      </c>
      <c r="F685" s="21">
        <v>793</v>
      </c>
      <c r="G685" s="21">
        <v>6.5</v>
      </c>
      <c r="H685">
        <v>34</v>
      </c>
      <c r="I685">
        <v>89.6</v>
      </c>
      <c r="J685">
        <v>0.73</v>
      </c>
      <c r="K685" t="str" cm="1">
        <f t="array" ref="K685">_xlfn.IFS(Table4_2[[#This Row],[Growth Days]]&lt;=14,"Seedling",Table4_2[[#This Row],[Growth Days]]&lt;=35, "Vegetative",Table4_2[[#This Row],[Growth Days]]&lt;=50, "Maturity")</f>
        <v>Vegetative</v>
      </c>
      <c r="L685" t="str">
        <f>IF(Table4_2[[#This Row],[TDS Value (ppm)]]&lt;560, "Low", IF(Table4_2[[#This Row],[TDS Value (ppm)]]&lt;=800,"Optimal","High"))</f>
        <v>Optimal</v>
      </c>
    </row>
    <row r="686" spans="1:12" x14ac:dyDescent="0.25">
      <c r="A686">
        <v>43</v>
      </c>
      <c r="B686" s="1">
        <v>45181</v>
      </c>
      <c r="C686" s="1" t="str">
        <f>TEXT(Table4_2[[#This Row],[Date]],"dddd")</f>
        <v>Tuesday</v>
      </c>
      <c r="D686" s="21">
        <v>31.2</v>
      </c>
      <c r="E686" s="21">
        <v>65</v>
      </c>
      <c r="F686" s="21">
        <v>629</v>
      </c>
      <c r="G686" s="21">
        <v>6.2</v>
      </c>
      <c r="H686">
        <v>41</v>
      </c>
      <c r="I686">
        <v>88.16</v>
      </c>
      <c r="J686">
        <v>0.65</v>
      </c>
      <c r="K686" t="str" cm="1">
        <f t="array" ref="K686">_xlfn.IFS(Table4_2[[#This Row],[Growth Days]]&lt;=14,"Seedling",Table4_2[[#This Row],[Growth Days]]&lt;=35, "Vegetative",Table4_2[[#This Row],[Growth Days]]&lt;=50, "Maturity")</f>
        <v>Maturity</v>
      </c>
      <c r="L686" t="str">
        <f>IF(Table4_2[[#This Row],[TDS Value (ppm)]]&lt;560, "Low", IF(Table4_2[[#This Row],[TDS Value (ppm)]]&lt;=800,"Optimal","High"))</f>
        <v>Optimal</v>
      </c>
    </row>
    <row r="687" spans="1:12" x14ac:dyDescent="0.25">
      <c r="A687">
        <v>44</v>
      </c>
      <c r="B687" s="1">
        <v>45146</v>
      </c>
      <c r="C687" s="1" t="str">
        <f>TEXT(Table4_2[[#This Row],[Date]],"dddd")</f>
        <v>Tuesday</v>
      </c>
      <c r="D687" s="21">
        <v>32.299999999999997</v>
      </c>
      <c r="E687" s="21">
        <v>72</v>
      </c>
      <c r="F687" s="21">
        <v>634</v>
      </c>
      <c r="G687" s="21">
        <v>6</v>
      </c>
      <c r="H687">
        <v>6</v>
      </c>
      <c r="I687">
        <v>90.14</v>
      </c>
      <c r="J687">
        <v>0.72</v>
      </c>
      <c r="K687" t="str" cm="1">
        <f t="array" ref="K687">_xlfn.IFS(Table4_2[[#This Row],[Growth Days]]&lt;=14,"Seedling",Table4_2[[#This Row],[Growth Days]]&lt;=35, "Vegetative",Table4_2[[#This Row],[Growth Days]]&lt;=50, "Maturity")</f>
        <v>Seedling</v>
      </c>
      <c r="L687" t="str">
        <f>IF(Table4_2[[#This Row],[TDS Value (ppm)]]&lt;560, "Low", IF(Table4_2[[#This Row],[TDS Value (ppm)]]&lt;=800,"Optimal","High"))</f>
        <v>Optimal</v>
      </c>
    </row>
    <row r="688" spans="1:12" x14ac:dyDescent="0.25">
      <c r="A688">
        <v>44</v>
      </c>
      <c r="B688" s="1">
        <v>45153</v>
      </c>
      <c r="C688" s="1" t="str">
        <f>TEXT(Table4_2[[#This Row],[Date]],"dddd")</f>
        <v>Tuesday</v>
      </c>
      <c r="D688" s="21">
        <v>30.1</v>
      </c>
      <c r="E688" s="21">
        <v>58</v>
      </c>
      <c r="F688" s="21">
        <v>765</v>
      </c>
      <c r="G688" s="21">
        <v>6.5</v>
      </c>
      <c r="H688">
        <v>13</v>
      </c>
      <c r="I688">
        <v>86.18</v>
      </c>
      <c r="J688">
        <v>0.57999999999999996</v>
      </c>
      <c r="K688" t="str" cm="1">
        <f t="array" ref="K688">_xlfn.IFS(Table4_2[[#This Row],[Growth Days]]&lt;=14,"Seedling",Table4_2[[#This Row],[Growth Days]]&lt;=35, "Vegetative",Table4_2[[#This Row],[Growth Days]]&lt;=50, "Maturity")</f>
        <v>Seedling</v>
      </c>
      <c r="L688" t="str">
        <f>IF(Table4_2[[#This Row],[TDS Value (ppm)]]&lt;560, "Low", IF(Table4_2[[#This Row],[TDS Value (ppm)]]&lt;=800,"Optimal","High"))</f>
        <v>Optimal</v>
      </c>
    </row>
    <row r="689" spans="1:12" x14ac:dyDescent="0.25">
      <c r="A689">
        <v>44</v>
      </c>
      <c r="B689" s="1">
        <v>45160</v>
      </c>
      <c r="C689" s="1" t="str">
        <f>TEXT(Table4_2[[#This Row],[Date]],"dddd")</f>
        <v>Tuesday</v>
      </c>
      <c r="D689" s="21">
        <v>30.5</v>
      </c>
      <c r="E689" s="21">
        <v>69</v>
      </c>
      <c r="F689" s="21">
        <v>791</v>
      </c>
      <c r="G689" s="21">
        <v>6.1</v>
      </c>
      <c r="H689">
        <v>20</v>
      </c>
      <c r="I689">
        <v>86.9</v>
      </c>
      <c r="J689">
        <v>0.69</v>
      </c>
      <c r="K689" t="str" cm="1">
        <f t="array" ref="K689">_xlfn.IFS(Table4_2[[#This Row],[Growth Days]]&lt;=14,"Seedling",Table4_2[[#This Row],[Growth Days]]&lt;=35, "Vegetative",Table4_2[[#This Row],[Growth Days]]&lt;=50, "Maturity")</f>
        <v>Vegetative</v>
      </c>
      <c r="L689" t="str">
        <f>IF(Table4_2[[#This Row],[TDS Value (ppm)]]&lt;560, "Low", IF(Table4_2[[#This Row],[TDS Value (ppm)]]&lt;=800,"Optimal","High"))</f>
        <v>Optimal</v>
      </c>
    </row>
    <row r="690" spans="1:12" x14ac:dyDescent="0.25">
      <c r="A690">
        <v>44</v>
      </c>
      <c r="B690" s="1">
        <v>45167</v>
      </c>
      <c r="C690" s="1" t="str">
        <f>TEXT(Table4_2[[#This Row],[Date]],"dddd")</f>
        <v>Tuesday</v>
      </c>
      <c r="D690" s="21">
        <v>28.7</v>
      </c>
      <c r="E690" s="21">
        <v>65</v>
      </c>
      <c r="F690" s="21">
        <v>728</v>
      </c>
      <c r="G690" s="21">
        <v>6.6</v>
      </c>
      <c r="H690">
        <v>27</v>
      </c>
      <c r="I690">
        <v>83.66</v>
      </c>
      <c r="J690">
        <v>0.65</v>
      </c>
      <c r="K690" t="str" cm="1">
        <f t="array" ref="K690">_xlfn.IFS(Table4_2[[#This Row],[Growth Days]]&lt;=14,"Seedling",Table4_2[[#This Row],[Growth Days]]&lt;=35, "Vegetative",Table4_2[[#This Row],[Growth Days]]&lt;=50, "Maturity")</f>
        <v>Vegetative</v>
      </c>
      <c r="L690" t="str">
        <f>IF(Table4_2[[#This Row],[TDS Value (ppm)]]&lt;560, "Low", IF(Table4_2[[#This Row],[TDS Value (ppm)]]&lt;=800,"Optimal","High"))</f>
        <v>Optimal</v>
      </c>
    </row>
    <row r="691" spans="1:12" x14ac:dyDescent="0.25">
      <c r="A691">
        <v>44</v>
      </c>
      <c r="B691" s="1">
        <v>45174</v>
      </c>
      <c r="C691" s="1" t="str">
        <f>TEXT(Table4_2[[#This Row],[Date]],"dddd")</f>
        <v>Tuesday</v>
      </c>
      <c r="D691" s="21">
        <v>32</v>
      </c>
      <c r="E691" s="21">
        <v>74</v>
      </c>
      <c r="F691" s="21">
        <v>415</v>
      </c>
      <c r="G691" s="21">
        <v>6.7</v>
      </c>
      <c r="H691">
        <v>34</v>
      </c>
      <c r="I691">
        <v>89.6</v>
      </c>
      <c r="J691">
        <v>0.74</v>
      </c>
      <c r="K691" t="str" cm="1">
        <f t="array" ref="K691">_xlfn.IFS(Table4_2[[#This Row],[Growth Days]]&lt;=14,"Seedling",Table4_2[[#This Row],[Growth Days]]&lt;=35, "Vegetative",Table4_2[[#This Row],[Growth Days]]&lt;=50, "Maturity")</f>
        <v>Vegetative</v>
      </c>
      <c r="L691" t="str">
        <f>IF(Table4_2[[#This Row],[TDS Value (ppm)]]&lt;560, "Low", IF(Table4_2[[#This Row],[TDS Value (ppm)]]&lt;=800,"Optimal","High"))</f>
        <v>Low</v>
      </c>
    </row>
    <row r="692" spans="1:12" x14ac:dyDescent="0.25">
      <c r="A692">
        <v>44</v>
      </c>
      <c r="B692" s="1">
        <v>45181</v>
      </c>
      <c r="C692" s="1" t="str">
        <f>TEXT(Table4_2[[#This Row],[Date]],"dddd")</f>
        <v>Tuesday</v>
      </c>
      <c r="D692" s="21">
        <v>31.2</v>
      </c>
      <c r="E692" s="21">
        <v>64</v>
      </c>
      <c r="F692" s="21">
        <v>450</v>
      </c>
      <c r="G692" s="21">
        <v>6.8</v>
      </c>
      <c r="H692">
        <v>41</v>
      </c>
      <c r="I692">
        <v>88.16</v>
      </c>
      <c r="J692">
        <v>0.64</v>
      </c>
      <c r="K692" t="str" cm="1">
        <f t="array" ref="K692">_xlfn.IFS(Table4_2[[#This Row],[Growth Days]]&lt;=14,"Seedling",Table4_2[[#This Row],[Growth Days]]&lt;=35, "Vegetative",Table4_2[[#This Row],[Growth Days]]&lt;=50, "Maturity")</f>
        <v>Maturity</v>
      </c>
      <c r="L692" t="str">
        <f>IF(Table4_2[[#This Row],[TDS Value (ppm)]]&lt;560, "Low", IF(Table4_2[[#This Row],[TDS Value (ppm)]]&lt;=800,"Optimal","High"))</f>
        <v>Low</v>
      </c>
    </row>
    <row r="693" spans="1:12" x14ac:dyDescent="0.25">
      <c r="A693">
        <v>45</v>
      </c>
      <c r="B693" s="1">
        <v>45146</v>
      </c>
      <c r="C693" s="1" t="str">
        <f>TEXT(Table4_2[[#This Row],[Date]],"dddd")</f>
        <v>Tuesday</v>
      </c>
      <c r="D693" s="21">
        <v>32.299999999999997</v>
      </c>
      <c r="E693" s="21">
        <v>69</v>
      </c>
      <c r="F693" s="21">
        <v>629</v>
      </c>
      <c r="G693" s="21">
        <v>6.5</v>
      </c>
      <c r="H693">
        <v>6</v>
      </c>
      <c r="I693">
        <v>90.14</v>
      </c>
      <c r="J693">
        <v>0.69</v>
      </c>
      <c r="K693" t="str" cm="1">
        <f t="array" ref="K693">_xlfn.IFS(Table4_2[[#This Row],[Growth Days]]&lt;=14,"Seedling",Table4_2[[#This Row],[Growth Days]]&lt;=35, "Vegetative",Table4_2[[#This Row],[Growth Days]]&lt;=50, "Maturity")</f>
        <v>Seedling</v>
      </c>
      <c r="L693" t="str">
        <f>IF(Table4_2[[#This Row],[TDS Value (ppm)]]&lt;560, "Low", IF(Table4_2[[#This Row],[TDS Value (ppm)]]&lt;=800,"Optimal","High"))</f>
        <v>Optimal</v>
      </c>
    </row>
    <row r="694" spans="1:12" x14ac:dyDescent="0.25">
      <c r="A694">
        <v>45</v>
      </c>
      <c r="B694" s="1">
        <v>45153</v>
      </c>
      <c r="C694" s="1" t="str">
        <f>TEXT(Table4_2[[#This Row],[Date]],"dddd")</f>
        <v>Tuesday</v>
      </c>
      <c r="D694" s="21">
        <v>30.1</v>
      </c>
      <c r="E694" s="21">
        <v>58</v>
      </c>
      <c r="F694" s="21">
        <v>553</v>
      </c>
      <c r="G694" s="21">
        <v>6.5</v>
      </c>
      <c r="H694">
        <v>13</v>
      </c>
      <c r="I694">
        <v>86.18</v>
      </c>
      <c r="J694">
        <v>0.57999999999999996</v>
      </c>
      <c r="K694" t="str" cm="1">
        <f t="array" ref="K694">_xlfn.IFS(Table4_2[[#This Row],[Growth Days]]&lt;=14,"Seedling",Table4_2[[#This Row],[Growth Days]]&lt;=35, "Vegetative",Table4_2[[#This Row],[Growth Days]]&lt;=50, "Maturity")</f>
        <v>Seedling</v>
      </c>
      <c r="L694" t="str">
        <f>IF(Table4_2[[#This Row],[TDS Value (ppm)]]&lt;560, "Low", IF(Table4_2[[#This Row],[TDS Value (ppm)]]&lt;=800,"Optimal","High"))</f>
        <v>Low</v>
      </c>
    </row>
    <row r="695" spans="1:12" x14ac:dyDescent="0.25">
      <c r="A695">
        <v>45</v>
      </c>
      <c r="B695" s="1">
        <v>45160</v>
      </c>
      <c r="C695" s="1" t="str">
        <f>TEXT(Table4_2[[#This Row],[Date]],"dddd")</f>
        <v>Tuesday</v>
      </c>
      <c r="D695" s="21">
        <v>30.5</v>
      </c>
      <c r="E695" s="21">
        <v>54</v>
      </c>
      <c r="F695" s="21">
        <v>477</v>
      </c>
      <c r="G695" s="21">
        <v>6.2</v>
      </c>
      <c r="H695">
        <v>20</v>
      </c>
      <c r="I695">
        <v>86.9</v>
      </c>
      <c r="J695">
        <v>0.54</v>
      </c>
      <c r="K695" t="str" cm="1">
        <f t="array" ref="K695">_xlfn.IFS(Table4_2[[#This Row],[Growth Days]]&lt;=14,"Seedling",Table4_2[[#This Row],[Growth Days]]&lt;=35, "Vegetative",Table4_2[[#This Row],[Growth Days]]&lt;=50, "Maturity")</f>
        <v>Vegetative</v>
      </c>
      <c r="L695" t="str">
        <f>IF(Table4_2[[#This Row],[TDS Value (ppm)]]&lt;560, "Low", IF(Table4_2[[#This Row],[TDS Value (ppm)]]&lt;=800,"Optimal","High"))</f>
        <v>Low</v>
      </c>
    </row>
    <row r="696" spans="1:12" x14ac:dyDescent="0.25">
      <c r="A696">
        <v>45</v>
      </c>
      <c r="B696" s="1">
        <v>45167</v>
      </c>
      <c r="C696" s="1" t="str">
        <f>TEXT(Table4_2[[#This Row],[Date]],"dddd")</f>
        <v>Tuesday</v>
      </c>
      <c r="D696" s="21">
        <v>28.7</v>
      </c>
      <c r="E696" s="21">
        <v>63</v>
      </c>
      <c r="F696" s="21">
        <v>517</v>
      </c>
      <c r="G696" s="21">
        <v>6.3</v>
      </c>
      <c r="H696">
        <v>27</v>
      </c>
      <c r="I696">
        <v>83.66</v>
      </c>
      <c r="J696">
        <v>0.63</v>
      </c>
      <c r="K696" t="str" cm="1">
        <f t="array" ref="K696">_xlfn.IFS(Table4_2[[#This Row],[Growth Days]]&lt;=14,"Seedling",Table4_2[[#This Row],[Growth Days]]&lt;=35, "Vegetative",Table4_2[[#This Row],[Growth Days]]&lt;=50, "Maturity")</f>
        <v>Vegetative</v>
      </c>
      <c r="L696" t="str">
        <f>IF(Table4_2[[#This Row],[TDS Value (ppm)]]&lt;560, "Low", IF(Table4_2[[#This Row],[TDS Value (ppm)]]&lt;=800,"Optimal","High"))</f>
        <v>Low</v>
      </c>
    </row>
    <row r="697" spans="1:12" x14ac:dyDescent="0.25">
      <c r="A697">
        <v>45</v>
      </c>
      <c r="B697" s="1">
        <v>45174</v>
      </c>
      <c r="C697" s="1" t="str">
        <f>TEXT(Table4_2[[#This Row],[Date]],"dddd")</f>
        <v>Tuesday</v>
      </c>
      <c r="D697" s="21">
        <v>32</v>
      </c>
      <c r="E697" s="21">
        <v>77</v>
      </c>
      <c r="F697" s="21">
        <v>426</v>
      </c>
      <c r="G697" s="21">
        <v>6.5</v>
      </c>
      <c r="H697">
        <v>34</v>
      </c>
      <c r="I697">
        <v>89.6</v>
      </c>
      <c r="J697">
        <v>0.77</v>
      </c>
      <c r="K697" t="str" cm="1">
        <f t="array" ref="K697">_xlfn.IFS(Table4_2[[#This Row],[Growth Days]]&lt;=14,"Seedling",Table4_2[[#This Row],[Growth Days]]&lt;=35, "Vegetative",Table4_2[[#This Row],[Growth Days]]&lt;=50, "Maturity")</f>
        <v>Vegetative</v>
      </c>
      <c r="L697" t="str">
        <f>IF(Table4_2[[#This Row],[TDS Value (ppm)]]&lt;560, "Low", IF(Table4_2[[#This Row],[TDS Value (ppm)]]&lt;=800,"Optimal","High"))</f>
        <v>Low</v>
      </c>
    </row>
    <row r="698" spans="1:12" x14ac:dyDescent="0.25">
      <c r="A698">
        <v>45</v>
      </c>
      <c r="B698" s="1">
        <v>45181</v>
      </c>
      <c r="C698" s="1" t="str">
        <f>TEXT(Table4_2[[#This Row],[Date]],"dddd")</f>
        <v>Tuesday</v>
      </c>
      <c r="D698" s="21">
        <v>31.2</v>
      </c>
      <c r="E698" s="21">
        <v>51</v>
      </c>
      <c r="F698" s="21">
        <v>571</v>
      </c>
      <c r="G698" s="21">
        <v>6.3</v>
      </c>
      <c r="H698">
        <v>41</v>
      </c>
      <c r="I698">
        <v>88.16</v>
      </c>
      <c r="J698">
        <v>0.51</v>
      </c>
      <c r="K698" t="str" cm="1">
        <f t="array" ref="K698">_xlfn.IFS(Table4_2[[#This Row],[Growth Days]]&lt;=14,"Seedling",Table4_2[[#This Row],[Growth Days]]&lt;=35, "Vegetative",Table4_2[[#This Row],[Growth Days]]&lt;=50, "Maturity")</f>
        <v>Maturity</v>
      </c>
      <c r="L698" t="str">
        <f>IF(Table4_2[[#This Row],[TDS Value (ppm)]]&lt;560, "Low", IF(Table4_2[[#This Row],[TDS Value (ppm)]]&lt;=800,"Optimal","High"))</f>
        <v>Optimal</v>
      </c>
    </row>
    <row r="699" spans="1:12" x14ac:dyDescent="0.25">
      <c r="A699">
        <v>46</v>
      </c>
      <c r="B699" s="1">
        <v>45146</v>
      </c>
      <c r="C699" s="1" t="str">
        <f>TEXT(Table4_2[[#This Row],[Date]],"dddd")</f>
        <v>Tuesday</v>
      </c>
      <c r="D699" s="21">
        <v>32.299999999999997</v>
      </c>
      <c r="E699" s="21">
        <v>69</v>
      </c>
      <c r="F699" s="21">
        <v>681</v>
      </c>
      <c r="G699" s="21">
        <v>6.3</v>
      </c>
      <c r="H699">
        <v>6</v>
      </c>
      <c r="I699">
        <v>90.14</v>
      </c>
      <c r="J699">
        <v>0.69</v>
      </c>
      <c r="K699" t="str" cm="1">
        <f t="array" ref="K699">_xlfn.IFS(Table4_2[[#This Row],[Growth Days]]&lt;=14,"Seedling",Table4_2[[#This Row],[Growth Days]]&lt;=35, "Vegetative",Table4_2[[#This Row],[Growth Days]]&lt;=50, "Maturity")</f>
        <v>Seedling</v>
      </c>
      <c r="L699" t="str">
        <f>IF(Table4_2[[#This Row],[TDS Value (ppm)]]&lt;560, "Low", IF(Table4_2[[#This Row],[TDS Value (ppm)]]&lt;=800,"Optimal","High"))</f>
        <v>Optimal</v>
      </c>
    </row>
    <row r="700" spans="1:12" x14ac:dyDescent="0.25">
      <c r="A700">
        <v>46</v>
      </c>
      <c r="B700" s="1">
        <v>45153</v>
      </c>
      <c r="C700" s="1" t="str">
        <f>TEXT(Table4_2[[#This Row],[Date]],"dddd")</f>
        <v>Tuesday</v>
      </c>
      <c r="D700" s="21">
        <v>30.1</v>
      </c>
      <c r="E700" s="21">
        <v>72</v>
      </c>
      <c r="F700" s="21">
        <v>408</v>
      </c>
      <c r="G700" s="21">
        <v>6.2</v>
      </c>
      <c r="H700">
        <v>13</v>
      </c>
      <c r="I700">
        <v>86.18</v>
      </c>
      <c r="J700">
        <v>0.72</v>
      </c>
      <c r="K700" t="str" cm="1">
        <f t="array" ref="K700">_xlfn.IFS(Table4_2[[#This Row],[Growth Days]]&lt;=14,"Seedling",Table4_2[[#This Row],[Growth Days]]&lt;=35, "Vegetative",Table4_2[[#This Row],[Growth Days]]&lt;=50, "Maturity")</f>
        <v>Seedling</v>
      </c>
      <c r="L700" t="str">
        <f>IF(Table4_2[[#This Row],[TDS Value (ppm)]]&lt;560, "Low", IF(Table4_2[[#This Row],[TDS Value (ppm)]]&lt;=800,"Optimal","High"))</f>
        <v>Low</v>
      </c>
    </row>
    <row r="701" spans="1:12" x14ac:dyDescent="0.25">
      <c r="A701">
        <v>46</v>
      </c>
      <c r="B701" s="1">
        <v>45160</v>
      </c>
      <c r="C701" s="1" t="str">
        <f>TEXT(Table4_2[[#This Row],[Date]],"dddd")</f>
        <v>Tuesday</v>
      </c>
      <c r="D701" s="21">
        <v>30.5</v>
      </c>
      <c r="E701" s="21">
        <v>65</v>
      </c>
      <c r="F701" s="21">
        <v>425</v>
      </c>
      <c r="G701" s="21">
        <v>6.2</v>
      </c>
      <c r="H701">
        <v>20</v>
      </c>
      <c r="I701">
        <v>86.9</v>
      </c>
      <c r="J701">
        <v>0.65</v>
      </c>
      <c r="K701" t="str" cm="1">
        <f t="array" ref="K701">_xlfn.IFS(Table4_2[[#This Row],[Growth Days]]&lt;=14,"Seedling",Table4_2[[#This Row],[Growth Days]]&lt;=35, "Vegetative",Table4_2[[#This Row],[Growth Days]]&lt;=50, "Maturity")</f>
        <v>Vegetative</v>
      </c>
      <c r="L701" t="str">
        <f>IF(Table4_2[[#This Row],[TDS Value (ppm)]]&lt;560, "Low", IF(Table4_2[[#This Row],[TDS Value (ppm)]]&lt;=800,"Optimal","High"))</f>
        <v>Low</v>
      </c>
    </row>
    <row r="702" spans="1:12" x14ac:dyDescent="0.25">
      <c r="A702">
        <v>46</v>
      </c>
      <c r="B702" s="1">
        <v>45167</v>
      </c>
      <c r="C702" s="1" t="str">
        <f>TEXT(Table4_2[[#This Row],[Date]],"dddd")</f>
        <v>Tuesday</v>
      </c>
      <c r="D702" s="21">
        <v>28.7</v>
      </c>
      <c r="E702" s="21">
        <v>58</v>
      </c>
      <c r="F702" s="21">
        <v>404</v>
      </c>
      <c r="G702" s="21">
        <v>6.2</v>
      </c>
      <c r="H702">
        <v>27</v>
      </c>
      <c r="I702">
        <v>83.66</v>
      </c>
      <c r="J702">
        <v>0.57999999999999996</v>
      </c>
      <c r="K702" t="str" cm="1">
        <f t="array" ref="K702">_xlfn.IFS(Table4_2[[#This Row],[Growth Days]]&lt;=14,"Seedling",Table4_2[[#This Row],[Growth Days]]&lt;=35, "Vegetative",Table4_2[[#This Row],[Growth Days]]&lt;=50, "Maturity")</f>
        <v>Vegetative</v>
      </c>
      <c r="L702" t="str">
        <f>IF(Table4_2[[#This Row],[TDS Value (ppm)]]&lt;560, "Low", IF(Table4_2[[#This Row],[TDS Value (ppm)]]&lt;=800,"Optimal","High"))</f>
        <v>Low</v>
      </c>
    </row>
    <row r="703" spans="1:12" x14ac:dyDescent="0.25">
      <c r="A703">
        <v>46</v>
      </c>
      <c r="B703" s="1">
        <v>45174</v>
      </c>
      <c r="C703" s="1" t="str">
        <f>TEXT(Table4_2[[#This Row],[Date]],"dddd")</f>
        <v>Tuesday</v>
      </c>
      <c r="D703" s="21">
        <v>32</v>
      </c>
      <c r="E703" s="21">
        <v>73</v>
      </c>
      <c r="F703" s="21">
        <v>650</v>
      </c>
      <c r="G703" s="21">
        <v>6.3</v>
      </c>
      <c r="H703">
        <v>34</v>
      </c>
      <c r="I703">
        <v>89.6</v>
      </c>
      <c r="J703">
        <v>0.73</v>
      </c>
      <c r="K703" t="str" cm="1">
        <f t="array" ref="K703">_xlfn.IFS(Table4_2[[#This Row],[Growth Days]]&lt;=14,"Seedling",Table4_2[[#This Row],[Growth Days]]&lt;=35, "Vegetative",Table4_2[[#This Row],[Growth Days]]&lt;=50, "Maturity")</f>
        <v>Vegetative</v>
      </c>
      <c r="L703" t="str">
        <f>IF(Table4_2[[#This Row],[TDS Value (ppm)]]&lt;560, "Low", IF(Table4_2[[#This Row],[TDS Value (ppm)]]&lt;=800,"Optimal","High"))</f>
        <v>Optimal</v>
      </c>
    </row>
    <row r="704" spans="1:12" x14ac:dyDescent="0.25">
      <c r="A704">
        <v>46</v>
      </c>
      <c r="B704" s="1">
        <v>45181</v>
      </c>
      <c r="C704" s="1" t="str">
        <f>TEXT(Table4_2[[#This Row],[Date]],"dddd")</f>
        <v>Tuesday</v>
      </c>
      <c r="D704" s="21">
        <v>31.2</v>
      </c>
      <c r="E704" s="21">
        <v>80</v>
      </c>
      <c r="F704" s="21">
        <v>795</v>
      </c>
      <c r="G704" s="21">
        <v>6.3</v>
      </c>
      <c r="H704">
        <v>41</v>
      </c>
      <c r="I704">
        <v>88.16</v>
      </c>
      <c r="J704">
        <v>0.8</v>
      </c>
      <c r="K704" t="str" cm="1">
        <f t="array" ref="K704">_xlfn.IFS(Table4_2[[#This Row],[Growth Days]]&lt;=14,"Seedling",Table4_2[[#This Row],[Growth Days]]&lt;=35, "Vegetative",Table4_2[[#This Row],[Growth Days]]&lt;=50, "Maturity")</f>
        <v>Maturity</v>
      </c>
      <c r="L704" t="str">
        <f>IF(Table4_2[[#This Row],[TDS Value (ppm)]]&lt;560, "Low", IF(Table4_2[[#This Row],[TDS Value (ppm)]]&lt;=800,"Optimal","High"))</f>
        <v>Optimal</v>
      </c>
    </row>
    <row r="705" spans="1:12" x14ac:dyDescent="0.25">
      <c r="A705">
        <v>47</v>
      </c>
      <c r="B705" s="1">
        <v>45146</v>
      </c>
      <c r="C705" s="1" t="str">
        <f>TEXT(Table4_2[[#This Row],[Date]],"dddd")</f>
        <v>Tuesday</v>
      </c>
      <c r="D705" s="21">
        <v>32.299999999999997</v>
      </c>
      <c r="E705" s="21">
        <v>76</v>
      </c>
      <c r="F705" s="21">
        <v>564</v>
      </c>
      <c r="G705" s="21">
        <v>6.2</v>
      </c>
      <c r="H705">
        <v>6</v>
      </c>
      <c r="I705">
        <v>90.14</v>
      </c>
      <c r="J705">
        <v>0.76</v>
      </c>
      <c r="K705" t="str" cm="1">
        <f t="array" ref="K705">_xlfn.IFS(Table4_2[[#This Row],[Growth Days]]&lt;=14,"Seedling",Table4_2[[#This Row],[Growth Days]]&lt;=35, "Vegetative",Table4_2[[#This Row],[Growth Days]]&lt;=50, "Maturity")</f>
        <v>Seedling</v>
      </c>
      <c r="L705" t="str">
        <f>IF(Table4_2[[#This Row],[TDS Value (ppm)]]&lt;560, "Low", IF(Table4_2[[#This Row],[TDS Value (ppm)]]&lt;=800,"Optimal","High"))</f>
        <v>Optimal</v>
      </c>
    </row>
    <row r="706" spans="1:12" x14ac:dyDescent="0.25">
      <c r="A706">
        <v>47</v>
      </c>
      <c r="B706" s="1">
        <v>45153</v>
      </c>
      <c r="C706" s="1" t="str">
        <f>TEXT(Table4_2[[#This Row],[Date]],"dddd")</f>
        <v>Tuesday</v>
      </c>
      <c r="D706" s="21">
        <v>30.1</v>
      </c>
      <c r="E706" s="21">
        <v>64</v>
      </c>
      <c r="F706" s="21">
        <v>766</v>
      </c>
      <c r="G706" s="21">
        <v>6</v>
      </c>
      <c r="H706">
        <v>13</v>
      </c>
      <c r="I706">
        <v>86.18</v>
      </c>
      <c r="J706">
        <v>0.64</v>
      </c>
      <c r="K706" t="str" cm="1">
        <f t="array" ref="K706">_xlfn.IFS(Table4_2[[#This Row],[Growth Days]]&lt;=14,"Seedling",Table4_2[[#This Row],[Growth Days]]&lt;=35, "Vegetative",Table4_2[[#This Row],[Growth Days]]&lt;=50, "Maturity")</f>
        <v>Seedling</v>
      </c>
      <c r="L706" t="str">
        <f>IF(Table4_2[[#This Row],[TDS Value (ppm)]]&lt;560, "Low", IF(Table4_2[[#This Row],[TDS Value (ppm)]]&lt;=800,"Optimal","High"))</f>
        <v>Optimal</v>
      </c>
    </row>
    <row r="707" spans="1:12" x14ac:dyDescent="0.25">
      <c r="A707">
        <v>47</v>
      </c>
      <c r="B707" s="1">
        <v>45160</v>
      </c>
      <c r="C707" s="1" t="str">
        <f>TEXT(Table4_2[[#This Row],[Date]],"dddd")</f>
        <v>Tuesday</v>
      </c>
      <c r="D707" s="21">
        <v>30.5</v>
      </c>
      <c r="E707" s="21">
        <v>54</v>
      </c>
      <c r="F707" s="21">
        <v>758</v>
      </c>
      <c r="G707" s="21">
        <v>6.5</v>
      </c>
      <c r="H707">
        <v>20</v>
      </c>
      <c r="I707">
        <v>86.9</v>
      </c>
      <c r="J707">
        <v>0.54</v>
      </c>
      <c r="K707" t="str" cm="1">
        <f t="array" ref="K707">_xlfn.IFS(Table4_2[[#This Row],[Growth Days]]&lt;=14,"Seedling",Table4_2[[#This Row],[Growth Days]]&lt;=35, "Vegetative",Table4_2[[#This Row],[Growth Days]]&lt;=50, "Maturity")</f>
        <v>Vegetative</v>
      </c>
      <c r="L707" t="str">
        <f>IF(Table4_2[[#This Row],[TDS Value (ppm)]]&lt;560, "Low", IF(Table4_2[[#This Row],[TDS Value (ppm)]]&lt;=800,"Optimal","High"))</f>
        <v>Optimal</v>
      </c>
    </row>
    <row r="708" spans="1:12" x14ac:dyDescent="0.25">
      <c r="A708">
        <v>47</v>
      </c>
      <c r="B708" s="1">
        <v>45167</v>
      </c>
      <c r="C708" s="1" t="str">
        <f>TEXT(Table4_2[[#This Row],[Date]],"dddd")</f>
        <v>Tuesday</v>
      </c>
      <c r="D708" s="21">
        <v>28.7</v>
      </c>
      <c r="E708" s="21">
        <v>66</v>
      </c>
      <c r="F708" s="21">
        <v>779</v>
      </c>
      <c r="G708" s="21">
        <v>6.2</v>
      </c>
      <c r="H708">
        <v>27</v>
      </c>
      <c r="I708">
        <v>83.66</v>
      </c>
      <c r="J708">
        <v>0.66</v>
      </c>
      <c r="K708" t="str" cm="1">
        <f t="array" ref="K708">_xlfn.IFS(Table4_2[[#This Row],[Growth Days]]&lt;=14,"Seedling",Table4_2[[#This Row],[Growth Days]]&lt;=35, "Vegetative",Table4_2[[#This Row],[Growth Days]]&lt;=50, "Maturity")</f>
        <v>Vegetative</v>
      </c>
      <c r="L708" t="str">
        <f>IF(Table4_2[[#This Row],[TDS Value (ppm)]]&lt;560, "Low", IF(Table4_2[[#This Row],[TDS Value (ppm)]]&lt;=800,"Optimal","High"))</f>
        <v>Optimal</v>
      </c>
    </row>
    <row r="709" spans="1:12" x14ac:dyDescent="0.25">
      <c r="A709">
        <v>47</v>
      </c>
      <c r="B709" s="1">
        <v>45174</v>
      </c>
      <c r="C709" s="1" t="str">
        <f>TEXT(Table4_2[[#This Row],[Date]],"dddd")</f>
        <v>Tuesday</v>
      </c>
      <c r="D709" s="21">
        <v>32</v>
      </c>
      <c r="E709" s="21">
        <v>61</v>
      </c>
      <c r="F709" s="21">
        <v>613</v>
      </c>
      <c r="G709" s="21">
        <v>6.2</v>
      </c>
      <c r="H709">
        <v>34</v>
      </c>
      <c r="I709">
        <v>89.6</v>
      </c>
      <c r="J709">
        <v>0.61</v>
      </c>
      <c r="K709" t="str" cm="1">
        <f t="array" ref="K709">_xlfn.IFS(Table4_2[[#This Row],[Growth Days]]&lt;=14,"Seedling",Table4_2[[#This Row],[Growth Days]]&lt;=35, "Vegetative",Table4_2[[#This Row],[Growth Days]]&lt;=50, "Maturity")</f>
        <v>Vegetative</v>
      </c>
      <c r="L709" t="str">
        <f>IF(Table4_2[[#This Row],[TDS Value (ppm)]]&lt;560, "Low", IF(Table4_2[[#This Row],[TDS Value (ppm)]]&lt;=800,"Optimal","High"))</f>
        <v>Optimal</v>
      </c>
    </row>
    <row r="710" spans="1:12" x14ac:dyDescent="0.25">
      <c r="A710">
        <v>47</v>
      </c>
      <c r="B710" s="1">
        <v>45181</v>
      </c>
      <c r="C710" s="1" t="str">
        <f>TEXT(Table4_2[[#This Row],[Date]],"dddd")</f>
        <v>Tuesday</v>
      </c>
      <c r="D710" s="21">
        <v>31.2</v>
      </c>
      <c r="E710" s="21">
        <v>77</v>
      </c>
      <c r="F710" s="21">
        <v>559</v>
      </c>
      <c r="G710" s="21">
        <v>6.7</v>
      </c>
      <c r="H710">
        <v>41</v>
      </c>
      <c r="I710">
        <v>88.16</v>
      </c>
      <c r="J710">
        <v>0.77</v>
      </c>
      <c r="K710" t="str" cm="1">
        <f t="array" ref="K710">_xlfn.IFS(Table4_2[[#This Row],[Growth Days]]&lt;=14,"Seedling",Table4_2[[#This Row],[Growth Days]]&lt;=35, "Vegetative",Table4_2[[#This Row],[Growth Days]]&lt;=50, "Maturity")</f>
        <v>Maturity</v>
      </c>
      <c r="L710" t="str">
        <f>IF(Table4_2[[#This Row],[TDS Value (ppm)]]&lt;560, "Low", IF(Table4_2[[#This Row],[TDS Value (ppm)]]&lt;=800,"Optimal","High"))</f>
        <v>Low</v>
      </c>
    </row>
    <row r="711" spans="1:12" x14ac:dyDescent="0.25">
      <c r="A711">
        <v>48</v>
      </c>
      <c r="B711" s="1">
        <v>45146</v>
      </c>
      <c r="C711" s="1" t="str">
        <f>TEXT(Table4_2[[#This Row],[Date]],"dddd")</f>
        <v>Tuesday</v>
      </c>
      <c r="D711" s="21">
        <v>32.299999999999997</v>
      </c>
      <c r="E711" s="21">
        <v>66</v>
      </c>
      <c r="F711" s="21">
        <v>754</v>
      </c>
      <c r="G711" s="21">
        <v>6.1</v>
      </c>
      <c r="H711">
        <v>6</v>
      </c>
      <c r="I711">
        <v>90.14</v>
      </c>
      <c r="J711">
        <v>0.66</v>
      </c>
      <c r="K711" t="str" cm="1">
        <f t="array" ref="K711">_xlfn.IFS(Table4_2[[#This Row],[Growth Days]]&lt;=14,"Seedling",Table4_2[[#This Row],[Growth Days]]&lt;=35, "Vegetative",Table4_2[[#This Row],[Growth Days]]&lt;=50, "Maturity")</f>
        <v>Seedling</v>
      </c>
      <c r="L711" t="str">
        <f>IF(Table4_2[[#This Row],[TDS Value (ppm)]]&lt;560, "Low", IF(Table4_2[[#This Row],[TDS Value (ppm)]]&lt;=800,"Optimal","High"))</f>
        <v>Optimal</v>
      </c>
    </row>
    <row r="712" spans="1:12" x14ac:dyDescent="0.25">
      <c r="A712">
        <v>48</v>
      </c>
      <c r="B712" s="1">
        <v>45153</v>
      </c>
      <c r="C712" s="1" t="str">
        <f>TEXT(Table4_2[[#This Row],[Date]],"dddd")</f>
        <v>Tuesday</v>
      </c>
      <c r="D712" s="21">
        <v>30.1</v>
      </c>
      <c r="E712" s="21">
        <v>52</v>
      </c>
      <c r="F712" s="21">
        <v>761</v>
      </c>
      <c r="G712" s="21">
        <v>6.4</v>
      </c>
      <c r="H712">
        <v>13</v>
      </c>
      <c r="I712">
        <v>86.18</v>
      </c>
      <c r="J712">
        <v>0.52</v>
      </c>
      <c r="K712" t="str" cm="1">
        <f t="array" ref="K712">_xlfn.IFS(Table4_2[[#This Row],[Growth Days]]&lt;=14,"Seedling",Table4_2[[#This Row],[Growth Days]]&lt;=35, "Vegetative",Table4_2[[#This Row],[Growth Days]]&lt;=50, "Maturity")</f>
        <v>Seedling</v>
      </c>
      <c r="L712" t="str">
        <f>IF(Table4_2[[#This Row],[TDS Value (ppm)]]&lt;560, "Low", IF(Table4_2[[#This Row],[TDS Value (ppm)]]&lt;=800,"Optimal","High"))</f>
        <v>Optimal</v>
      </c>
    </row>
    <row r="713" spans="1:12" x14ac:dyDescent="0.25">
      <c r="A713">
        <v>48</v>
      </c>
      <c r="B713" s="1">
        <v>45160</v>
      </c>
      <c r="C713" s="1" t="str">
        <f>TEXT(Table4_2[[#This Row],[Date]],"dddd")</f>
        <v>Tuesday</v>
      </c>
      <c r="D713" s="21">
        <v>30.5</v>
      </c>
      <c r="E713" s="21">
        <v>61</v>
      </c>
      <c r="F713" s="21">
        <v>564</v>
      </c>
      <c r="G713" s="21">
        <v>6.6</v>
      </c>
      <c r="H713">
        <v>20</v>
      </c>
      <c r="I713">
        <v>86.9</v>
      </c>
      <c r="J713">
        <v>0.61</v>
      </c>
      <c r="K713" t="str" cm="1">
        <f t="array" ref="K713">_xlfn.IFS(Table4_2[[#This Row],[Growth Days]]&lt;=14,"Seedling",Table4_2[[#This Row],[Growth Days]]&lt;=35, "Vegetative",Table4_2[[#This Row],[Growth Days]]&lt;=50, "Maturity")</f>
        <v>Vegetative</v>
      </c>
      <c r="L713" t="str">
        <f>IF(Table4_2[[#This Row],[TDS Value (ppm)]]&lt;560, "Low", IF(Table4_2[[#This Row],[TDS Value (ppm)]]&lt;=800,"Optimal","High"))</f>
        <v>Optimal</v>
      </c>
    </row>
    <row r="714" spans="1:12" x14ac:dyDescent="0.25">
      <c r="A714">
        <v>48</v>
      </c>
      <c r="B714" s="1">
        <v>45167</v>
      </c>
      <c r="C714" s="1" t="str">
        <f>TEXT(Table4_2[[#This Row],[Date]],"dddd")</f>
        <v>Tuesday</v>
      </c>
      <c r="D714" s="21">
        <v>28.7</v>
      </c>
      <c r="E714" s="21">
        <v>63</v>
      </c>
      <c r="F714" s="21">
        <v>567</v>
      </c>
      <c r="G714" s="21">
        <v>6</v>
      </c>
      <c r="H714">
        <v>27</v>
      </c>
      <c r="I714">
        <v>83.66</v>
      </c>
      <c r="J714">
        <v>0.63</v>
      </c>
      <c r="K714" t="str" cm="1">
        <f t="array" ref="K714">_xlfn.IFS(Table4_2[[#This Row],[Growth Days]]&lt;=14,"Seedling",Table4_2[[#This Row],[Growth Days]]&lt;=35, "Vegetative",Table4_2[[#This Row],[Growth Days]]&lt;=50, "Maturity")</f>
        <v>Vegetative</v>
      </c>
      <c r="L714" t="str">
        <f>IF(Table4_2[[#This Row],[TDS Value (ppm)]]&lt;560, "Low", IF(Table4_2[[#This Row],[TDS Value (ppm)]]&lt;=800,"Optimal","High"))</f>
        <v>Optimal</v>
      </c>
    </row>
    <row r="715" spans="1:12" x14ac:dyDescent="0.25">
      <c r="A715">
        <v>48</v>
      </c>
      <c r="B715" s="1">
        <v>45174</v>
      </c>
      <c r="C715" s="1" t="str">
        <f>TEXT(Table4_2[[#This Row],[Date]],"dddd")</f>
        <v>Tuesday</v>
      </c>
      <c r="D715" s="21">
        <v>32</v>
      </c>
      <c r="E715" s="21">
        <v>61</v>
      </c>
      <c r="F715" s="21">
        <v>538</v>
      </c>
      <c r="G715" s="21">
        <v>6.4</v>
      </c>
      <c r="H715">
        <v>34</v>
      </c>
      <c r="I715">
        <v>89.6</v>
      </c>
      <c r="J715">
        <v>0.61</v>
      </c>
      <c r="K715" t="str" cm="1">
        <f t="array" ref="K715">_xlfn.IFS(Table4_2[[#This Row],[Growth Days]]&lt;=14,"Seedling",Table4_2[[#This Row],[Growth Days]]&lt;=35, "Vegetative",Table4_2[[#This Row],[Growth Days]]&lt;=50, "Maturity")</f>
        <v>Vegetative</v>
      </c>
      <c r="L715" t="str">
        <f>IF(Table4_2[[#This Row],[TDS Value (ppm)]]&lt;560, "Low", IF(Table4_2[[#This Row],[TDS Value (ppm)]]&lt;=800,"Optimal","High"))</f>
        <v>Low</v>
      </c>
    </row>
    <row r="716" spans="1:12" x14ac:dyDescent="0.25">
      <c r="A716">
        <v>48</v>
      </c>
      <c r="B716" s="1">
        <v>45181</v>
      </c>
      <c r="C716" s="1" t="str">
        <f>TEXT(Table4_2[[#This Row],[Date]],"dddd")</f>
        <v>Tuesday</v>
      </c>
      <c r="D716" s="21">
        <v>31.2</v>
      </c>
      <c r="E716" s="21">
        <v>63</v>
      </c>
      <c r="F716" s="21">
        <v>664</v>
      </c>
      <c r="G716" s="21">
        <v>6.1</v>
      </c>
      <c r="H716">
        <v>41</v>
      </c>
      <c r="I716">
        <v>88.16</v>
      </c>
      <c r="J716">
        <v>0.63</v>
      </c>
      <c r="K716" t="str" cm="1">
        <f t="array" ref="K716">_xlfn.IFS(Table4_2[[#This Row],[Growth Days]]&lt;=14,"Seedling",Table4_2[[#This Row],[Growth Days]]&lt;=35, "Vegetative",Table4_2[[#This Row],[Growth Days]]&lt;=50, "Maturity")</f>
        <v>Maturity</v>
      </c>
      <c r="L716" t="str">
        <f>IF(Table4_2[[#This Row],[TDS Value (ppm)]]&lt;560, "Low", IF(Table4_2[[#This Row],[TDS Value (ppm)]]&lt;=800,"Optimal","High"))</f>
        <v>Optimal</v>
      </c>
    </row>
    <row r="717" spans="1:12" x14ac:dyDescent="0.25">
      <c r="A717">
        <v>49</v>
      </c>
      <c r="B717" s="1">
        <v>45146</v>
      </c>
      <c r="C717" s="1" t="str">
        <f>TEXT(Table4_2[[#This Row],[Date]],"dddd")</f>
        <v>Tuesday</v>
      </c>
      <c r="D717" s="21">
        <v>32.299999999999997</v>
      </c>
      <c r="E717" s="21">
        <v>53</v>
      </c>
      <c r="F717" s="21">
        <v>793</v>
      </c>
      <c r="G717" s="21">
        <v>6.4</v>
      </c>
      <c r="H717">
        <v>6</v>
      </c>
      <c r="I717">
        <v>90.14</v>
      </c>
      <c r="J717">
        <v>0.53</v>
      </c>
      <c r="K717" t="str" cm="1">
        <f t="array" ref="K717">_xlfn.IFS(Table4_2[[#This Row],[Growth Days]]&lt;=14,"Seedling",Table4_2[[#This Row],[Growth Days]]&lt;=35, "Vegetative",Table4_2[[#This Row],[Growth Days]]&lt;=50, "Maturity")</f>
        <v>Seedling</v>
      </c>
      <c r="L717" t="str">
        <f>IF(Table4_2[[#This Row],[TDS Value (ppm)]]&lt;560, "Low", IF(Table4_2[[#This Row],[TDS Value (ppm)]]&lt;=800,"Optimal","High"))</f>
        <v>Optimal</v>
      </c>
    </row>
    <row r="718" spans="1:12" x14ac:dyDescent="0.25">
      <c r="A718">
        <v>49</v>
      </c>
      <c r="B718" s="1">
        <v>45153</v>
      </c>
      <c r="C718" s="1" t="str">
        <f>TEXT(Table4_2[[#This Row],[Date]],"dddd")</f>
        <v>Tuesday</v>
      </c>
      <c r="D718" s="21">
        <v>30.1</v>
      </c>
      <c r="E718" s="21">
        <v>73</v>
      </c>
      <c r="F718" s="21">
        <v>718</v>
      </c>
      <c r="G718" s="21">
        <v>6.1</v>
      </c>
      <c r="H718">
        <v>13</v>
      </c>
      <c r="I718">
        <v>86.18</v>
      </c>
      <c r="J718">
        <v>0.73</v>
      </c>
      <c r="K718" t="str" cm="1">
        <f t="array" ref="K718">_xlfn.IFS(Table4_2[[#This Row],[Growth Days]]&lt;=14,"Seedling",Table4_2[[#This Row],[Growth Days]]&lt;=35, "Vegetative",Table4_2[[#This Row],[Growth Days]]&lt;=50, "Maturity")</f>
        <v>Seedling</v>
      </c>
      <c r="L718" t="str">
        <f>IF(Table4_2[[#This Row],[TDS Value (ppm)]]&lt;560, "Low", IF(Table4_2[[#This Row],[TDS Value (ppm)]]&lt;=800,"Optimal","High"))</f>
        <v>Optimal</v>
      </c>
    </row>
    <row r="719" spans="1:12" x14ac:dyDescent="0.25">
      <c r="A719">
        <v>49</v>
      </c>
      <c r="B719" s="1">
        <v>45160</v>
      </c>
      <c r="C719" s="1" t="str">
        <f>TEXT(Table4_2[[#This Row],[Date]],"dddd")</f>
        <v>Tuesday</v>
      </c>
      <c r="D719" s="21">
        <v>30.5</v>
      </c>
      <c r="E719" s="21">
        <v>58</v>
      </c>
      <c r="F719" s="21">
        <v>594</v>
      </c>
      <c r="G719" s="21">
        <v>6.6</v>
      </c>
      <c r="H719">
        <v>20</v>
      </c>
      <c r="I719">
        <v>86.9</v>
      </c>
      <c r="J719">
        <v>0.57999999999999996</v>
      </c>
      <c r="K719" t="str" cm="1">
        <f t="array" ref="K719">_xlfn.IFS(Table4_2[[#This Row],[Growth Days]]&lt;=14,"Seedling",Table4_2[[#This Row],[Growth Days]]&lt;=35, "Vegetative",Table4_2[[#This Row],[Growth Days]]&lt;=50, "Maturity")</f>
        <v>Vegetative</v>
      </c>
      <c r="L719" t="str">
        <f>IF(Table4_2[[#This Row],[TDS Value (ppm)]]&lt;560, "Low", IF(Table4_2[[#This Row],[TDS Value (ppm)]]&lt;=800,"Optimal","High"))</f>
        <v>Optimal</v>
      </c>
    </row>
    <row r="720" spans="1:12" x14ac:dyDescent="0.25">
      <c r="A720">
        <v>49</v>
      </c>
      <c r="B720" s="1">
        <v>45167</v>
      </c>
      <c r="C720" s="1" t="str">
        <f>TEXT(Table4_2[[#This Row],[Date]],"dddd")</f>
        <v>Tuesday</v>
      </c>
      <c r="D720" s="21">
        <v>28.7</v>
      </c>
      <c r="E720" s="21">
        <v>50</v>
      </c>
      <c r="F720" s="21">
        <v>583</v>
      </c>
      <c r="G720" s="21">
        <v>6.7</v>
      </c>
      <c r="H720">
        <v>27</v>
      </c>
      <c r="I720">
        <v>83.66</v>
      </c>
      <c r="J720">
        <v>0.5</v>
      </c>
      <c r="K720" t="str" cm="1">
        <f t="array" ref="K720">_xlfn.IFS(Table4_2[[#This Row],[Growth Days]]&lt;=14,"Seedling",Table4_2[[#This Row],[Growth Days]]&lt;=35, "Vegetative",Table4_2[[#This Row],[Growth Days]]&lt;=50, "Maturity")</f>
        <v>Vegetative</v>
      </c>
      <c r="L720" t="str">
        <f>IF(Table4_2[[#This Row],[TDS Value (ppm)]]&lt;560, "Low", IF(Table4_2[[#This Row],[TDS Value (ppm)]]&lt;=800,"Optimal","High"))</f>
        <v>Optimal</v>
      </c>
    </row>
    <row r="721" spans="1:12" x14ac:dyDescent="0.25">
      <c r="A721">
        <v>49</v>
      </c>
      <c r="B721" s="1">
        <v>45174</v>
      </c>
      <c r="C721" s="1" t="str">
        <f>TEXT(Table4_2[[#This Row],[Date]],"dddd")</f>
        <v>Tuesday</v>
      </c>
      <c r="D721" s="21">
        <v>32</v>
      </c>
      <c r="E721" s="21">
        <v>65</v>
      </c>
      <c r="F721" s="21">
        <v>548</v>
      </c>
      <c r="G721" s="21">
        <v>6.6</v>
      </c>
      <c r="H721">
        <v>34</v>
      </c>
      <c r="I721">
        <v>89.6</v>
      </c>
      <c r="J721">
        <v>0.65</v>
      </c>
      <c r="K721" t="str" cm="1">
        <f t="array" ref="K721">_xlfn.IFS(Table4_2[[#This Row],[Growth Days]]&lt;=14,"Seedling",Table4_2[[#This Row],[Growth Days]]&lt;=35, "Vegetative",Table4_2[[#This Row],[Growth Days]]&lt;=50, "Maturity")</f>
        <v>Vegetative</v>
      </c>
      <c r="L721" t="str">
        <f>IF(Table4_2[[#This Row],[TDS Value (ppm)]]&lt;560, "Low", IF(Table4_2[[#This Row],[TDS Value (ppm)]]&lt;=800,"Optimal","High"))</f>
        <v>Low</v>
      </c>
    </row>
    <row r="722" spans="1:12" x14ac:dyDescent="0.25">
      <c r="A722">
        <v>49</v>
      </c>
      <c r="B722" s="1">
        <v>45181</v>
      </c>
      <c r="C722" s="1" t="str">
        <f>TEXT(Table4_2[[#This Row],[Date]],"dddd")</f>
        <v>Tuesday</v>
      </c>
      <c r="D722" s="21">
        <v>31.2</v>
      </c>
      <c r="E722" s="21">
        <v>57</v>
      </c>
      <c r="F722" s="21">
        <v>757</v>
      </c>
      <c r="G722" s="21">
        <v>6.3</v>
      </c>
      <c r="H722">
        <v>41</v>
      </c>
      <c r="I722">
        <v>88.16</v>
      </c>
      <c r="J722">
        <v>0.56999999999999995</v>
      </c>
      <c r="K722" t="str" cm="1">
        <f t="array" ref="K722">_xlfn.IFS(Table4_2[[#This Row],[Growth Days]]&lt;=14,"Seedling",Table4_2[[#This Row],[Growth Days]]&lt;=35, "Vegetative",Table4_2[[#This Row],[Growth Days]]&lt;=50, "Maturity")</f>
        <v>Maturity</v>
      </c>
      <c r="L722" t="str">
        <f>IF(Table4_2[[#This Row],[TDS Value (ppm)]]&lt;560, "Low", IF(Table4_2[[#This Row],[TDS Value (ppm)]]&lt;=800,"Optimal","High"))</f>
        <v>Optimal</v>
      </c>
    </row>
    <row r="723" spans="1:12" x14ac:dyDescent="0.25">
      <c r="A723">
        <v>50</v>
      </c>
      <c r="B723" s="1">
        <v>45146</v>
      </c>
      <c r="C723" s="1" t="str">
        <f>TEXT(Table4_2[[#This Row],[Date]],"dddd")</f>
        <v>Tuesday</v>
      </c>
      <c r="D723" s="21">
        <v>32.299999999999997</v>
      </c>
      <c r="E723" s="21">
        <v>72</v>
      </c>
      <c r="F723" s="21">
        <v>470</v>
      </c>
      <c r="G723" s="21">
        <v>6.4</v>
      </c>
      <c r="H723">
        <v>6</v>
      </c>
      <c r="I723">
        <v>90.14</v>
      </c>
      <c r="J723">
        <v>0.72</v>
      </c>
      <c r="K723" t="str" cm="1">
        <f t="array" ref="K723">_xlfn.IFS(Table4_2[[#This Row],[Growth Days]]&lt;=14,"Seedling",Table4_2[[#This Row],[Growth Days]]&lt;=35, "Vegetative",Table4_2[[#This Row],[Growth Days]]&lt;=50, "Maturity")</f>
        <v>Seedling</v>
      </c>
      <c r="L723" t="str">
        <f>IF(Table4_2[[#This Row],[TDS Value (ppm)]]&lt;560, "Low", IF(Table4_2[[#This Row],[TDS Value (ppm)]]&lt;=800,"Optimal","High"))</f>
        <v>Low</v>
      </c>
    </row>
    <row r="724" spans="1:12" x14ac:dyDescent="0.25">
      <c r="A724">
        <v>50</v>
      </c>
      <c r="B724" s="1">
        <v>45153</v>
      </c>
      <c r="C724" s="1" t="str">
        <f>TEXT(Table4_2[[#This Row],[Date]],"dddd")</f>
        <v>Tuesday</v>
      </c>
      <c r="D724" s="21">
        <v>30.1</v>
      </c>
      <c r="E724" s="21">
        <v>69</v>
      </c>
      <c r="F724" s="21">
        <v>741</v>
      </c>
      <c r="G724" s="21">
        <v>6.1</v>
      </c>
      <c r="H724">
        <v>13</v>
      </c>
      <c r="I724">
        <v>86.18</v>
      </c>
      <c r="J724">
        <v>0.69</v>
      </c>
      <c r="K724" t="str" cm="1">
        <f t="array" ref="K724">_xlfn.IFS(Table4_2[[#This Row],[Growth Days]]&lt;=14,"Seedling",Table4_2[[#This Row],[Growth Days]]&lt;=35, "Vegetative",Table4_2[[#This Row],[Growth Days]]&lt;=50, "Maturity")</f>
        <v>Seedling</v>
      </c>
      <c r="L724" t="str">
        <f>IF(Table4_2[[#This Row],[TDS Value (ppm)]]&lt;560, "Low", IF(Table4_2[[#This Row],[TDS Value (ppm)]]&lt;=800,"Optimal","High"))</f>
        <v>Optimal</v>
      </c>
    </row>
    <row r="725" spans="1:12" x14ac:dyDescent="0.25">
      <c r="A725">
        <v>50</v>
      </c>
      <c r="B725" s="1">
        <v>45160</v>
      </c>
      <c r="C725" s="1" t="str">
        <f>TEXT(Table4_2[[#This Row],[Date]],"dddd")</f>
        <v>Tuesday</v>
      </c>
      <c r="D725" s="21">
        <v>30.5</v>
      </c>
      <c r="E725" s="21">
        <v>71</v>
      </c>
      <c r="F725" s="21">
        <v>423</v>
      </c>
      <c r="G725" s="21">
        <v>6.3</v>
      </c>
      <c r="H725">
        <v>20</v>
      </c>
      <c r="I725">
        <v>86.9</v>
      </c>
      <c r="J725">
        <v>0.71</v>
      </c>
      <c r="K725" t="str" cm="1">
        <f t="array" ref="K725">_xlfn.IFS(Table4_2[[#This Row],[Growth Days]]&lt;=14,"Seedling",Table4_2[[#This Row],[Growth Days]]&lt;=35, "Vegetative",Table4_2[[#This Row],[Growth Days]]&lt;=50, "Maturity")</f>
        <v>Vegetative</v>
      </c>
      <c r="L725" t="str">
        <f>IF(Table4_2[[#This Row],[TDS Value (ppm)]]&lt;560, "Low", IF(Table4_2[[#This Row],[TDS Value (ppm)]]&lt;=800,"Optimal","High"))</f>
        <v>Low</v>
      </c>
    </row>
    <row r="726" spans="1:12" x14ac:dyDescent="0.25">
      <c r="A726">
        <v>50</v>
      </c>
      <c r="B726" s="1">
        <v>45167</v>
      </c>
      <c r="C726" s="1" t="str">
        <f>TEXT(Table4_2[[#This Row],[Date]],"dddd")</f>
        <v>Tuesday</v>
      </c>
      <c r="D726" s="21">
        <v>28.7</v>
      </c>
      <c r="E726" s="21">
        <v>50</v>
      </c>
      <c r="F726" s="21">
        <v>791</v>
      </c>
      <c r="G726" s="21">
        <v>6.8</v>
      </c>
      <c r="H726">
        <v>27</v>
      </c>
      <c r="I726">
        <v>83.66</v>
      </c>
      <c r="J726">
        <v>0.5</v>
      </c>
      <c r="K726" t="str" cm="1">
        <f t="array" ref="K726">_xlfn.IFS(Table4_2[[#This Row],[Growth Days]]&lt;=14,"Seedling",Table4_2[[#This Row],[Growth Days]]&lt;=35, "Vegetative",Table4_2[[#This Row],[Growth Days]]&lt;=50, "Maturity")</f>
        <v>Vegetative</v>
      </c>
      <c r="L726" t="str">
        <f>IF(Table4_2[[#This Row],[TDS Value (ppm)]]&lt;560, "Low", IF(Table4_2[[#This Row],[TDS Value (ppm)]]&lt;=800,"Optimal","High"))</f>
        <v>Optimal</v>
      </c>
    </row>
    <row r="727" spans="1:12" x14ac:dyDescent="0.25">
      <c r="A727">
        <v>50</v>
      </c>
      <c r="B727" s="1">
        <v>45174</v>
      </c>
      <c r="C727" s="1" t="str">
        <f>TEXT(Table4_2[[#This Row],[Date]],"dddd")</f>
        <v>Tuesday</v>
      </c>
      <c r="D727" s="21">
        <v>32</v>
      </c>
      <c r="E727" s="21">
        <v>56</v>
      </c>
      <c r="F727" s="21">
        <v>794</v>
      </c>
      <c r="G727" s="21">
        <v>6.1</v>
      </c>
      <c r="H727">
        <v>34</v>
      </c>
      <c r="I727">
        <v>89.6</v>
      </c>
      <c r="J727">
        <v>0.56000000000000005</v>
      </c>
      <c r="K727" t="str" cm="1">
        <f t="array" ref="K727">_xlfn.IFS(Table4_2[[#This Row],[Growth Days]]&lt;=14,"Seedling",Table4_2[[#This Row],[Growth Days]]&lt;=35, "Vegetative",Table4_2[[#This Row],[Growth Days]]&lt;=50, "Maturity")</f>
        <v>Vegetative</v>
      </c>
      <c r="L727" t="str">
        <f>IF(Table4_2[[#This Row],[TDS Value (ppm)]]&lt;560, "Low", IF(Table4_2[[#This Row],[TDS Value (ppm)]]&lt;=800,"Optimal","High"))</f>
        <v>Optimal</v>
      </c>
    </row>
    <row r="728" spans="1:12" x14ac:dyDescent="0.25">
      <c r="A728">
        <v>50</v>
      </c>
      <c r="B728" s="1">
        <v>45181</v>
      </c>
      <c r="C728" s="1" t="str">
        <f>TEXT(Table4_2[[#This Row],[Date]],"dddd")</f>
        <v>Tuesday</v>
      </c>
      <c r="D728" s="21">
        <v>31.2</v>
      </c>
      <c r="E728" s="21">
        <v>54</v>
      </c>
      <c r="F728" s="21">
        <v>690</v>
      </c>
      <c r="G728" s="21">
        <v>6.3</v>
      </c>
      <c r="H728">
        <v>41</v>
      </c>
      <c r="I728">
        <v>88.16</v>
      </c>
      <c r="J728">
        <v>0.54</v>
      </c>
      <c r="K728" t="str" cm="1">
        <f t="array" ref="K728">_xlfn.IFS(Table4_2[[#This Row],[Growth Days]]&lt;=14,"Seedling",Table4_2[[#This Row],[Growth Days]]&lt;=35, "Vegetative",Table4_2[[#This Row],[Growth Days]]&lt;=50, "Maturity")</f>
        <v>Maturity</v>
      </c>
      <c r="L728" t="str">
        <f>IF(Table4_2[[#This Row],[TDS Value (ppm)]]&lt;560, "Low", IF(Table4_2[[#This Row],[TDS Value (ppm)]]&lt;=800,"Optimal","High"))</f>
        <v>Optimal</v>
      </c>
    </row>
    <row r="729" spans="1:12" x14ac:dyDescent="0.25">
      <c r="A729">
        <v>51</v>
      </c>
      <c r="B729" s="1">
        <v>45146</v>
      </c>
      <c r="C729" s="1" t="str">
        <f>TEXT(Table4_2[[#This Row],[Date]],"dddd")</f>
        <v>Tuesday</v>
      </c>
      <c r="D729" s="21">
        <v>32.299999999999997</v>
      </c>
      <c r="E729" s="21">
        <v>56</v>
      </c>
      <c r="F729" s="21">
        <v>627</v>
      </c>
      <c r="G729" s="21">
        <v>6.3</v>
      </c>
      <c r="H729">
        <v>6</v>
      </c>
      <c r="I729">
        <v>90.14</v>
      </c>
      <c r="J729">
        <v>0.56000000000000005</v>
      </c>
      <c r="K729" t="str" cm="1">
        <f t="array" ref="K729">_xlfn.IFS(Table4_2[[#This Row],[Growth Days]]&lt;=14,"Seedling",Table4_2[[#This Row],[Growth Days]]&lt;=35, "Vegetative",Table4_2[[#This Row],[Growth Days]]&lt;=50, "Maturity")</f>
        <v>Seedling</v>
      </c>
      <c r="L729" t="str">
        <f>IF(Table4_2[[#This Row],[TDS Value (ppm)]]&lt;560, "Low", IF(Table4_2[[#This Row],[TDS Value (ppm)]]&lt;=800,"Optimal","High"))</f>
        <v>Optimal</v>
      </c>
    </row>
    <row r="730" spans="1:12" x14ac:dyDescent="0.25">
      <c r="A730">
        <v>51</v>
      </c>
      <c r="B730" s="1">
        <v>45153</v>
      </c>
      <c r="C730" s="1" t="str">
        <f>TEXT(Table4_2[[#This Row],[Date]],"dddd")</f>
        <v>Tuesday</v>
      </c>
      <c r="D730" s="21">
        <v>30.1</v>
      </c>
      <c r="E730" s="21">
        <v>76</v>
      </c>
      <c r="F730" s="21">
        <v>442</v>
      </c>
      <c r="G730" s="21">
        <v>6.1</v>
      </c>
      <c r="H730">
        <v>13</v>
      </c>
      <c r="I730">
        <v>86.18</v>
      </c>
      <c r="J730">
        <v>0.76</v>
      </c>
      <c r="K730" t="str" cm="1">
        <f t="array" ref="K730">_xlfn.IFS(Table4_2[[#This Row],[Growth Days]]&lt;=14,"Seedling",Table4_2[[#This Row],[Growth Days]]&lt;=35, "Vegetative",Table4_2[[#This Row],[Growth Days]]&lt;=50, "Maturity")</f>
        <v>Seedling</v>
      </c>
      <c r="L730" t="str">
        <f>IF(Table4_2[[#This Row],[TDS Value (ppm)]]&lt;560, "Low", IF(Table4_2[[#This Row],[TDS Value (ppm)]]&lt;=800,"Optimal","High"))</f>
        <v>Low</v>
      </c>
    </row>
    <row r="731" spans="1:12" x14ac:dyDescent="0.25">
      <c r="A731">
        <v>51</v>
      </c>
      <c r="B731" s="1">
        <v>45160</v>
      </c>
      <c r="C731" s="1" t="str">
        <f>TEXT(Table4_2[[#This Row],[Date]],"dddd")</f>
        <v>Tuesday</v>
      </c>
      <c r="D731" s="21">
        <v>30.5</v>
      </c>
      <c r="E731" s="21">
        <v>54</v>
      </c>
      <c r="F731" s="21">
        <v>782</v>
      </c>
      <c r="G731" s="21">
        <v>6.6</v>
      </c>
      <c r="H731">
        <v>20</v>
      </c>
      <c r="I731">
        <v>86.9</v>
      </c>
      <c r="J731">
        <v>0.54</v>
      </c>
      <c r="K731" t="str" cm="1">
        <f t="array" ref="K731">_xlfn.IFS(Table4_2[[#This Row],[Growth Days]]&lt;=14,"Seedling",Table4_2[[#This Row],[Growth Days]]&lt;=35, "Vegetative",Table4_2[[#This Row],[Growth Days]]&lt;=50, "Maturity")</f>
        <v>Vegetative</v>
      </c>
      <c r="L731" t="str">
        <f>IF(Table4_2[[#This Row],[TDS Value (ppm)]]&lt;560, "Low", IF(Table4_2[[#This Row],[TDS Value (ppm)]]&lt;=800,"Optimal","High"))</f>
        <v>Optimal</v>
      </c>
    </row>
    <row r="732" spans="1:12" x14ac:dyDescent="0.25">
      <c r="A732">
        <v>51</v>
      </c>
      <c r="B732" s="1">
        <v>45167</v>
      </c>
      <c r="C732" s="1" t="str">
        <f>TEXT(Table4_2[[#This Row],[Date]],"dddd")</f>
        <v>Tuesday</v>
      </c>
      <c r="D732" s="21">
        <v>28.7</v>
      </c>
      <c r="E732" s="21">
        <v>62</v>
      </c>
      <c r="F732" s="21">
        <v>781</v>
      </c>
      <c r="G732" s="21">
        <v>6.6</v>
      </c>
      <c r="H732">
        <v>27</v>
      </c>
      <c r="I732">
        <v>83.66</v>
      </c>
      <c r="J732">
        <v>0.62</v>
      </c>
      <c r="K732" t="str" cm="1">
        <f t="array" ref="K732">_xlfn.IFS(Table4_2[[#This Row],[Growth Days]]&lt;=14,"Seedling",Table4_2[[#This Row],[Growth Days]]&lt;=35, "Vegetative",Table4_2[[#This Row],[Growth Days]]&lt;=50, "Maturity")</f>
        <v>Vegetative</v>
      </c>
      <c r="L732" t="str">
        <f>IF(Table4_2[[#This Row],[TDS Value (ppm)]]&lt;560, "Low", IF(Table4_2[[#This Row],[TDS Value (ppm)]]&lt;=800,"Optimal","High"))</f>
        <v>Optimal</v>
      </c>
    </row>
    <row r="733" spans="1:12" x14ac:dyDescent="0.25">
      <c r="A733">
        <v>51</v>
      </c>
      <c r="B733" s="1">
        <v>45174</v>
      </c>
      <c r="C733" s="1" t="str">
        <f>TEXT(Table4_2[[#This Row],[Date]],"dddd")</f>
        <v>Tuesday</v>
      </c>
      <c r="D733" s="21">
        <v>32</v>
      </c>
      <c r="E733" s="21">
        <v>50</v>
      </c>
      <c r="F733" s="21">
        <v>785</v>
      </c>
      <c r="G733" s="21">
        <v>6.6</v>
      </c>
      <c r="H733">
        <v>34</v>
      </c>
      <c r="I733">
        <v>89.6</v>
      </c>
      <c r="J733">
        <v>0.5</v>
      </c>
      <c r="K733" t="str" cm="1">
        <f t="array" ref="K733">_xlfn.IFS(Table4_2[[#This Row],[Growth Days]]&lt;=14,"Seedling",Table4_2[[#This Row],[Growth Days]]&lt;=35, "Vegetative",Table4_2[[#This Row],[Growth Days]]&lt;=50, "Maturity")</f>
        <v>Vegetative</v>
      </c>
      <c r="L733" t="str">
        <f>IF(Table4_2[[#This Row],[TDS Value (ppm)]]&lt;560, "Low", IF(Table4_2[[#This Row],[TDS Value (ppm)]]&lt;=800,"Optimal","High"))</f>
        <v>Optimal</v>
      </c>
    </row>
    <row r="734" spans="1:12" x14ac:dyDescent="0.25">
      <c r="A734">
        <v>51</v>
      </c>
      <c r="B734" s="1">
        <v>45181</v>
      </c>
      <c r="C734" s="1" t="str">
        <f>TEXT(Table4_2[[#This Row],[Date]],"dddd")</f>
        <v>Tuesday</v>
      </c>
      <c r="D734" s="21">
        <v>31.2</v>
      </c>
      <c r="E734" s="21">
        <v>50</v>
      </c>
      <c r="F734" s="21">
        <v>433</v>
      </c>
      <c r="G734" s="21">
        <v>6.2</v>
      </c>
      <c r="H734">
        <v>41</v>
      </c>
      <c r="I734">
        <v>88.16</v>
      </c>
      <c r="J734">
        <v>0.5</v>
      </c>
      <c r="K734" t="str" cm="1">
        <f t="array" ref="K734">_xlfn.IFS(Table4_2[[#This Row],[Growth Days]]&lt;=14,"Seedling",Table4_2[[#This Row],[Growth Days]]&lt;=35, "Vegetative",Table4_2[[#This Row],[Growth Days]]&lt;=50, "Maturity")</f>
        <v>Maturity</v>
      </c>
      <c r="L734" t="str">
        <f>IF(Table4_2[[#This Row],[TDS Value (ppm)]]&lt;560, "Low", IF(Table4_2[[#This Row],[TDS Value (ppm)]]&lt;=800,"Optimal","High"))</f>
        <v>Low</v>
      </c>
    </row>
    <row r="735" spans="1:12" x14ac:dyDescent="0.25">
      <c r="A735">
        <v>52</v>
      </c>
      <c r="B735" s="1">
        <v>45146</v>
      </c>
      <c r="C735" s="1" t="str">
        <f>TEXT(Table4_2[[#This Row],[Date]],"dddd")</f>
        <v>Tuesday</v>
      </c>
      <c r="D735" s="21">
        <v>18.600000000000001</v>
      </c>
      <c r="E735" s="21">
        <v>73</v>
      </c>
      <c r="F735" s="21">
        <v>481</v>
      </c>
      <c r="G735" s="21">
        <v>6.5</v>
      </c>
      <c r="H735">
        <v>6</v>
      </c>
      <c r="I735">
        <v>65.48</v>
      </c>
      <c r="J735">
        <v>0.73</v>
      </c>
      <c r="K735" t="str" cm="1">
        <f t="array" ref="K735">_xlfn.IFS(Table4_2[[#This Row],[Growth Days]]&lt;=14,"Seedling",Table4_2[[#This Row],[Growth Days]]&lt;=35, "Vegetative",Table4_2[[#This Row],[Growth Days]]&lt;=50, "Maturity")</f>
        <v>Seedling</v>
      </c>
      <c r="L735" t="str">
        <f>IF(Table4_2[[#This Row],[TDS Value (ppm)]]&lt;560, "Low", IF(Table4_2[[#This Row],[TDS Value (ppm)]]&lt;=800,"Optimal","High"))</f>
        <v>Low</v>
      </c>
    </row>
    <row r="736" spans="1:12" x14ac:dyDescent="0.25">
      <c r="A736">
        <v>52</v>
      </c>
      <c r="B736" s="1">
        <v>45153</v>
      </c>
      <c r="C736" s="1" t="str">
        <f>TEXT(Table4_2[[#This Row],[Date]],"dddd")</f>
        <v>Tuesday</v>
      </c>
      <c r="D736" s="21">
        <v>19.100000000000001</v>
      </c>
      <c r="E736" s="21">
        <v>55</v>
      </c>
      <c r="F736" s="21">
        <v>441</v>
      </c>
      <c r="G736" s="21">
        <v>6.1</v>
      </c>
      <c r="H736">
        <v>13</v>
      </c>
      <c r="I736">
        <v>66.38</v>
      </c>
      <c r="J736">
        <v>0.55000000000000004</v>
      </c>
      <c r="K736" t="str" cm="1">
        <f t="array" ref="K736">_xlfn.IFS(Table4_2[[#This Row],[Growth Days]]&lt;=14,"Seedling",Table4_2[[#This Row],[Growth Days]]&lt;=35, "Vegetative",Table4_2[[#This Row],[Growth Days]]&lt;=50, "Maturity")</f>
        <v>Seedling</v>
      </c>
      <c r="L736" t="str">
        <f>IF(Table4_2[[#This Row],[TDS Value (ppm)]]&lt;560, "Low", IF(Table4_2[[#This Row],[TDS Value (ppm)]]&lt;=800,"Optimal","High"))</f>
        <v>Low</v>
      </c>
    </row>
    <row r="737" spans="1:12" x14ac:dyDescent="0.25">
      <c r="A737">
        <v>52</v>
      </c>
      <c r="B737" s="1">
        <v>45160</v>
      </c>
      <c r="C737" s="1" t="str">
        <f>TEXT(Table4_2[[#This Row],[Date]],"dddd")</f>
        <v>Tuesday</v>
      </c>
      <c r="D737" s="21">
        <v>18.399999999999999</v>
      </c>
      <c r="E737" s="21">
        <v>66</v>
      </c>
      <c r="F737" s="21">
        <v>747</v>
      </c>
      <c r="G737" s="21">
        <v>6.7</v>
      </c>
      <c r="H737">
        <v>20</v>
      </c>
      <c r="I737">
        <v>65.12</v>
      </c>
      <c r="J737">
        <v>0.66</v>
      </c>
      <c r="K737" t="str" cm="1">
        <f t="array" ref="K737">_xlfn.IFS(Table4_2[[#This Row],[Growth Days]]&lt;=14,"Seedling",Table4_2[[#This Row],[Growth Days]]&lt;=35, "Vegetative",Table4_2[[#This Row],[Growth Days]]&lt;=50, "Maturity")</f>
        <v>Vegetative</v>
      </c>
      <c r="L737" t="str">
        <f>IF(Table4_2[[#This Row],[TDS Value (ppm)]]&lt;560, "Low", IF(Table4_2[[#This Row],[TDS Value (ppm)]]&lt;=800,"Optimal","High"))</f>
        <v>Optimal</v>
      </c>
    </row>
    <row r="738" spans="1:12" x14ac:dyDescent="0.25">
      <c r="A738">
        <v>52</v>
      </c>
      <c r="B738" s="1">
        <v>45167</v>
      </c>
      <c r="C738" s="1" t="str">
        <f>TEXT(Table4_2[[#This Row],[Date]],"dddd")</f>
        <v>Tuesday</v>
      </c>
      <c r="D738" s="21">
        <v>19.2</v>
      </c>
      <c r="E738" s="21">
        <v>51</v>
      </c>
      <c r="F738" s="21">
        <v>692</v>
      </c>
      <c r="G738" s="21">
        <v>6.6</v>
      </c>
      <c r="H738">
        <v>27</v>
      </c>
      <c r="I738">
        <v>66.56</v>
      </c>
      <c r="J738">
        <v>0.51</v>
      </c>
      <c r="K738" t="str" cm="1">
        <f t="array" ref="K738">_xlfn.IFS(Table4_2[[#This Row],[Growth Days]]&lt;=14,"Seedling",Table4_2[[#This Row],[Growth Days]]&lt;=35, "Vegetative",Table4_2[[#This Row],[Growth Days]]&lt;=50, "Maturity")</f>
        <v>Vegetative</v>
      </c>
      <c r="L738" t="str">
        <f>IF(Table4_2[[#This Row],[TDS Value (ppm)]]&lt;560, "Low", IF(Table4_2[[#This Row],[TDS Value (ppm)]]&lt;=800,"Optimal","High"))</f>
        <v>Optimal</v>
      </c>
    </row>
    <row r="739" spans="1:12" x14ac:dyDescent="0.25">
      <c r="A739">
        <v>52</v>
      </c>
      <c r="B739" s="1">
        <v>45174</v>
      </c>
      <c r="C739" s="1" t="str">
        <f>TEXT(Table4_2[[#This Row],[Date]],"dddd")</f>
        <v>Tuesday</v>
      </c>
      <c r="D739" s="21">
        <v>19.7</v>
      </c>
      <c r="E739" s="21">
        <v>57</v>
      </c>
      <c r="F739" s="21">
        <v>762</v>
      </c>
      <c r="G739" s="21">
        <v>6.4</v>
      </c>
      <c r="H739">
        <v>34</v>
      </c>
      <c r="I739">
        <v>67.459999999999994</v>
      </c>
      <c r="J739">
        <v>0.56999999999999995</v>
      </c>
      <c r="K739" t="str" cm="1">
        <f t="array" ref="K739">_xlfn.IFS(Table4_2[[#This Row],[Growth Days]]&lt;=14,"Seedling",Table4_2[[#This Row],[Growth Days]]&lt;=35, "Vegetative",Table4_2[[#This Row],[Growth Days]]&lt;=50, "Maturity")</f>
        <v>Vegetative</v>
      </c>
      <c r="L739" t="str">
        <f>IF(Table4_2[[#This Row],[TDS Value (ppm)]]&lt;560, "Low", IF(Table4_2[[#This Row],[TDS Value (ppm)]]&lt;=800,"Optimal","High"))</f>
        <v>Optimal</v>
      </c>
    </row>
    <row r="740" spans="1:12" x14ac:dyDescent="0.25">
      <c r="A740">
        <v>52</v>
      </c>
      <c r="B740" s="1">
        <v>45181</v>
      </c>
      <c r="C740" s="1" t="str">
        <f>TEXT(Table4_2[[#This Row],[Date]],"dddd")</f>
        <v>Tuesday</v>
      </c>
      <c r="D740" s="21">
        <v>21.5</v>
      </c>
      <c r="E740" s="21">
        <v>76</v>
      </c>
      <c r="F740" s="21">
        <v>796</v>
      </c>
      <c r="G740" s="21">
        <v>6.8</v>
      </c>
      <c r="H740">
        <v>41</v>
      </c>
      <c r="I740">
        <v>70.7</v>
      </c>
      <c r="J740">
        <v>0.76</v>
      </c>
      <c r="K740" t="str" cm="1">
        <f t="array" ref="K740">_xlfn.IFS(Table4_2[[#This Row],[Growth Days]]&lt;=14,"Seedling",Table4_2[[#This Row],[Growth Days]]&lt;=35, "Vegetative",Table4_2[[#This Row],[Growth Days]]&lt;=50, "Maturity")</f>
        <v>Maturity</v>
      </c>
      <c r="L740" t="str">
        <f>IF(Table4_2[[#This Row],[TDS Value (ppm)]]&lt;560, "Low", IF(Table4_2[[#This Row],[TDS Value (ppm)]]&lt;=800,"Optimal","High"))</f>
        <v>Optimal</v>
      </c>
    </row>
    <row r="741" spans="1:12" x14ac:dyDescent="0.25">
      <c r="A741">
        <v>53</v>
      </c>
      <c r="B741" s="1">
        <v>45146</v>
      </c>
      <c r="C741" s="1" t="str">
        <f>TEXT(Table4_2[[#This Row],[Date]],"dddd")</f>
        <v>Tuesday</v>
      </c>
      <c r="D741" s="21">
        <v>22.1</v>
      </c>
      <c r="E741" s="21">
        <v>61</v>
      </c>
      <c r="F741" s="21">
        <v>552</v>
      </c>
      <c r="G741" s="21">
        <v>6.3</v>
      </c>
      <c r="H741">
        <v>6</v>
      </c>
      <c r="I741">
        <v>71.78</v>
      </c>
      <c r="J741">
        <v>0.61</v>
      </c>
      <c r="K741" t="str" cm="1">
        <f t="array" ref="K741">_xlfn.IFS(Table4_2[[#This Row],[Growth Days]]&lt;=14,"Seedling",Table4_2[[#This Row],[Growth Days]]&lt;=35, "Vegetative",Table4_2[[#This Row],[Growth Days]]&lt;=50, "Maturity")</f>
        <v>Seedling</v>
      </c>
      <c r="L741" t="str">
        <f>IF(Table4_2[[#This Row],[TDS Value (ppm)]]&lt;560, "Low", IF(Table4_2[[#This Row],[TDS Value (ppm)]]&lt;=800,"Optimal","High"))</f>
        <v>Low</v>
      </c>
    </row>
    <row r="742" spans="1:12" x14ac:dyDescent="0.25">
      <c r="A742">
        <v>53</v>
      </c>
      <c r="B742" s="1">
        <v>45153</v>
      </c>
      <c r="C742" s="1" t="str">
        <f>TEXT(Table4_2[[#This Row],[Date]],"dddd")</f>
        <v>Tuesday</v>
      </c>
      <c r="D742" s="21">
        <v>22.3</v>
      </c>
      <c r="E742" s="21">
        <v>60</v>
      </c>
      <c r="F742" s="21">
        <v>745</v>
      </c>
      <c r="G742" s="21">
        <v>6.4</v>
      </c>
      <c r="H742">
        <v>13</v>
      </c>
      <c r="I742">
        <v>72.14</v>
      </c>
      <c r="J742">
        <v>0.6</v>
      </c>
      <c r="K742" t="str" cm="1">
        <f t="array" ref="K742">_xlfn.IFS(Table4_2[[#This Row],[Growth Days]]&lt;=14,"Seedling",Table4_2[[#This Row],[Growth Days]]&lt;=35, "Vegetative",Table4_2[[#This Row],[Growth Days]]&lt;=50, "Maturity")</f>
        <v>Seedling</v>
      </c>
      <c r="L742" t="str">
        <f>IF(Table4_2[[#This Row],[TDS Value (ppm)]]&lt;560, "Low", IF(Table4_2[[#This Row],[TDS Value (ppm)]]&lt;=800,"Optimal","High"))</f>
        <v>Optimal</v>
      </c>
    </row>
    <row r="743" spans="1:12" x14ac:dyDescent="0.25">
      <c r="A743">
        <v>53</v>
      </c>
      <c r="B743" s="1">
        <v>45160</v>
      </c>
      <c r="C743" s="1" t="str">
        <f>TEXT(Table4_2[[#This Row],[Date]],"dddd")</f>
        <v>Tuesday</v>
      </c>
      <c r="D743" s="21">
        <v>18.8</v>
      </c>
      <c r="E743" s="21">
        <v>70</v>
      </c>
      <c r="F743" s="21">
        <v>731</v>
      </c>
      <c r="G743" s="21">
        <v>6.3</v>
      </c>
      <c r="H743">
        <v>20</v>
      </c>
      <c r="I743">
        <v>65.84</v>
      </c>
      <c r="J743">
        <v>0.7</v>
      </c>
      <c r="K743" t="str" cm="1">
        <f t="array" ref="K743">_xlfn.IFS(Table4_2[[#This Row],[Growth Days]]&lt;=14,"Seedling",Table4_2[[#This Row],[Growth Days]]&lt;=35, "Vegetative",Table4_2[[#This Row],[Growth Days]]&lt;=50, "Maturity")</f>
        <v>Vegetative</v>
      </c>
      <c r="L743" t="str">
        <f>IF(Table4_2[[#This Row],[TDS Value (ppm)]]&lt;560, "Low", IF(Table4_2[[#This Row],[TDS Value (ppm)]]&lt;=800,"Optimal","High"))</f>
        <v>Optimal</v>
      </c>
    </row>
    <row r="744" spans="1:12" x14ac:dyDescent="0.25">
      <c r="A744">
        <v>53</v>
      </c>
      <c r="B744" s="1">
        <v>45167</v>
      </c>
      <c r="C744" s="1" t="str">
        <f>TEXT(Table4_2[[#This Row],[Date]],"dddd")</f>
        <v>Tuesday</v>
      </c>
      <c r="D744" s="21">
        <v>23.5</v>
      </c>
      <c r="E744" s="21">
        <v>54</v>
      </c>
      <c r="F744" s="21">
        <v>595</v>
      </c>
      <c r="G744" s="21">
        <v>6.3</v>
      </c>
      <c r="H744">
        <v>27</v>
      </c>
      <c r="I744">
        <v>74.3</v>
      </c>
      <c r="J744">
        <v>0.54</v>
      </c>
      <c r="K744" t="str" cm="1">
        <f t="array" ref="K744">_xlfn.IFS(Table4_2[[#This Row],[Growth Days]]&lt;=14,"Seedling",Table4_2[[#This Row],[Growth Days]]&lt;=35, "Vegetative",Table4_2[[#This Row],[Growth Days]]&lt;=50, "Maturity")</f>
        <v>Vegetative</v>
      </c>
      <c r="L744" t="str">
        <f>IF(Table4_2[[#This Row],[TDS Value (ppm)]]&lt;560, "Low", IF(Table4_2[[#This Row],[TDS Value (ppm)]]&lt;=800,"Optimal","High"))</f>
        <v>Optimal</v>
      </c>
    </row>
    <row r="745" spans="1:12" x14ac:dyDescent="0.25">
      <c r="A745">
        <v>53</v>
      </c>
      <c r="B745" s="1">
        <v>45174</v>
      </c>
      <c r="C745" s="1" t="str">
        <f>TEXT(Table4_2[[#This Row],[Date]],"dddd")</f>
        <v>Tuesday</v>
      </c>
      <c r="D745" s="21">
        <v>23.9</v>
      </c>
      <c r="E745" s="21">
        <v>79</v>
      </c>
      <c r="F745" s="21">
        <v>785</v>
      </c>
      <c r="G745" s="21">
        <v>6.4</v>
      </c>
      <c r="H745">
        <v>34</v>
      </c>
      <c r="I745">
        <v>75.02</v>
      </c>
      <c r="J745">
        <v>0.79</v>
      </c>
      <c r="K745" t="str" cm="1">
        <f t="array" ref="K745">_xlfn.IFS(Table4_2[[#This Row],[Growth Days]]&lt;=14,"Seedling",Table4_2[[#This Row],[Growth Days]]&lt;=35, "Vegetative",Table4_2[[#This Row],[Growth Days]]&lt;=50, "Maturity")</f>
        <v>Vegetative</v>
      </c>
      <c r="L745" t="str">
        <f>IF(Table4_2[[#This Row],[TDS Value (ppm)]]&lt;560, "Low", IF(Table4_2[[#This Row],[TDS Value (ppm)]]&lt;=800,"Optimal","High"))</f>
        <v>Optimal</v>
      </c>
    </row>
    <row r="746" spans="1:12" x14ac:dyDescent="0.25">
      <c r="A746">
        <v>53</v>
      </c>
      <c r="B746" s="1">
        <v>45181</v>
      </c>
      <c r="C746" s="1" t="str">
        <f>TEXT(Table4_2[[#This Row],[Date]],"dddd")</f>
        <v>Tuesday</v>
      </c>
      <c r="D746" s="21">
        <v>23.7</v>
      </c>
      <c r="E746" s="21">
        <v>59</v>
      </c>
      <c r="F746" s="21">
        <v>714</v>
      </c>
      <c r="G746" s="21">
        <v>6.2</v>
      </c>
      <c r="H746">
        <v>41</v>
      </c>
      <c r="I746">
        <v>74.66</v>
      </c>
      <c r="J746">
        <v>0.59</v>
      </c>
      <c r="K746" t="str" cm="1">
        <f t="array" ref="K746">_xlfn.IFS(Table4_2[[#This Row],[Growth Days]]&lt;=14,"Seedling",Table4_2[[#This Row],[Growth Days]]&lt;=35, "Vegetative",Table4_2[[#This Row],[Growth Days]]&lt;=50, "Maturity")</f>
        <v>Maturity</v>
      </c>
      <c r="L746" t="str">
        <f>IF(Table4_2[[#This Row],[TDS Value (ppm)]]&lt;560, "Low", IF(Table4_2[[#This Row],[TDS Value (ppm)]]&lt;=800,"Optimal","High"))</f>
        <v>Optimal</v>
      </c>
    </row>
    <row r="747" spans="1:12" x14ac:dyDescent="0.25">
      <c r="A747">
        <v>54</v>
      </c>
      <c r="B747" s="1">
        <v>45146</v>
      </c>
      <c r="C747" s="1" t="str">
        <f>TEXT(Table4_2[[#This Row],[Date]],"dddd")</f>
        <v>Tuesday</v>
      </c>
      <c r="D747" s="21">
        <v>19.399999999999999</v>
      </c>
      <c r="E747" s="21">
        <v>74</v>
      </c>
      <c r="F747" s="21">
        <v>527</v>
      </c>
      <c r="G747" s="21">
        <v>6</v>
      </c>
      <c r="H747">
        <v>6</v>
      </c>
      <c r="I747">
        <v>66.92</v>
      </c>
      <c r="J747">
        <v>0.74</v>
      </c>
      <c r="K747" t="str" cm="1">
        <f t="array" ref="K747">_xlfn.IFS(Table4_2[[#This Row],[Growth Days]]&lt;=14,"Seedling",Table4_2[[#This Row],[Growth Days]]&lt;=35, "Vegetative",Table4_2[[#This Row],[Growth Days]]&lt;=50, "Maturity")</f>
        <v>Seedling</v>
      </c>
      <c r="L747" t="str">
        <f>IF(Table4_2[[#This Row],[TDS Value (ppm)]]&lt;560, "Low", IF(Table4_2[[#This Row],[TDS Value (ppm)]]&lt;=800,"Optimal","High"))</f>
        <v>Low</v>
      </c>
    </row>
    <row r="748" spans="1:12" x14ac:dyDescent="0.25">
      <c r="A748">
        <v>54</v>
      </c>
      <c r="B748" s="1">
        <v>45153</v>
      </c>
      <c r="C748" s="1" t="str">
        <f>TEXT(Table4_2[[#This Row],[Date]],"dddd")</f>
        <v>Tuesday</v>
      </c>
      <c r="D748" s="21">
        <v>24.3</v>
      </c>
      <c r="E748" s="21">
        <v>64</v>
      </c>
      <c r="F748" s="21">
        <v>728</v>
      </c>
      <c r="G748" s="21">
        <v>6.8</v>
      </c>
      <c r="H748">
        <v>13</v>
      </c>
      <c r="I748">
        <v>75.739999999999995</v>
      </c>
      <c r="J748">
        <v>0.64</v>
      </c>
      <c r="K748" t="str" cm="1">
        <f t="array" ref="K748">_xlfn.IFS(Table4_2[[#This Row],[Growth Days]]&lt;=14,"Seedling",Table4_2[[#This Row],[Growth Days]]&lt;=35, "Vegetative",Table4_2[[#This Row],[Growth Days]]&lt;=50, "Maturity")</f>
        <v>Seedling</v>
      </c>
      <c r="L748" t="str">
        <f>IF(Table4_2[[#This Row],[TDS Value (ppm)]]&lt;560, "Low", IF(Table4_2[[#This Row],[TDS Value (ppm)]]&lt;=800,"Optimal","High"))</f>
        <v>Optimal</v>
      </c>
    </row>
    <row r="749" spans="1:12" x14ac:dyDescent="0.25">
      <c r="A749">
        <v>54</v>
      </c>
      <c r="B749" s="1">
        <v>45160</v>
      </c>
      <c r="C749" s="1" t="str">
        <f>TEXT(Table4_2[[#This Row],[Date]],"dddd")</f>
        <v>Tuesday</v>
      </c>
      <c r="D749" s="21">
        <v>18.2</v>
      </c>
      <c r="E749" s="21">
        <v>54</v>
      </c>
      <c r="F749" s="21">
        <v>550</v>
      </c>
      <c r="G749" s="21">
        <v>6.1</v>
      </c>
      <c r="H749">
        <v>20</v>
      </c>
      <c r="I749">
        <v>64.760000000000005</v>
      </c>
      <c r="J749">
        <v>0.54</v>
      </c>
      <c r="K749" t="str" cm="1">
        <f t="array" ref="K749">_xlfn.IFS(Table4_2[[#This Row],[Growth Days]]&lt;=14,"Seedling",Table4_2[[#This Row],[Growth Days]]&lt;=35, "Vegetative",Table4_2[[#This Row],[Growth Days]]&lt;=50, "Maturity")</f>
        <v>Vegetative</v>
      </c>
      <c r="L749" t="str">
        <f>IF(Table4_2[[#This Row],[TDS Value (ppm)]]&lt;560, "Low", IF(Table4_2[[#This Row],[TDS Value (ppm)]]&lt;=800,"Optimal","High"))</f>
        <v>Low</v>
      </c>
    </row>
    <row r="750" spans="1:12" x14ac:dyDescent="0.25">
      <c r="A750">
        <v>54</v>
      </c>
      <c r="B750" s="1">
        <v>45167</v>
      </c>
      <c r="C750" s="1" t="str">
        <f>TEXT(Table4_2[[#This Row],[Date]],"dddd")</f>
        <v>Tuesday</v>
      </c>
      <c r="D750" s="21">
        <v>19</v>
      </c>
      <c r="E750" s="21">
        <v>59</v>
      </c>
      <c r="F750" s="21">
        <v>677</v>
      </c>
      <c r="G750" s="21">
        <v>6.5</v>
      </c>
      <c r="H750">
        <v>27</v>
      </c>
      <c r="I750">
        <v>66.2</v>
      </c>
      <c r="J750">
        <v>0.59</v>
      </c>
      <c r="K750" t="str" cm="1">
        <f t="array" ref="K750">_xlfn.IFS(Table4_2[[#This Row],[Growth Days]]&lt;=14,"Seedling",Table4_2[[#This Row],[Growth Days]]&lt;=35, "Vegetative",Table4_2[[#This Row],[Growth Days]]&lt;=50, "Maturity")</f>
        <v>Vegetative</v>
      </c>
      <c r="L750" t="str">
        <f>IF(Table4_2[[#This Row],[TDS Value (ppm)]]&lt;560, "Low", IF(Table4_2[[#This Row],[TDS Value (ppm)]]&lt;=800,"Optimal","High"))</f>
        <v>Optimal</v>
      </c>
    </row>
    <row r="751" spans="1:12" x14ac:dyDescent="0.25">
      <c r="A751">
        <v>54</v>
      </c>
      <c r="B751" s="1">
        <v>45174</v>
      </c>
      <c r="C751" s="1" t="str">
        <f>TEXT(Table4_2[[#This Row],[Date]],"dddd")</f>
        <v>Tuesday</v>
      </c>
      <c r="D751" s="21">
        <v>23.9</v>
      </c>
      <c r="E751" s="21">
        <v>57</v>
      </c>
      <c r="F751" s="21">
        <v>724</v>
      </c>
      <c r="G751" s="21">
        <v>6.3</v>
      </c>
      <c r="H751">
        <v>34</v>
      </c>
      <c r="I751">
        <v>75.02</v>
      </c>
      <c r="J751">
        <v>0.56999999999999995</v>
      </c>
      <c r="K751" t="str" cm="1">
        <f t="array" ref="K751">_xlfn.IFS(Table4_2[[#This Row],[Growth Days]]&lt;=14,"Seedling",Table4_2[[#This Row],[Growth Days]]&lt;=35, "Vegetative",Table4_2[[#This Row],[Growth Days]]&lt;=50, "Maturity")</f>
        <v>Vegetative</v>
      </c>
      <c r="L751" t="str">
        <f>IF(Table4_2[[#This Row],[TDS Value (ppm)]]&lt;560, "Low", IF(Table4_2[[#This Row],[TDS Value (ppm)]]&lt;=800,"Optimal","High"))</f>
        <v>Optimal</v>
      </c>
    </row>
    <row r="752" spans="1:12" x14ac:dyDescent="0.25">
      <c r="A752">
        <v>54</v>
      </c>
      <c r="B752" s="1">
        <v>45181</v>
      </c>
      <c r="C752" s="1" t="str">
        <f>TEXT(Table4_2[[#This Row],[Date]],"dddd")</f>
        <v>Tuesday</v>
      </c>
      <c r="D752" s="21">
        <v>19.5</v>
      </c>
      <c r="E752" s="21">
        <v>55</v>
      </c>
      <c r="F752" s="21">
        <v>414</v>
      </c>
      <c r="G752" s="21">
        <v>6.3</v>
      </c>
      <c r="H752">
        <v>41</v>
      </c>
      <c r="I752">
        <v>67.099999999999994</v>
      </c>
      <c r="J752">
        <v>0.55000000000000004</v>
      </c>
      <c r="K752" t="str" cm="1">
        <f t="array" ref="K752">_xlfn.IFS(Table4_2[[#This Row],[Growth Days]]&lt;=14,"Seedling",Table4_2[[#This Row],[Growth Days]]&lt;=35, "Vegetative",Table4_2[[#This Row],[Growth Days]]&lt;=50, "Maturity")</f>
        <v>Maturity</v>
      </c>
      <c r="L752" t="str">
        <f>IF(Table4_2[[#This Row],[TDS Value (ppm)]]&lt;560, "Low", IF(Table4_2[[#This Row],[TDS Value (ppm)]]&lt;=800,"Optimal","High"))</f>
        <v>Low</v>
      </c>
    </row>
    <row r="753" spans="1:12" x14ac:dyDescent="0.25">
      <c r="A753">
        <v>55</v>
      </c>
      <c r="B753" s="1">
        <v>45146</v>
      </c>
      <c r="C753" s="1" t="str">
        <f>TEXT(Table4_2[[#This Row],[Date]],"dddd")</f>
        <v>Tuesday</v>
      </c>
      <c r="D753" s="21">
        <v>18.8</v>
      </c>
      <c r="E753" s="21">
        <v>64</v>
      </c>
      <c r="F753" s="21">
        <v>656</v>
      </c>
      <c r="G753" s="21">
        <v>6.5</v>
      </c>
      <c r="H753">
        <v>6</v>
      </c>
      <c r="I753">
        <v>65.84</v>
      </c>
      <c r="J753">
        <v>0.64</v>
      </c>
      <c r="K753" t="str" cm="1">
        <f t="array" ref="K753">_xlfn.IFS(Table4_2[[#This Row],[Growth Days]]&lt;=14,"Seedling",Table4_2[[#This Row],[Growth Days]]&lt;=35, "Vegetative",Table4_2[[#This Row],[Growth Days]]&lt;=50, "Maturity")</f>
        <v>Seedling</v>
      </c>
      <c r="L753" t="str">
        <f>IF(Table4_2[[#This Row],[TDS Value (ppm)]]&lt;560, "Low", IF(Table4_2[[#This Row],[TDS Value (ppm)]]&lt;=800,"Optimal","High"))</f>
        <v>Optimal</v>
      </c>
    </row>
    <row r="754" spans="1:12" x14ac:dyDescent="0.25">
      <c r="A754">
        <v>55</v>
      </c>
      <c r="B754" s="1">
        <v>45153</v>
      </c>
      <c r="C754" s="1" t="str">
        <f>TEXT(Table4_2[[#This Row],[Date]],"dddd")</f>
        <v>Tuesday</v>
      </c>
      <c r="D754" s="21">
        <v>18</v>
      </c>
      <c r="E754" s="21">
        <v>53</v>
      </c>
      <c r="F754" s="21">
        <v>443</v>
      </c>
      <c r="G754" s="21">
        <v>6.5</v>
      </c>
      <c r="H754">
        <v>13</v>
      </c>
      <c r="I754">
        <v>64.400000000000006</v>
      </c>
      <c r="J754">
        <v>0.53</v>
      </c>
      <c r="K754" t="str" cm="1">
        <f t="array" ref="K754">_xlfn.IFS(Table4_2[[#This Row],[Growth Days]]&lt;=14,"Seedling",Table4_2[[#This Row],[Growth Days]]&lt;=35, "Vegetative",Table4_2[[#This Row],[Growth Days]]&lt;=50, "Maturity")</f>
        <v>Seedling</v>
      </c>
      <c r="L754" t="str">
        <f>IF(Table4_2[[#This Row],[TDS Value (ppm)]]&lt;560, "Low", IF(Table4_2[[#This Row],[TDS Value (ppm)]]&lt;=800,"Optimal","High"))</f>
        <v>Low</v>
      </c>
    </row>
    <row r="755" spans="1:12" x14ac:dyDescent="0.25">
      <c r="A755">
        <v>55</v>
      </c>
      <c r="B755" s="1">
        <v>45160</v>
      </c>
      <c r="C755" s="1" t="str">
        <f>TEXT(Table4_2[[#This Row],[Date]],"dddd")</f>
        <v>Tuesday</v>
      </c>
      <c r="D755" s="21">
        <v>24.7</v>
      </c>
      <c r="E755" s="21">
        <v>56</v>
      </c>
      <c r="F755" s="21">
        <v>701</v>
      </c>
      <c r="G755" s="21">
        <v>6.7</v>
      </c>
      <c r="H755">
        <v>20</v>
      </c>
      <c r="I755">
        <v>76.459999999999994</v>
      </c>
      <c r="J755">
        <v>0.56000000000000005</v>
      </c>
      <c r="K755" t="str" cm="1">
        <f t="array" ref="K755">_xlfn.IFS(Table4_2[[#This Row],[Growth Days]]&lt;=14,"Seedling",Table4_2[[#This Row],[Growth Days]]&lt;=35, "Vegetative",Table4_2[[#This Row],[Growth Days]]&lt;=50, "Maturity")</f>
        <v>Vegetative</v>
      </c>
      <c r="L755" t="str">
        <f>IF(Table4_2[[#This Row],[TDS Value (ppm)]]&lt;560, "Low", IF(Table4_2[[#This Row],[TDS Value (ppm)]]&lt;=800,"Optimal","High"))</f>
        <v>Optimal</v>
      </c>
    </row>
    <row r="756" spans="1:12" x14ac:dyDescent="0.25">
      <c r="A756">
        <v>55</v>
      </c>
      <c r="B756" s="1">
        <v>45167</v>
      </c>
      <c r="C756" s="1" t="str">
        <f>TEXT(Table4_2[[#This Row],[Date]],"dddd")</f>
        <v>Tuesday</v>
      </c>
      <c r="D756" s="21">
        <v>19.100000000000001</v>
      </c>
      <c r="E756" s="21">
        <v>68</v>
      </c>
      <c r="F756" s="21">
        <v>474</v>
      </c>
      <c r="G756" s="21">
        <v>6.4</v>
      </c>
      <c r="H756">
        <v>27</v>
      </c>
      <c r="I756">
        <v>66.38</v>
      </c>
      <c r="J756">
        <v>0.68</v>
      </c>
      <c r="K756" t="str" cm="1">
        <f t="array" ref="K756">_xlfn.IFS(Table4_2[[#This Row],[Growth Days]]&lt;=14,"Seedling",Table4_2[[#This Row],[Growth Days]]&lt;=35, "Vegetative",Table4_2[[#This Row],[Growth Days]]&lt;=50, "Maturity")</f>
        <v>Vegetative</v>
      </c>
      <c r="L756" t="str">
        <f>IF(Table4_2[[#This Row],[TDS Value (ppm)]]&lt;560, "Low", IF(Table4_2[[#This Row],[TDS Value (ppm)]]&lt;=800,"Optimal","High"))</f>
        <v>Low</v>
      </c>
    </row>
    <row r="757" spans="1:12" x14ac:dyDescent="0.25">
      <c r="A757">
        <v>55</v>
      </c>
      <c r="B757" s="1">
        <v>45174</v>
      </c>
      <c r="C757" s="1" t="str">
        <f>TEXT(Table4_2[[#This Row],[Date]],"dddd")</f>
        <v>Tuesday</v>
      </c>
      <c r="D757" s="21">
        <v>22.9</v>
      </c>
      <c r="E757" s="21">
        <v>69</v>
      </c>
      <c r="F757" s="21">
        <v>432</v>
      </c>
      <c r="G757" s="21">
        <v>6.5</v>
      </c>
      <c r="H757">
        <v>34</v>
      </c>
      <c r="I757">
        <v>73.22</v>
      </c>
      <c r="J757">
        <v>0.69</v>
      </c>
      <c r="K757" t="str" cm="1">
        <f t="array" ref="K757">_xlfn.IFS(Table4_2[[#This Row],[Growth Days]]&lt;=14,"Seedling",Table4_2[[#This Row],[Growth Days]]&lt;=35, "Vegetative",Table4_2[[#This Row],[Growth Days]]&lt;=50, "Maturity")</f>
        <v>Vegetative</v>
      </c>
      <c r="L757" t="str">
        <f>IF(Table4_2[[#This Row],[TDS Value (ppm)]]&lt;560, "Low", IF(Table4_2[[#This Row],[TDS Value (ppm)]]&lt;=800,"Optimal","High"))</f>
        <v>Low</v>
      </c>
    </row>
    <row r="758" spans="1:12" x14ac:dyDescent="0.25">
      <c r="A758">
        <v>55</v>
      </c>
      <c r="B758" s="1">
        <v>45181</v>
      </c>
      <c r="C758" s="1" t="str">
        <f>TEXT(Table4_2[[#This Row],[Date]],"dddd")</f>
        <v>Tuesday</v>
      </c>
      <c r="D758" s="21">
        <v>24.8</v>
      </c>
      <c r="E758" s="21">
        <v>73</v>
      </c>
      <c r="F758" s="21">
        <v>479</v>
      </c>
      <c r="G758" s="21">
        <v>6.4</v>
      </c>
      <c r="H758">
        <v>41</v>
      </c>
      <c r="I758">
        <v>76.64</v>
      </c>
      <c r="J758">
        <v>0.73</v>
      </c>
      <c r="K758" t="str" cm="1">
        <f t="array" ref="K758">_xlfn.IFS(Table4_2[[#This Row],[Growth Days]]&lt;=14,"Seedling",Table4_2[[#This Row],[Growth Days]]&lt;=35, "Vegetative",Table4_2[[#This Row],[Growth Days]]&lt;=50, "Maturity")</f>
        <v>Maturity</v>
      </c>
      <c r="L758" t="str">
        <f>IF(Table4_2[[#This Row],[TDS Value (ppm)]]&lt;560, "Low", IF(Table4_2[[#This Row],[TDS Value (ppm)]]&lt;=800,"Optimal","High"))</f>
        <v>Low</v>
      </c>
    </row>
    <row r="759" spans="1:12" x14ac:dyDescent="0.25">
      <c r="A759">
        <v>55</v>
      </c>
      <c r="B759" s="1">
        <v>45188</v>
      </c>
      <c r="C759" s="1" t="str">
        <f>TEXT(Table4_2[[#This Row],[Date]],"dddd")</f>
        <v>Tuesday</v>
      </c>
      <c r="D759" s="21">
        <v>31.5</v>
      </c>
      <c r="E759" s="21">
        <v>51</v>
      </c>
      <c r="F759" s="21">
        <v>527</v>
      </c>
      <c r="G759" s="21">
        <v>6.2</v>
      </c>
      <c r="H759">
        <v>48</v>
      </c>
      <c r="I759">
        <v>88.7</v>
      </c>
      <c r="J759">
        <v>0.51</v>
      </c>
      <c r="K759" t="str" cm="1">
        <f t="array" ref="K759">_xlfn.IFS(Table4_2[[#This Row],[Growth Days]]&lt;=14,"Seedling",Table4_2[[#This Row],[Growth Days]]&lt;=35, "Vegetative",Table4_2[[#This Row],[Growth Days]]&lt;=50, "Maturity")</f>
        <v>Maturity</v>
      </c>
      <c r="L759" t="str">
        <f>IF(Table4_2[[#This Row],[TDS Value (ppm)]]&lt;560, "Low", IF(Table4_2[[#This Row],[TDS Value (ppm)]]&lt;=800,"Optimal","High"))</f>
        <v>Low</v>
      </c>
    </row>
    <row r="760" spans="1:12" x14ac:dyDescent="0.25">
      <c r="A760">
        <v>56</v>
      </c>
      <c r="B760" s="1">
        <v>45146</v>
      </c>
      <c r="C760" s="1" t="str">
        <f>TEXT(Table4_2[[#This Row],[Date]],"dddd")</f>
        <v>Tuesday</v>
      </c>
      <c r="D760" s="21">
        <v>24.4</v>
      </c>
      <c r="E760" s="21">
        <v>56</v>
      </c>
      <c r="F760" s="21">
        <v>775</v>
      </c>
      <c r="G760" s="21">
        <v>6.7</v>
      </c>
      <c r="H760">
        <v>6</v>
      </c>
      <c r="I760">
        <v>75.92</v>
      </c>
      <c r="J760">
        <v>0.56000000000000005</v>
      </c>
      <c r="K760" t="str" cm="1">
        <f t="array" ref="K760">_xlfn.IFS(Table4_2[[#This Row],[Growth Days]]&lt;=14,"Seedling",Table4_2[[#This Row],[Growth Days]]&lt;=35, "Vegetative",Table4_2[[#This Row],[Growth Days]]&lt;=50, "Maturity")</f>
        <v>Seedling</v>
      </c>
      <c r="L760" t="str">
        <f>IF(Table4_2[[#This Row],[TDS Value (ppm)]]&lt;560, "Low", IF(Table4_2[[#This Row],[TDS Value (ppm)]]&lt;=800,"Optimal","High"))</f>
        <v>Optimal</v>
      </c>
    </row>
    <row r="761" spans="1:12" x14ac:dyDescent="0.25">
      <c r="A761">
        <v>56</v>
      </c>
      <c r="B761" s="1">
        <v>45153</v>
      </c>
      <c r="C761" s="1" t="str">
        <f>TEXT(Table4_2[[#This Row],[Date]],"dddd")</f>
        <v>Tuesday</v>
      </c>
      <c r="D761" s="21">
        <v>20.2</v>
      </c>
      <c r="E761" s="21">
        <v>66</v>
      </c>
      <c r="F761" s="21">
        <v>696</v>
      </c>
      <c r="G761" s="21">
        <v>6.6</v>
      </c>
      <c r="H761">
        <v>13</v>
      </c>
      <c r="I761">
        <v>68.36</v>
      </c>
      <c r="J761">
        <v>0.66</v>
      </c>
      <c r="K761" t="str" cm="1">
        <f t="array" ref="K761">_xlfn.IFS(Table4_2[[#This Row],[Growth Days]]&lt;=14,"Seedling",Table4_2[[#This Row],[Growth Days]]&lt;=35, "Vegetative",Table4_2[[#This Row],[Growth Days]]&lt;=50, "Maturity")</f>
        <v>Seedling</v>
      </c>
      <c r="L761" t="str">
        <f>IF(Table4_2[[#This Row],[TDS Value (ppm)]]&lt;560, "Low", IF(Table4_2[[#This Row],[TDS Value (ppm)]]&lt;=800,"Optimal","High"))</f>
        <v>Optimal</v>
      </c>
    </row>
    <row r="762" spans="1:12" x14ac:dyDescent="0.25">
      <c r="A762">
        <v>56</v>
      </c>
      <c r="B762" s="1">
        <v>45160</v>
      </c>
      <c r="C762" s="1" t="str">
        <f>TEXT(Table4_2[[#This Row],[Date]],"dddd")</f>
        <v>Tuesday</v>
      </c>
      <c r="D762" s="21">
        <v>23.7</v>
      </c>
      <c r="E762" s="21">
        <v>54</v>
      </c>
      <c r="F762" s="21">
        <v>755</v>
      </c>
      <c r="G762" s="21">
        <v>6.1</v>
      </c>
      <c r="H762">
        <v>20</v>
      </c>
      <c r="I762">
        <v>74.66</v>
      </c>
      <c r="J762">
        <v>0.54</v>
      </c>
      <c r="K762" t="str" cm="1">
        <f t="array" ref="K762">_xlfn.IFS(Table4_2[[#This Row],[Growth Days]]&lt;=14,"Seedling",Table4_2[[#This Row],[Growth Days]]&lt;=35, "Vegetative",Table4_2[[#This Row],[Growth Days]]&lt;=50, "Maturity")</f>
        <v>Vegetative</v>
      </c>
      <c r="L762" t="str">
        <f>IF(Table4_2[[#This Row],[TDS Value (ppm)]]&lt;560, "Low", IF(Table4_2[[#This Row],[TDS Value (ppm)]]&lt;=800,"Optimal","High"))</f>
        <v>Optimal</v>
      </c>
    </row>
    <row r="763" spans="1:12" x14ac:dyDescent="0.25">
      <c r="A763">
        <v>56</v>
      </c>
      <c r="B763" s="1">
        <v>45167</v>
      </c>
      <c r="C763" s="1" t="str">
        <f>TEXT(Table4_2[[#This Row],[Date]],"dddd")</f>
        <v>Tuesday</v>
      </c>
      <c r="D763" s="21">
        <v>20</v>
      </c>
      <c r="E763" s="21">
        <v>60</v>
      </c>
      <c r="F763" s="21">
        <v>671</v>
      </c>
      <c r="G763" s="21">
        <v>6.5</v>
      </c>
      <c r="H763">
        <v>27</v>
      </c>
      <c r="I763">
        <v>68</v>
      </c>
      <c r="J763">
        <v>0.6</v>
      </c>
      <c r="K763" t="str" cm="1">
        <f t="array" ref="K763">_xlfn.IFS(Table4_2[[#This Row],[Growth Days]]&lt;=14,"Seedling",Table4_2[[#This Row],[Growth Days]]&lt;=35, "Vegetative",Table4_2[[#This Row],[Growth Days]]&lt;=50, "Maturity")</f>
        <v>Vegetative</v>
      </c>
      <c r="L763" t="str">
        <f>IF(Table4_2[[#This Row],[TDS Value (ppm)]]&lt;560, "Low", IF(Table4_2[[#This Row],[TDS Value (ppm)]]&lt;=800,"Optimal","High"))</f>
        <v>Optimal</v>
      </c>
    </row>
    <row r="764" spans="1:12" x14ac:dyDescent="0.25">
      <c r="A764">
        <v>56</v>
      </c>
      <c r="B764" s="1">
        <v>45174</v>
      </c>
      <c r="C764" s="1" t="str">
        <f>TEXT(Table4_2[[#This Row],[Date]],"dddd")</f>
        <v>Tuesday</v>
      </c>
      <c r="D764" s="21">
        <v>24.1</v>
      </c>
      <c r="E764" s="21">
        <v>58</v>
      </c>
      <c r="F764" s="21">
        <v>536</v>
      </c>
      <c r="G764" s="21">
        <v>6.5</v>
      </c>
      <c r="H764">
        <v>34</v>
      </c>
      <c r="I764">
        <v>75.38</v>
      </c>
      <c r="J764">
        <v>0.57999999999999996</v>
      </c>
      <c r="K764" t="str" cm="1">
        <f t="array" ref="K764">_xlfn.IFS(Table4_2[[#This Row],[Growth Days]]&lt;=14,"Seedling",Table4_2[[#This Row],[Growth Days]]&lt;=35, "Vegetative",Table4_2[[#This Row],[Growth Days]]&lt;=50, "Maturity")</f>
        <v>Vegetative</v>
      </c>
      <c r="L764" t="str">
        <f>IF(Table4_2[[#This Row],[TDS Value (ppm)]]&lt;560, "Low", IF(Table4_2[[#This Row],[TDS Value (ppm)]]&lt;=800,"Optimal","High"))</f>
        <v>Low</v>
      </c>
    </row>
    <row r="765" spans="1:12" x14ac:dyDescent="0.25">
      <c r="A765">
        <v>56</v>
      </c>
      <c r="B765" s="1">
        <v>45181</v>
      </c>
      <c r="C765" s="1" t="str">
        <f>TEXT(Table4_2[[#This Row],[Date]],"dddd")</f>
        <v>Tuesday</v>
      </c>
      <c r="D765" s="21">
        <v>18.100000000000001</v>
      </c>
      <c r="E765" s="21">
        <v>64</v>
      </c>
      <c r="F765" s="21">
        <v>676</v>
      </c>
      <c r="G765" s="21">
        <v>6.4</v>
      </c>
      <c r="H765">
        <v>41</v>
      </c>
      <c r="I765">
        <v>64.58</v>
      </c>
      <c r="J765">
        <v>0.64</v>
      </c>
      <c r="K765" t="str" cm="1">
        <f t="array" ref="K765">_xlfn.IFS(Table4_2[[#This Row],[Growth Days]]&lt;=14,"Seedling",Table4_2[[#This Row],[Growth Days]]&lt;=35, "Vegetative",Table4_2[[#This Row],[Growth Days]]&lt;=50, "Maturity")</f>
        <v>Maturity</v>
      </c>
      <c r="L765" t="str">
        <f>IF(Table4_2[[#This Row],[TDS Value (ppm)]]&lt;560, "Low", IF(Table4_2[[#This Row],[TDS Value (ppm)]]&lt;=800,"Optimal","High"))</f>
        <v>Optimal</v>
      </c>
    </row>
    <row r="766" spans="1:12" x14ac:dyDescent="0.25">
      <c r="A766">
        <v>57</v>
      </c>
      <c r="B766" s="1">
        <v>45146</v>
      </c>
      <c r="C766" s="1" t="str">
        <f>TEXT(Table4_2[[#This Row],[Date]],"dddd")</f>
        <v>Tuesday</v>
      </c>
      <c r="D766" s="21">
        <v>20.7</v>
      </c>
      <c r="E766" s="21">
        <v>72</v>
      </c>
      <c r="F766" s="21">
        <v>493</v>
      </c>
      <c r="G766" s="21">
        <v>6.2</v>
      </c>
      <c r="H766">
        <v>6</v>
      </c>
      <c r="I766">
        <v>69.260000000000005</v>
      </c>
      <c r="J766">
        <v>0.72</v>
      </c>
      <c r="K766" t="str" cm="1">
        <f t="array" ref="K766">_xlfn.IFS(Table4_2[[#This Row],[Growth Days]]&lt;=14,"Seedling",Table4_2[[#This Row],[Growth Days]]&lt;=35, "Vegetative",Table4_2[[#This Row],[Growth Days]]&lt;=50, "Maturity")</f>
        <v>Seedling</v>
      </c>
      <c r="L766" t="str">
        <f>IF(Table4_2[[#This Row],[TDS Value (ppm)]]&lt;560, "Low", IF(Table4_2[[#This Row],[TDS Value (ppm)]]&lt;=800,"Optimal","High"))</f>
        <v>Low</v>
      </c>
    </row>
    <row r="767" spans="1:12" x14ac:dyDescent="0.25">
      <c r="A767">
        <v>57</v>
      </c>
      <c r="B767" s="1">
        <v>45153</v>
      </c>
      <c r="C767" s="1" t="str">
        <f>TEXT(Table4_2[[#This Row],[Date]],"dddd")</f>
        <v>Tuesday</v>
      </c>
      <c r="D767" s="21">
        <v>22.8</v>
      </c>
      <c r="E767" s="21">
        <v>70</v>
      </c>
      <c r="F767" s="21">
        <v>658</v>
      </c>
      <c r="G767" s="21">
        <v>6.3</v>
      </c>
      <c r="H767">
        <v>13</v>
      </c>
      <c r="I767">
        <v>73.040000000000006</v>
      </c>
      <c r="J767">
        <v>0.7</v>
      </c>
      <c r="K767" t="str" cm="1">
        <f t="array" ref="K767">_xlfn.IFS(Table4_2[[#This Row],[Growth Days]]&lt;=14,"Seedling",Table4_2[[#This Row],[Growth Days]]&lt;=35, "Vegetative",Table4_2[[#This Row],[Growth Days]]&lt;=50, "Maturity")</f>
        <v>Seedling</v>
      </c>
      <c r="L767" t="str">
        <f>IF(Table4_2[[#This Row],[TDS Value (ppm)]]&lt;560, "Low", IF(Table4_2[[#This Row],[TDS Value (ppm)]]&lt;=800,"Optimal","High"))</f>
        <v>Optimal</v>
      </c>
    </row>
    <row r="768" spans="1:12" x14ac:dyDescent="0.25">
      <c r="A768">
        <v>57</v>
      </c>
      <c r="B768" s="1">
        <v>45160</v>
      </c>
      <c r="C768" s="1" t="str">
        <f>TEXT(Table4_2[[#This Row],[Date]],"dddd")</f>
        <v>Tuesday</v>
      </c>
      <c r="D768" s="21">
        <v>19.8</v>
      </c>
      <c r="E768" s="21">
        <v>55</v>
      </c>
      <c r="F768" s="21">
        <v>718</v>
      </c>
      <c r="G768" s="21">
        <v>6.3</v>
      </c>
      <c r="H768">
        <v>20</v>
      </c>
      <c r="I768">
        <v>67.64</v>
      </c>
      <c r="J768">
        <v>0.55000000000000004</v>
      </c>
      <c r="K768" t="str" cm="1">
        <f t="array" ref="K768">_xlfn.IFS(Table4_2[[#This Row],[Growth Days]]&lt;=14,"Seedling",Table4_2[[#This Row],[Growth Days]]&lt;=35, "Vegetative",Table4_2[[#This Row],[Growth Days]]&lt;=50, "Maturity")</f>
        <v>Vegetative</v>
      </c>
      <c r="L768" t="str">
        <f>IF(Table4_2[[#This Row],[TDS Value (ppm)]]&lt;560, "Low", IF(Table4_2[[#This Row],[TDS Value (ppm)]]&lt;=800,"Optimal","High"))</f>
        <v>Optimal</v>
      </c>
    </row>
    <row r="769" spans="1:12" x14ac:dyDescent="0.25">
      <c r="A769">
        <v>57</v>
      </c>
      <c r="B769" s="1">
        <v>45167</v>
      </c>
      <c r="C769" s="1" t="str">
        <f>TEXT(Table4_2[[#This Row],[Date]],"dddd")</f>
        <v>Tuesday</v>
      </c>
      <c r="D769" s="21">
        <v>24.8</v>
      </c>
      <c r="E769" s="21">
        <v>66</v>
      </c>
      <c r="F769" s="21">
        <v>796</v>
      </c>
      <c r="G769" s="21">
        <v>6.1</v>
      </c>
      <c r="H769">
        <v>27</v>
      </c>
      <c r="I769">
        <v>76.64</v>
      </c>
      <c r="J769">
        <v>0.66</v>
      </c>
      <c r="K769" t="str" cm="1">
        <f t="array" ref="K769">_xlfn.IFS(Table4_2[[#This Row],[Growth Days]]&lt;=14,"Seedling",Table4_2[[#This Row],[Growth Days]]&lt;=35, "Vegetative",Table4_2[[#This Row],[Growth Days]]&lt;=50, "Maturity")</f>
        <v>Vegetative</v>
      </c>
      <c r="L769" t="str">
        <f>IF(Table4_2[[#This Row],[TDS Value (ppm)]]&lt;560, "Low", IF(Table4_2[[#This Row],[TDS Value (ppm)]]&lt;=800,"Optimal","High"))</f>
        <v>Optimal</v>
      </c>
    </row>
    <row r="770" spans="1:12" x14ac:dyDescent="0.25">
      <c r="A770">
        <v>57</v>
      </c>
      <c r="B770" s="1">
        <v>45174</v>
      </c>
      <c r="C770" s="1" t="str">
        <f>TEXT(Table4_2[[#This Row],[Date]],"dddd")</f>
        <v>Tuesday</v>
      </c>
      <c r="D770" s="21">
        <v>19.2</v>
      </c>
      <c r="E770" s="21">
        <v>61</v>
      </c>
      <c r="F770" s="21">
        <v>772</v>
      </c>
      <c r="G770" s="21">
        <v>6.7</v>
      </c>
      <c r="H770">
        <v>34</v>
      </c>
      <c r="I770">
        <v>66.56</v>
      </c>
      <c r="J770">
        <v>0.61</v>
      </c>
      <c r="K770" t="str" cm="1">
        <f t="array" ref="K770">_xlfn.IFS(Table4_2[[#This Row],[Growth Days]]&lt;=14,"Seedling",Table4_2[[#This Row],[Growth Days]]&lt;=35, "Vegetative",Table4_2[[#This Row],[Growth Days]]&lt;=50, "Maturity")</f>
        <v>Vegetative</v>
      </c>
      <c r="L770" t="str">
        <f>IF(Table4_2[[#This Row],[TDS Value (ppm)]]&lt;560, "Low", IF(Table4_2[[#This Row],[TDS Value (ppm)]]&lt;=800,"Optimal","High"))</f>
        <v>Optimal</v>
      </c>
    </row>
    <row r="771" spans="1:12" x14ac:dyDescent="0.25">
      <c r="A771">
        <v>57</v>
      </c>
      <c r="B771" s="1">
        <v>45181</v>
      </c>
      <c r="C771" s="1" t="str">
        <f>TEXT(Table4_2[[#This Row],[Date]],"dddd")</f>
        <v>Tuesday</v>
      </c>
      <c r="D771" s="21">
        <v>21.2</v>
      </c>
      <c r="E771" s="21">
        <v>56</v>
      </c>
      <c r="F771" s="21">
        <v>595</v>
      </c>
      <c r="G771" s="21">
        <v>6.3</v>
      </c>
      <c r="H771">
        <v>41</v>
      </c>
      <c r="I771">
        <v>70.16</v>
      </c>
      <c r="J771">
        <v>0.56000000000000005</v>
      </c>
      <c r="K771" t="str" cm="1">
        <f t="array" ref="K771">_xlfn.IFS(Table4_2[[#This Row],[Growth Days]]&lt;=14,"Seedling",Table4_2[[#This Row],[Growth Days]]&lt;=35, "Vegetative",Table4_2[[#This Row],[Growth Days]]&lt;=50, "Maturity")</f>
        <v>Maturity</v>
      </c>
      <c r="L771" t="str">
        <f>IF(Table4_2[[#This Row],[TDS Value (ppm)]]&lt;560, "Low", IF(Table4_2[[#This Row],[TDS Value (ppm)]]&lt;=800,"Optimal","High"))</f>
        <v>Optimal</v>
      </c>
    </row>
    <row r="772" spans="1:12" x14ac:dyDescent="0.25">
      <c r="A772">
        <v>58</v>
      </c>
      <c r="B772" s="1">
        <v>45146</v>
      </c>
      <c r="C772" s="1" t="str">
        <f>TEXT(Table4_2[[#This Row],[Date]],"dddd")</f>
        <v>Tuesday</v>
      </c>
      <c r="D772" s="21">
        <v>24.4</v>
      </c>
      <c r="E772" s="21">
        <v>55</v>
      </c>
      <c r="F772" s="21">
        <v>404</v>
      </c>
      <c r="G772" s="21">
        <v>6.4</v>
      </c>
      <c r="H772">
        <v>6</v>
      </c>
      <c r="I772">
        <v>75.92</v>
      </c>
      <c r="J772">
        <v>0.55000000000000004</v>
      </c>
      <c r="K772" t="str" cm="1">
        <f t="array" ref="K772">_xlfn.IFS(Table4_2[[#This Row],[Growth Days]]&lt;=14,"Seedling",Table4_2[[#This Row],[Growth Days]]&lt;=35, "Vegetative",Table4_2[[#This Row],[Growth Days]]&lt;=50, "Maturity")</f>
        <v>Seedling</v>
      </c>
      <c r="L772" t="str">
        <f>IF(Table4_2[[#This Row],[TDS Value (ppm)]]&lt;560, "Low", IF(Table4_2[[#This Row],[TDS Value (ppm)]]&lt;=800,"Optimal","High"))</f>
        <v>Low</v>
      </c>
    </row>
    <row r="773" spans="1:12" x14ac:dyDescent="0.25">
      <c r="A773">
        <v>58</v>
      </c>
      <c r="B773" s="1">
        <v>45153</v>
      </c>
      <c r="C773" s="1" t="str">
        <f>TEXT(Table4_2[[#This Row],[Date]],"dddd")</f>
        <v>Tuesday</v>
      </c>
      <c r="D773" s="21">
        <v>23.6</v>
      </c>
      <c r="E773" s="21">
        <v>53</v>
      </c>
      <c r="F773" s="21">
        <v>581</v>
      </c>
      <c r="G773" s="21">
        <v>6.5</v>
      </c>
      <c r="H773">
        <v>13</v>
      </c>
      <c r="I773">
        <v>74.48</v>
      </c>
      <c r="J773">
        <v>0.53</v>
      </c>
      <c r="K773" t="str" cm="1">
        <f t="array" ref="K773">_xlfn.IFS(Table4_2[[#This Row],[Growth Days]]&lt;=14,"Seedling",Table4_2[[#This Row],[Growth Days]]&lt;=35, "Vegetative",Table4_2[[#This Row],[Growth Days]]&lt;=50, "Maturity")</f>
        <v>Seedling</v>
      </c>
      <c r="L773" t="str">
        <f>IF(Table4_2[[#This Row],[TDS Value (ppm)]]&lt;560, "Low", IF(Table4_2[[#This Row],[TDS Value (ppm)]]&lt;=800,"Optimal","High"))</f>
        <v>Optimal</v>
      </c>
    </row>
    <row r="774" spans="1:12" x14ac:dyDescent="0.25">
      <c r="A774">
        <v>58</v>
      </c>
      <c r="B774" s="1">
        <v>45160</v>
      </c>
      <c r="C774" s="1" t="str">
        <f>TEXT(Table4_2[[#This Row],[Date]],"dddd")</f>
        <v>Tuesday</v>
      </c>
      <c r="D774" s="21">
        <v>21.3</v>
      </c>
      <c r="E774" s="21">
        <v>80</v>
      </c>
      <c r="F774" s="21">
        <v>703</v>
      </c>
      <c r="G774" s="21">
        <v>6.8</v>
      </c>
      <c r="H774">
        <v>20</v>
      </c>
      <c r="I774">
        <v>70.34</v>
      </c>
      <c r="J774">
        <v>0.8</v>
      </c>
      <c r="K774" t="str" cm="1">
        <f t="array" ref="K774">_xlfn.IFS(Table4_2[[#This Row],[Growth Days]]&lt;=14,"Seedling",Table4_2[[#This Row],[Growth Days]]&lt;=35, "Vegetative",Table4_2[[#This Row],[Growth Days]]&lt;=50, "Maturity")</f>
        <v>Vegetative</v>
      </c>
      <c r="L774" t="str">
        <f>IF(Table4_2[[#This Row],[TDS Value (ppm)]]&lt;560, "Low", IF(Table4_2[[#This Row],[TDS Value (ppm)]]&lt;=800,"Optimal","High"))</f>
        <v>Optimal</v>
      </c>
    </row>
    <row r="775" spans="1:12" x14ac:dyDescent="0.25">
      <c r="A775">
        <v>58</v>
      </c>
      <c r="B775" s="1">
        <v>45167</v>
      </c>
      <c r="C775" s="1" t="str">
        <f>TEXT(Table4_2[[#This Row],[Date]],"dddd")</f>
        <v>Tuesday</v>
      </c>
      <c r="D775" s="21">
        <v>19</v>
      </c>
      <c r="E775" s="21">
        <v>79</v>
      </c>
      <c r="F775" s="21">
        <v>448</v>
      </c>
      <c r="G775" s="21">
        <v>6.2</v>
      </c>
      <c r="H775">
        <v>27</v>
      </c>
      <c r="I775">
        <v>66.2</v>
      </c>
      <c r="J775">
        <v>0.79</v>
      </c>
      <c r="K775" t="str" cm="1">
        <f t="array" ref="K775">_xlfn.IFS(Table4_2[[#This Row],[Growth Days]]&lt;=14,"Seedling",Table4_2[[#This Row],[Growth Days]]&lt;=35, "Vegetative",Table4_2[[#This Row],[Growth Days]]&lt;=50, "Maturity")</f>
        <v>Vegetative</v>
      </c>
      <c r="L775" t="str">
        <f>IF(Table4_2[[#This Row],[TDS Value (ppm)]]&lt;560, "Low", IF(Table4_2[[#This Row],[TDS Value (ppm)]]&lt;=800,"Optimal","High"))</f>
        <v>Low</v>
      </c>
    </row>
    <row r="776" spans="1:12" x14ac:dyDescent="0.25">
      <c r="A776">
        <v>58</v>
      </c>
      <c r="B776" s="1">
        <v>45174</v>
      </c>
      <c r="C776" s="1" t="str">
        <f>TEXT(Table4_2[[#This Row],[Date]],"dddd")</f>
        <v>Tuesday</v>
      </c>
      <c r="D776" s="21">
        <v>22.3</v>
      </c>
      <c r="E776" s="21">
        <v>79</v>
      </c>
      <c r="F776" s="21">
        <v>711</v>
      </c>
      <c r="G776" s="21">
        <v>6.7</v>
      </c>
      <c r="H776">
        <v>34</v>
      </c>
      <c r="I776">
        <v>72.14</v>
      </c>
      <c r="J776">
        <v>0.79</v>
      </c>
      <c r="K776" t="str" cm="1">
        <f t="array" ref="K776">_xlfn.IFS(Table4_2[[#This Row],[Growth Days]]&lt;=14,"Seedling",Table4_2[[#This Row],[Growth Days]]&lt;=35, "Vegetative",Table4_2[[#This Row],[Growth Days]]&lt;=50, "Maturity")</f>
        <v>Vegetative</v>
      </c>
      <c r="L776" t="str">
        <f>IF(Table4_2[[#This Row],[TDS Value (ppm)]]&lt;560, "Low", IF(Table4_2[[#This Row],[TDS Value (ppm)]]&lt;=800,"Optimal","High"))</f>
        <v>Optimal</v>
      </c>
    </row>
    <row r="777" spans="1:12" x14ac:dyDescent="0.25">
      <c r="A777">
        <v>58</v>
      </c>
      <c r="B777" s="1">
        <v>45181</v>
      </c>
      <c r="C777" s="1" t="str">
        <f>TEXT(Table4_2[[#This Row],[Date]],"dddd")</f>
        <v>Tuesday</v>
      </c>
      <c r="D777" s="21">
        <v>20.6</v>
      </c>
      <c r="E777" s="21">
        <v>70</v>
      </c>
      <c r="F777" s="21">
        <v>571</v>
      </c>
      <c r="G777" s="21">
        <v>6.4</v>
      </c>
      <c r="H777">
        <v>41</v>
      </c>
      <c r="I777">
        <v>69.08</v>
      </c>
      <c r="J777">
        <v>0.7</v>
      </c>
      <c r="K777" t="str" cm="1">
        <f t="array" ref="K777">_xlfn.IFS(Table4_2[[#This Row],[Growth Days]]&lt;=14,"Seedling",Table4_2[[#This Row],[Growth Days]]&lt;=35, "Vegetative",Table4_2[[#This Row],[Growth Days]]&lt;=50, "Maturity")</f>
        <v>Maturity</v>
      </c>
      <c r="L777" t="str">
        <f>IF(Table4_2[[#This Row],[TDS Value (ppm)]]&lt;560, "Low", IF(Table4_2[[#This Row],[TDS Value (ppm)]]&lt;=800,"Optimal","High"))</f>
        <v>Optimal</v>
      </c>
    </row>
    <row r="778" spans="1:12" x14ac:dyDescent="0.25">
      <c r="A778">
        <v>59</v>
      </c>
      <c r="B778" s="1">
        <v>45146</v>
      </c>
      <c r="C778" s="1" t="str">
        <f>TEXT(Table4_2[[#This Row],[Date]],"dddd")</f>
        <v>Tuesday</v>
      </c>
      <c r="D778" s="21">
        <v>20.5</v>
      </c>
      <c r="E778" s="21">
        <v>65</v>
      </c>
      <c r="F778" s="21">
        <v>412</v>
      </c>
      <c r="G778" s="21">
        <v>6.2</v>
      </c>
      <c r="H778">
        <v>6</v>
      </c>
      <c r="I778">
        <v>68.900000000000006</v>
      </c>
      <c r="J778">
        <v>0.65</v>
      </c>
      <c r="K778" t="str" cm="1">
        <f t="array" ref="K778">_xlfn.IFS(Table4_2[[#This Row],[Growth Days]]&lt;=14,"Seedling",Table4_2[[#This Row],[Growth Days]]&lt;=35, "Vegetative",Table4_2[[#This Row],[Growth Days]]&lt;=50, "Maturity")</f>
        <v>Seedling</v>
      </c>
      <c r="L778" t="str">
        <f>IF(Table4_2[[#This Row],[TDS Value (ppm)]]&lt;560, "Low", IF(Table4_2[[#This Row],[TDS Value (ppm)]]&lt;=800,"Optimal","High"))</f>
        <v>Low</v>
      </c>
    </row>
    <row r="779" spans="1:12" x14ac:dyDescent="0.25">
      <c r="A779">
        <v>59</v>
      </c>
      <c r="B779" s="1">
        <v>45153</v>
      </c>
      <c r="C779" s="1" t="str">
        <f>TEXT(Table4_2[[#This Row],[Date]],"dddd")</f>
        <v>Tuesday</v>
      </c>
      <c r="D779" s="21">
        <v>22.3</v>
      </c>
      <c r="E779" s="21">
        <v>52</v>
      </c>
      <c r="F779" s="21">
        <v>791</v>
      </c>
      <c r="G779" s="21">
        <v>6.6</v>
      </c>
      <c r="H779">
        <v>13</v>
      </c>
      <c r="I779">
        <v>72.14</v>
      </c>
      <c r="J779">
        <v>0.52</v>
      </c>
      <c r="K779" t="str" cm="1">
        <f t="array" ref="K779">_xlfn.IFS(Table4_2[[#This Row],[Growth Days]]&lt;=14,"Seedling",Table4_2[[#This Row],[Growth Days]]&lt;=35, "Vegetative",Table4_2[[#This Row],[Growth Days]]&lt;=50, "Maturity")</f>
        <v>Seedling</v>
      </c>
      <c r="L779" t="str">
        <f>IF(Table4_2[[#This Row],[TDS Value (ppm)]]&lt;560, "Low", IF(Table4_2[[#This Row],[TDS Value (ppm)]]&lt;=800,"Optimal","High"))</f>
        <v>Optimal</v>
      </c>
    </row>
    <row r="780" spans="1:12" x14ac:dyDescent="0.25">
      <c r="A780">
        <v>59</v>
      </c>
      <c r="B780" s="1">
        <v>45160</v>
      </c>
      <c r="C780" s="1" t="str">
        <f>TEXT(Table4_2[[#This Row],[Date]],"dddd")</f>
        <v>Tuesday</v>
      </c>
      <c r="D780" s="21">
        <v>22.8</v>
      </c>
      <c r="E780" s="21">
        <v>64</v>
      </c>
      <c r="F780" s="21">
        <v>798</v>
      </c>
      <c r="G780" s="21">
        <v>6.2</v>
      </c>
      <c r="H780">
        <v>20</v>
      </c>
      <c r="I780">
        <v>73.040000000000006</v>
      </c>
      <c r="J780">
        <v>0.64</v>
      </c>
      <c r="K780" t="str" cm="1">
        <f t="array" ref="K780">_xlfn.IFS(Table4_2[[#This Row],[Growth Days]]&lt;=14,"Seedling",Table4_2[[#This Row],[Growth Days]]&lt;=35, "Vegetative",Table4_2[[#This Row],[Growth Days]]&lt;=50, "Maturity")</f>
        <v>Vegetative</v>
      </c>
      <c r="L780" t="str">
        <f>IF(Table4_2[[#This Row],[TDS Value (ppm)]]&lt;560, "Low", IF(Table4_2[[#This Row],[TDS Value (ppm)]]&lt;=800,"Optimal","High"))</f>
        <v>Optimal</v>
      </c>
    </row>
    <row r="781" spans="1:12" x14ac:dyDescent="0.25">
      <c r="A781">
        <v>59</v>
      </c>
      <c r="B781" s="1">
        <v>45167</v>
      </c>
      <c r="C781" s="1" t="str">
        <f>TEXT(Table4_2[[#This Row],[Date]],"dddd")</f>
        <v>Tuesday</v>
      </c>
      <c r="D781" s="21">
        <v>23.5</v>
      </c>
      <c r="E781" s="21">
        <v>65</v>
      </c>
      <c r="F781" s="21">
        <v>523</v>
      </c>
      <c r="G781" s="21">
        <v>6.7</v>
      </c>
      <c r="H781">
        <v>27</v>
      </c>
      <c r="I781">
        <v>74.3</v>
      </c>
      <c r="J781">
        <v>0.65</v>
      </c>
      <c r="K781" t="str" cm="1">
        <f t="array" ref="K781">_xlfn.IFS(Table4_2[[#This Row],[Growth Days]]&lt;=14,"Seedling",Table4_2[[#This Row],[Growth Days]]&lt;=35, "Vegetative",Table4_2[[#This Row],[Growth Days]]&lt;=50, "Maturity")</f>
        <v>Vegetative</v>
      </c>
      <c r="L781" t="str">
        <f>IF(Table4_2[[#This Row],[TDS Value (ppm)]]&lt;560, "Low", IF(Table4_2[[#This Row],[TDS Value (ppm)]]&lt;=800,"Optimal","High"))</f>
        <v>Low</v>
      </c>
    </row>
    <row r="782" spans="1:12" x14ac:dyDescent="0.25">
      <c r="A782">
        <v>59</v>
      </c>
      <c r="B782" s="1">
        <v>45174</v>
      </c>
      <c r="C782" s="1" t="str">
        <f>TEXT(Table4_2[[#This Row],[Date]],"dddd")</f>
        <v>Tuesday</v>
      </c>
      <c r="D782" s="21">
        <v>21.2</v>
      </c>
      <c r="E782" s="21">
        <v>77</v>
      </c>
      <c r="F782" s="21">
        <v>630</v>
      </c>
      <c r="G782" s="21">
        <v>6.2</v>
      </c>
      <c r="H782">
        <v>34</v>
      </c>
      <c r="I782">
        <v>70.16</v>
      </c>
      <c r="J782">
        <v>0.77</v>
      </c>
      <c r="K782" t="str" cm="1">
        <f t="array" ref="K782">_xlfn.IFS(Table4_2[[#This Row],[Growth Days]]&lt;=14,"Seedling",Table4_2[[#This Row],[Growth Days]]&lt;=35, "Vegetative",Table4_2[[#This Row],[Growth Days]]&lt;=50, "Maturity")</f>
        <v>Vegetative</v>
      </c>
      <c r="L782" t="str">
        <f>IF(Table4_2[[#This Row],[TDS Value (ppm)]]&lt;560, "Low", IF(Table4_2[[#This Row],[TDS Value (ppm)]]&lt;=800,"Optimal","High"))</f>
        <v>Optimal</v>
      </c>
    </row>
    <row r="783" spans="1:12" x14ac:dyDescent="0.25">
      <c r="A783">
        <v>59</v>
      </c>
      <c r="B783" s="1">
        <v>45181</v>
      </c>
      <c r="C783" s="1" t="str">
        <f>TEXT(Table4_2[[#This Row],[Date]],"dddd")</f>
        <v>Tuesday</v>
      </c>
      <c r="D783" s="21">
        <v>24.3</v>
      </c>
      <c r="E783" s="21">
        <v>71</v>
      </c>
      <c r="F783" s="21">
        <v>495</v>
      </c>
      <c r="G783" s="21">
        <v>6.6</v>
      </c>
      <c r="H783">
        <v>41</v>
      </c>
      <c r="I783">
        <v>75.739999999999995</v>
      </c>
      <c r="J783">
        <v>0.71</v>
      </c>
      <c r="K783" t="str" cm="1">
        <f t="array" ref="K783">_xlfn.IFS(Table4_2[[#This Row],[Growth Days]]&lt;=14,"Seedling",Table4_2[[#This Row],[Growth Days]]&lt;=35, "Vegetative",Table4_2[[#This Row],[Growth Days]]&lt;=50, "Maturity")</f>
        <v>Maturity</v>
      </c>
      <c r="L783" t="str">
        <f>IF(Table4_2[[#This Row],[TDS Value (ppm)]]&lt;560, "Low", IF(Table4_2[[#This Row],[TDS Value (ppm)]]&lt;=800,"Optimal","High"))</f>
        <v>Low</v>
      </c>
    </row>
    <row r="784" spans="1:12" x14ac:dyDescent="0.25">
      <c r="A784">
        <v>60</v>
      </c>
      <c r="B784" s="1">
        <v>45146</v>
      </c>
      <c r="C784" s="1" t="str">
        <f>TEXT(Table4_2[[#This Row],[Date]],"dddd")</f>
        <v>Tuesday</v>
      </c>
      <c r="D784" s="21">
        <v>23.8</v>
      </c>
      <c r="E784" s="21">
        <v>66</v>
      </c>
      <c r="F784" s="21">
        <v>511</v>
      </c>
      <c r="G784" s="21">
        <v>6.6</v>
      </c>
      <c r="H784">
        <v>6</v>
      </c>
      <c r="I784">
        <v>74.84</v>
      </c>
      <c r="J784">
        <v>0.66</v>
      </c>
      <c r="K784" t="str" cm="1">
        <f t="array" ref="K784">_xlfn.IFS(Table4_2[[#This Row],[Growth Days]]&lt;=14,"Seedling",Table4_2[[#This Row],[Growth Days]]&lt;=35, "Vegetative",Table4_2[[#This Row],[Growth Days]]&lt;=50, "Maturity")</f>
        <v>Seedling</v>
      </c>
      <c r="L784" t="str">
        <f>IF(Table4_2[[#This Row],[TDS Value (ppm)]]&lt;560, "Low", IF(Table4_2[[#This Row],[TDS Value (ppm)]]&lt;=800,"Optimal","High"))</f>
        <v>Low</v>
      </c>
    </row>
    <row r="785" spans="1:12" x14ac:dyDescent="0.25">
      <c r="A785">
        <v>60</v>
      </c>
      <c r="B785" s="1">
        <v>45153</v>
      </c>
      <c r="C785" s="1" t="str">
        <f>TEXT(Table4_2[[#This Row],[Date]],"dddd")</f>
        <v>Tuesday</v>
      </c>
      <c r="D785" s="21">
        <v>21.9</v>
      </c>
      <c r="E785" s="21">
        <v>74</v>
      </c>
      <c r="F785" s="21">
        <v>465</v>
      </c>
      <c r="G785" s="21">
        <v>6.8</v>
      </c>
      <c r="H785">
        <v>13</v>
      </c>
      <c r="I785">
        <v>71.42</v>
      </c>
      <c r="J785">
        <v>0.74</v>
      </c>
      <c r="K785" t="str" cm="1">
        <f t="array" ref="K785">_xlfn.IFS(Table4_2[[#This Row],[Growth Days]]&lt;=14,"Seedling",Table4_2[[#This Row],[Growth Days]]&lt;=35, "Vegetative",Table4_2[[#This Row],[Growth Days]]&lt;=50, "Maturity")</f>
        <v>Seedling</v>
      </c>
      <c r="L785" t="str">
        <f>IF(Table4_2[[#This Row],[TDS Value (ppm)]]&lt;560, "Low", IF(Table4_2[[#This Row],[TDS Value (ppm)]]&lt;=800,"Optimal","High"))</f>
        <v>Low</v>
      </c>
    </row>
    <row r="786" spans="1:12" x14ac:dyDescent="0.25">
      <c r="A786">
        <v>60</v>
      </c>
      <c r="B786" s="1">
        <v>45160</v>
      </c>
      <c r="C786" s="1" t="str">
        <f>TEXT(Table4_2[[#This Row],[Date]],"dddd")</f>
        <v>Tuesday</v>
      </c>
      <c r="D786" s="21">
        <v>22.6</v>
      </c>
      <c r="E786" s="21">
        <v>69</v>
      </c>
      <c r="F786" s="21">
        <v>722</v>
      </c>
      <c r="G786" s="21">
        <v>6.1</v>
      </c>
      <c r="H786">
        <v>20</v>
      </c>
      <c r="I786">
        <v>72.680000000000007</v>
      </c>
      <c r="J786">
        <v>0.69</v>
      </c>
      <c r="K786" t="str" cm="1">
        <f t="array" ref="K786">_xlfn.IFS(Table4_2[[#This Row],[Growth Days]]&lt;=14,"Seedling",Table4_2[[#This Row],[Growth Days]]&lt;=35, "Vegetative",Table4_2[[#This Row],[Growth Days]]&lt;=50, "Maturity")</f>
        <v>Vegetative</v>
      </c>
      <c r="L786" t="str">
        <f>IF(Table4_2[[#This Row],[TDS Value (ppm)]]&lt;560, "Low", IF(Table4_2[[#This Row],[TDS Value (ppm)]]&lt;=800,"Optimal","High"))</f>
        <v>Optimal</v>
      </c>
    </row>
    <row r="787" spans="1:12" x14ac:dyDescent="0.25">
      <c r="A787">
        <v>60</v>
      </c>
      <c r="B787" s="1">
        <v>45167</v>
      </c>
      <c r="C787" s="1" t="str">
        <f>TEXT(Table4_2[[#This Row],[Date]],"dddd")</f>
        <v>Tuesday</v>
      </c>
      <c r="D787" s="21">
        <v>18.8</v>
      </c>
      <c r="E787" s="21">
        <v>61</v>
      </c>
      <c r="F787" s="21">
        <v>624</v>
      </c>
      <c r="G787" s="21">
        <v>6.6</v>
      </c>
      <c r="H787">
        <v>27</v>
      </c>
      <c r="I787">
        <v>65.84</v>
      </c>
      <c r="J787">
        <v>0.61</v>
      </c>
      <c r="K787" t="str" cm="1">
        <f t="array" ref="K787">_xlfn.IFS(Table4_2[[#This Row],[Growth Days]]&lt;=14,"Seedling",Table4_2[[#This Row],[Growth Days]]&lt;=35, "Vegetative",Table4_2[[#This Row],[Growth Days]]&lt;=50, "Maturity")</f>
        <v>Vegetative</v>
      </c>
      <c r="L787" t="str">
        <f>IF(Table4_2[[#This Row],[TDS Value (ppm)]]&lt;560, "Low", IF(Table4_2[[#This Row],[TDS Value (ppm)]]&lt;=800,"Optimal","High"))</f>
        <v>Optimal</v>
      </c>
    </row>
    <row r="788" spans="1:12" x14ac:dyDescent="0.25">
      <c r="A788">
        <v>60</v>
      </c>
      <c r="B788" s="1">
        <v>45174</v>
      </c>
      <c r="C788" s="1" t="str">
        <f>TEXT(Table4_2[[#This Row],[Date]],"dddd")</f>
        <v>Tuesday</v>
      </c>
      <c r="D788" s="21">
        <v>24.5</v>
      </c>
      <c r="E788" s="21">
        <v>54</v>
      </c>
      <c r="F788" s="21">
        <v>587</v>
      </c>
      <c r="G788" s="21">
        <v>6.4</v>
      </c>
      <c r="H788">
        <v>34</v>
      </c>
      <c r="I788">
        <v>76.099999999999994</v>
      </c>
      <c r="J788">
        <v>0.54</v>
      </c>
      <c r="K788" t="str" cm="1">
        <f t="array" ref="K788">_xlfn.IFS(Table4_2[[#This Row],[Growth Days]]&lt;=14,"Seedling",Table4_2[[#This Row],[Growth Days]]&lt;=35, "Vegetative",Table4_2[[#This Row],[Growth Days]]&lt;=50, "Maturity")</f>
        <v>Vegetative</v>
      </c>
      <c r="L788" t="str">
        <f>IF(Table4_2[[#This Row],[TDS Value (ppm)]]&lt;560, "Low", IF(Table4_2[[#This Row],[TDS Value (ppm)]]&lt;=800,"Optimal","High"))</f>
        <v>Optimal</v>
      </c>
    </row>
    <row r="789" spans="1:12" x14ac:dyDescent="0.25">
      <c r="A789">
        <v>60</v>
      </c>
      <c r="B789" s="1">
        <v>45181</v>
      </c>
      <c r="C789" s="1" t="str">
        <f>TEXT(Table4_2[[#This Row],[Date]],"dddd")</f>
        <v>Tuesday</v>
      </c>
      <c r="D789" s="21">
        <v>23.6</v>
      </c>
      <c r="E789" s="21">
        <v>55</v>
      </c>
      <c r="F789" s="21">
        <v>459</v>
      </c>
      <c r="G789" s="21">
        <v>6.7</v>
      </c>
      <c r="H789">
        <v>41</v>
      </c>
      <c r="I789">
        <v>74.48</v>
      </c>
      <c r="J789">
        <v>0.55000000000000004</v>
      </c>
      <c r="K789" t="str" cm="1">
        <f t="array" ref="K789">_xlfn.IFS(Table4_2[[#This Row],[Growth Days]]&lt;=14,"Seedling",Table4_2[[#This Row],[Growth Days]]&lt;=35, "Vegetative",Table4_2[[#This Row],[Growth Days]]&lt;=50, "Maturity")</f>
        <v>Maturity</v>
      </c>
      <c r="L789" t="str">
        <f>IF(Table4_2[[#This Row],[TDS Value (ppm)]]&lt;560, "Low", IF(Table4_2[[#This Row],[TDS Value (ppm)]]&lt;=800,"Optimal","High"))</f>
        <v>Low</v>
      </c>
    </row>
    <row r="790" spans="1:12" x14ac:dyDescent="0.25">
      <c r="A790">
        <v>61</v>
      </c>
      <c r="B790" s="1">
        <v>45146</v>
      </c>
      <c r="C790" s="1" t="str">
        <f>TEXT(Table4_2[[#This Row],[Date]],"dddd")</f>
        <v>Tuesday</v>
      </c>
      <c r="D790" s="21">
        <v>19.2</v>
      </c>
      <c r="E790" s="21">
        <v>68</v>
      </c>
      <c r="F790" s="21">
        <v>701</v>
      </c>
      <c r="G790" s="21">
        <v>6.4</v>
      </c>
      <c r="H790">
        <v>6</v>
      </c>
      <c r="I790">
        <v>66.56</v>
      </c>
      <c r="J790">
        <v>0.68</v>
      </c>
      <c r="K790" t="str" cm="1">
        <f t="array" ref="K790">_xlfn.IFS(Table4_2[[#This Row],[Growth Days]]&lt;=14,"Seedling",Table4_2[[#This Row],[Growth Days]]&lt;=35, "Vegetative",Table4_2[[#This Row],[Growth Days]]&lt;=50, "Maturity")</f>
        <v>Seedling</v>
      </c>
      <c r="L790" t="str">
        <f>IF(Table4_2[[#This Row],[TDS Value (ppm)]]&lt;560, "Low", IF(Table4_2[[#This Row],[TDS Value (ppm)]]&lt;=800,"Optimal","High"))</f>
        <v>Optimal</v>
      </c>
    </row>
    <row r="791" spans="1:12" x14ac:dyDescent="0.25">
      <c r="A791">
        <v>61</v>
      </c>
      <c r="B791" s="1">
        <v>45153</v>
      </c>
      <c r="C791" s="1" t="str">
        <f>TEXT(Table4_2[[#This Row],[Date]],"dddd")</f>
        <v>Tuesday</v>
      </c>
      <c r="D791" s="21">
        <v>22.2</v>
      </c>
      <c r="E791" s="21">
        <v>69</v>
      </c>
      <c r="F791" s="21">
        <v>705</v>
      </c>
      <c r="G791" s="21">
        <v>6.7</v>
      </c>
      <c r="H791">
        <v>13</v>
      </c>
      <c r="I791">
        <v>71.959999999999994</v>
      </c>
      <c r="J791">
        <v>0.69</v>
      </c>
      <c r="K791" t="str" cm="1">
        <f t="array" ref="K791">_xlfn.IFS(Table4_2[[#This Row],[Growth Days]]&lt;=14,"Seedling",Table4_2[[#This Row],[Growth Days]]&lt;=35, "Vegetative",Table4_2[[#This Row],[Growth Days]]&lt;=50, "Maturity")</f>
        <v>Seedling</v>
      </c>
      <c r="L791" t="str">
        <f>IF(Table4_2[[#This Row],[TDS Value (ppm)]]&lt;560, "Low", IF(Table4_2[[#This Row],[TDS Value (ppm)]]&lt;=800,"Optimal","High"))</f>
        <v>Optimal</v>
      </c>
    </row>
    <row r="792" spans="1:12" x14ac:dyDescent="0.25">
      <c r="A792">
        <v>61</v>
      </c>
      <c r="B792" s="1">
        <v>45160</v>
      </c>
      <c r="C792" s="1" t="str">
        <f>TEXT(Table4_2[[#This Row],[Date]],"dddd")</f>
        <v>Tuesday</v>
      </c>
      <c r="D792" s="21">
        <v>20.9</v>
      </c>
      <c r="E792" s="21">
        <v>59</v>
      </c>
      <c r="F792" s="21">
        <v>724</v>
      </c>
      <c r="G792" s="21">
        <v>6.4</v>
      </c>
      <c r="H792">
        <v>20</v>
      </c>
      <c r="I792">
        <v>69.62</v>
      </c>
      <c r="J792">
        <v>0.59</v>
      </c>
      <c r="K792" t="str" cm="1">
        <f t="array" ref="K792">_xlfn.IFS(Table4_2[[#This Row],[Growth Days]]&lt;=14,"Seedling",Table4_2[[#This Row],[Growth Days]]&lt;=35, "Vegetative",Table4_2[[#This Row],[Growth Days]]&lt;=50, "Maturity")</f>
        <v>Vegetative</v>
      </c>
      <c r="L792" t="str">
        <f>IF(Table4_2[[#This Row],[TDS Value (ppm)]]&lt;560, "Low", IF(Table4_2[[#This Row],[TDS Value (ppm)]]&lt;=800,"Optimal","High"))</f>
        <v>Optimal</v>
      </c>
    </row>
    <row r="793" spans="1:12" x14ac:dyDescent="0.25">
      <c r="A793">
        <v>61</v>
      </c>
      <c r="B793" s="1">
        <v>45167</v>
      </c>
      <c r="C793" s="1" t="str">
        <f>TEXT(Table4_2[[#This Row],[Date]],"dddd")</f>
        <v>Tuesday</v>
      </c>
      <c r="D793" s="21">
        <v>18.8</v>
      </c>
      <c r="E793" s="21">
        <v>65</v>
      </c>
      <c r="F793" s="21">
        <v>770</v>
      </c>
      <c r="G793" s="21">
        <v>6.6</v>
      </c>
      <c r="H793">
        <v>27</v>
      </c>
      <c r="I793">
        <v>65.84</v>
      </c>
      <c r="J793">
        <v>0.65</v>
      </c>
      <c r="K793" t="str" cm="1">
        <f t="array" ref="K793">_xlfn.IFS(Table4_2[[#This Row],[Growth Days]]&lt;=14,"Seedling",Table4_2[[#This Row],[Growth Days]]&lt;=35, "Vegetative",Table4_2[[#This Row],[Growth Days]]&lt;=50, "Maturity")</f>
        <v>Vegetative</v>
      </c>
      <c r="L793" t="str">
        <f>IF(Table4_2[[#This Row],[TDS Value (ppm)]]&lt;560, "Low", IF(Table4_2[[#This Row],[TDS Value (ppm)]]&lt;=800,"Optimal","High"))</f>
        <v>Optimal</v>
      </c>
    </row>
    <row r="794" spans="1:12" x14ac:dyDescent="0.25">
      <c r="A794">
        <v>61</v>
      </c>
      <c r="B794" s="1">
        <v>45174</v>
      </c>
      <c r="C794" s="1" t="str">
        <f>TEXT(Table4_2[[#This Row],[Date]],"dddd")</f>
        <v>Tuesday</v>
      </c>
      <c r="D794" s="21">
        <v>21.2</v>
      </c>
      <c r="E794" s="21">
        <v>70</v>
      </c>
      <c r="F794" s="21">
        <v>658</v>
      </c>
      <c r="G794" s="21">
        <v>6.1</v>
      </c>
      <c r="H794">
        <v>34</v>
      </c>
      <c r="I794">
        <v>70.16</v>
      </c>
      <c r="J794">
        <v>0.7</v>
      </c>
      <c r="K794" t="str" cm="1">
        <f t="array" ref="K794">_xlfn.IFS(Table4_2[[#This Row],[Growth Days]]&lt;=14,"Seedling",Table4_2[[#This Row],[Growth Days]]&lt;=35, "Vegetative",Table4_2[[#This Row],[Growth Days]]&lt;=50, "Maturity")</f>
        <v>Vegetative</v>
      </c>
      <c r="L794" t="str">
        <f>IF(Table4_2[[#This Row],[TDS Value (ppm)]]&lt;560, "Low", IF(Table4_2[[#This Row],[TDS Value (ppm)]]&lt;=800,"Optimal","High"))</f>
        <v>Optimal</v>
      </c>
    </row>
    <row r="795" spans="1:12" x14ac:dyDescent="0.25">
      <c r="A795">
        <v>61</v>
      </c>
      <c r="B795" s="1">
        <v>45181</v>
      </c>
      <c r="C795" s="1" t="str">
        <f>TEXT(Table4_2[[#This Row],[Date]],"dddd")</f>
        <v>Tuesday</v>
      </c>
      <c r="D795" s="21">
        <v>20.9</v>
      </c>
      <c r="E795" s="21">
        <v>65</v>
      </c>
      <c r="F795" s="21">
        <v>661</v>
      </c>
      <c r="G795" s="21">
        <v>6</v>
      </c>
      <c r="H795">
        <v>41</v>
      </c>
      <c r="I795">
        <v>69.62</v>
      </c>
      <c r="J795">
        <v>0.65</v>
      </c>
      <c r="K795" t="str" cm="1">
        <f t="array" ref="K795">_xlfn.IFS(Table4_2[[#This Row],[Growth Days]]&lt;=14,"Seedling",Table4_2[[#This Row],[Growth Days]]&lt;=35, "Vegetative",Table4_2[[#This Row],[Growth Days]]&lt;=50, "Maturity")</f>
        <v>Maturity</v>
      </c>
      <c r="L795" t="str">
        <f>IF(Table4_2[[#This Row],[TDS Value (ppm)]]&lt;560, "Low", IF(Table4_2[[#This Row],[TDS Value (ppm)]]&lt;=800,"Optimal","High"))</f>
        <v>Optimal</v>
      </c>
    </row>
    <row r="796" spans="1:12" x14ac:dyDescent="0.25">
      <c r="A796">
        <v>62</v>
      </c>
      <c r="B796" s="1">
        <v>45146</v>
      </c>
      <c r="C796" s="1" t="str">
        <f>TEXT(Table4_2[[#This Row],[Date]],"dddd")</f>
        <v>Tuesday</v>
      </c>
      <c r="D796" s="21">
        <v>21.6</v>
      </c>
      <c r="E796" s="21">
        <v>67</v>
      </c>
      <c r="F796" s="21">
        <v>712</v>
      </c>
      <c r="G796" s="21">
        <v>6.4</v>
      </c>
      <c r="H796">
        <v>6</v>
      </c>
      <c r="I796">
        <v>70.88</v>
      </c>
      <c r="J796">
        <v>0.67</v>
      </c>
      <c r="K796" t="str" cm="1">
        <f t="array" ref="K796">_xlfn.IFS(Table4_2[[#This Row],[Growth Days]]&lt;=14,"Seedling",Table4_2[[#This Row],[Growth Days]]&lt;=35, "Vegetative",Table4_2[[#This Row],[Growth Days]]&lt;=50, "Maturity")</f>
        <v>Seedling</v>
      </c>
      <c r="L796" t="str">
        <f>IF(Table4_2[[#This Row],[TDS Value (ppm)]]&lt;560, "Low", IF(Table4_2[[#This Row],[TDS Value (ppm)]]&lt;=800,"Optimal","High"))</f>
        <v>Optimal</v>
      </c>
    </row>
    <row r="797" spans="1:12" x14ac:dyDescent="0.25">
      <c r="A797">
        <v>62</v>
      </c>
      <c r="B797" s="1">
        <v>45153</v>
      </c>
      <c r="C797" s="1" t="str">
        <f>TEXT(Table4_2[[#This Row],[Date]],"dddd")</f>
        <v>Tuesday</v>
      </c>
      <c r="D797" s="21">
        <v>24.9</v>
      </c>
      <c r="E797" s="21">
        <v>56</v>
      </c>
      <c r="F797" s="21">
        <v>548</v>
      </c>
      <c r="G797" s="21">
        <v>6.5</v>
      </c>
      <c r="H797">
        <v>13</v>
      </c>
      <c r="I797">
        <v>76.819999999999993</v>
      </c>
      <c r="J797">
        <v>0.56000000000000005</v>
      </c>
      <c r="K797" t="str" cm="1">
        <f t="array" ref="K797">_xlfn.IFS(Table4_2[[#This Row],[Growth Days]]&lt;=14,"Seedling",Table4_2[[#This Row],[Growth Days]]&lt;=35, "Vegetative",Table4_2[[#This Row],[Growth Days]]&lt;=50, "Maturity")</f>
        <v>Seedling</v>
      </c>
      <c r="L797" t="str">
        <f>IF(Table4_2[[#This Row],[TDS Value (ppm)]]&lt;560, "Low", IF(Table4_2[[#This Row],[TDS Value (ppm)]]&lt;=800,"Optimal","High"))</f>
        <v>Low</v>
      </c>
    </row>
    <row r="798" spans="1:12" x14ac:dyDescent="0.25">
      <c r="A798">
        <v>62</v>
      </c>
      <c r="B798" s="1">
        <v>45160</v>
      </c>
      <c r="C798" s="1" t="str">
        <f>TEXT(Table4_2[[#This Row],[Date]],"dddd")</f>
        <v>Tuesday</v>
      </c>
      <c r="D798" s="21">
        <v>23.2</v>
      </c>
      <c r="E798" s="21">
        <v>73</v>
      </c>
      <c r="F798" s="21">
        <v>783</v>
      </c>
      <c r="G798" s="21">
        <v>6.2</v>
      </c>
      <c r="H798">
        <v>20</v>
      </c>
      <c r="I798">
        <v>73.760000000000005</v>
      </c>
      <c r="J798">
        <v>0.73</v>
      </c>
      <c r="K798" t="str" cm="1">
        <f t="array" ref="K798">_xlfn.IFS(Table4_2[[#This Row],[Growth Days]]&lt;=14,"Seedling",Table4_2[[#This Row],[Growth Days]]&lt;=35, "Vegetative",Table4_2[[#This Row],[Growth Days]]&lt;=50, "Maturity")</f>
        <v>Vegetative</v>
      </c>
      <c r="L798" t="str">
        <f>IF(Table4_2[[#This Row],[TDS Value (ppm)]]&lt;560, "Low", IF(Table4_2[[#This Row],[TDS Value (ppm)]]&lt;=800,"Optimal","High"))</f>
        <v>Optimal</v>
      </c>
    </row>
    <row r="799" spans="1:12" x14ac:dyDescent="0.25">
      <c r="A799">
        <v>62</v>
      </c>
      <c r="B799" s="1">
        <v>45167</v>
      </c>
      <c r="C799" s="1" t="str">
        <f>TEXT(Table4_2[[#This Row],[Date]],"dddd")</f>
        <v>Tuesday</v>
      </c>
      <c r="D799" s="21">
        <v>18.100000000000001</v>
      </c>
      <c r="E799" s="21">
        <v>53</v>
      </c>
      <c r="F799" s="21">
        <v>692</v>
      </c>
      <c r="G799" s="21">
        <v>6.8</v>
      </c>
      <c r="H799">
        <v>27</v>
      </c>
      <c r="I799">
        <v>64.58</v>
      </c>
      <c r="J799">
        <v>0.53</v>
      </c>
      <c r="K799" t="str" cm="1">
        <f t="array" ref="K799">_xlfn.IFS(Table4_2[[#This Row],[Growth Days]]&lt;=14,"Seedling",Table4_2[[#This Row],[Growth Days]]&lt;=35, "Vegetative",Table4_2[[#This Row],[Growth Days]]&lt;=50, "Maturity")</f>
        <v>Vegetative</v>
      </c>
      <c r="L799" t="str">
        <f>IF(Table4_2[[#This Row],[TDS Value (ppm)]]&lt;560, "Low", IF(Table4_2[[#This Row],[TDS Value (ppm)]]&lt;=800,"Optimal","High"))</f>
        <v>Optimal</v>
      </c>
    </row>
    <row r="800" spans="1:12" x14ac:dyDescent="0.25">
      <c r="A800">
        <v>62</v>
      </c>
      <c r="B800" s="1">
        <v>45174</v>
      </c>
      <c r="C800" s="1" t="str">
        <f>TEXT(Table4_2[[#This Row],[Date]],"dddd")</f>
        <v>Tuesday</v>
      </c>
      <c r="D800" s="21">
        <v>22.3</v>
      </c>
      <c r="E800" s="21">
        <v>78</v>
      </c>
      <c r="F800" s="21">
        <v>406</v>
      </c>
      <c r="G800" s="21">
        <v>6.4</v>
      </c>
      <c r="H800">
        <v>34</v>
      </c>
      <c r="I800">
        <v>72.14</v>
      </c>
      <c r="J800">
        <v>0.78</v>
      </c>
      <c r="K800" t="str" cm="1">
        <f t="array" ref="K800">_xlfn.IFS(Table4_2[[#This Row],[Growth Days]]&lt;=14,"Seedling",Table4_2[[#This Row],[Growth Days]]&lt;=35, "Vegetative",Table4_2[[#This Row],[Growth Days]]&lt;=50, "Maturity")</f>
        <v>Vegetative</v>
      </c>
      <c r="L800" t="str">
        <f>IF(Table4_2[[#This Row],[TDS Value (ppm)]]&lt;560, "Low", IF(Table4_2[[#This Row],[TDS Value (ppm)]]&lt;=800,"Optimal","High"))</f>
        <v>Low</v>
      </c>
    </row>
    <row r="801" spans="1:12" x14ac:dyDescent="0.25">
      <c r="A801">
        <v>62</v>
      </c>
      <c r="B801" s="1">
        <v>45181</v>
      </c>
      <c r="C801" s="1" t="str">
        <f>TEXT(Table4_2[[#This Row],[Date]],"dddd")</f>
        <v>Tuesday</v>
      </c>
      <c r="D801" s="21">
        <v>20.8</v>
      </c>
      <c r="E801" s="21">
        <v>51</v>
      </c>
      <c r="F801" s="21">
        <v>576</v>
      </c>
      <c r="G801" s="21">
        <v>6.4</v>
      </c>
      <c r="H801">
        <v>41</v>
      </c>
      <c r="I801">
        <v>69.44</v>
      </c>
      <c r="J801">
        <v>0.51</v>
      </c>
      <c r="K801" t="str" cm="1">
        <f t="array" ref="K801">_xlfn.IFS(Table4_2[[#This Row],[Growth Days]]&lt;=14,"Seedling",Table4_2[[#This Row],[Growth Days]]&lt;=35, "Vegetative",Table4_2[[#This Row],[Growth Days]]&lt;=50, "Maturity")</f>
        <v>Maturity</v>
      </c>
      <c r="L801" t="str">
        <f>IF(Table4_2[[#This Row],[TDS Value (ppm)]]&lt;560, "Low", IF(Table4_2[[#This Row],[TDS Value (ppm)]]&lt;=800,"Optimal","High"))</f>
        <v>Optimal</v>
      </c>
    </row>
    <row r="802" spans="1:12" x14ac:dyDescent="0.25">
      <c r="A802">
        <v>63</v>
      </c>
      <c r="B802" s="1">
        <v>45146</v>
      </c>
      <c r="C802" s="1" t="str">
        <f>TEXT(Table4_2[[#This Row],[Date]],"dddd")</f>
        <v>Tuesday</v>
      </c>
      <c r="D802" s="21">
        <v>21.8</v>
      </c>
      <c r="E802" s="21">
        <v>62</v>
      </c>
      <c r="F802" s="21">
        <v>497</v>
      </c>
      <c r="G802" s="21">
        <v>6.7</v>
      </c>
      <c r="H802">
        <v>6</v>
      </c>
      <c r="I802">
        <v>71.239999999999995</v>
      </c>
      <c r="J802">
        <v>0.62</v>
      </c>
      <c r="K802" t="str" cm="1">
        <f t="array" ref="K802">_xlfn.IFS(Table4_2[[#This Row],[Growth Days]]&lt;=14,"Seedling",Table4_2[[#This Row],[Growth Days]]&lt;=35, "Vegetative",Table4_2[[#This Row],[Growth Days]]&lt;=50, "Maturity")</f>
        <v>Seedling</v>
      </c>
      <c r="L802" t="str">
        <f>IF(Table4_2[[#This Row],[TDS Value (ppm)]]&lt;560, "Low", IF(Table4_2[[#This Row],[TDS Value (ppm)]]&lt;=800,"Optimal","High"))</f>
        <v>Low</v>
      </c>
    </row>
    <row r="803" spans="1:12" x14ac:dyDescent="0.25">
      <c r="A803">
        <v>63</v>
      </c>
      <c r="B803" s="1">
        <v>45153</v>
      </c>
      <c r="C803" s="1" t="str">
        <f>TEXT(Table4_2[[#This Row],[Date]],"dddd")</f>
        <v>Tuesday</v>
      </c>
      <c r="D803" s="21">
        <v>21.6</v>
      </c>
      <c r="E803" s="21">
        <v>74</v>
      </c>
      <c r="F803" s="21">
        <v>798</v>
      </c>
      <c r="G803" s="21">
        <v>6.2</v>
      </c>
      <c r="H803">
        <v>13</v>
      </c>
      <c r="I803">
        <v>70.88</v>
      </c>
      <c r="J803">
        <v>0.74</v>
      </c>
      <c r="K803" t="str" cm="1">
        <f t="array" ref="K803">_xlfn.IFS(Table4_2[[#This Row],[Growth Days]]&lt;=14,"Seedling",Table4_2[[#This Row],[Growth Days]]&lt;=35, "Vegetative",Table4_2[[#This Row],[Growth Days]]&lt;=50, "Maturity")</f>
        <v>Seedling</v>
      </c>
      <c r="L803" t="str">
        <f>IF(Table4_2[[#This Row],[TDS Value (ppm)]]&lt;560, "Low", IF(Table4_2[[#This Row],[TDS Value (ppm)]]&lt;=800,"Optimal","High"))</f>
        <v>Optimal</v>
      </c>
    </row>
    <row r="804" spans="1:12" x14ac:dyDescent="0.25">
      <c r="A804">
        <v>63</v>
      </c>
      <c r="B804" s="1">
        <v>45160</v>
      </c>
      <c r="C804" s="1" t="str">
        <f>TEXT(Table4_2[[#This Row],[Date]],"dddd")</f>
        <v>Tuesday</v>
      </c>
      <c r="D804" s="21">
        <v>23.3</v>
      </c>
      <c r="E804" s="21">
        <v>67</v>
      </c>
      <c r="F804" s="21">
        <v>527</v>
      </c>
      <c r="G804" s="21">
        <v>6.4</v>
      </c>
      <c r="H804">
        <v>20</v>
      </c>
      <c r="I804">
        <v>73.94</v>
      </c>
      <c r="J804">
        <v>0.67</v>
      </c>
      <c r="K804" t="str" cm="1">
        <f t="array" ref="K804">_xlfn.IFS(Table4_2[[#This Row],[Growth Days]]&lt;=14,"Seedling",Table4_2[[#This Row],[Growth Days]]&lt;=35, "Vegetative",Table4_2[[#This Row],[Growth Days]]&lt;=50, "Maturity")</f>
        <v>Vegetative</v>
      </c>
      <c r="L804" t="str">
        <f>IF(Table4_2[[#This Row],[TDS Value (ppm)]]&lt;560, "Low", IF(Table4_2[[#This Row],[TDS Value (ppm)]]&lt;=800,"Optimal","High"))</f>
        <v>Low</v>
      </c>
    </row>
    <row r="805" spans="1:12" x14ac:dyDescent="0.25">
      <c r="A805">
        <v>63</v>
      </c>
      <c r="B805" s="1">
        <v>45167</v>
      </c>
      <c r="C805" s="1" t="str">
        <f>TEXT(Table4_2[[#This Row],[Date]],"dddd")</f>
        <v>Tuesday</v>
      </c>
      <c r="D805" s="21">
        <v>19.2</v>
      </c>
      <c r="E805" s="21">
        <v>53</v>
      </c>
      <c r="F805" s="21">
        <v>767</v>
      </c>
      <c r="G805" s="21">
        <v>6.6</v>
      </c>
      <c r="H805">
        <v>27</v>
      </c>
      <c r="I805">
        <v>66.56</v>
      </c>
      <c r="J805">
        <v>0.53</v>
      </c>
      <c r="K805" t="str" cm="1">
        <f t="array" ref="K805">_xlfn.IFS(Table4_2[[#This Row],[Growth Days]]&lt;=14,"Seedling",Table4_2[[#This Row],[Growth Days]]&lt;=35, "Vegetative",Table4_2[[#This Row],[Growth Days]]&lt;=50, "Maturity")</f>
        <v>Vegetative</v>
      </c>
      <c r="L805" t="str">
        <f>IF(Table4_2[[#This Row],[TDS Value (ppm)]]&lt;560, "Low", IF(Table4_2[[#This Row],[TDS Value (ppm)]]&lt;=800,"Optimal","High"))</f>
        <v>Optimal</v>
      </c>
    </row>
    <row r="806" spans="1:12" x14ac:dyDescent="0.25">
      <c r="A806">
        <v>63</v>
      </c>
      <c r="B806" s="1">
        <v>45174</v>
      </c>
      <c r="C806" s="1" t="str">
        <f>TEXT(Table4_2[[#This Row],[Date]],"dddd")</f>
        <v>Tuesday</v>
      </c>
      <c r="D806" s="21">
        <v>22.1</v>
      </c>
      <c r="E806" s="21">
        <v>51</v>
      </c>
      <c r="F806" s="21">
        <v>578</v>
      </c>
      <c r="G806" s="21">
        <v>6.5</v>
      </c>
      <c r="H806">
        <v>34</v>
      </c>
      <c r="I806">
        <v>71.78</v>
      </c>
      <c r="J806">
        <v>0.51</v>
      </c>
      <c r="K806" t="str" cm="1">
        <f t="array" ref="K806">_xlfn.IFS(Table4_2[[#This Row],[Growth Days]]&lt;=14,"Seedling",Table4_2[[#This Row],[Growth Days]]&lt;=35, "Vegetative",Table4_2[[#This Row],[Growth Days]]&lt;=50, "Maturity")</f>
        <v>Vegetative</v>
      </c>
      <c r="L806" t="str">
        <f>IF(Table4_2[[#This Row],[TDS Value (ppm)]]&lt;560, "Low", IF(Table4_2[[#This Row],[TDS Value (ppm)]]&lt;=800,"Optimal","High"))</f>
        <v>Optimal</v>
      </c>
    </row>
    <row r="807" spans="1:12" x14ac:dyDescent="0.25">
      <c r="A807">
        <v>63</v>
      </c>
      <c r="B807" s="1">
        <v>45181</v>
      </c>
      <c r="C807" s="1" t="str">
        <f>TEXT(Table4_2[[#This Row],[Date]],"dddd")</f>
        <v>Tuesday</v>
      </c>
      <c r="D807" s="21">
        <v>18.8</v>
      </c>
      <c r="E807" s="21">
        <v>66</v>
      </c>
      <c r="F807" s="21">
        <v>459</v>
      </c>
      <c r="G807" s="21">
        <v>6.4</v>
      </c>
      <c r="H807">
        <v>41</v>
      </c>
      <c r="I807">
        <v>65.84</v>
      </c>
      <c r="J807">
        <v>0.66</v>
      </c>
      <c r="K807" t="str" cm="1">
        <f t="array" ref="K807">_xlfn.IFS(Table4_2[[#This Row],[Growth Days]]&lt;=14,"Seedling",Table4_2[[#This Row],[Growth Days]]&lt;=35, "Vegetative",Table4_2[[#This Row],[Growth Days]]&lt;=50, "Maturity")</f>
        <v>Maturity</v>
      </c>
      <c r="L807" t="str">
        <f>IF(Table4_2[[#This Row],[TDS Value (ppm)]]&lt;560, "Low", IF(Table4_2[[#This Row],[TDS Value (ppm)]]&lt;=800,"Optimal","High"))</f>
        <v>Low</v>
      </c>
    </row>
    <row r="808" spans="1:12" x14ac:dyDescent="0.25">
      <c r="A808">
        <v>64</v>
      </c>
      <c r="B808" s="1">
        <v>45146</v>
      </c>
      <c r="C808" s="1" t="str">
        <f>TEXT(Table4_2[[#This Row],[Date]],"dddd")</f>
        <v>Tuesday</v>
      </c>
      <c r="D808" s="21">
        <v>24.1</v>
      </c>
      <c r="E808" s="21">
        <v>68</v>
      </c>
      <c r="F808" s="21">
        <v>586</v>
      </c>
      <c r="G808" s="21">
        <v>6.2</v>
      </c>
      <c r="H808">
        <v>6</v>
      </c>
      <c r="I808">
        <v>75.38</v>
      </c>
      <c r="J808">
        <v>0.68</v>
      </c>
      <c r="K808" t="str" cm="1">
        <f t="array" ref="K808">_xlfn.IFS(Table4_2[[#This Row],[Growth Days]]&lt;=14,"Seedling",Table4_2[[#This Row],[Growth Days]]&lt;=35, "Vegetative",Table4_2[[#This Row],[Growth Days]]&lt;=50, "Maturity")</f>
        <v>Seedling</v>
      </c>
      <c r="L808" t="str">
        <f>IF(Table4_2[[#This Row],[TDS Value (ppm)]]&lt;560, "Low", IF(Table4_2[[#This Row],[TDS Value (ppm)]]&lt;=800,"Optimal","High"))</f>
        <v>Optimal</v>
      </c>
    </row>
    <row r="809" spans="1:12" x14ac:dyDescent="0.25">
      <c r="A809">
        <v>64</v>
      </c>
      <c r="B809" s="1">
        <v>45153</v>
      </c>
      <c r="C809" s="1" t="str">
        <f>TEXT(Table4_2[[#This Row],[Date]],"dddd")</f>
        <v>Tuesday</v>
      </c>
      <c r="D809" s="21">
        <v>19.7</v>
      </c>
      <c r="E809" s="21">
        <v>80</v>
      </c>
      <c r="F809" s="21">
        <v>520</v>
      </c>
      <c r="G809" s="21">
        <v>6.7</v>
      </c>
      <c r="H809">
        <v>13</v>
      </c>
      <c r="I809">
        <v>67.459999999999994</v>
      </c>
      <c r="J809">
        <v>0.8</v>
      </c>
      <c r="K809" t="str" cm="1">
        <f t="array" ref="K809">_xlfn.IFS(Table4_2[[#This Row],[Growth Days]]&lt;=14,"Seedling",Table4_2[[#This Row],[Growth Days]]&lt;=35, "Vegetative",Table4_2[[#This Row],[Growth Days]]&lt;=50, "Maturity")</f>
        <v>Seedling</v>
      </c>
      <c r="L809" t="str">
        <f>IF(Table4_2[[#This Row],[TDS Value (ppm)]]&lt;560, "Low", IF(Table4_2[[#This Row],[TDS Value (ppm)]]&lt;=800,"Optimal","High"))</f>
        <v>Low</v>
      </c>
    </row>
    <row r="810" spans="1:12" x14ac:dyDescent="0.25">
      <c r="A810">
        <v>64</v>
      </c>
      <c r="B810" s="1">
        <v>45160</v>
      </c>
      <c r="C810" s="1" t="str">
        <f>TEXT(Table4_2[[#This Row],[Date]],"dddd")</f>
        <v>Tuesday</v>
      </c>
      <c r="D810" s="21">
        <v>18.600000000000001</v>
      </c>
      <c r="E810" s="21">
        <v>57</v>
      </c>
      <c r="F810" s="21">
        <v>552</v>
      </c>
      <c r="G810" s="21">
        <v>6.1</v>
      </c>
      <c r="H810">
        <v>20</v>
      </c>
      <c r="I810">
        <v>65.48</v>
      </c>
      <c r="J810">
        <v>0.56999999999999995</v>
      </c>
      <c r="K810" t="str" cm="1">
        <f t="array" ref="K810">_xlfn.IFS(Table4_2[[#This Row],[Growth Days]]&lt;=14,"Seedling",Table4_2[[#This Row],[Growth Days]]&lt;=35, "Vegetative",Table4_2[[#This Row],[Growth Days]]&lt;=50, "Maturity")</f>
        <v>Vegetative</v>
      </c>
      <c r="L810" t="str">
        <f>IF(Table4_2[[#This Row],[TDS Value (ppm)]]&lt;560, "Low", IF(Table4_2[[#This Row],[TDS Value (ppm)]]&lt;=800,"Optimal","High"))</f>
        <v>Low</v>
      </c>
    </row>
    <row r="811" spans="1:12" x14ac:dyDescent="0.25">
      <c r="A811">
        <v>64</v>
      </c>
      <c r="B811" s="1">
        <v>45167</v>
      </c>
      <c r="C811" s="1" t="str">
        <f>TEXT(Table4_2[[#This Row],[Date]],"dddd")</f>
        <v>Tuesday</v>
      </c>
      <c r="D811" s="21">
        <v>20.7</v>
      </c>
      <c r="E811" s="21">
        <v>55</v>
      </c>
      <c r="F811" s="21">
        <v>673</v>
      </c>
      <c r="G811" s="21">
        <v>6.7</v>
      </c>
      <c r="H811">
        <v>27</v>
      </c>
      <c r="I811">
        <v>69.260000000000005</v>
      </c>
      <c r="J811">
        <v>0.55000000000000004</v>
      </c>
      <c r="K811" t="str" cm="1">
        <f t="array" ref="K811">_xlfn.IFS(Table4_2[[#This Row],[Growth Days]]&lt;=14,"Seedling",Table4_2[[#This Row],[Growth Days]]&lt;=35, "Vegetative",Table4_2[[#This Row],[Growth Days]]&lt;=50, "Maturity")</f>
        <v>Vegetative</v>
      </c>
      <c r="L811" t="str">
        <f>IF(Table4_2[[#This Row],[TDS Value (ppm)]]&lt;560, "Low", IF(Table4_2[[#This Row],[TDS Value (ppm)]]&lt;=800,"Optimal","High"))</f>
        <v>Optimal</v>
      </c>
    </row>
    <row r="812" spans="1:12" x14ac:dyDescent="0.25">
      <c r="A812">
        <v>64</v>
      </c>
      <c r="B812" s="1">
        <v>45174</v>
      </c>
      <c r="C812" s="1" t="str">
        <f>TEXT(Table4_2[[#This Row],[Date]],"dddd")</f>
        <v>Tuesday</v>
      </c>
      <c r="D812" s="21">
        <v>23.4</v>
      </c>
      <c r="E812" s="21">
        <v>68</v>
      </c>
      <c r="F812" s="21">
        <v>576</v>
      </c>
      <c r="G812" s="21">
        <v>6.4</v>
      </c>
      <c r="H812">
        <v>34</v>
      </c>
      <c r="I812">
        <v>74.12</v>
      </c>
      <c r="J812">
        <v>0.68</v>
      </c>
      <c r="K812" t="str" cm="1">
        <f t="array" ref="K812">_xlfn.IFS(Table4_2[[#This Row],[Growth Days]]&lt;=14,"Seedling",Table4_2[[#This Row],[Growth Days]]&lt;=35, "Vegetative",Table4_2[[#This Row],[Growth Days]]&lt;=50, "Maturity")</f>
        <v>Vegetative</v>
      </c>
      <c r="L812" t="str">
        <f>IF(Table4_2[[#This Row],[TDS Value (ppm)]]&lt;560, "Low", IF(Table4_2[[#This Row],[TDS Value (ppm)]]&lt;=800,"Optimal","High"))</f>
        <v>Optimal</v>
      </c>
    </row>
    <row r="813" spans="1:12" x14ac:dyDescent="0.25">
      <c r="A813">
        <v>64</v>
      </c>
      <c r="B813" s="1">
        <v>45181</v>
      </c>
      <c r="C813" s="1" t="str">
        <f>TEXT(Table4_2[[#This Row],[Date]],"dddd")</f>
        <v>Tuesday</v>
      </c>
      <c r="D813" s="21">
        <v>18.600000000000001</v>
      </c>
      <c r="E813" s="21">
        <v>75</v>
      </c>
      <c r="F813" s="21">
        <v>548</v>
      </c>
      <c r="G813" s="21">
        <v>6.5</v>
      </c>
      <c r="H813">
        <v>41</v>
      </c>
      <c r="I813">
        <v>65.48</v>
      </c>
      <c r="J813">
        <v>0.75</v>
      </c>
      <c r="K813" t="str" cm="1">
        <f t="array" ref="K813">_xlfn.IFS(Table4_2[[#This Row],[Growth Days]]&lt;=14,"Seedling",Table4_2[[#This Row],[Growth Days]]&lt;=35, "Vegetative",Table4_2[[#This Row],[Growth Days]]&lt;=50, "Maturity")</f>
        <v>Maturity</v>
      </c>
      <c r="L813" t="str">
        <f>IF(Table4_2[[#This Row],[TDS Value (ppm)]]&lt;560, "Low", IF(Table4_2[[#This Row],[TDS Value (ppm)]]&lt;=800,"Optimal","High"))</f>
        <v>Low</v>
      </c>
    </row>
    <row r="814" spans="1:12" x14ac:dyDescent="0.25">
      <c r="A814">
        <v>65</v>
      </c>
      <c r="B814" s="1">
        <v>45146</v>
      </c>
      <c r="C814" s="1" t="str">
        <f>TEXT(Table4_2[[#This Row],[Date]],"dddd")</f>
        <v>Tuesday</v>
      </c>
      <c r="D814" s="21">
        <v>23.4</v>
      </c>
      <c r="E814" s="21">
        <v>54</v>
      </c>
      <c r="F814" s="21">
        <v>441</v>
      </c>
      <c r="G814" s="21">
        <v>6.1</v>
      </c>
      <c r="H814">
        <v>6</v>
      </c>
      <c r="I814">
        <v>74.12</v>
      </c>
      <c r="J814">
        <v>0.54</v>
      </c>
      <c r="K814" t="str" cm="1">
        <f t="array" ref="K814">_xlfn.IFS(Table4_2[[#This Row],[Growth Days]]&lt;=14,"Seedling",Table4_2[[#This Row],[Growth Days]]&lt;=35, "Vegetative",Table4_2[[#This Row],[Growth Days]]&lt;=50, "Maturity")</f>
        <v>Seedling</v>
      </c>
      <c r="L814" t="str">
        <f>IF(Table4_2[[#This Row],[TDS Value (ppm)]]&lt;560, "Low", IF(Table4_2[[#This Row],[TDS Value (ppm)]]&lt;=800,"Optimal","High"))</f>
        <v>Low</v>
      </c>
    </row>
    <row r="815" spans="1:12" x14ac:dyDescent="0.25">
      <c r="A815">
        <v>65</v>
      </c>
      <c r="B815" s="1">
        <v>45153</v>
      </c>
      <c r="C815" s="1" t="str">
        <f>TEXT(Table4_2[[#This Row],[Date]],"dddd")</f>
        <v>Tuesday</v>
      </c>
      <c r="D815" s="21">
        <v>19.100000000000001</v>
      </c>
      <c r="E815" s="21">
        <v>66</v>
      </c>
      <c r="F815" s="21">
        <v>527</v>
      </c>
      <c r="G815" s="21">
        <v>6.1</v>
      </c>
      <c r="H815">
        <v>13</v>
      </c>
      <c r="I815">
        <v>66.38</v>
      </c>
      <c r="J815">
        <v>0.66</v>
      </c>
      <c r="K815" t="str" cm="1">
        <f t="array" ref="K815">_xlfn.IFS(Table4_2[[#This Row],[Growth Days]]&lt;=14,"Seedling",Table4_2[[#This Row],[Growth Days]]&lt;=35, "Vegetative",Table4_2[[#This Row],[Growth Days]]&lt;=50, "Maturity")</f>
        <v>Seedling</v>
      </c>
      <c r="L815" t="str">
        <f>IF(Table4_2[[#This Row],[TDS Value (ppm)]]&lt;560, "Low", IF(Table4_2[[#This Row],[TDS Value (ppm)]]&lt;=800,"Optimal","High"))</f>
        <v>Low</v>
      </c>
    </row>
    <row r="816" spans="1:12" x14ac:dyDescent="0.25">
      <c r="A816">
        <v>65</v>
      </c>
      <c r="B816" s="1">
        <v>45160</v>
      </c>
      <c r="C816" s="1" t="str">
        <f>TEXT(Table4_2[[#This Row],[Date]],"dddd")</f>
        <v>Tuesday</v>
      </c>
      <c r="D816" s="21">
        <v>25</v>
      </c>
      <c r="E816" s="21">
        <v>52</v>
      </c>
      <c r="F816" s="21">
        <v>626</v>
      </c>
      <c r="G816" s="21">
        <v>6.7</v>
      </c>
      <c r="H816">
        <v>20</v>
      </c>
      <c r="I816">
        <v>77</v>
      </c>
      <c r="J816">
        <v>0.52</v>
      </c>
      <c r="K816" t="str" cm="1">
        <f t="array" ref="K816">_xlfn.IFS(Table4_2[[#This Row],[Growth Days]]&lt;=14,"Seedling",Table4_2[[#This Row],[Growth Days]]&lt;=35, "Vegetative",Table4_2[[#This Row],[Growth Days]]&lt;=50, "Maturity")</f>
        <v>Vegetative</v>
      </c>
      <c r="L816" t="str">
        <f>IF(Table4_2[[#This Row],[TDS Value (ppm)]]&lt;560, "Low", IF(Table4_2[[#This Row],[TDS Value (ppm)]]&lt;=800,"Optimal","High"))</f>
        <v>Optimal</v>
      </c>
    </row>
    <row r="817" spans="1:12" x14ac:dyDescent="0.25">
      <c r="A817">
        <v>65</v>
      </c>
      <c r="B817" s="1">
        <v>45167</v>
      </c>
      <c r="C817" s="1" t="str">
        <f>TEXT(Table4_2[[#This Row],[Date]],"dddd")</f>
        <v>Tuesday</v>
      </c>
      <c r="D817" s="21">
        <v>24.2</v>
      </c>
      <c r="E817" s="21">
        <v>67</v>
      </c>
      <c r="F817" s="21">
        <v>640</v>
      </c>
      <c r="G817" s="21">
        <v>6.4</v>
      </c>
      <c r="H817">
        <v>27</v>
      </c>
      <c r="I817">
        <v>75.56</v>
      </c>
      <c r="J817">
        <v>0.67</v>
      </c>
      <c r="K817" t="str" cm="1">
        <f t="array" ref="K817">_xlfn.IFS(Table4_2[[#This Row],[Growth Days]]&lt;=14,"Seedling",Table4_2[[#This Row],[Growth Days]]&lt;=35, "Vegetative",Table4_2[[#This Row],[Growth Days]]&lt;=50, "Maturity")</f>
        <v>Vegetative</v>
      </c>
      <c r="L817" t="str">
        <f>IF(Table4_2[[#This Row],[TDS Value (ppm)]]&lt;560, "Low", IF(Table4_2[[#This Row],[TDS Value (ppm)]]&lt;=800,"Optimal","High"))</f>
        <v>Optimal</v>
      </c>
    </row>
    <row r="818" spans="1:12" x14ac:dyDescent="0.25">
      <c r="A818">
        <v>65</v>
      </c>
      <c r="B818" s="1">
        <v>45174</v>
      </c>
      <c r="C818" s="1" t="str">
        <f>TEXT(Table4_2[[#This Row],[Date]],"dddd")</f>
        <v>Tuesday</v>
      </c>
      <c r="D818" s="21">
        <v>24.6</v>
      </c>
      <c r="E818" s="21">
        <v>51</v>
      </c>
      <c r="F818" s="21">
        <v>638</v>
      </c>
      <c r="G818" s="21">
        <v>6.8</v>
      </c>
      <c r="H818">
        <v>34</v>
      </c>
      <c r="I818">
        <v>76.28</v>
      </c>
      <c r="J818">
        <v>0.51</v>
      </c>
      <c r="K818" t="str" cm="1">
        <f t="array" ref="K818">_xlfn.IFS(Table4_2[[#This Row],[Growth Days]]&lt;=14,"Seedling",Table4_2[[#This Row],[Growth Days]]&lt;=35, "Vegetative",Table4_2[[#This Row],[Growth Days]]&lt;=50, "Maturity")</f>
        <v>Vegetative</v>
      </c>
      <c r="L818" t="str">
        <f>IF(Table4_2[[#This Row],[TDS Value (ppm)]]&lt;560, "Low", IF(Table4_2[[#This Row],[TDS Value (ppm)]]&lt;=800,"Optimal","High"))</f>
        <v>Optimal</v>
      </c>
    </row>
    <row r="819" spans="1:12" x14ac:dyDescent="0.25">
      <c r="A819">
        <v>65</v>
      </c>
      <c r="B819" s="1">
        <v>45181</v>
      </c>
      <c r="C819" s="1" t="str">
        <f>TEXT(Table4_2[[#This Row],[Date]],"dddd")</f>
        <v>Tuesday</v>
      </c>
      <c r="D819" s="21">
        <v>24.6</v>
      </c>
      <c r="E819" s="21">
        <v>63</v>
      </c>
      <c r="F819" s="21">
        <v>655</v>
      </c>
      <c r="G819" s="21">
        <v>6.8</v>
      </c>
      <c r="H819">
        <v>41</v>
      </c>
      <c r="I819">
        <v>76.28</v>
      </c>
      <c r="J819">
        <v>0.63</v>
      </c>
      <c r="K819" t="str" cm="1">
        <f t="array" ref="K819">_xlfn.IFS(Table4_2[[#This Row],[Growth Days]]&lt;=14,"Seedling",Table4_2[[#This Row],[Growth Days]]&lt;=35, "Vegetative",Table4_2[[#This Row],[Growth Days]]&lt;=50, "Maturity")</f>
        <v>Maturity</v>
      </c>
      <c r="L819" t="str">
        <f>IF(Table4_2[[#This Row],[TDS Value (ppm)]]&lt;560, "Low", IF(Table4_2[[#This Row],[TDS Value (ppm)]]&lt;=800,"Optimal","High"))</f>
        <v>Optimal</v>
      </c>
    </row>
    <row r="820" spans="1:12" x14ac:dyDescent="0.25">
      <c r="A820">
        <v>66</v>
      </c>
      <c r="B820" s="1">
        <v>45146</v>
      </c>
      <c r="C820" s="1" t="str">
        <f>TEXT(Table4_2[[#This Row],[Date]],"dddd")</f>
        <v>Tuesday</v>
      </c>
      <c r="D820" s="21">
        <v>22.8</v>
      </c>
      <c r="E820" s="21">
        <v>80</v>
      </c>
      <c r="F820" s="21">
        <v>587</v>
      </c>
      <c r="G820" s="21">
        <v>6.7</v>
      </c>
      <c r="H820">
        <v>6</v>
      </c>
      <c r="I820">
        <v>73.040000000000006</v>
      </c>
      <c r="J820">
        <v>0.8</v>
      </c>
      <c r="K820" t="str" cm="1">
        <f t="array" ref="K820">_xlfn.IFS(Table4_2[[#This Row],[Growth Days]]&lt;=14,"Seedling",Table4_2[[#This Row],[Growth Days]]&lt;=35, "Vegetative",Table4_2[[#This Row],[Growth Days]]&lt;=50, "Maturity")</f>
        <v>Seedling</v>
      </c>
      <c r="L820" t="str">
        <f>IF(Table4_2[[#This Row],[TDS Value (ppm)]]&lt;560, "Low", IF(Table4_2[[#This Row],[TDS Value (ppm)]]&lt;=800,"Optimal","High"))</f>
        <v>Optimal</v>
      </c>
    </row>
    <row r="821" spans="1:12" x14ac:dyDescent="0.25">
      <c r="A821">
        <v>66</v>
      </c>
      <c r="B821" s="1">
        <v>45153</v>
      </c>
      <c r="C821" s="1" t="str">
        <f>TEXT(Table4_2[[#This Row],[Date]],"dddd")</f>
        <v>Tuesday</v>
      </c>
      <c r="D821" s="21">
        <v>20</v>
      </c>
      <c r="E821" s="21">
        <v>60</v>
      </c>
      <c r="F821" s="21">
        <v>515</v>
      </c>
      <c r="G821" s="21">
        <v>6.1</v>
      </c>
      <c r="H821">
        <v>13</v>
      </c>
      <c r="I821">
        <v>68</v>
      </c>
      <c r="J821">
        <v>0.6</v>
      </c>
      <c r="K821" t="str" cm="1">
        <f t="array" ref="K821">_xlfn.IFS(Table4_2[[#This Row],[Growth Days]]&lt;=14,"Seedling",Table4_2[[#This Row],[Growth Days]]&lt;=35, "Vegetative",Table4_2[[#This Row],[Growth Days]]&lt;=50, "Maturity")</f>
        <v>Seedling</v>
      </c>
      <c r="L821" t="str">
        <f>IF(Table4_2[[#This Row],[TDS Value (ppm)]]&lt;560, "Low", IF(Table4_2[[#This Row],[TDS Value (ppm)]]&lt;=800,"Optimal","High"))</f>
        <v>Low</v>
      </c>
    </row>
    <row r="822" spans="1:12" x14ac:dyDescent="0.25">
      <c r="A822">
        <v>66</v>
      </c>
      <c r="B822" s="1">
        <v>45160</v>
      </c>
      <c r="C822" s="1" t="str">
        <f>TEXT(Table4_2[[#This Row],[Date]],"dddd")</f>
        <v>Tuesday</v>
      </c>
      <c r="D822" s="21">
        <v>19.5</v>
      </c>
      <c r="E822" s="21">
        <v>55</v>
      </c>
      <c r="F822" s="21">
        <v>525</v>
      </c>
      <c r="G822" s="21">
        <v>6.5</v>
      </c>
      <c r="H822">
        <v>20</v>
      </c>
      <c r="I822">
        <v>67.099999999999994</v>
      </c>
      <c r="J822">
        <v>0.55000000000000004</v>
      </c>
      <c r="K822" t="str" cm="1">
        <f t="array" ref="K822">_xlfn.IFS(Table4_2[[#This Row],[Growth Days]]&lt;=14,"Seedling",Table4_2[[#This Row],[Growth Days]]&lt;=35, "Vegetative",Table4_2[[#This Row],[Growth Days]]&lt;=50, "Maturity")</f>
        <v>Vegetative</v>
      </c>
      <c r="L822" t="str">
        <f>IF(Table4_2[[#This Row],[TDS Value (ppm)]]&lt;560, "Low", IF(Table4_2[[#This Row],[TDS Value (ppm)]]&lt;=800,"Optimal","High"))</f>
        <v>Low</v>
      </c>
    </row>
    <row r="823" spans="1:12" x14ac:dyDescent="0.25">
      <c r="A823">
        <v>66</v>
      </c>
      <c r="B823" s="1">
        <v>45167</v>
      </c>
      <c r="C823" s="1" t="str">
        <f>TEXT(Table4_2[[#This Row],[Date]],"dddd")</f>
        <v>Tuesday</v>
      </c>
      <c r="D823" s="21">
        <v>20.7</v>
      </c>
      <c r="E823" s="21">
        <v>60</v>
      </c>
      <c r="F823" s="21">
        <v>590</v>
      </c>
      <c r="G823" s="21">
        <v>6.3</v>
      </c>
      <c r="H823">
        <v>27</v>
      </c>
      <c r="I823">
        <v>69.260000000000005</v>
      </c>
      <c r="J823">
        <v>0.6</v>
      </c>
      <c r="K823" t="str" cm="1">
        <f t="array" ref="K823">_xlfn.IFS(Table4_2[[#This Row],[Growth Days]]&lt;=14,"Seedling",Table4_2[[#This Row],[Growth Days]]&lt;=35, "Vegetative",Table4_2[[#This Row],[Growth Days]]&lt;=50, "Maturity")</f>
        <v>Vegetative</v>
      </c>
      <c r="L823" t="str">
        <f>IF(Table4_2[[#This Row],[TDS Value (ppm)]]&lt;560, "Low", IF(Table4_2[[#This Row],[TDS Value (ppm)]]&lt;=800,"Optimal","High"))</f>
        <v>Optimal</v>
      </c>
    </row>
    <row r="824" spans="1:12" x14ac:dyDescent="0.25">
      <c r="A824">
        <v>66</v>
      </c>
      <c r="B824" s="1">
        <v>45174</v>
      </c>
      <c r="C824" s="1" t="str">
        <f>TEXT(Table4_2[[#This Row],[Date]],"dddd")</f>
        <v>Tuesday</v>
      </c>
      <c r="D824" s="21">
        <v>21.9</v>
      </c>
      <c r="E824" s="21">
        <v>66</v>
      </c>
      <c r="F824" s="21">
        <v>541</v>
      </c>
      <c r="G824" s="21">
        <v>6.3</v>
      </c>
      <c r="H824">
        <v>34</v>
      </c>
      <c r="I824">
        <v>71.42</v>
      </c>
      <c r="J824">
        <v>0.66</v>
      </c>
      <c r="K824" t="str" cm="1">
        <f t="array" ref="K824">_xlfn.IFS(Table4_2[[#This Row],[Growth Days]]&lt;=14,"Seedling",Table4_2[[#This Row],[Growth Days]]&lt;=35, "Vegetative",Table4_2[[#This Row],[Growth Days]]&lt;=50, "Maturity")</f>
        <v>Vegetative</v>
      </c>
      <c r="L824" t="str">
        <f>IF(Table4_2[[#This Row],[TDS Value (ppm)]]&lt;560, "Low", IF(Table4_2[[#This Row],[TDS Value (ppm)]]&lt;=800,"Optimal","High"))</f>
        <v>Low</v>
      </c>
    </row>
    <row r="825" spans="1:12" x14ac:dyDescent="0.25">
      <c r="A825">
        <v>66</v>
      </c>
      <c r="B825" s="1">
        <v>45181</v>
      </c>
      <c r="C825" s="1" t="str">
        <f>TEXT(Table4_2[[#This Row],[Date]],"dddd")</f>
        <v>Tuesday</v>
      </c>
      <c r="D825" s="21">
        <v>20.399999999999999</v>
      </c>
      <c r="E825" s="21">
        <v>65</v>
      </c>
      <c r="F825" s="21">
        <v>779</v>
      </c>
      <c r="G825" s="21">
        <v>6.3</v>
      </c>
      <c r="H825">
        <v>41</v>
      </c>
      <c r="I825">
        <v>68.72</v>
      </c>
      <c r="J825">
        <v>0.65</v>
      </c>
      <c r="K825" t="str" cm="1">
        <f t="array" ref="K825">_xlfn.IFS(Table4_2[[#This Row],[Growth Days]]&lt;=14,"Seedling",Table4_2[[#This Row],[Growth Days]]&lt;=35, "Vegetative",Table4_2[[#This Row],[Growth Days]]&lt;=50, "Maturity")</f>
        <v>Maturity</v>
      </c>
      <c r="L825" t="str">
        <f>IF(Table4_2[[#This Row],[TDS Value (ppm)]]&lt;560, "Low", IF(Table4_2[[#This Row],[TDS Value (ppm)]]&lt;=800,"Optimal","High"))</f>
        <v>Optimal</v>
      </c>
    </row>
    <row r="826" spans="1:12" x14ac:dyDescent="0.25">
      <c r="A826">
        <v>67</v>
      </c>
      <c r="B826" s="1">
        <v>45146</v>
      </c>
      <c r="C826" s="1" t="str">
        <f>TEXT(Table4_2[[#This Row],[Date]],"dddd")</f>
        <v>Tuesday</v>
      </c>
      <c r="D826" s="21">
        <v>20.399999999999999</v>
      </c>
      <c r="E826" s="21">
        <v>50</v>
      </c>
      <c r="F826" s="21">
        <v>469</v>
      </c>
      <c r="G826" s="21">
        <v>6.4</v>
      </c>
      <c r="H826">
        <v>6</v>
      </c>
      <c r="I826">
        <v>68.72</v>
      </c>
      <c r="J826">
        <v>0.5</v>
      </c>
      <c r="K826" t="str" cm="1">
        <f t="array" ref="K826">_xlfn.IFS(Table4_2[[#This Row],[Growth Days]]&lt;=14,"Seedling",Table4_2[[#This Row],[Growth Days]]&lt;=35, "Vegetative",Table4_2[[#This Row],[Growth Days]]&lt;=50, "Maturity")</f>
        <v>Seedling</v>
      </c>
      <c r="L826" t="str">
        <f>IF(Table4_2[[#This Row],[TDS Value (ppm)]]&lt;560, "Low", IF(Table4_2[[#This Row],[TDS Value (ppm)]]&lt;=800,"Optimal","High"))</f>
        <v>Low</v>
      </c>
    </row>
    <row r="827" spans="1:12" x14ac:dyDescent="0.25">
      <c r="A827">
        <v>67</v>
      </c>
      <c r="B827" s="1">
        <v>45153</v>
      </c>
      <c r="C827" s="1" t="str">
        <f>TEXT(Table4_2[[#This Row],[Date]],"dddd")</f>
        <v>Tuesday</v>
      </c>
      <c r="D827" s="21">
        <v>18.600000000000001</v>
      </c>
      <c r="E827" s="21">
        <v>55</v>
      </c>
      <c r="F827" s="21">
        <v>461</v>
      </c>
      <c r="G827" s="21">
        <v>6.4</v>
      </c>
      <c r="H827">
        <v>13</v>
      </c>
      <c r="I827">
        <v>65.48</v>
      </c>
      <c r="J827">
        <v>0.55000000000000004</v>
      </c>
      <c r="K827" t="str" cm="1">
        <f t="array" ref="K827">_xlfn.IFS(Table4_2[[#This Row],[Growth Days]]&lt;=14,"Seedling",Table4_2[[#This Row],[Growth Days]]&lt;=35, "Vegetative",Table4_2[[#This Row],[Growth Days]]&lt;=50, "Maturity")</f>
        <v>Seedling</v>
      </c>
      <c r="L827" t="str">
        <f>IF(Table4_2[[#This Row],[TDS Value (ppm)]]&lt;560, "Low", IF(Table4_2[[#This Row],[TDS Value (ppm)]]&lt;=800,"Optimal","High"))</f>
        <v>Low</v>
      </c>
    </row>
    <row r="828" spans="1:12" x14ac:dyDescent="0.25">
      <c r="A828">
        <v>67</v>
      </c>
      <c r="B828" s="1">
        <v>45160</v>
      </c>
      <c r="C828" s="1" t="str">
        <f>TEXT(Table4_2[[#This Row],[Date]],"dddd")</f>
        <v>Tuesday</v>
      </c>
      <c r="D828" s="21">
        <v>22.3</v>
      </c>
      <c r="E828" s="21">
        <v>78</v>
      </c>
      <c r="F828" s="21">
        <v>674</v>
      </c>
      <c r="G828" s="21">
        <v>6.3</v>
      </c>
      <c r="H828">
        <v>20</v>
      </c>
      <c r="I828">
        <v>72.14</v>
      </c>
      <c r="J828">
        <v>0.78</v>
      </c>
      <c r="K828" t="str" cm="1">
        <f t="array" ref="K828">_xlfn.IFS(Table4_2[[#This Row],[Growth Days]]&lt;=14,"Seedling",Table4_2[[#This Row],[Growth Days]]&lt;=35, "Vegetative",Table4_2[[#This Row],[Growth Days]]&lt;=50, "Maturity")</f>
        <v>Vegetative</v>
      </c>
      <c r="L828" t="str">
        <f>IF(Table4_2[[#This Row],[TDS Value (ppm)]]&lt;560, "Low", IF(Table4_2[[#This Row],[TDS Value (ppm)]]&lt;=800,"Optimal","High"))</f>
        <v>Optimal</v>
      </c>
    </row>
    <row r="829" spans="1:12" x14ac:dyDescent="0.25">
      <c r="A829">
        <v>67</v>
      </c>
      <c r="B829" s="1">
        <v>45167</v>
      </c>
      <c r="C829" s="1" t="str">
        <f>TEXT(Table4_2[[#This Row],[Date]],"dddd")</f>
        <v>Tuesday</v>
      </c>
      <c r="D829" s="21">
        <v>23.9</v>
      </c>
      <c r="E829" s="21">
        <v>61</v>
      </c>
      <c r="F829" s="21">
        <v>543</v>
      </c>
      <c r="G829" s="21">
        <v>6.2</v>
      </c>
      <c r="H829">
        <v>27</v>
      </c>
      <c r="I829">
        <v>75.02</v>
      </c>
      <c r="J829">
        <v>0.61</v>
      </c>
      <c r="K829" t="str" cm="1">
        <f t="array" ref="K829">_xlfn.IFS(Table4_2[[#This Row],[Growth Days]]&lt;=14,"Seedling",Table4_2[[#This Row],[Growth Days]]&lt;=35, "Vegetative",Table4_2[[#This Row],[Growth Days]]&lt;=50, "Maturity")</f>
        <v>Vegetative</v>
      </c>
      <c r="L829" t="str">
        <f>IF(Table4_2[[#This Row],[TDS Value (ppm)]]&lt;560, "Low", IF(Table4_2[[#This Row],[TDS Value (ppm)]]&lt;=800,"Optimal","High"))</f>
        <v>Low</v>
      </c>
    </row>
    <row r="830" spans="1:12" x14ac:dyDescent="0.25">
      <c r="A830">
        <v>67</v>
      </c>
      <c r="B830" s="1">
        <v>45174</v>
      </c>
      <c r="C830" s="1" t="str">
        <f>TEXT(Table4_2[[#This Row],[Date]],"dddd")</f>
        <v>Tuesday</v>
      </c>
      <c r="D830" s="21">
        <v>23.8</v>
      </c>
      <c r="E830" s="21">
        <v>76</v>
      </c>
      <c r="F830" s="21">
        <v>771</v>
      </c>
      <c r="G830" s="21">
        <v>6.5</v>
      </c>
      <c r="H830">
        <v>34</v>
      </c>
      <c r="I830">
        <v>74.84</v>
      </c>
      <c r="J830">
        <v>0.76</v>
      </c>
      <c r="K830" t="str" cm="1">
        <f t="array" ref="K830">_xlfn.IFS(Table4_2[[#This Row],[Growth Days]]&lt;=14,"Seedling",Table4_2[[#This Row],[Growth Days]]&lt;=35, "Vegetative",Table4_2[[#This Row],[Growth Days]]&lt;=50, "Maturity")</f>
        <v>Vegetative</v>
      </c>
      <c r="L830" t="str">
        <f>IF(Table4_2[[#This Row],[TDS Value (ppm)]]&lt;560, "Low", IF(Table4_2[[#This Row],[TDS Value (ppm)]]&lt;=800,"Optimal","High"))</f>
        <v>Optimal</v>
      </c>
    </row>
    <row r="831" spans="1:12" x14ac:dyDescent="0.25">
      <c r="A831">
        <v>67</v>
      </c>
      <c r="B831" s="1">
        <v>45181</v>
      </c>
      <c r="C831" s="1" t="str">
        <f>TEXT(Table4_2[[#This Row],[Date]],"dddd")</f>
        <v>Tuesday</v>
      </c>
      <c r="D831" s="21">
        <v>23.8</v>
      </c>
      <c r="E831" s="21">
        <v>78</v>
      </c>
      <c r="F831" s="21">
        <v>704</v>
      </c>
      <c r="G831" s="21">
        <v>6</v>
      </c>
      <c r="H831">
        <v>41</v>
      </c>
      <c r="I831">
        <v>74.84</v>
      </c>
      <c r="J831">
        <v>0.78</v>
      </c>
      <c r="K831" t="str" cm="1">
        <f t="array" ref="K831">_xlfn.IFS(Table4_2[[#This Row],[Growth Days]]&lt;=14,"Seedling",Table4_2[[#This Row],[Growth Days]]&lt;=35, "Vegetative",Table4_2[[#This Row],[Growth Days]]&lt;=50, "Maturity")</f>
        <v>Maturity</v>
      </c>
      <c r="L831" t="str">
        <f>IF(Table4_2[[#This Row],[TDS Value (ppm)]]&lt;560, "Low", IF(Table4_2[[#This Row],[TDS Value (ppm)]]&lt;=800,"Optimal","High"))</f>
        <v>Optimal</v>
      </c>
    </row>
    <row r="832" spans="1:12" x14ac:dyDescent="0.25">
      <c r="A832">
        <v>68</v>
      </c>
      <c r="B832" s="1">
        <v>45146</v>
      </c>
      <c r="C832" s="1" t="str">
        <f>TEXT(Table4_2[[#This Row],[Date]],"dddd")</f>
        <v>Tuesday</v>
      </c>
      <c r="D832" s="21">
        <v>22</v>
      </c>
      <c r="E832" s="21">
        <v>79</v>
      </c>
      <c r="F832" s="21">
        <v>626</v>
      </c>
      <c r="G832" s="21">
        <v>6.2</v>
      </c>
      <c r="H832">
        <v>6</v>
      </c>
      <c r="I832">
        <v>71.599999999999994</v>
      </c>
      <c r="J832">
        <v>0.79</v>
      </c>
      <c r="K832" t="str" cm="1">
        <f t="array" ref="K832">_xlfn.IFS(Table4_2[[#This Row],[Growth Days]]&lt;=14,"Seedling",Table4_2[[#This Row],[Growth Days]]&lt;=35, "Vegetative",Table4_2[[#This Row],[Growth Days]]&lt;=50, "Maturity")</f>
        <v>Seedling</v>
      </c>
      <c r="L832" t="str">
        <f>IF(Table4_2[[#This Row],[TDS Value (ppm)]]&lt;560, "Low", IF(Table4_2[[#This Row],[TDS Value (ppm)]]&lt;=800,"Optimal","High"))</f>
        <v>Optimal</v>
      </c>
    </row>
    <row r="833" spans="1:12" x14ac:dyDescent="0.25">
      <c r="A833">
        <v>68</v>
      </c>
      <c r="B833" s="1">
        <v>45153</v>
      </c>
      <c r="C833" s="1" t="str">
        <f>TEXT(Table4_2[[#This Row],[Date]],"dddd")</f>
        <v>Tuesday</v>
      </c>
      <c r="D833" s="21">
        <v>22.1</v>
      </c>
      <c r="E833" s="21">
        <v>70</v>
      </c>
      <c r="F833" s="21">
        <v>636</v>
      </c>
      <c r="G833" s="21">
        <v>6.5</v>
      </c>
      <c r="H833">
        <v>13</v>
      </c>
      <c r="I833">
        <v>71.78</v>
      </c>
      <c r="J833">
        <v>0.7</v>
      </c>
      <c r="K833" t="str" cm="1">
        <f t="array" ref="K833">_xlfn.IFS(Table4_2[[#This Row],[Growth Days]]&lt;=14,"Seedling",Table4_2[[#This Row],[Growth Days]]&lt;=35, "Vegetative",Table4_2[[#This Row],[Growth Days]]&lt;=50, "Maturity")</f>
        <v>Seedling</v>
      </c>
      <c r="L833" t="str">
        <f>IF(Table4_2[[#This Row],[TDS Value (ppm)]]&lt;560, "Low", IF(Table4_2[[#This Row],[TDS Value (ppm)]]&lt;=800,"Optimal","High"))</f>
        <v>Optimal</v>
      </c>
    </row>
    <row r="834" spans="1:12" x14ac:dyDescent="0.25">
      <c r="A834">
        <v>68</v>
      </c>
      <c r="B834" s="1">
        <v>45160</v>
      </c>
      <c r="C834" s="1" t="str">
        <f>TEXT(Table4_2[[#This Row],[Date]],"dddd")</f>
        <v>Tuesday</v>
      </c>
      <c r="D834" s="21">
        <v>24.8</v>
      </c>
      <c r="E834" s="21">
        <v>61</v>
      </c>
      <c r="F834" s="21">
        <v>791</v>
      </c>
      <c r="G834" s="21">
        <v>6.2</v>
      </c>
      <c r="H834">
        <v>20</v>
      </c>
      <c r="I834">
        <v>76.64</v>
      </c>
      <c r="J834">
        <v>0.61</v>
      </c>
      <c r="K834" t="str" cm="1">
        <f t="array" ref="K834">_xlfn.IFS(Table4_2[[#This Row],[Growth Days]]&lt;=14,"Seedling",Table4_2[[#This Row],[Growth Days]]&lt;=35, "Vegetative",Table4_2[[#This Row],[Growth Days]]&lt;=50, "Maturity")</f>
        <v>Vegetative</v>
      </c>
      <c r="L834" t="str">
        <f>IF(Table4_2[[#This Row],[TDS Value (ppm)]]&lt;560, "Low", IF(Table4_2[[#This Row],[TDS Value (ppm)]]&lt;=800,"Optimal","High"))</f>
        <v>Optimal</v>
      </c>
    </row>
    <row r="835" spans="1:12" x14ac:dyDescent="0.25">
      <c r="A835">
        <v>68</v>
      </c>
      <c r="B835" s="1">
        <v>45167</v>
      </c>
      <c r="C835" s="1" t="str">
        <f>TEXT(Table4_2[[#This Row],[Date]],"dddd")</f>
        <v>Tuesday</v>
      </c>
      <c r="D835" s="21">
        <v>24.4</v>
      </c>
      <c r="E835" s="21">
        <v>64</v>
      </c>
      <c r="F835" s="21">
        <v>616</v>
      </c>
      <c r="G835" s="21">
        <v>6.4</v>
      </c>
      <c r="H835">
        <v>27</v>
      </c>
      <c r="I835">
        <v>75.92</v>
      </c>
      <c r="J835">
        <v>0.64</v>
      </c>
      <c r="K835" t="str" cm="1">
        <f t="array" ref="K835">_xlfn.IFS(Table4_2[[#This Row],[Growth Days]]&lt;=14,"Seedling",Table4_2[[#This Row],[Growth Days]]&lt;=35, "Vegetative",Table4_2[[#This Row],[Growth Days]]&lt;=50, "Maturity")</f>
        <v>Vegetative</v>
      </c>
      <c r="L835" t="str">
        <f>IF(Table4_2[[#This Row],[TDS Value (ppm)]]&lt;560, "Low", IF(Table4_2[[#This Row],[TDS Value (ppm)]]&lt;=800,"Optimal","High"))</f>
        <v>Optimal</v>
      </c>
    </row>
    <row r="836" spans="1:12" x14ac:dyDescent="0.25">
      <c r="A836">
        <v>68</v>
      </c>
      <c r="B836" s="1">
        <v>45174</v>
      </c>
      <c r="C836" s="1" t="str">
        <f>TEXT(Table4_2[[#This Row],[Date]],"dddd")</f>
        <v>Tuesday</v>
      </c>
      <c r="D836" s="21">
        <v>21.8</v>
      </c>
      <c r="E836" s="21">
        <v>56</v>
      </c>
      <c r="F836" s="21">
        <v>576</v>
      </c>
      <c r="G836" s="21">
        <v>6.7</v>
      </c>
      <c r="H836">
        <v>34</v>
      </c>
      <c r="I836">
        <v>71.239999999999995</v>
      </c>
      <c r="J836">
        <v>0.56000000000000005</v>
      </c>
      <c r="K836" t="str" cm="1">
        <f t="array" ref="K836">_xlfn.IFS(Table4_2[[#This Row],[Growth Days]]&lt;=14,"Seedling",Table4_2[[#This Row],[Growth Days]]&lt;=35, "Vegetative",Table4_2[[#This Row],[Growth Days]]&lt;=50, "Maturity")</f>
        <v>Vegetative</v>
      </c>
      <c r="L836" t="str">
        <f>IF(Table4_2[[#This Row],[TDS Value (ppm)]]&lt;560, "Low", IF(Table4_2[[#This Row],[TDS Value (ppm)]]&lt;=800,"Optimal","High"))</f>
        <v>Optimal</v>
      </c>
    </row>
    <row r="837" spans="1:12" x14ac:dyDescent="0.25">
      <c r="A837">
        <v>68</v>
      </c>
      <c r="B837" s="1">
        <v>45181</v>
      </c>
      <c r="C837" s="1" t="str">
        <f>TEXT(Table4_2[[#This Row],[Date]],"dddd")</f>
        <v>Tuesday</v>
      </c>
      <c r="D837" s="21">
        <v>24.9</v>
      </c>
      <c r="E837" s="21">
        <v>77</v>
      </c>
      <c r="F837" s="21">
        <v>500</v>
      </c>
      <c r="G837" s="21">
        <v>6.8</v>
      </c>
      <c r="H837">
        <v>41</v>
      </c>
      <c r="I837">
        <v>76.819999999999993</v>
      </c>
      <c r="J837">
        <v>0.77</v>
      </c>
      <c r="K837" t="str" cm="1">
        <f t="array" ref="K837">_xlfn.IFS(Table4_2[[#This Row],[Growth Days]]&lt;=14,"Seedling",Table4_2[[#This Row],[Growth Days]]&lt;=35, "Vegetative",Table4_2[[#This Row],[Growth Days]]&lt;=50, "Maturity")</f>
        <v>Maturity</v>
      </c>
      <c r="L837" t="str">
        <f>IF(Table4_2[[#This Row],[TDS Value (ppm)]]&lt;560, "Low", IF(Table4_2[[#This Row],[TDS Value (ppm)]]&lt;=800,"Optimal","High"))</f>
        <v>Low</v>
      </c>
    </row>
    <row r="838" spans="1:12" x14ac:dyDescent="0.25">
      <c r="A838">
        <v>69</v>
      </c>
      <c r="B838" s="1">
        <v>45146</v>
      </c>
      <c r="C838" s="1" t="str">
        <f>TEXT(Table4_2[[#This Row],[Date]],"dddd")</f>
        <v>Tuesday</v>
      </c>
      <c r="D838" s="21">
        <v>20.5</v>
      </c>
      <c r="E838" s="21">
        <v>63</v>
      </c>
      <c r="F838" s="21">
        <v>633</v>
      </c>
      <c r="G838" s="21">
        <v>6.6</v>
      </c>
      <c r="H838">
        <v>6</v>
      </c>
      <c r="I838">
        <v>68.900000000000006</v>
      </c>
      <c r="J838">
        <v>0.63</v>
      </c>
      <c r="K838" t="str" cm="1">
        <f t="array" ref="K838">_xlfn.IFS(Table4_2[[#This Row],[Growth Days]]&lt;=14,"Seedling",Table4_2[[#This Row],[Growth Days]]&lt;=35, "Vegetative",Table4_2[[#This Row],[Growth Days]]&lt;=50, "Maturity")</f>
        <v>Seedling</v>
      </c>
      <c r="L838" t="str">
        <f>IF(Table4_2[[#This Row],[TDS Value (ppm)]]&lt;560, "Low", IF(Table4_2[[#This Row],[TDS Value (ppm)]]&lt;=800,"Optimal","High"))</f>
        <v>Optimal</v>
      </c>
    </row>
    <row r="839" spans="1:12" x14ac:dyDescent="0.25">
      <c r="A839">
        <v>69</v>
      </c>
      <c r="B839" s="1">
        <v>45153</v>
      </c>
      <c r="C839" s="1" t="str">
        <f>TEXT(Table4_2[[#This Row],[Date]],"dddd")</f>
        <v>Tuesday</v>
      </c>
      <c r="D839" s="21">
        <v>20.8</v>
      </c>
      <c r="E839" s="21">
        <v>59</v>
      </c>
      <c r="F839" s="21">
        <v>473</v>
      </c>
      <c r="G839" s="21">
        <v>6.1</v>
      </c>
      <c r="H839">
        <v>13</v>
      </c>
      <c r="I839">
        <v>69.44</v>
      </c>
      <c r="J839">
        <v>0.59</v>
      </c>
      <c r="K839" t="str" cm="1">
        <f t="array" ref="K839">_xlfn.IFS(Table4_2[[#This Row],[Growth Days]]&lt;=14,"Seedling",Table4_2[[#This Row],[Growth Days]]&lt;=35, "Vegetative",Table4_2[[#This Row],[Growth Days]]&lt;=50, "Maturity")</f>
        <v>Seedling</v>
      </c>
      <c r="L839" t="str">
        <f>IF(Table4_2[[#This Row],[TDS Value (ppm)]]&lt;560, "Low", IF(Table4_2[[#This Row],[TDS Value (ppm)]]&lt;=800,"Optimal","High"))</f>
        <v>Low</v>
      </c>
    </row>
    <row r="840" spans="1:12" x14ac:dyDescent="0.25">
      <c r="A840">
        <v>69</v>
      </c>
      <c r="B840" s="1">
        <v>45160</v>
      </c>
      <c r="C840" s="1" t="str">
        <f>TEXT(Table4_2[[#This Row],[Date]],"dddd")</f>
        <v>Tuesday</v>
      </c>
      <c r="D840" s="21">
        <v>23.8</v>
      </c>
      <c r="E840" s="21">
        <v>66</v>
      </c>
      <c r="F840" s="21">
        <v>495</v>
      </c>
      <c r="G840" s="21">
        <v>6.3</v>
      </c>
      <c r="H840">
        <v>20</v>
      </c>
      <c r="I840">
        <v>74.84</v>
      </c>
      <c r="J840">
        <v>0.66</v>
      </c>
      <c r="K840" t="str" cm="1">
        <f t="array" ref="K840">_xlfn.IFS(Table4_2[[#This Row],[Growth Days]]&lt;=14,"Seedling",Table4_2[[#This Row],[Growth Days]]&lt;=35, "Vegetative",Table4_2[[#This Row],[Growth Days]]&lt;=50, "Maturity")</f>
        <v>Vegetative</v>
      </c>
      <c r="L840" t="str">
        <f>IF(Table4_2[[#This Row],[TDS Value (ppm)]]&lt;560, "Low", IF(Table4_2[[#This Row],[TDS Value (ppm)]]&lt;=800,"Optimal","High"))</f>
        <v>Low</v>
      </c>
    </row>
    <row r="841" spans="1:12" x14ac:dyDescent="0.25">
      <c r="A841">
        <v>69</v>
      </c>
      <c r="B841" s="1">
        <v>45167</v>
      </c>
      <c r="C841" s="1" t="str">
        <f>TEXT(Table4_2[[#This Row],[Date]],"dddd")</f>
        <v>Tuesday</v>
      </c>
      <c r="D841" s="21">
        <v>22.2</v>
      </c>
      <c r="E841" s="21">
        <v>61</v>
      </c>
      <c r="F841" s="21">
        <v>562</v>
      </c>
      <c r="G841" s="21">
        <v>6.1</v>
      </c>
      <c r="H841">
        <v>27</v>
      </c>
      <c r="I841">
        <v>71.959999999999994</v>
      </c>
      <c r="J841">
        <v>0.61</v>
      </c>
      <c r="K841" t="str" cm="1">
        <f t="array" ref="K841">_xlfn.IFS(Table4_2[[#This Row],[Growth Days]]&lt;=14,"Seedling",Table4_2[[#This Row],[Growth Days]]&lt;=35, "Vegetative",Table4_2[[#This Row],[Growth Days]]&lt;=50, "Maturity")</f>
        <v>Vegetative</v>
      </c>
      <c r="L841" t="str">
        <f>IF(Table4_2[[#This Row],[TDS Value (ppm)]]&lt;560, "Low", IF(Table4_2[[#This Row],[TDS Value (ppm)]]&lt;=800,"Optimal","High"))</f>
        <v>Optimal</v>
      </c>
    </row>
    <row r="842" spans="1:12" x14ac:dyDescent="0.25">
      <c r="A842">
        <v>69</v>
      </c>
      <c r="B842" s="1">
        <v>45174</v>
      </c>
      <c r="C842" s="1" t="str">
        <f>TEXT(Table4_2[[#This Row],[Date]],"dddd")</f>
        <v>Tuesday</v>
      </c>
      <c r="D842" s="21">
        <v>24.5</v>
      </c>
      <c r="E842" s="21">
        <v>74</v>
      </c>
      <c r="F842" s="21">
        <v>674</v>
      </c>
      <c r="G842" s="21">
        <v>6.3</v>
      </c>
      <c r="H842">
        <v>34</v>
      </c>
      <c r="I842">
        <v>76.099999999999994</v>
      </c>
      <c r="J842">
        <v>0.74</v>
      </c>
      <c r="K842" t="str" cm="1">
        <f t="array" ref="K842">_xlfn.IFS(Table4_2[[#This Row],[Growth Days]]&lt;=14,"Seedling",Table4_2[[#This Row],[Growth Days]]&lt;=35, "Vegetative",Table4_2[[#This Row],[Growth Days]]&lt;=50, "Maturity")</f>
        <v>Vegetative</v>
      </c>
      <c r="L842" t="str">
        <f>IF(Table4_2[[#This Row],[TDS Value (ppm)]]&lt;560, "Low", IF(Table4_2[[#This Row],[TDS Value (ppm)]]&lt;=800,"Optimal","High"))</f>
        <v>Optimal</v>
      </c>
    </row>
    <row r="843" spans="1:12" x14ac:dyDescent="0.25">
      <c r="A843">
        <v>69</v>
      </c>
      <c r="B843" s="1">
        <v>45181</v>
      </c>
      <c r="C843" s="1" t="str">
        <f>TEXT(Table4_2[[#This Row],[Date]],"dddd")</f>
        <v>Tuesday</v>
      </c>
      <c r="D843" s="21">
        <v>22.5</v>
      </c>
      <c r="E843" s="21">
        <v>51</v>
      </c>
      <c r="F843" s="21">
        <v>688</v>
      </c>
      <c r="G843" s="21">
        <v>6.7</v>
      </c>
      <c r="H843">
        <v>41</v>
      </c>
      <c r="I843">
        <v>72.5</v>
      </c>
      <c r="J843">
        <v>0.51</v>
      </c>
      <c r="K843" t="str" cm="1">
        <f t="array" ref="K843">_xlfn.IFS(Table4_2[[#This Row],[Growth Days]]&lt;=14,"Seedling",Table4_2[[#This Row],[Growth Days]]&lt;=35, "Vegetative",Table4_2[[#This Row],[Growth Days]]&lt;=50, "Maturity")</f>
        <v>Maturity</v>
      </c>
      <c r="L843" t="str">
        <f>IF(Table4_2[[#This Row],[TDS Value (ppm)]]&lt;560, "Low", IF(Table4_2[[#This Row],[TDS Value (ppm)]]&lt;=800,"Optimal","High"))</f>
        <v>Optimal</v>
      </c>
    </row>
    <row r="844" spans="1:12" x14ac:dyDescent="0.25">
      <c r="A844">
        <v>70</v>
      </c>
      <c r="B844" s="1">
        <v>45146</v>
      </c>
      <c r="C844" s="1" t="str">
        <f>TEXT(Table4_2[[#This Row],[Date]],"dddd")</f>
        <v>Tuesday</v>
      </c>
      <c r="D844" s="21">
        <v>22.2</v>
      </c>
      <c r="E844" s="21">
        <v>67</v>
      </c>
      <c r="F844" s="21">
        <v>577</v>
      </c>
      <c r="G844" s="21">
        <v>6.3</v>
      </c>
      <c r="H844">
        <v>6</v>
      </c>
      <c r="I844">
        <v>71.959999999999994</v>
      </c>
      <c r="J844">
        <v>0.67</v>
      </c>
      <c r="K844" t="str" cm="1">
        <f t="array" ref="K844">_xlfn.IFS(Table4_2[[#This Row],[Growth Days]]&lt;=14,"Seedling",Table4_2[[#This Row],[Growth Days]]&lt;=35, "Vegetative",Table4_2[[#This Row],[Growth Days]]&lt;=50, "Maturity")</f>
        <v>Seedling</v>
      </c>
      <c r="L844" t="str">
        <f>IF(Table4_2[[#This Row],[TDS Value (ppm)]]&lt;560, "Low", IF(Table4_2[[#This Row],[TDS Value (ppm)]]&lt;=800,"Optimal","High"))</f>
        <v>Optimal</v>
      </c>
    </row>
    <row r="845" spans="1:12" x14ac:dyDescent="0.25">
      <c r="A845">
        <v>70</v>
      </c>
      <c r="B845" s="1">
        <v>45153</v>
      </c>
      <c r="C845" s="1" t="str">
        <f>TEXT(Table4_2[[#This Row],[Date]],"dddd")</f>
        <v>Tuesday</v>
      </c>
      <c r="D845" s="21">
        <v>21.7</v>
      </c>
      <c r="E845" s="21">
        <v>77</v>
      </c>
      <c r="F845" s="21">
        <v>479</v>
      </c>
      <c r="G845" s="21">
        <v>6.1</v>
      </c>
      <c r="H845">
        <v>13</v>
      </c>
      <c r="I845">
        <v>71.06</v>
      </c>
      <c r="J845">
        <v>0.77</v>
      </c>
      <c r="K845" t="str" cm="1">
        <f t="array" ref="K845">_xlfn.IFS(Table4_2[[#This Row],[Growth Days]]&lt;=14,"Seedling",Table4_2[[#This Row],[Growth Days]]&lt;=35, "Vegetative",Table4_2[[#This Row],[Growth Days]]&lt;=50, "Maturity")</f>
        <v>Seedling</v>
      </c>
      <c r="L845" t="str">
        <f>IF(Table4_2[[#This Row],[TDS Value (ppm)]]&lt;560, "Low", IF(Table4_2[[#This Row],[TDS Value (ppm)]]&lt;=800,"Optimal","High"))</f>
        <v>Low</v>
      </c>
    </row>
    <row r="846" spans="1:12" x14ac:dyDescent="0.25">
      <c r="A846">
        <v>70</v>
      </c>
      <c r="B846" s="1">
        <v>45160</v>
      </c>
      <c r="C846" s="1" t="str">
        <f>TEXT(Table4_2[[#This Row],[Date]],"dddd")</f>
        <v>Tuesday</v>
      </c>
      <c r="D846" s="21">
        <v>22.2</v>
      </c>
      <c r="E846" s="21">
        <v>57</v>
      </c>
      <c r="F846" s="21">
        <v>425</v>
      </c>
      <c r="G846" s="21">
        <v>6.6</v>
      </c>
      <c r="H846">
        <v>20</v>
      </c>
      <c r="I846">
        <v>71.959999999999994</v>
      </c>
      <c r="J846">
        <v>0.56999999999999995</v>
      </c>
      <c r="K846" t="str" cm="1">
        <f t="array" ref="K846">_xlfn.IFS(Table4_2[[#This Row],[Growth Days]]&lt;=14,"Seedling",Table4_2[[#This Row],[Growth Days]]&lt;=35, "Vegetative",Table4_2[[#This Row],[Growth Days]]&lt;=50, "Maturity")</f>
        <v>Vegetative</v>
      </c>
      <c r="L846" t="str">
        <f>IF(Table4_2[[#This Row],[TDS Value (ppm)]]&lt;560, "Low", IF(Table4_2[[#This Row],[TDS Value (ppm)]]&lt;=800,"Optimal","High"))</f>
        <v>Low</v>
      </c>
    </row>
    <row r="847" spans="1:12" x14ac:dyDescent="0.25">
      <c r="A847">
        <v>70</v>
      </c>
      <c r="B847" s="1">
        <v>45167</v>
      </c>
      <c r="C847" s="1" t="str">
        <f>TEXT(Table4_2[[#This Row],[Date]],"dddd")</f>
        <v>Tuesday</v>
      </c>
      <c r="D847" s="21">
        <v>21.9</v>
      </c>
      <c r="E847" s="21">
        <v>71</v>
      </c>
      <c r="F847" s="21">
        <v>638</v>
      </c>
      <c r="G847" s="21">
        <v>6.1</v>
      </c>
      <c r="H847">
        <v>27</v>
      </c>
      <c r="I847">
        <v>71.42</v>
      </c>
      <c r="J847">
        <v>0.71</v>
      </c>
      <c r="K847" t="str" cm="1">
        <f t="array" ref="K847">_xlfn.IFS(Table4_2[[#This Row],[Growth Days]]&lt;=14,"Seedling",Table4_2[[#This Row],[Growth Days]]&lt;=35, "Vegetative",Table4_2[[#This Row],[Growth Days]]&lt;=50, "Maturity")</f>
        <v>Vegetative</v>
      </c>
      <c r="L847" t="str">
        <f>IF(Table4_2[[#This Row],[TDS Value (ppm)]]&lt;560, "Low", IF(Table4_2[[#This Row],[TDS Value (ppm)]]&lt;=800,"Optimal","High"))</f>
        <v>Optimal</v>
      </c>
    </row>
    <row r="848" spans="1:12" x14ac:dyDescent="0.25">
      <c r="A848">
        <v>70</v>
      </c>
      <c r="B848" s="1">
        <v>45174</v>
      </c>
      <c r="C848" s="1" t="str">
        <f>TEXT(Table4_2[[#This Row],[Date]],"dddd")</f>
        <v>Tuesday</v>
      </c>
      <c r="D848" s="21">
        <v>24.4</v>
      </c>
      <c r="E848" s="21">
        <v>56</v>
      </c>
      <c r="F848" s="21">
        <v>588</v>
      </c>
      <c r="G848" s="21">
        <v>6.8</v>
      </c>
      <c r="H848">
        <v>34</v>
      </c>
      <c r="I848">
        <v>75.92</v>
      </c>
      <c r="J848">
        <v>0.56000000000000005</v>
      </c>
      <c r="K848" t="str" cm="1">
        <f t="array" ref="K848">_xlfn.IFS(Table4_2[[#This Row],[Growth Days]]&lt;=14,"Seedling",Table4_2[[#This Row],[Growth Days]]&lt;=35, "Vegetative",Table4_2[[#This Row],[Growth Days]]&lt;=50, "Maturity")</f>
        <v>Vegetative</v>
      </c>
      <c r="L848" t="str">
        <f>IF(Table4_2[[#This Row],[TDS Value (ppm)]]&lt;560, "Low", IF(Table4_2[[#This Row],[TDS Value (ppm)]]&lt;=800,"Optimal","High"))</f>
        <v>Optimal</v>
      </c>
    </row>
    <row r="849" spans="1:12" x14ac:dyDescent="0.25">
      <c r="A849">
        <v>70</v>
      </c>
      <c r="B849" s="1">
        <v>45181</v>
      </c>
      <c r="C849" s="1" t="str">
        <f>TEXT(Table4_2[[#This Row],[Date]],"dddd")</f>
        <v>Tuesday</v>
      </c>
      <c r="D849" s="21">
        <v>22.6</v>
      </c>
      <c r="E849" s="21">
        <v>58</v>
      </c>
      <c r="F849" s="21">
        <v>799</v>
      </c>
      <c r="G849" s="21">
        <v>6.3</v>
      </c>
      <c r="H849">
        <v>41</v>
      </c>
      <c r="I849">
        <v>72.680000000000007</v>
      </c>
      <c r="J849">
        <v>0.57999999999999996</v>
      </c>
      <c r="K849" t="str" cm="1">
        <f t="array" ref="K849">_xlfn.IFS(Table4_2[[#This Row],[Growth Days]]&lt;=14,"Seedling",Table4_2[[#This Row],[Growth Days]]&lt;=35, "Vegetative",Table4_2[[#This Row],[Growth Days]]&lt;=50, "Maturity")</f>
        <v>Maturity</v>
      </c>
      <c r="L849" t="str">
        <f>IF(Table4_2[[#This Row],[TDS Value (ppm)]]&lt;560, "Low", IF(Table4_2[[#This Row],[TDS Value (ppm)]]&lt;=800,"Optimal","High"))</f>
        <v>Optimal</v>
      </c>
    </row>
    <row r="850" spans="1:12" x14ac:dyDescent="0.25">
      <c r="A850">
        <v>1</v>
      </c>
      <c r="B850" s="1">
        <v>45147</v>
      </c>
      <c r="C850" s="1" t="str">
        <f>TEXT(Table4_2[[#This Row],[Date]],"dddd")</f>
        <v>Wednesday</v>
      </c>
      <c r="D850" s="21">
        <v>32.299999999999997</v>
      </c>
      <c r="E850" s="21">
        <v>75</v>
      </c>
      <c r="F850" s="21">
        <v>682</v>
      </c>
      <c r="G850" s="21">
        <v>6</v>
      </c>
      <c r="H850">
        <v>7</v>
      </c>
      <c r="I850">
        <v>90.14</v>
      </c>
      <c r="J850">
        <v>0.75</v>
      </c>
      <c r="K850" t="str" cm="1">
        <f t="array" ref="K850">_xlfn.IFS(Table4_2[[#This Row],[Growth Days]]&lt;=14,"Seedling",Table4_2[[#This Row],[Growth Days]]&lt;=35, "Vegetative",Table4_2[[#This Row],[Growth Days]]&lt;=50, "Maturity")</f>
        <v>Seedling</v>
      </c>
      <c r="L850" t="str">
        <f>IF(Table4_2[[#This Row],[TDS Value (ppm)]]&lt;560, "Low", IF(Table4_2[[#This Row],[TDS Value (ppm)]]&lt;=800,"Optimal","High"))</f>
        <v>Optimal</v>
      </c>
    </row>
    <row r="851" spans="1:12" x14ac:dyDescent="0.25">
      <c r="A851">
        <v>1</v>
      </c>
      <c r="B851" s="1">
        <v>45154</v>
      </c>
      <c r="C851" s="1" t="str">
        <f>TEXT(Table4_2[[#This Row],[Date]],"dddd")</f>
        <v>Wednesday</v>
      </c>
      <c r="D851" s="21">
        <v>29.8</v>
      </c>
      <c r="E851" s="21">
        <v>56</v>
      </c>
      <c r="F851" s="21">
        <v>688</v>
      </c>
      <c r="G851" s="21">
        <v>6.4</v>
      </c>
      <c r="H851">
        <v>14</v>
      </c>
      <c r="I851">
        <v>85.64</v>
      </c>
      <c r="J851">
        <v>0.56000000000000005</v>
      </c>
      <c r="K851" t="str" cm="1">
        <f t="array" ref="K851">_xlfn.IFS(Table4_2[[#This Row],[Growth Days]]&lt;=14,"Seedling",Table4_2[[#This Row],[Growth Days]]&lt;=35, "Vegetative",Table4_2[[#This Row],[Growth Days]]&lt;=50, "Maturity")</f>
        <v>Seedling</v>
      </c>
      <c r="L851" t="str">
        <f>IF(Table4_2[[#This Row],[TDS Value (ppm)]]&lt;560, "Low", IF(Table4_2[[#This Row],[TDS Value (ppm)]]&lt;=800,"Optimal","High"))</f>
        <v>Optimal</v>
      </c>
    </row>
    <row r="852" spans="1:12" x14ac:dyDescent="0.25">
      <c r="A852">
        <v>1</v>
      </c>
      <c r="B852" s="1">
        <v>45161</v>
      </c>
      <c r="C852" s="1" t="str">
        <f>TEXT(Table4_2[[#This Row],[Date]],"dddd")</f>
        <v>Wednesday</v>
      </c>
      <c r="D852" s="21">
        <v>30.8</v>
      </c>
      <c r="E852" s="21">
        <v>57</v>
      </c>
      <c r="F852" s="21">
        <v>669</v>
      </c>
      <c r="G852" s="21">
        <v>6.2</v>
      </c>
      <c r="H852">
        <v>21</v>
      </c>
      <c r="I852">
        <v>87.44</v>
      </c>
      <c r="J852">
        <v>0.56999999999999995</v>
      </c>
      <c r="K852" t="str" cm="1">
        <f t="array" ref="K852">_xlfn.IFS(Table4_2[[#This Row],[Growth Days]]&lt;=14,"Seedling",Table4_2[[#This Row],[Growth Days]]&lt;=35, "Vegetative",Table4_2[[#This Row],[Growth Days]]&lt;=50, "Maturity")</f>
        <v>Vegetative</v>
      </c>
      <c r="L852" t="str">
        <f>IF(Table4_2[[#This Row],[TDS Value (ppm)]]&lt;560, "Low", IF(Table4_2[[#This Row],[TDS Value (ppm)]]&lt;=800,"Optimal","High"))</f>
        <v>Optimal</v>
      </c>
    </row>
    <row r="853" spans="1:12" x14ac:dyDescent="0.25">
      <c r="A853">
        <v>1</v>
      </c>
      <c r="B853" s="1">
        <v>45168</v>
      </c>
      <c r="C853" s="1" t="str">
        <f>TEXT(Table4_2[[#This Row],[Date]],"dddd")</f>
        <v>Wednesday</v>
      </c>
      <c r="D853" s="21">
        <v>29.1</v>
      </c>
      <c r="E853" s="21">
        <v>51</v>
      </c>
      <c r="F853" s="21">
        <v>623</v>
      </c>
      <c r="G853" s="21">
        <v>6.6</v>
      </c>
      <c r="H853">
        <v>28</v>
      </c>
      <c r="I853">
        <v>84.38</v>
      </c>
      <c r="J853">
        <v>0.51</v>
      </c>
      <c r="K853" t="str" cm="1">
        <f t="array" ref="K853">_xlfn.IFS(Table4_2[[#This Row],[Growth Days]]&lt;=14,"Seedling",Table4_2[[#This Row],[Growth Days]]&lt;=35, "Vegetative",Table4_2[[#This Row],[Growth Days]]&lt;=50, "Maturity")</f>
        <v>Vegetative</v>
      </c>
      <c r="L853" t="str">
        <f>IF(Table4_2[[#This Row],[TDS Value (ppm)]]&lt;560, "Low", IF(Table4_2[[#This Row],[TDS Value (ppm)]]&lt;=800,"Optimal","High"))</f>
        <v>Optimal</v>
      </c>
    </row>
    <row r="854" spans="1:12" x14ac:dyDescent="0.25">
      <c r="A854">
        <v>1</v>
      </c>
      <c r="B854" s="1">
        <v>45175</v>
      </c>
      <c r="C854" s="1" t="str">
        <f>TEXT(Table4_2[[#This Row],[Date]],"dddd")</f>
        <v>Wednesday</v>
      </c>
      <c r="D854" s="21">
        <v>32.1</v>
      </c>
      <c r="E854" s="21">
        <v>76</v>
      </c>
      <c r="F854" s="21">
        <v>709</v>
      </c>
      <c r="G854" s="21">
        <v>6</v>
      </c>
      <c r="H854">
        <v>35</v>
      </c>
      <c r="I854">
        <v>89.78</v>
      </c>
      <c r="J854">
        <v>0.76</v>
      </c>
      <c r="K854" t="str" cm="1">
        <f t="array" ref="K854">_xlfn.IFS(Table4_2[[#This Row],[Growth Days]]&lt;=14,"Seedling",Table4_2[[#This Row],[Growth Days]]&lt;=35, "Vegetative",Table4_2[[#This Row],[Growth Days]]&lt;=50, "Maturity")</f>
        <v>Vegetative</v>
      </c>
      <c r="L854" t="str">
        <f>IF(Table4_2[[#This Row],[TDS Value (ppm)]]&lt;560, "Low", IF(Table4_2[[#This Row],[TDS Value (ppm)]]&lt;=800,"Optimal","High"))</f>
        <v>Optimal</v>
      </c>
    </row>
    <row r="855" spans="1:12" x14ac:dyDescent="0.25">
      <c r="A855">
        <v>1</v>
      </c>
      <c r="B855" s="1">
        <v>45182</v>
      </c>
      <c r="C855" s="1" t="str">
        <f>TEXT(Table4_2[[#This Row],[Date]],"dddd")</f>
        <v>Wednesday</v>
      </c>
      <c r="D855" s="21">
        <v>30.4</v>
      </c>
      <c r="E855" s="21">
        <v>57</v>
      </c>
      <c r="F855" s="21">
        <v>726</v>
      </c>
      <c r="G855" s="21">
        <v>6.1</v>
      </c>
      <c r="H855">
        <v>42</v>
      </c>
      <c r="I855">
        <v>86.72</v>
      </c>
      <c r="J855">
        <v>0.56999999999999995</v>
      </c>
      <c r="K855" t="str" cm="1">
        <f t="array" ref="K855">_xlfn.IFS(Table4_2[[#This Row],[Growth Days]]&lt;=14,"Seedling",Table4_2[[#This Row],[Growth Days]]&lt;=35, "Vegetative",Table4_2[[#This Row],[Growth Days]]&lt;=50, "Maturity")</f>
        <v>Maturity</v>
      </c>
      <c r="L855" t="str">
        <f>IF(Table4_2[[#This Row],[TDS Value (ppm)]]&lt;560, "Low", IF(Table4_2[[#This Row],[TDS Value (ppm)]]&lt;=800,"Optimal","High"))</f>
        <v>Optimal</v>
      </c>
    </row>
    <row r="856" spans="1:12" x14ac:dyDescent="0.25">
      <c r="A856">
        <v>2</v>
      </c>
      <c r="B856" s="1">
        <v>45147</v>
      </c>
      <c r="C856" s="1" t="str">
        <f>TEXT(Table4_2[[#This Row],[Date]],"dddd")</f>
        <v>Wednesday</v>
      </c>
      <c r="D856" s="21">
        <v>32.299999999999997</v>
      </c>
      <c r="E856" s="21">
        <v>77</v>
      </c>
      <c r="F856" s="21">
        <v>624</v>
      </c>
      <c r="G856" s="21">
        <v>6.6</v>
      </c>
      <c r="H856">
        <v>7</v>
      </c>
      <c r="I856">
        <v>90.14</v>
      </c>
      <c r="J856">
        <v>0.77</v>
      </c>
      <c r="K856" t="str" cm="1">
        <f t="array" ref="K856">_xlfn.IFS(Table4_2[[#This Row],[Growth Days]]&lt;=14,"Seedling",Table4_2[[#This Row],[Growth Days]]&lt;=35, "Vegetative",Table4_2[[#This Row],[Growth Days]]&lt;=50, "Maturity")</f>
        <v>Seedling</v>
      </c>
      <c r="L856" t="str">
        <f>IF(Table4_2[[#This Row],[TDS Value (ppm)]]&lt;560, "Low", IF(Table4_2[[#This Row],[TDS Value (ppm)]]&lt;=800,"Optimal","High"))</f>
        <v>Optimal</v>
      </c>
    </row>
    <row r="857" spans="1:12" x14ac:dyDescent="0.25">
      <c r="A857">
        <v>2</v>
      </c>
      <c r="B857" s="1">
        <v>45154</v>
      </c>
      <c r="C857" s="1" t="str">
        <f>TEXT(Table4_2[[#This Row],[Date]],"dddd")</f>
        <v>Wednesday</v>
      </c>
      <c r="D857" s="21">
        <v>29.8</v>
      </c>
      <c r="E857" s="21">
        <v>58</v>
      </c>
      <c r="F857" s="21">
        <v>413</v>
      </c>
      <c r="G857" s="21">
        <v>6.5</v>
      </c>
      <c r="H857">
        <v>14</v>
      </c>
      <c r="I857">
        <v>85.64</v>
      </c>
      <c r="J857">
        <v>0.57999999999999996</v>
      </c>
      <c r="K857" t="str" cm="1">
        <f t="array" ref="K857">_xlfn.IFS(Table4_2[[#This Row],[Growth Days]]&lt;=14,"Seedling",Table4_2[[#This Row],[Growth Days]]&lt;=35, "Vegetative",Table4_2[[#This Row],[Growth Days]]&lt;=50, "Maturity")</f>
        <v>Seedling</v>
      </c>
      <c r="L857" t="str">
        <f>IF(Table4_2[[#This Row],[TDS Value (ppm)]]&lt;560, "Low", IF(Table4_2[[#This Row],[TDS Value (ppm)]]&lt;=800,"Optimal","High"))</f>
        <v>Low</v>
      </c>
    </row>
    <row r="858" spans="1:12" x14ac:dyDescent="0.25">
      <c r="A858">
        <v>2</v>
      </c>
      <c r="B858" s="1">
        <v>45161</v>
      </c>
      <c r="C858" s="1" t="str">
        <f>TEXT(Table4_2[[#This Row],[Date]],"dddd")</f>
        <v>Wednesday</v>
      </c>
      <c r="D858" s="21">
        <v>30.8</v>
      </c>
      <c r="E858" s="21">
        <v>69</v>
      </c>
      <c r="F858" s="21">
        <v>420</v>
      </c>
      <c r="G858" s="21">
        <v>6.5</v>
      </c>
      <c r="H858">
        <v>21</v>
      </c>
      <c r="I858">
        <v>87.44</v>
      </c>
      <c r="J858">
        <v>0.69</v>
      </c>
      <c r="K858" t="str" cm="1">
        <f t="array" ref="K858">_xlfn.IFS(Table4_2[[#This Row],[Growth Days]]&lt;=14,"Seedling",Table4_2[[#This Row],[Growth Days]]&lt;=35, "Vegetative",Table4_2[[#This Row],[Growth Days]]&lt;=50, "Maturity")</f>
        <v>Vegetative</v>
      </c>
      <c r="L858" t="str">
        <f>IF(Table4_2[[#This Row],[TDS Value (ppm)]]&lt;560, "Low", IF(Table4_2[[#This Row],[TDS Value (ppm)]]&lt;=800,"Optimal","High"))</f>
        <v>Low</v>
      </c>
    </row>
    <row r="859" spans="1:12" x14ac:dyDescent="0.25">
      <c r="A859">
        <v>2</v>
      </c>
      <c r="B859" s="1">
        <v>45168</v>
      </c>
      <c r="C859" s="1" t="str">
        <f>TEXT(Table4_2[[#This Row],[Date]],"dddd")</f>
        <v>Wednesday</v>
      </c>
      <c r="D859" s="21">
        <v>29.1</v>
      </c>
      <c r="E859" s="21">
        <v>58</v>
      </c>
      <c r="F859" s="21">
        <v>603</v>
      </c>
      <c r="G859" s="21">
        <v>6.6</v>
      </c>
      <c r="H859">
        <v>28</v>
      </c>
      <c r="I859">
        <v>84.38</v>
      </c>
      <c r="J859">
        <v>0.57999999999999996</v>
      </c>
      <c r="K859" t="str" cm="1">
        <f t="array" ref="K859">_xlfn.IFS(Table4_2[[#This Row],[Growth Days]]&lt;=14,"Seedling",Table4_2[[#This Row],[Growth Days]]&lt;=35, "Vegetative",Table4_2[[#This Row],[Growth Days]]&lt;=50, "Maturity")</f>
        <v>Vegetative</v>
      </c>
      <c r="L859" t="str">
        <f>IF(Table4_2[[#This Row],[TDS Value (ppm)]]&lt;560, "Low", IF(Table4_2[[#This Row],[TDS Value (ppm)]]&lt;=800,"Optimal","High"))</f>
        <v>Optimal</v>
      </c>
    </row>
    <row r="860" spans="1:12" x14ac:dyDescent="0.25">
      <c r="A860">
        <v>2</v>
      </c>
      <c r="B860" s="1">
        <v>45175</v>
      </c>
      <c r="C860" s="1" t="str">
        <f>TEXT(Table4_2[[#This Row],[Date]],"dddd")</f>
        <v>Wednesday</v>
      </c>
      <c r="D860" s="21">
        <v>32.1</v>
      </c>
      <c r="E860" s="21">
        <v>75</v>
      </c>
      <c r="F860" s="21">
        <v>697</v>
      </c>
      <c r="G860" s="21">
        <v>6.3</v>
      </c>
      <c r="H860">
        <v>35</v>
      </c>
      <c r="I860">
        <v>89.78</v>
      </c>
      <c r="J860">
        <v>0.75</v>
      </c>
      <c r="K860" t="str" cm="1">
        <f t="array" ref="K860">_xlfn.IFS(Table4_2[[#This Row],[Growth Days]]&lt;=14,"Seedling",Table4_2[[#This Row],[Growth Days]]&lt;=35, "Vegetative",Table4_2[[#This Row],[Growth Days]]&lt;=50, "Maturity")</f>
        <v>Vegetative</v>
      </c>
      <c r="L860" t="str">
        <f>IF(Table4_2[[#This Row],[TDS Value (ppm)]]&lt;560, "Low", IF(Table4_2[[#This Row],[TDS Value (ppm)]]&lt;=800,"Optimal","High"))</f>
        <v>Optimal</v>
      </c>
    </row>
    <row r="861" spans="1:12" x14ac:dyDescent="0.25">
      <c r="A861">
        <v>2</v>
      </c>
      <c r="B861" s="1">
        <v>45182</v>
      </c>
      <c r="C861" s="1" t="str">
        <f>TEXT(Table4_2[[#This Row],[Date]],"dddd")</f>
        <v>Wednesday</v>
      </c>
      <c r="D861" s="21">
        <v>30.4</v>
      </c>
      <c r="E861" s="21">
        <v>75</v>
      </c>
      <c r="F861" s="21">
        <v>473</v>
      </c>
      <c r="G861" s="21">
        <v>6.6</v>
      </c>
      <c r="H861">
        <v>42</v>
      </c>
      <c r="I861">
        <v>86.72</v>
      </c>
      <c r="J861">
        <v>0.75</v>
      </c>
      <c r="K861" t="str" cm="1">
        <f t="array" ref="K861">_xlfn.IFS(Table4_2[[#This Row],[Growth Days]]&lt;=14,"Seedling",Table4_2[[#This Row],[Growth Days]]&lt;=35, "Vegetative",Table4_2[[#This Row],[Growth Days]]&lt;=50, "Maturity")</f>
        <v>Maturity</v>
      </c>
      <c r="L861" t="str">
        <f>IF(Table4_2[[#This Row],[TDS Value (ppm)]]&lt;560, "Low", IF(Table4_2[[#This Row],[TDS Value (ppm)]]&lt;=800,"Optimal","High"))</f>
        <v>Low</v>
      </c>
    </row>
    <row r="862" spans="1:12" x14ac:dyDescent="0.25">
      <c r="A862">
        <v>3</v>
      </c>
      <c r="B862" s="1">
        <v>45147</v>
      </c>
      <c r="C862" s="1" t="str">
        <f>TEXT(Table4_2[[#This Row],[Date]],"dddd")</f>
        <v>Wednesday</v>
      </c>
      <c r="D862" s="21">
        <v>32.299999999999997</v>
      </c>
      <c r="E862" s="21">
        <v>80</v>
      </c>
      <c r="F862" s="21">
        <v>691</v>
      </c>
      <c r="G862" s="21">
        <v>6.2</v>
      </c>
      <c r="H862">
        <v>7</v>
      </c>
      <c r="I862">
        <v>90.14</v>
      </c>
      <c r="J862">
        <v>0.8</v>
      </c>
      <c r="K862" t="str" cm="1">
        <f t="array" ref="K862">_xlfn.IFS(Table4_2[[#This Row],[Growth Days]]&lt;=14,"Seedling",Table4_2[[#This Row],[Growth Days]]&lt;=35, "Vegetative",Table4_2[[#This Row],[Growth Days]]&lt;=50, "Maturity")</f>
        <v>Seedling</v>
      </c>
      <c r="L862" t="str">
        <f>IF(Table4_2[[#This Row],[TDS Value (ppm)]]&lt;560, "Low", IF(Table4_2[[#This Row],[TDS Value (ppm)]]&lt;=800,"Optimal","High"))</f>
        <v>Optimal</v>
      </c>
    </row>
    <row r="863" spans="1:12" x14ac:dyDescent="0.25">
      <c r="A863">
        <v>3</v>
      </c>
      <c r="B863" s="1">
        <v>45154</v>
      </c>
      <c r="C863" s="1" t="str">
        <f>TEXT(Table4_2[[#This Row],[Date]],"dddd")</f>
        <v>Wednesday</v>
      </c>
      <c r="D863" s="21">
        <v>29.8</v>
      </c>
      <c r="E863" s="21">
        <v>69</v>
      </c>
      <c r="F863" s="21">
        <v>566</v>
      </c>
      <c r="G863" s="21">
        <v>6.1</v>
      </c>
      <c r="H863">
        <v>14</v>
      </c>
      <c r="I863">
        <v>85.64</v>
      </c>
      <c r="J863">
        <v>0.69</v>
      </c>
      <c r="K863" t="str" cm="1">
        <f t="array" ref="K863">_xlfn.IFS(Table4_2[[#This Row],[Growth Days]]&lt;=14,"Seedling",Table4_2[[#This Row],[Growth Days]]&lt;=35, "Vegetative",Table4_2[[#This Row],[Growth Days]]&lt;=50, "Maturity")</f>
        <v>Seedling</v>
      </c>
      <c r="L863" t="str">
        <f>IF(Table4_2[[#This Row],[TDS Value (ppm)]]&lt;560, "Low", IF(Table4_2[[#This Row],[TDS Value (ppm)]]&lt;=800,"Optimal","High"))</f>
        <v>Optimal</v>
      </c>
    </row>
    <row r="864" spans="1:12" x14ac:dyDescent="0.25">
      <c r="A864">
        <v>3</v>
      </c>
      <c r="B864" s="1">
        <v>45161</v>
      </c>
      <c r="C864" s="1" t="str">
        <f>TEXT(Table4_2[[#This Row],[Date]],"dddd")</f>
        <v>Wednesday</v>
      </c>
      <c r="D864" s="21">
        <v>30.8</v>
      </c>
      <c r="E864" s="21">
        <v>79</v>
      </c>
      <c r="F864" s="21">
        <v>780</v>
      </c>
      <c r="G864" s="21">
        <v>6.1</v>
      </c>
      <c r="H864">
        <v>21</v>
      </c>
      <c r="I864">
        <v>87.44</v>
      </c>
      <c r="J864">
        <v>0.79</v>
      </c>
      <c r="K864" t="str" cm="1">
        <f t="array" ref="K864">_xlfn.IFS(Table4_2[[#This Row],[Growth Days]]&lt;=14,"Seedling",Table4_2[[#This Row],[Growth Days]]&lt;=35, "Vegetative",Table4_2[[#This Row],[Growth Days]]&lt;=50, "Maturity")</f>
        <v>Vegetative</v>
      </c>
      <c r="L864" t="str">
        <f>IF(Table4_2[[#This Row],[TDS Value (ppm)]]&lt;560, "Low", IF(Table4_2[[#This Row],[TDS Value (ppm)]]&lt;=800,"Optimal","High"))</f>
        <v>Optimal</v>
      </c>
    </row>
    <row r="865" spans="1:12" x14ac:dyDescent="0.25">
      <c r="A865">
        <v>3</v>
      </c>
      <c r="B865" s="1">
        <v>45168</v>
      </c>
      <c r="C865" s="1" t="str">
        <f>TEXT(Table4_2[[#This Row],[Date]],"dddd")</f>
        <v>Wednesday</v>
      </c>
      <c r="D865" s="21">
        <v>29.1</v>
      </c>
      <c r="E865" s="21">
        <v>73</v>
      </c>
      <c r="F865" s="21">
        <v>738</v>
      </c>
      <c r="G865" s="21">
        <v>6.6</v>
      </c>
      <c r="H865">
        <v>28</v>
      </c>
      <c r="I865">
        <v>84.38</v>
      </c>
      <c r="J865">
        <v>0.73</v>
      </c>
      <c r="K865" t="str" cm="1">
        <f t="array" ref="K865">_xlfn.IFS(Table4_2[[#This Row],[Growth Days]]&lt;=14,"Seedling",Table4_2[[#This Row],[Growth Days]]&lt;=35, "Vegetative",Table4_2[[#This Row],[Growth Days]]&lt;=50, "Maturity")</f>
        <v>Vegetative</v>
      </c>
      <c r="L865" t="str">
        <f>IF(Table4_2[[#This Row],[TDS Value (ppm)]]&lt;560, "Low", IF(Table4_2[[#This Row],[TDS Value (ppm)]]&lt;=800,"Optimal","High"))</f>
        <v>Optimal</v>
      </c>
    </row>
    <row r="866" spans="1:12" x14ac:dyDescent="0.25">
      <c r="A866">
        <v>3</v>
      </c>
      <c r="B866" s="1">
        <v>45175</v>
      </c>
      <c r="C866" s="1" t="str">
        <f>TEXT(Table4_2[[#This Row],[Date]],"dddd")</f>
        <v>Wednesday</v>
      </c>
      <c r="D866" s="21">
        <v>32.1</v>
      </c>
      <c r="E866" s="21">
        <v>72</v>
      </c>
      <c r="F866" s="21">
        <v>492</v>
      </c>
      <c r="G866" s="21">
        <v>6</v>
      </c>
      <c r="H866">
        <v>35</v>
      </c>
      <c r="I866">
        <v>89.78</v>
      </c>
      <c r="J866">
        <v>0.72</v>
      </c>
      <c r="K866" t="str" cm="1">
        <f t="array" ref="K866">_xlfn.IFS(Table4_2[[#This Row],[Growth Days]]&lt;=14,"Seedling",Table4_2[[#This Row],[Growth Days]]&lt;=35, "Vegetative",Table4_2[[#This Row],[Growth Days]]&lt;=50, "Maturity")</f>
        <v>Vegetative</v>
      </c>
      <c r="L866" t="str">
        <f>IF(Table4_2[[#This Row],[TDS Value (ppm)]]&lt;560, "Low", IF(Table4_2[[#This Row],[TDS Value (ppm)]]&lt;=800,"Optimal","High"))</f>
        <v>Low</v>
      </c>
    </row>
    <row r="867" spans="1:12" x14ac:dyDescent="0.25">
      <c r="A867">
        <v>3</v>
      </c>
      <c r="B867" s="1">
        <v>45182</v>
      </c>
      <c r="C867" s="1" t="str">
        <f>TEXT(Table4_2[[#This Row],[Date]],"dddd")</f>
        <v>Wednesday</v>
      </c>
      <c r="D867" s="21">
        <v>30.4</v>
      </c>
      <c r="E867" s="21">
        <v>54</v>
      </c>
      <c r="F867" s="21">
        <v>480</v>
      </c>
      <c r="G867" s="21">
        <v>6.7</v>
      </c>
      <c r="H867">
        <v>42</v>
      </c>
      <c r="I867">
        <v>86.72</v>
      </c>
      <c r="J867">
        <v>0.54</v>
      </c>
      <c r="K867" t="str" cm="1">
        <f t="array" ref="K867">_xlfn.IFS(Table4_2[[#This Row],[Growth Days]]&lt;=14,"Seedling",Table4_2[[#This Row],[Growth Days]]&lt;=35, "Vegetative",Table4_2[[#This Row],[Growth Days]]&lt;=50, "Maturity")</f>
        <v>Maturity</v>
      </c>
      <c r="L867" t="str">
        <f>IF(Table4_2[[#This Row],[TDS Value (ppm)]]&lt;560, "Low", IF(Table4_2[[#This Row],[TDS Value (ppm)]]&lt;=800,"Optimal","High"))</f>
        <v>Low</v>
      </c>
    </row>
    <row r="868" spans="1:12" x14ac:dyDescent="0.25">
      <c r="A868">
        <v>4</v>
      </c>
      <c r="B868" s="1">
        <v>45147</v>
      </c>
      <c r="C868" s="1" t="str">
        <f>TEXT(Table4_2[[#This Row],[Date]],"dddd")</f>
        <v>Wednesday</v>
      </c>
      <c r="D868" s="21">
        <v>32.299999999999997</v>
      </c>
      <c r="E868" s="21">
        <v>65</v>
      </c>
      <c r="F868" s="21">
        <v>598</v>
      </c>
      <c r="G868" s="21">
        <v>6.4</v>
      </c>
      <c r="H868">
        <v>7</v>
      </c>
      <c r="I868">
        <v>90.14</v>
      </c>
      <c r="J868">
        <v>0.65</v>
      </c>
      <c r="K868" t="str" cm="1">
        <f t="array" ref="K868">_xlfn.IFS(Table4_2[[#This Row],[Growth Days]]&lt;=14,"Seedling",Table4_2[[#This Row],[Growth Days]]&lt;=35, "Vegetative",Table4_2[[#This Row],[Growth Days]]&lt;=50, "Maturity")</f>
        <v>Seedling</v>
      </c>
      <c r="L868" t="str">
        <f>IF(Table4_2[[#This Row],[TDS Value (ppm)]]&lt;560, "Low", IF(Table4_2[[#This Row],[TDS Value (ppm)]]&lt;=800,"Optimal","High"))</f>
        <v>Optimal</v>
      </c>
    </row>
    <row r="869" spans="1:12" x14ac:dyDescent="0.25">
      <c r="A869">
        <v>4</v>
      </c>
      <c r="B869" s="1">
        <v>45154</v>
      </c>
      <c r="C869" s="1" t="str">
        <f>TEXT(Table4_2[[#This Row],[Date]],"dddd")</f>
        <v>Wednesday</v>
      </c>
      <c r="D869" s="21">
        <v>29.8</v>
      </c>
      <c r="E869" s="21">
        <v>52</v>
      </c>
      <c r="F869" s="21">
        <v>458</v>
      </c>
      <c r="G869" s="21">
        <v>6.3</v>
      </c>
      <c r="H869">
        <v>14</v>
      </c>
      <c r="I869">
        <v>85.64</v>
      </c>
      <c r="J869">
        <v>0.52</v>
      </c>
      <c r="K869" t="str" cm="1">
        <f t="array" ref="K869">_xlfn.IFS(Table4_2[[#This Row],[Growth Days]]&lt;=14,"Seedling",Table4_2[[#This Row],[Growth Days]]&lt;=35, "Vegetative",Table4_2[[#This Row],[Growth Days]]&lt;=50, "Maturity")</f>
        <v>Seedling</v>
      </c>
      <c r="L869" t="str">
        <f>IF(Table4_2[[#This Row],[TDS Value (ppm)]]&lt;560, "Low", IF(Table4_2[[#This Row],[TDS Value (ppm)]]&lt;=800,"Optimal","High"))</f>
        <v>Low</v>
      </c>
    </row>
    <row r="870" spans="1:12" x14ac:dyDescent="0.25">
      <c r="A870">
        <v>4</v>
      </c>
      <c r="B870" s="1">
        <v>45161</v>
      </c>
      <c r="C870" s="1" t="str">
        <f>TEXT(Table4_2[[#This Row],[Date]],"dddd")</f>
        <v>Wednesday</v>
      </c>
      <c r="D870" s="21">
        <v>30.8</v>
      </c>
      <c r="E870" s="21">
        <v>58</v>
      </c>
      <c r="F870" s="21">
        <v>735</v>
      </c>
      <c r="G870" s="21">
        <v>6.4</v>
      </c>
      <c r="H870">
        <v>21</v>
      </c>
      <c r="I870">
        <v>87.44</v>
      </c>
      <c r="J870">
        <v>0.57999999999999996</v>
      </c>
      <c r="K870" t="str" cm="1">
        <f t="array" ref="K870">_xlfn.IFS(Table4_2[[#This Row],[Growth Days]]&lt;=14,"Seedling",Table4_2[[#This Row],[Growth Days]]&lt;=35, "Vegetative",Table4_2[[#This Row],[Growth Days]]&lt;=50, "Maturity")</f>
        <v>Vegetative</v>
      </c>
      <c r="L870" t="str">
        <f>IF(Table4_2[[#This Row],[TDS Value (ppm)]]&lt;560, "Low", IF(Table4_2[[#This Row],[TDS Value (ppm)]]&lt;=800,"Optimal","High"))</f>
        <v>Optimal</v>
      </c>
    </row>
    <row r="871" spans="1:12" x14ac:dyDescent="0.25">
      <c r="A871">
        <v>4</v>
      </c>
      <c r="B871" s="1">
        <v>45168</v>
      </c>
      <c r="C871" s="1" t="str">
        <f>TEXT(Table4_2[[#This Row],[Date]],"dddd")</f>
        <v>Wednesday</v>
      </c>
      <c r="D871" s="21">
        <v>29.1</v>
      </c>
      <c r="E871" s="21">
        <v>71</v>
      </c>
      <c r="F871" s="21">
        <v>525</v>
      </c>
      <c r="G871" s="21">
        <v>6.6</v>
      </c>
      <c r="H871">
        <v>28</v>
      </c>
      <c r="I871">
        <v>84.38</v>
      </c>
      <c r="J871">
        <v>0.71</v>
      </c>
      <c r="K871" t="str" cm="1">
        <f t="array" ref="K871">_xlfn.IFS(Table4_2[[#This Row],[Growth Days]]&lt;=14,"Seedling",Table4_2[[#This Row],[Growth Days]]&lt;=35, "Vegetative",Table4_2[[#This Row],[Growth Days]]&lt;=50, "Maturity")</f>
        <v>Vegetative</v>
      </c>
      <c r="L871" t="str">
        <f>IF(Table4_2[[#This Row],[TDS Value (ppm)]]&lt;560, "Low", IF(Table4_2[[#This Row],[TDS Value (ppm)]]&lt;=800,"Optimal","High"))</f>
        <v>Low</v>
      </c>
    </row>
    <row r="872" spans="1:12" x14ac:dyDescent="0.25">
      <c r="A872">
        <v>4</v>
      </c>
      <c r="B872" s="1">
        <v>45175</v>
      </c>
      <c r="C872" s="1" t="str">
        <f>TEXT(Table4_2[[#This Row],[Date]],"dddd")</f>
        <v>Wednesday</v>
      </c>
      <c r="D872" s="21">
        <v>32.1</v>
      </c>
      <c r="E872" s="21">
        <v>51</v>
      </c>
      <c r="F872" s="21">
        <v>577</v>
      </c>
      <c r="G872" s="21">
        <v>6.1</v>
      </c>
      <c r="H872">
        <v>35</v>
      </c>
      <c r="I872">
        <v>89.78</v>
      </c>
      <c r="J872">
        <v>0.51</v>
      </c>
      <c r="K872" t="str" cm="1">
        <f t="array" ref="K872">_xlfn.IFS(Table4_2[[#This Row],[Growth Days]]&lt;=14,"Seedling",Table4_2[[#This Row],[Growth Days]]&lt;=35, "Vegetative",Table4_2[[#This Row],[Growth Days]]&lt;=50, "Maturity")</f>
        <v>Vegetative</v>
      </c>
      <c r="L872" t="str">
        <f>IF(Table4_2[[#This Row],[TDS Value (ppm)]]&lt;560, "Low", IF(Table4_2[[#This Row],[TDS Value (ppm)]]&lt;=800,"Optimal","High"))</f>
        <v>Optimal</v>
      </c>
    </row>
    <row r="873" spans="1:12" x14ac:dyDescent="0.25">
      <c r="A873">
        <v>4</v>
      </c>
      <c r="B873" s="1">
        <v>45182</v>
      </c>
      <c r="C873" s="1" t="str">
        <f>TEXT(Table4_2[[#This Row],[Date]],"dddd")</f>
        <v>Wednesday</v>
      </c>
      <c r="D873" s="21">
        <v>30.4</v>
      </c>
      <c r="E873" s="21">
        <v>64</v>
      </c>
      <c r="F873" s="21">
        <v>698</v>
      </c>
      <c r="G873" s="21">
        <v>6.1</v>
      </c>
      <c r="H873">
        <v>42</v>
      </c>
      <c r="I873">
        <v>86.72</v>
      </c>
      <c r="J873">
        <v>0.64</v>
      </c>
      <c r="K873" t="str" cm="1">
        <f t="array" ref="K873">_xlfn.IFS(Table4_2[[#This Row],[Growth Days]]&lt;=14,"Seedling",Table4_2[[#This Row],[Growth Days]]&lt;=35, "Vegetative",Table4_2[[#This Row],[Growth Days]]&lt;=50, "Maturity")</f>
        <v>Maturity</v>
      </c>
      <c r="L873" t="str">
        <f>IF(Table4_2[[#This Row],[TDS Value (ppm)]]&lt;560, "Low", IF(Table4_2[[#This Row],[TDS Value (ppm)]]&lt;=800,"Optimal","High"))</f>
        <v>Optimal</v>
      </c>
    </row>
    <row r="874" spans="1:12" x14ac:dyDescent="0.25">
      <c r="A874">
        <v>5</v>
      </c>
      <c r="B874" s="1">
        <v>45147</v>
      </c>
      <c r="C874" s="1" t="str">
        <f>TEXT(Table4_2[[#This Row],[Date]],"dddd")</f>
        <v>Wednesday</v>
      </c>
      <c r="D874" s="21">
        <v>32.299999999999997</v>
      </c>
      <c r="E874" s="21">
        <v>74</v>
      </c>
      <c r="F874" s="21">
        <v>558</v>
      </c>
      <c r="G874" s="21">
        <v>6.7</v>
      </c>
      <c r="H874">
        <v>7</v>
      </c>
      <c r="I874">
        <v>90.14</v>
      </c>
      <c r="J874">
        <v>0.74</v>
      </c>
      <c r="K874" t="str" cm="1">
        <f t="array" ref="K874">_xlfn.IFS(Table4_2[[#This Row],[Growth Days]]&lt;=14,"Seedling",Table4_2[[#This Row],[Growth Days]]&lt;=35, "Vegetative",Table4_2[[#This Row],[Growth Days]]&lt;=50, "Maturity")</f>
        <v>Seedling</v>
      </c>
      <c r="L874" t="str">
        <f>IF(Table4_2[[#This Row],[TDS Value (ppm)]]&lt;560, "Low", IF(Table4_2[[#This Row],[TDS Value (ppm)]]&lt;=800,"Optimal","High"))</f>
        <v>Low</v>
      </c>
    </row>
    <row r="875" spans="1:12" x14ac:dyDescent="0.25">
      <c r="A875">
        <v>5</v>
      </c>
      <c r="B875" s="1">
        <v>45154</v>
      </c>
      <c r="C875" s="1" t="str">
        <f>TEXT(Table4_2[[#This Row],[Date]],"dddd")</f>
        <v>Wednesday</v>
      </c>
      <c r="D875" s="21">
        <v>29.8</v>
      </c>
      <c r="E875" s="21">
        <v>78</v>
      </c>
      <c r="F875" s="21">
        <v>624</v>
      </c>
      <c r="G875" s="21">
        <v>6.3</v>
      </c>
      <c r="H875">
        <v>14</v>
      </c>
      <c r="I875">
        <v>85.64</v>
      </c>
      <c r="J875">
        <v>0.78</v>
      </c>
      <c r="K875" t="str" cm="1">
        <f t="array" ref="K875">_xlfn.IFS(Table4_2[[#This Row],[Growth Days]]&lt;=14,"Seedling",Table4_2[[#This Row],[Growth Days]]&lt;=35, "Vegetative",Table4_2[[#This Row],[Growth Days]]&lt;=50, "Maturity")</f>
        <v>Seedling</v>
      </c>
      <c r="L875" t="str">
        <f>IF(Table4_2[[#This Row],[TDS Value (ppm)]]&lt;560, "Low", IF(Table4_2[[#This Row],[TDS Value (ppm)]]&lt;=800,"Optimal","High"))</f>
        <v>Optimal</v>
      </c>
    </row>
    <row r="876" spans="1:12" x14ac:dyDescent="0.25">
      <c r="A876">
        <v>5</v>
      </c>
      <c r="B876" s="1">
        <v>45161</v>
      </c>
      <c r="C876" s="1" t="str">
        <f>TEXT(Table4_2[[#This Row],[Date]],"dddd")</f>
        <v>Wednesday</v>
      </c>
      <c r="D876" s="21">
        <v>30.8</v>
      </c>
      <c r="E876" s="21">
        <v>61</v>
      </c>
      <c r="F876" s="21">
        <v>460</v>
      </c>
      <c r="G876" s="21">
        <v>6.2</v>
      </c>
      <c r="H876">
        <v>21</v>
      </c>
      <c r="I876">
        <v>87.44</v>
      </c>
      <c r="J876">
        <v>0.61</v>
      </c>
      <c r="K876" t="str" cm="1">
        <f t="array" ref="K876">_xlfn.IFS(Table4_2[[#This Row],[Growth Days]]&lt;=14,"Seedling",Table4_2[[#This Row],[Growth Days]]&lt;=35, "Vegetative",Table4_2[[#This Row],[Growth Days]]&lt;=50, "Maturity")</f>
        <v>Vegetative</v>
      </c>
      <c r="L876" t="str">
        <f>IF(Table4_2[[#This Row],[TDS Value (ppm)]]&lt;560, "Low", IF(Table4_2[[#This Row],[TDS Value (ppm)]]&lt;=800,"Optimal","High"))</f>
        <v>Low</v>
      </c>
    </row>
    <row r="877" spans="1:12" x14ac:dyDescent="0.25">
      <c r="A877">
        <v>5</v>
      </c>
      <c r="B877" s="1">
        <v>45168</v>
      </c>
      <c r="C877" s="1" t="str">
        <f>TEXT(Table4_2[[#This Row],[Date]],"dddd")</f>
        <v>Wednesday</v>
      </c>
      <c r="D877" s="21">
        <v>29.1</v>
      </c>
      <c r="E877" s="21">
        <v>75</v>
      </c>
      <c r="F877" s="21">
        <v>516</v>
      </c>
      <c r="G877" s="21">
        <v>6.5</v>
      </c>
      <c r="H877">
        <v>28</v>
      </c>
      <c r="I877">
        <v>84.38</v>
      </c>
      <c r="J877">
        <v>0.75</v>
      </c>
      <c r="K877" t="str" cm="1">
        <f t="array" ref="K877">_xlfn.IFS(Table4_2[[#This Row],[Growth Days]]&lt;=14,"Seedling",Table4_2[[#This Row],[Growth Days]]&lt;=35, "Vegetative",Table4_2[[#This Row],[Growth Days]]&lt;=50, "Maturity")</f>
        <v>Vegetative</v>
      </c>
      <c r="L877" t="str">
        <f>IF(Table4_2[[#This Row],[TDS Value (ppm)]]&lt;560, "Low", IF(Table4_2[[#This Row],[TDS Value (ppm)]]&lt;=800,"Optimal","High"))</f>
        <v>Low</v>
      </c>
    </row>
    <row r="878" spans="1:12" x14ac:dyDescent="0.25">
      <c r="A878">
        <v>5</v>
      </c>
      <c r="B878" s="1">
        <v>45175</v>
      </c>
      <c r="C878" s="1" t="str">
        <f>TEXT(Table4_2[[#This Row],[Date]],"dddd")</f>
        <v>Wednesday</v>
      </c>
      <c r="D878" s="21">
        <v>32.1</v>
      </c>
      <c r="E878" s="21">
        <v>72</v>
      </c>
      <c r="F878" s="21">
        <v>605</v>
      </c>
      <c r="G878" s="21">
        <v>6.2</v>
      </c>
      <c r="H878">
        <v>35</v>
      </c>
      <c r="I878">
        <v>89.78</v>
      </c>
      <c r="J878">
        <v>0.72</v>
      </c>
      <c r="K878" t="str" cm="1">
        <f t="array" ref="K878">_xlfn.IFS(Table4_2[[#This Row],[Growth Days]]&lt;=14,"Seedling",Table4_2[[#This Row],[Growth Days]]&lt;=35, "Vegetative",Table4_2[[#This Row],[Growth Days]]&lt;=50, "Maturity")</f>
        <v>Vegetative</v>
      </c>
      <c r="L878" t="str">
        <f>IF(Table4_2[[#This Row],[TDS Value (ppm)]]&lt;560, "Low", IF(Table4_2[[#This Row],[TDS Value (ppm)]]&lt;=800,"Optimal","High"))</f>
        <v>Optimal</v>
      </c>
    </row>
    <row r="879" spans="1:12" x14ac:dyDescent="0.25">
      <c r="A879">
        <v>5</v>
      </c>
      <c r="B879" s="1">
        <v>45182</v>
      </c>
      <c r="C879" s="1" t="str">
        <f>TEXT(Table4_2[[#This Row],[Date]],"dddd")</f>
        <v>Wednesday</v>
      </c>
      <c r="D879" s="21">
        <v>30.4</v>
      </c>
      <c r="E879" s="21">
        <v>60</v>
      </c>
      <c r="F879" s="21">
        <v>529</v>
      </c>
      <c r="G879" s="21">
        <v>6.1</v>
      </c>
      <c r="H879">
        <v>42</v>
      </c>
      <c r="I879">
        <v>86.72</v>
      </c>
      <c r="J879">
        <v>0.6</v>
      </c>
      <c r="K879" t="str" cm="1">
        <f t="array" ref="K879">_xlfn.IFS(Table4_2[[#This Row],[Growth Days]]&lt;=14,"Seedling",Table4_2[[#This Row],[Growth Days]]&lt;=35, "Vegetative",Table4_2[[#This Row],[Growth Days]]&lt;=50, "Maturity")</f>
        <v>Maturity</v>
      </c>
      <c r="L879" t="str">
        <f>IF(Table4_2[[#This Row],[TDS Value (ppm)]]&lt;560, "Low", IF(Table4_2[[#This Row],[TDS Value (ppm)]]&lt;=800,"Optimal","High"))</f>
        <v>Low</v>
      </c>
    </row>
    <row r="880" spans="1:12" x14ac:dyDescent="0.25">
      <c r="A880">
        <v>6</v>
      </c>
      <c r="B880" s="1">
        <v>45147</v>
      </c>
      <c r="C880" s="1" t="str">
        <f>TEXT(Table4_2[[#This Row],[Date]],"dddd")</f>
        <v>Wednesday</v>
      </c>
      <c r="D880" s="21">
        <v>32.299999999999997</v>
      </c>
      <c r="E880" s="21">
        <v>60</v>
      </c>
      <c r="F880" s="21">
        <v>620</v>
      </c>
      <c r="G880" s="21">
        <v>6.6</v>
      </c>
      <c r="H880">
        <v>7</v>
      </c>
      <c r="I880">
        <v>90.14</v>
      </c>
      <c r="J880">
        <v>0.6</v>
      </c>
      <c r="K880" t="str" cm="1">
        <f t="array" ref="K880">_xlfn.IFS(Table4_2[[#This Row],[Growth Days]]&lt;=14,"Seedling",Table4_2[[#This Row],[Growth Days]]&lt;=35, "Vegetative",Table4_2[[#This Row],[Growth Days]]&lt;=50, "Maturity")</f>
        <v>Seedling</v>
      </c>
      <c r="L880" t="str">
        <f>IF(Table4_2[[#This Row],[TDS Value (ppm)]]&lt;560, "Low", IF(Table4_2[[#This Row],[TDS Value (ppm)]]&lt;=800,"Optimal","High"))</f>
        <v>Optimal</v>
      </c>
    </row>
    <row r="881" spans="1:12" x14ac:dyDescent="0.25">
      <c r="A881">
        <v>6</v>
      </c>
      <c r="B881" s="1">
        <v>45154</v>
      </c>
      <c r="C881" s="1" t="str">
        <f>TEXT(Table4_2[[#This Row],[Date]],"dddd")</f>
        <v>Wednesday</v>
      </c>
      <c r="D881" s="21">
        <v>29.8</v>
      </c>
      <c r="E881" s="21">
        <v>78</v>
      </c>
      <c r="F881" s="21">
        <v>755</v>
      </c>
      <c r="G881" s="21">
        <v>6.8</v>
      </c>
      <c r="H881">
        <v>14</v>
      </c>
      <c r="I881">
        <v>85.64</v>
      </c>
      <c r="J881">
        <v>0.78</v>
      </c>
      <c r="K881" t="str" cm="1">
        <f t="array" ref="K881">_xlfn.IFS(Table4_2[[#This Row],[Growth Days]]&lt;=14,"Seedling",Table4_2[[#This Row],[Growth Days]]&lt;=35, "Vegetative",Table4_2[[#This Row],[Growth Days]]&lt;=50, "Maturity")</f>
        <v>Seedling</v>
      </c>
      <c r="L881" t="str">
        <f>IF(Table4_2[[#This Row],[TDS Value (ppm)]]&lt;560, "Low", IF(Table4_2[[#This Row],[TDS Value (ppm)]]&lt;=800,"Optimal","High"))</f>
        <v>Optimal</v>
      </c>
    </row>
    <row r="882" spans="1:12" x14ac:dyDescent="0.25">
      <c r="A882">
        <v>6</v>
      </c>
      <c r="B882" s="1">
        <v>45161</v>
      </c>
      <c r="C882" s="1" t="str">
        <f>TEXT(Table4_2[[#This Row],[Date]],"dddd")</f>
        <v>Wednesday</v>
      </c>
      <c r="D882" s="21">
        <v>30.8</v>
      </c>
      <c r="E882" s="21">
        <v>54</v>
      </c>
      <c r="F882" s="21">
        <v>474</v>
      </c>
      <c r="G882" s="21">
        <v>6.7</v>
      </c>
      <c r="H882">
        <v>21</v>
      </c>
      <c r="I882">
        <v>87.44</v>
      </c>
      <c r="J882">
        <v>0.54</v>
      </c>
      <c r="K882" t="str" cm="1">
        <f t="array" ref="K882">_xlfn.IFS(Table4_2[[#This Row],[Growth Days]]&lt;=14,"Seedling",Table4_2[[#This Row],[Growth Days]]&lt;=35, "Vegetative",Table4_2[[#This Row],[Growth Days]]&lt;=50, "Maturity")</f>
        <v>Vegetative</v>
      </c>
      <c r="L882" t="str">
        <f>IF(Table4_2[[#This Row],[TDS Value (ppm)]]&lt;560, "Low", IF(Table4_2[[#This Row],[TDS Value (ppm)]]&lt;=800,"Optimal","High"))</f>
        <v>Low</v>
      </c>
    </row>
    <row r="883" spans="1:12" x14ac:dyDescent="0.25">
      <c r="A883">
        <v>6</v>
      </c>
      <c r="B883" s="1">
        <v>45168</v>
      </c>
      <c r="C883" s="1" t="str">
        <f>TEXT(Table4_2[[#This Row],[Date]],"dddd")</f>
        <v>Wednesday</v>
      </c>
      <c r="D883" s="21">
        <v>29.1</v>
      </c>
      <c r="E883" s="21">
        <v>68</v>
      </c>
      <c r="F883" s="21">
        <v>782</v>
      </c>
      <c r="G883" s="21">
        <v>6.2</v>
      </c>
      <c r="H883">
        <v>28</v>
      </c>
      <c r="I883">
        <v>84.38</v>
      </c>
      <c r="J883">
        <v>0.68</v>
      </c>
      <c r="K883" t="str" cm="1">
        <f t="array" ref="K883">_xlfn.IFS(Table4_2[[#This Row],[Growth Days]]&lt;=14,"Seedling",Table4_2[[#This Row],[Growth Days]]&lt;=35, "Vegetative",Table4_2[[#This Row],[Growth Days]]&lt;=50, "Maturity")</f>
        <v>Vegetative</v>
      </c>
      <c r="L883" t="str">
        <f>IF(Table4_2[[#This Row],[TDS Value (ppm)]]&lt;560, "Low", IF(Table4_2[[#This Row],[TDS Value (ppm)]]&lt;=800,"Optimal","High"))</f>
        <v>Optimal</v>
      </c>
    </row>
    <row r="884" spans="1:12" x14ac:dyDescent="0.25">
      <c r="A884">
        <v>6</v>
      </c>
      <c r="B884" s="1">
        <v>45175</v>
      </c>
      <c r="C884" s="1" t="str">
        <f>TEXT(Table4_2[[#This Row],[Date]],"dddd")</f>
        <v>Wednesday</v>
      </c>
      <c r="D884" s="21">
        <v>32.1</v>
      </c>
      <c r="E884" s="21">
        <v>61</v>
      </c>
      <c r="F884" s="21">
        <v>517</v>
      </c>
      <c r="G884" s="21">
        <v>6.7</v>
      </c>
      <c r="H884">
        <v>35</v>
      </c>
      <c r="I884">
        <v>89.78</v>
      </c>
      <c r="J884">
        <v>0.61</v>
      </c>
      <c r="K884" t="str" cm="1">
        <f t="array" ref="K884">_xlfn.IFS(Table4_2[[#This Row],[Growth Days]]&lt;=14,"Seedling",Table4_2[[#This Row],[Growth Days]]&lt;=35, "Vegetative",Table4_2[[#This Row],[Growth Days]]&lt;=50, "Maturity")</f>
        <v>Vegetative</v>
      </c>
      <c r="L884" t="str">
        <f>IF(Table4_2[[#This Row],[TDS Value (ppm)]]&lt;560, "Low", IF(Table4_2[[#This Row],[TDS Value (ppm)]]&lt;=800,"Optimal","High"))</f>
        <v>Low</v>
      </c>
    </row>
    <row r="885" spans="1:12" x14ac:dyDescent="0.25">
      <c r="A885">
        <v>6</v>
      </c>
      <c r="B885" s="1">
        <v>45182</v>
      </c>
      <c r="C885" s="1" t="str">
        <f>TEXT(Table4_2[[#This Row],[Date]],"dddd")</f>
        <v>Wednesday</v>
      </c>
      <c r="D885" s="21">
        <v>30.4</v>
      </c>
      <c r="E885" s="21">
        <v>68</v>
      </c>
      <c r="F885" s="21">
        <v>491</v>
      </c>
      <c r="G885" s="21">
        <v>6.6</v>
      </c>
      <c r="H885">
        <v>42</v>
      </c>
      <c r="I885">
        <v>86.72</v>
      </c>
      <c r="J885">
        <v>0.68</v>
      </c>
      <c r="K885" t="str" cm="1">
        <f t="array" ref="K885">_xlfn.IFS(Table4_2[[#This Row],[Growth Days]]&lt;=14,"Seedling",Table4_2[[#This Row],[Growth Days]]&lt;=35, "Vegetative",Table4_2[[#This Row],[Growth Days]]&lt;=50, "Maturity")</f>
        <v>Maturity</v>
      </c>
      <c r="L885" t="str">
        <f>IF(Table4_2[[#This Row],[TDS Value (ppm)]]&lt;560, "Low", IF(Table4_2[[#This Row],[TDS Value (ppm)]]&lt;=800,"Optimal","High"))</f>
        <v>Low</v>
      </c>
    </row>
    <row r="886" spans="1:12" x14ac:dyDescent="0.25">
      <c r="A886">
        <v>7</v>
      </c>
      <c r="B886" s="1">
        <v>45147</v>
      </c>
      <c r="C886" s="1" t="str">
        <f>TEXT(Table4_2[[#This Row],[Date]],"dddd")</f>
        <v>Wednesday</v>
      </c>
      <c r="D886" s="21">
        <v>32.299999999999997</v>
      </c>
      <c r="E886" s="21">
        <v>64</v>
      </c>
      <c r="F886" s="21">
        <v>769</v>
      </c>
      <c r="G886" s="21">
        <v>6.1</v>
      </c>
      <c r="H886">
        <v>7</v>
      </c>
      <c r="I886">
        <v>90.14</v>
      </c>
      <c r="J886">
        <v>0.64</v>
      </c>
      <c r="K886" t="str" cm="1">
        <f t="array" ref="K886">_xlfn.IFS(Table4_2[[#This Row],[Growth Days]]&lt;=14,"Seedling",Table4_2[[#This Row],[Growth Days]]&lt;=35, "Vegetative",Table4_2[[#This Row],[Growth Days]]&lt;=50, "Maturity")</f>
        <v>Seedling</v>
      </c>
      <c r="L886" t="str">
        <f>IF(Table4_2[[#This Row],[TDS Value (ppm)]]&lt;560, "Low", IF(Table4_2[[#This Row],[TDS Value (ppm)]]&lt;=800,"Optimal","High"))</f>
        <v>Optimal</v>
      </c>
    </row>
    <row r="887" spans="1:12" x14ac:dyDescent="0.25">
      <c r="A887">
        <v>7</v>
      </c>
      <c r="B887" s="1">
        <v>45154</v>
      </c>
      <c r="C887" s="1" t="str">
        <f>TEXT(Table4_2[[#This Row],[Date]],"dddd")</f>
        <v>Wednesday</v>
      </c>
      <c r="D887" s="21">
        <v>29.8</v>
      </c>
      <c r="E887" s="21">
        <v>53</v>
      </c>
      <c r="F887" s="21">
        <v>778</v>
      </c>
      <c r="G887" s="21">
        <v>6.1</v>
      </c>
      <c r="H887">
        <v>14</v>
      </c>
      <c r="I887">
        <v>85.64</v>
      </c>
      <c r="J887">
        <v>0.53</v>
      </c>
      <c r="K887" t="str" cm="1">
        <f t="array" ref="K887">_xlfn.IFS(Table4_2[[#This Row],[Growth Days]]&lt;=14,"Seedling",Table4_2[[#This Row],[Growth Days]]&lt;=35, "Vegetative",Table4_2[[#This Row],[Growth Days]]&lt;=50, "Maturity")</f>
        <v>Seedling</v>
      </c>
      <c r="L887" t="str">
        <f>IF(Table4_2[[#This Row],[TDS Value (ppm)]]&lt;560, "Low", IF(Table4_2[[#This Row],[TDS Value (ppm)]]&lt;=800,"Optimal","High"))</f>
        <v>Optimal</v>
      </c>
    </row>
    <row r="888" spans="1:12" x14ac:dyDescent="0.25">
      <c r="A888">
        <v>7</v>
      </c>
      <c r="B888" s="1">
        <v>45161</v>
      </c>
      <c r="C888" s="1" t="str">
        <f>TEXT(Table4_2[[#This Row],[Date]],"dddd")</f>
        <v>Wednesday</v>
      </c>
      <c r="D888" s="21">
        <v>30.8</v>
      </c>
      <c r="E888" s="21">
        <v>58</v>
      </c>
      <c r="F888" s="21">
        <v>503</v>
      </c>
      <c r="G888" s="21">
        <v>6.2</v>
      </c>
      <c r="H888">
        <v>21</v>
      </c>
      <c r="I888">
        <v>87.44</v>
      </c>
      <c r="J888">
        <v>0.57999999999999996</v>
      </c>
      <c r="K888" t="str" cm="1">
        <f t="array" ref="K888">_xlfn.IFS(Table4_2[[#This Row],[Growth Days]]&lt;=14,"Seedling",Table4_2[[#This Row],[Growth Days]]&lt;=35, "Vegetative",Table4_2[[#This Row],[Growth Days]]&lt;=50, "Maturity")</f>
        <v>Vegetative</v>
      </c>
      <c r="L888" t="str">
        <f>IF(Table4_2[[#This Row],[TDS Value (ppm)]]&lt;560, "Low", IF(Table4_2[[#This Row],[TDS Value (ppm)]]&lt;=800,"Optimal","High"))</f>
        <v>Low</v>
      </c>
    </row>
    <row r="889" spans="1:12" x14ac:dyDescent="0.25">
      <c r="A889">
        <v>7</v>
      </c>
      <c r="B889" s="1">
        <v>45168</v>
      </c>
      <c r="C889" s="1" t="str">
        <f>TEXT(Table4_2[[#This Row],[Date]],"dddd")</f>
        <v>Wednesday</v>
      </c>
      <c r="D889" s="21">
        <v>29.1</v>
      </c>
      <c r="E889" s="21">
        <v>62</v>
      </c>
      <c r="F889" s="21">
        <v>498</v>
      </c>
      <c r="G889" s="21">
        <v>6.5</v>
      </c>
      <c r="H889">
        <v>28</v>
      </c>
      <c r="I889">
        <v>84.38</v>
      </c>
      <c r="J889">
        <v>0.62</v>
      </c>
      <c r="K889" t="str" cm="1">
        <f t="array" ref="K889">_xlfn.IFS(Table4_2[[#This Row],[Growth Days]]&lt;=14,"Seedling",Table4_2[[#This Row],[Growth Days]]&lt;=35, "Vegetative",Table4_2[[#This Row],[Growth Days]]&lt;=50, "Maturity")</f>
        <v>Vegetative</v>
      </c>
      <c r="L889" t="str">
        <f>IF(Table4_2[[#This Row],[TDS Value (ppm)]]&lt;560, "Low", IF(Table4_2[[#This Row],[TDS Value (ppm)]]&lt;=800,"Optimal","High"))</f>
        <v>Low</v>
      </c>
    </row>
    <row r="890" spans="1:12" x14ac:dyDescent="0.25">
      <c r="A890">
        <v>7</v>
      </c>
      <c r="B890" s="1">
        <v>45175</v>
      </c>
      <c r="C890" s="1" t="str">
        <f>TEXT(Table4_2[[#This Row],[Date]],"dddd")</f>
        <v>Wednesday</v>
      </c>
      <c r="D890" s="21">
        <v>32.1</v>
      </c>
      <c r="E890" s="21">
        <v>76</v>
      </c>
      <c r="F890" s="21">
        <v>472</v>
      </c>
      <c r="G890" s="21">
        <v>6.5</v>
      </c>
      <c r="H890">
        <v>35</v>
      </c>
      <c r="I890">
        <v>89.78</v>
      </c>
      <c r="J890">
        <v>0.76</v>
      </c>
      <c r="K890" t="str" cm="1">
        <f t="array" ref="K890">_xlfn.IFS(Table4_2[[#This Row],[Growth Days]]&lt;=14,"Seedling",Table4_2[[#This Row],[Growth Days]]&lt;=35, "Vegetative",Table4_2[[#This Row],[Growth Days]]&lt;=50, "Maturity")</f>
        <v>Vegetative</v>
      </c>
      <c r="L890" t="str">
        <f>IF(Table4_2[[#This Row],[TDS Value (ppm)]]&lt;560, "Low", IF(Table4_2[[#This Row],[TDS Value (ppm)]]&lt;=800,"Optimal","High"))</f>
        <v>Low</v>
      </c>
    </row>
    <row r="891" spans="1:12" x14ac:dyDescent="0.25">
      <c r="A891">
        <v>7</v>
      </c>
      <c r="B891" s="1">
        <v>45182</v>
      </c>
      <c r="C891" s="1" t="str">
        <f>TEXT(Table4_2[[#This Row],[Date]],"dddd")</f>
        <v>Wednesday</v>
      </c>
      <c r="D891" s="21">
        <v>30.4</v>
      </c>
      <c r="E891" s="21">
        <v>52</v>
      </c>
      <c r="F891" s="21">
        <v>777</v>
      </c>
      <c r="G891" s="21">
        <v>6.6</v>
      </c>
      <c r="H891">
        <v>42</v>
      </c>
      <c r="I891">
        <v>86.72</v>
      </c>
      <c r="J891">
        <v>0.52</v>
      </c>
      <c r="K891" t="str" cm="1">
        <f t="array" ref="K891">_xlfn.IFS(Table4_2[[#This Row],[Growth Days]]&lt;=14,"Seedling",Table4_2[[#This Row],[Growth Days]]&lt;=35, "Vegetative",Table4_2[[#This Row],[Growth Days]]&lt;=50, "Maturity")</f>
        <v>Maturity</v>
      </c>
      <c r="L891" t="str">
        <f>IF(Table4_2[[#This Row],[TDS Value (ppm)]]&lt;560, "Low", IF(Table4_2[[#This Row],[TDS Value (ppm)]]&lt;=800,"Optimal","High"))</f>
        <v>Optimal</v>
      </c>
    </row>
    <row r="892" spans="1:12" x14ac:dyDescent="0.25">
      <c r="A892">
        <v>8</v>
      </c>
      <c r="B892" s="1">
        <v>45147</v>
      </c>
      <c r="C892" s="1" t="str">
        <f>TEXT(Table4_2[[#This Row],[Date]],"dddd")</f>
        <v>Wednesday</v>
      </c>
      <c r="D892" s="21">
        <v>32.299999999999997</v>
      </c>
      <c r="E892" s="21">
        <v>59</v>
      </c>
      <c r="F892" s="21">
        <v>434</v>
      </c>
      <c r="G892" s="21">
        <v>6.4</v>
      </c>
      <c r="H892">
        <v>7</v>
      </c>
      <c r="I892">
        <v>90.14</v>
      </c>
      <c r="J892">
        <v>0.59</v>
      </c>
      <c r="K892" t="str" cm="1">
        <f t="array" ref="K892">_xlfn.IFS(Table4_2[[#This Row],[Growth Days]]&lt;=14,"Seedling",Table4_2[[#This Row],[Growth Days]]&lt;=35, "Vegetative",Table4_2[[#This Row],[Growth Days]]&lt;=50, "Maturity")</f>
        <v>Seedling</v>
      </c>
      <c r="L892" t="str">
        <f>IF(Table4_2[[#This Row],[TDS Value (ppm)]]&lt;560, "Low", IF(Table4_2[[#This Row],[TDS Value (ppm)]]&lt;=800,"Optimal","High"))</f>
        <v>Low</v>
      </c>
    </row>
    <row r="893" spans="1:12" x14ac:dyDescent="0.25">
      <c r="A893">
        <v>8</v>
      </c>
      <c r="B893" s="1">
        <v>45154</v>
      </c>
      <c r="C893" s="1" t="str">
        <f>TEXT(Table4_2[[#This Row],[Date]],"dddd")</f>
        <v>Wednesday</v>
      </c>
      <c r="D893" s="21">
        <v>29.8</v>
      </c>
      <c r="E893" s="21">
        <v>51</v>
      </c>
      <c r="F893" s="21">
        <v>649</v>
      </c>
      <c r="G893" s="21">
        <v>6.4</v>
      </c>
      <c r="H893">
        <v>14</v>
      </c>
      <c r="I893">
        <v>85.64</v>
      </c>
      <c r="J893">
        <v>0.51</v>
      </c>
      <c r="K893" t="str" cm="1">
        <f t="array" ref="K893">_xlfn.IFS(Table4_2[[#This Row],[Growth Days]]&lt;=14,"Seedling",Table4_2[[#This Row],[Growth Days]]&lt;=35, "Vegetative",Table4_2[[#This Row],[Growth Days]]&lt;=50, "Maturity")</f>
        <v>Seedling</v>
      </c>
      <c r="L893" t="str">
        <f>IF(Table4_2[[#This Row],[TDS Value (ppm)]]&lt;560, "Low", IF(Table4_2[[#This Row],[TDS Value (ppm)]]&lt;=800,"Optimal","High"))</f>
        <v>Optimal</v>
      </c>
    </row>
    <row r="894" spans="1:12" x14ac:dyDescent="0.25">
      <c r="A894">
        <v>8</v>
      </c>
      <c r="B894" s="1">
        <v>45161</v>
      </c>
      <c r="C894" s="1" t="str">
        <f>TEXT(Table4_2[[#This Row],[Date]],"dddd")</f>
        <v>Wednesday</v>
      </c>
      <c r="D894" s="21">
        <v>30.8</v>
      </c>
      <c r="E894" s="21">
        <v>59</v>
      </c>
      <c r="F894" s="21">
        <v>411</v>
      </c>
      <c r="G894" s="21">
        <v>6</v>
      </c>
      <c r="H894">
        <v>21</v>
      </c>
      <c r="I894">
        <v>87.44</v>
      </c>
      <c r="J894">
        <v>0.59</v>
      </c>
      <c r="K894" t="str" cm="1">
        <f t="array" ref="K894">_xlfn.IFS(Table4_2[[#This Row],[Growth Days]]&lt;=14,"Seedling",Table4_2[[#This Row],[Growth Days]]&lt;=35, "Vegetative",Table4_2[[#This Row],[Growth Days]]&lt;=50, "Maturity")</f>
        <v>Vegetative</v>
      </c>
      <c r="L894" t="str">
        <f>IF(Table4_2[[#This Row],[TDS Value (ppm)]]&lt;560, "Low", IF(Table4_2[[#This Row],[TDS Value (ppm)]]&lt;=800,"Optimal","High"))</f>
        <v>Low</v>
      </c>
    </row>
    <row r="895" spans="1:12" x14ac:dyDescent="0.25">
      <c r="A895">
        <v>8</v>
      </c>
      <c r="B895" s="1">
        <v>45168</v>
      </c>
      <c r="C895" s="1" t="str">
        <f>TEXT(Table4_2[[#This Row],[Date]],"dddd")</f>
        <v>Wednesday</v>
      </c>
      <c r="D895" s="21">
        <v>29.1</v>
      </c>
      <c r="E895" s="21">
        <v>72</v>
      </c>
      <c r="F895" s="21">
        <v>630</v>
      </c>
      <c r="G895" s="21">
        <v>6.4</v>
      </c>
      <c r="H895">
        <v>28</v>
      </c>
      <c r="I895">
        <v>84.38</v>
      </c>
      <c r="J895">
        <v>0.72</v>
      </c>
      <c r="K895" t="str" cm="1">
        <f t="array" ref="K895">_xlfn.IFS(Table4_2[[#This Row],[Growth Days]]&lt;=14,"Seedling",Table4_2[[#This Row],[Growth Days]]&lt;=35, "Vegetative",Table4_2[[#This Row],[Growth Days]]&lt;=50, "Maturity")</f>
        <v>Vegetative</v>
      </c>
      <c r="L895" t="str">
        <f>IF(Table4_2[[#This Row],[TDS Value (ppm)]]&lt;560, "Low", IF(Table4_2[[#This Row],[TDS Value (ppm)]]&lt;=800,"Optimal","High"))</f>
        <v>Optimal</v>
      </c>
    </row>
    <row r="896" spans="1:12" x14ac:dyDescent="0.25">
      <c r="A896">
        <v>8</v>
      </c>
      <c r="B896" s="1">
        <v>45175</v>
      </c>
      <c r="C896" s="1" t="str">
        <f>TEXT(Table4_2[[#This Row],[Date]],"dddd")</f>
        <v>Wednesday</v>
      </c>
      <c r="D896" s="21">
        <v>32.1</v>
      </c>
      <c r="E896" s="21">
        <v>50</v>
      </c>
      <c r="F896" s="21">
        <v>605</v>
      </c>
      <c r="G896" s="21">
        <v>6.4</v>
      </c>
      <c r="H896">
        <v>35</v>
      </c>
      <c r="I896">
        <v>89.78</v>
      </c>
      <c r="J896">
        <v>0.5</v>
      </c>
      <c r="K896" t="str" cm="1">
        <f t="array" ref="K896">_xlfn.IFS(Table4_2[[#This Row],[Growth Days]]&lt;=14,"Seedling",Table4_2[[#This Row],[Growth Days]]&lt;=35, "Vegetative",Table4_2[[#This Row],[Growth Days]]&lt;=50, "Maturity")</f>
        <v>Vegetative</v>
      </c>
      <c r="L896" t="str">
        <f>IF(Table4_2[[#This Row],[TDS Value (ppm)]]&lt;560, "Low", IF(Table4_2[[#This Row],[TDS Value (ppm)]]&lt;=800,"Optimal","High"))</f>
        <v>Optimal</v>
      </c>
    </row>
    <row r="897" spans="1:12" x14ac:dyDescent="0.25">
      <c r="A897">
        <v>8</v>
      </c>
      <c r="B897" s="1">
        <v>45182</v>
      </c>
      <c r="C897" s="1" t="str">
        <f>TEXT(Table4_2[[#This Row],[Date]],"dddd")</f>
        <v>Wednesday</v>
      </c>
      <c r="D897" s="21">
        <v>30.4</v>
      </c>
      <c r="E897" s="21">
        <v>78</v>
      </c>
      <c r="F897" s="21">
        <v>472</v>
      </c>
      <c r="G897" s="21">
        <v>6.2</v>
      </c>
      <c r="H897">
        <v>42</v>
      </c>
      <c r="I897">
        <v>86.72</v>
      </c>
      <c r="J897">
        <v>0.78</v>
      </c>
      <c r="K897" t="str" cm="1">
        <f t="array" ref="K897">_xlfn.IFS(Table4_2[[#This Row],[Growth Days]]&lt;=14,"Seedling",Table4_2[[#This Row],[Growth Days]]&lt;=35, "Vegetative",Table4_2[[#This Row],[Growth Days]]&lt;=50, "Maturity")</f>
        <v>Maturity</v>
      </c>
      <c r="L897" t="str">
        <f>IF(Table4_2[[#This Row],[TDS Value (ppm)]]&lt;560, "Low", IF(Table4_2[[#This Row],[TDS Value (ppm)]]&lt;=800,"Optimal","High"))</f>
        <v>Low</v>
      </c>
    </row>
    <row r="898" spans="1:12" x14ac:dyDescent="0.25">
      <c r="A898">
        <v>9</v>
      </c>
      <c r="B898" s="1">
        <v>45147</v>
      </c>
      <c r="C898" s="1" t="str">
        <f>TEXT(Table4_2[[#This Row],[Date]],"dddd")</f>
        <v>Wednesday</v>
      </c>
      <c r="D898" s="21">
        <v>32.299999999999997</v>
      </c>
      <c r="E898" s="21">
        <v>62</v>
      </c>
      <c r="F898" s="21">
        <v>538</v>
      </c>
      <c r="G898" s="21">
        <v>6.6</v>
      </c>
      <c r="H898">
        <v>7</v>
      </c>
      <c r="I898">
        <v>90.14</v>
      </c>
      <c r="J898">
        <v>0.62</v>
      </c>
      <c r="K898" t="str" cm="1">
        <f t="array" ref="K898">_xlfn.IFS(Table4_2[[#This Row],[Growth Days]]&lt;=14,"Seedling",Table4_2[[#This Row],[Growth Days]]&lt;=35, "Vegetative",Table4_2[[#This Row],[Growth Days]]&lt;=50, "Maturity")</f>
        <v>Seedling</v>
      </c>
      <c r="L898" t="str">
        <f>IF(Table4_2[[#This Row],[TDS Value (ppm)]]&lt;560, "Low", IF(Table4_2[[#This Row],[TDS Value (ppm)]]&lt;=800,"Optimal","High"))</f>
        <v>Low</v>
      </c>
    </row>
    <row r="899" spans="1:12" x14ac:dyDescent="0.25">
      <c r="A899">
        <v>9</v>
      </c>
      <c r="B899" s="1">
        <v>45154</v>
      </c>
      <c r="C899" s="1" t="str">
        <f>TEXT(Table4_2[[#This Row],[Date]],"dddd")</f>
        <v>Wednesday</v>
      </c>
      <c r="D899" s="21">
        <v>29.8</v>
      </c>
      <c r="E899" s="21">
        <v>66</v>
      </c>
      <c r="F899" s="21">
        <v>613</v>
      </c>
      <c r="G899" s="21">
        <v>6.3</v>
      </c>
      <c r="H899">
        <v>14</v>
      </c>
      <c r="I899">
        <v>85.64</v>
      </c>
      <c r="J899">
        <v>0.66</v>
      </c>
      <c r="K899" t="str" cm="1">
        <f t="array" ref="K899">_xlfn.IFS(Table4_2[[#This Row],[Growth Days]]&lt;=14,"Seedling",Table4_2[[#This Row],[Growth Days]]&lt;=35, "Vegetative",Table4_2[[#This Row],[Growth Days]]&lt;=50, "Maturity")</f>
        <v>Seedling</v>
      </c>
      <c r="L899" t="str">
        <f>IF(Table4_2[[#This Row],[TDS Value (ppm)]]&lt;560, "Low", IF(Table4_2[[#This Row],[TDS Value (ppm)]]&lt;=800,"Optimal","High"))</f>
        <v>Optimal</v>
      </c>
    </row>
    <row r="900" spans="1:12" x14ac:dyDescent="0.25">
      <c r="A900">
        <v>9</v>
      </c>
      <c r="B900" s="1">
        <v>45161</v>
      </c>
      <c r="C900" s="1" t="str">
        <f>TEXT(Table4_2[[#This Row],[Date]],"dddd")</f>
        <v>Wednesday</v>
      </c>
      <c r="D900" s="21">
        <v>30.8</v>
      </c>
      <c r="E900" s="21">
        <v>70</v>
      </c>
      <c r="F900" s="21">
        <v>474</v>
      </c>
      <c r="G900" s="21">
        <v>6.1</v>
      </c>
      <c r="H900">
        <v>21</v>
      </c>
      <c r="I900">
        <v>87.44</v>
      </c>
      <c r="J900">
        <v>0.7</v>
      </c>
      <c r="K900" t="str" cm="1">
        <f t="array" ref="K900">_xlfn.IFS(Table4_2[[#This Row],[Growth Days]]&lt;=14,"Seedling",Table4_2[[#This Row],[Growth Days]]&lt;=35, "Vegetative",Table4_2[[#This Row],[Growth Days]]&lt;=50, "Maturity")</f>
        <v>Vegetative</v>
      </c>
      <c r="L900" t="str">
        <f>IF(Table4_2[[#This Row],[TDS Value (ppm)]]&lt;560, "Low", IF(Table4_2[[#This Row],[TDS Value (ppm)]]&lt;=800,"Optimal","High"))</f>
        <v>Low</v>
      </c>
    </row>
    <row r="901" spans="1:12" x14ac:dyDescent="0.25">
      <c r="A901">
        <v>9</v>
      </c>
      <c r="B901" s="1">
        <v>45168</v>
      </c>
      <c r="C901" s="1" t="str">
        <f>TEXT(Table4_2[[#This Row],[Date]],"dddd")</f>
        <v>Wednesday</v>
      </c>
      <c r="D901" s="21">
        <v>29.1</v>
      </c>
      <c r="E901" s="21">
        <v>73</v>
      </c>
      <c r="F901" s="21">
        <v>684</v>
      </c>
      <c r="G901" s="21">
        <v>6.7</v>
      </c>
      <c r="H901">
        <v>28</v>
      </c>
      <c r="I901">
        <v>84.38</v>
      </c>
      <c r="J901">
        <v>0.73</v>
      </c>
      <c r="K901" t="str" cm="1">
        <f t="array" ref="K901">_xlfn.IFS(Table4_2[[#This Row],[Growth Days]]&lt;=14,"Seedling",Table4_2[[#This Row],[Growth Days]]&lt;=35, "Vegetative",Table4_2[[#This Row],[Growth Days]]&lt;=50, "Maturity")</f>
        <v>Vegetative</v>
      </c>
      <c r="L901" t="str">
        <f>IF(Table4_2[[#This Row],[TDS Value (ppm)]]&lt;560, "Low", IF(Table4_2[[#This Row],[TDS Value (ppm)]]&lt;=800,"Optimal","High"))</f>
        <v>Optimal</v>
      </c>
    </row>
    <row r="902" spans="1:12" x14ac:dyDescent="0.25">
      <c r="A902">
        <v>9</v>
      </c>
      <c r="B902" s="1">
        <v>45175</v>
      </c>
      <c r="C902" s="1" t="str">
        <f>TEXT(Table4_2[[#This Row],[Date]],"dddd")</f>
        <v>Wednesday</v>
      </c>
      <c r="D902" s="21">
        <v>32.1</v>
      </c>
      <c r="E902" s="21">
        <v>70</v>
      </c>
      <c r="F902" s="21">
        <v>561</v>
      </c>
      <c r="G902" s="21">
        <v>6.7</v>
      </c>
      <c r="H902">
        <v>35</v>
      </c>
      <c r="I902">
        <v>89.78</v>
      </c>
      <c r="J902">
        <v>0.7</v>
      </c>
      <c r="K902" t="str" cm="1">
        <f t="array" ref="K902">_xlfn.IFS(Table4_2[[#This Row],[Growth Days]]&lt;=14,"Seedling",Table4_2[[#This Row],[Growth Days]]&lt;=35, "Vegetative",Table4_2[[#This Row],[Growth Days]]&lt;=50, "Maturity")</f>
        <v>Vegetative</v>
      </c>
      <c r="L902" t="str">
        <f>IF(Table4_2[[#This Row],[TDS Value (ppm)]]&lt;560, "Low", IF(Table4_2[[#This Row],[TDS Value (ppm)]]&lt;=800,"Optimal","High"))</f>
        <v>Optimal</v>
      </c>
    </row>
    <row r="903" spans="1:12" x14ac:dyDescent="0.25">
      <c r="A903">
        <v>9</v>
      </c>
      <c r="B903" s="1">
        <v>45182</v>
      </c>
      <c r="C903" s="1" t="str">
        <f>TEXT(Table4_2[[#This Row],[Date]],"dddd")</f>
        <v>Wednesday</v>
      </c>
      <c r="D903" s="21">
        <v>30.4</v>
      </c>
      <c r="E903" s="21">
        <v>51</v>
      </c>
      <c r="F903" s="21">
        <v>663</v>
      </c>
      <c r="G903" s="21">
        <v>6.5</v>
      </c>
      <c r="H903">
        <v>42</v>
      </c>
      <c r="I903">
        <v>86.72</v>
      </c>
      <c r="J903">
        <v>0.51</v>
      </c>
      <c r="K903" t="str" cm="1">
        <f t="array" ref="K903">_xlfn.IFS(Table4_2[[#This Row],[Growth Days]]&lt;=14,"Seedling",Table4_2[[#This Row],[Growth Days]]&lt;=35, "Vegetative",Table4_2[[#This Row],[Growth Days]]&lt;=50, "Maturity")</f>
        <v>Maturity</v>
      </c>
      <c r="L903" t="str">
        <f>IF(Table4_2[[#This Row],[TDS Value (ppm)]]&lt;560, "Low", IF(Table4_2[[#This Row],[TDS Value (ppm)]]&lt;=800,"Optimal","High"))</f>
        <v>Optimal</v>
      </c>
    </row>
    <row r="904" spans="1:12" x14ac:dyDescent="0.25">
      <c r="A904">
        <v>10</v>
      </c>
      <c r="B904" s="1">
        <v>45147</v>
      </c>
      <c r="C904" s="1" t="str">
        <f>TEXT(Table4_2[[#This Row],[Date]],"dddd")</f>
        <v>Wednesday</v>
      </c>
      <c r="D904" s="21">
        <v>32.299999999999997</v>
      </c>
      <c r="E904" s="21">
        <v>72</v>
      </c>
      <c r="F904" s="21">
        <v>623</v>
      </c>
      <c r="G904" s="21">
        <v>6.7</v>
      </c>
      <c r="H904">
        <v>7</v>
      </c>
      <c r="I904">
        <v>90.14</v>
      </c>
      <c r="J904">
        <v>0.72</v>
      </c>
      <c r="K904" t="str" cm="1">
        <f t="array" ref="K904">_xlfn.IFS(Table4_2[[#This Row],[Growth Days]]&lt;=14,"Seedling",Table4_2[[#This Row],[Growth Days]]&lt;=35, "Vegetative",Table4_2[[#This Row],[Growth Days]]&lt;=50, "Maturity")</f>
        <v>Seedling</v>
      </c>
      <c r="L904" t="str">
        <f>IF(Table4_2[[#This Row],[TDS Value (ppm)]]&lt;560, "Low", IF(Table4_2[[#This Row],[TDS Value (ppm)]]&lt;=800,"Optimal","High"))</f>
        <v>Optimal</v>
      </c>
    </row>
    <row r="905" spans="1:12" x14ac:dyDescent="0.25">
      <c r="A905">
        <v>10</v>
      </c>
      <c r="B905" s="1">
        <v>45154</v>
      </c>
      <c r="C905" s="1" t="str">
        <f>TEXT(Table4_2[[#This Row],[Date]],"dddd")</f>
        <v>Wednesday</v>
      </c>
      <c r="D905" s="21">
        <v>29.8</v>
      </c>
      <c r="E905" s="21">
        <v>51</v>
      </c>
      <c r="F905" s="21">
        <v>594</v>
      </c>
      <c r="G905" s="21">
        <v>6.5</v>
      </c>
      <c r="H905">
        <v>14</v>
      </c>
      <c r="I905">
        <v>85.64</v>
      </c>
      <c r="J905">
        <v>0.51</v>
      </c>
      <c r="K905" t="str" cm="1">
        <f t="array" ref="K905">_xlfn.IFS(Table4_2[[#This Row],[Growth Days]]&lt;=14,"Seedling",Table4_2[[#This Row],[Growth Days]]&lt;=35, "Vegetative",Table4_2[[#This Row],[Growth Days]]&lt;=50, "Maturity")</f>
        <v>Seedling</v>
      </c>
      <c r="L905" t="str">
        <f>IF(Table4_2[[#This Row],[TDS Value (ppm)]]&lt;560, "Low", IF(Table4_2[[#This Row],[TDS Value (ppm)]]&lt;=800,"Optimal","High"))</f>
        <v>Optimal</v>
      </c>
    </row>
    <row r="906" spans="1:12" x14ac:dyDescent="0.25">
      <c r="A906">
        <v>10</v>
      </c>
      <c r="B906" s="1">
        <v>45161</v>
      </c>
      <c r="C906" s="1" t="str">
        <f>TEXT(Table4_2[[#This Row],[Date]],"dddd")</f>
        <v>Wednesday</v>
      </c>
      <c r="D906" s="21">
        <v>30.8</v>
      </c>
      <c r="E906" s="21">
        <v>57</v>
      </c>
      <c r="F906" s="21">
        <v>609</v>
      </c>
      <c r="G906" s="21">
        <v>6.6</v>
      </c>
      <c r="H906">
        <v>21</v>
      </c>
      <c r="I906">
        <v>87.44</v>
      </c>
      <c r="J906">
        <v>0.56999999999999995</v>
      </c>
      <c r="K906" t="str" cm="1">
        <f t="array" ref="K906">_xlfn.IFS(Table4_2[[#This Row],[Growth Days]]&lt;=14,"Seedling",Table4_2[[#This Row],[Growth Days]]&lt;=35, "Vegetative",Table4_2[[#This Row],[Growth Days]]&lt;=50, "Maturity")</f>
        <v>Vegetative</v>
      </c>
      <c r="L906" t="str">
        <f>IF(Table4_2[[#This Row],[TDS Value (ppm)]]&lt;560, "Low", IF(Table4_2[[#This Row],[TDS Value (ppm)]]&lt;=800,"Optimal","High"))</f>
        <v>Optimal</v>
      </c>
    </row>
    <row r="907" spans="1:12" x14ac:dyDescent="0.25">
      <c r="A907">
        <v>10</v>
      </c>
      <c r="B907" s="1">
        <v>45168</v>
      </c>
      <c r="C907" s="1" t="str">
        <f>TEXT(Table4_2[[#This Row],[Date]],"dddd")</f>
        <v>Wednesday</v>
      </c>
      <c r="D907" s="21">
        <v>29.1</v>
      </c>
      <c r="E907" s="21">
        <v>59</v>
      </c>
      <c r="F907" s="21">
        <v>704</v>
      </c>
      <c r="G907" s="21">
        <v>6.5</v>
      </c>
      <c r="H907">
        <v>28</v>
      </c>
      <c r="I907">
        <v>84.38</v>
      </c>
      <c r="J907">
        <v>0.59</v>
      </c>
      <c r="K907" t="str" cm="1">
        <f t="array" ref="K907">_xlfn.IFS(Table4_2[[#This Row],[Growth Days]]&lt;=14,"Seedling",Table4_2[[#This Row],[Growth Days]]&lt;=35, "Vegetative",Table4_2[[#This Row],[Growth Days]]&lt;=50, "Maturity")</f>
        <v>Vegetative</v>
      </c>
      <c r="L907" t="str">
        <f>IF(Table4_2[[#This Row],[TDS Value (ppm)]]&lt;560, "Low", IF(Table4_2[[#This Row],[TDS Value (ppm)]]&lt;=800,"Optimal","High"))</f>
        <v>Optimal</v>
      </c>
    </row>
    <row r="908" spans="1:12" x14ac:dyDescent="0.25">
      <c r="A908">
        <v>10</v>
      </c>
      <c r="B908" s="1">
        <v>45175</v>
      </c>
      <c r="C908" s="1" t="str">
        <f>TEXT(Table4_2[[#This Row],[Date]],"dddd")</f>
        <v>Wednesday</v>
      </c>
      <c r="D908" s="21">
        <v>32.1</v>
      </c>
      <c r="E908" s="21">
        <v>72</v>
      </c>
      <c r="F908" s="21">
        <v>469</v>
      </c>
      <c r="G908" s="21">
        <v>6.3</v>
      </c>
      <c r="H908">
        <v>35</v>
      </c>
      <c r="I908">
        <v>89.78</v>
      </c>
      <c r="J908">
        <v>0.72</v>
      </c>
      <c r="K908" t="str" cm="1">
        <f t="array" ref="K908">_xlfn.IFS(Table4_2[[#This Row],[Growth Days]]&lt;=14,"Seedling",Table4_2[[#This Row],[Growth Days]]&lt;=35, "Vegetative",Table4_2[[#This Row],[Growth Days]]&lt;=50, "Maturity")</f>
        <v>Vegetative</v>
      </c>
      <c r="L908" t="str">
        <f>IF(Table4_2[[#This Row],[TDS Value (ppm)]]&lt;560, "Low", IF(Table4_2[[#This Row],[TDS Value (ppm)]]&lt;=800,"Optimal","High"))</f>
        <v>Low</v>
      </c>
    </row>
    <row r="909" spans="1:12" x14ac:dyDescent="0.25">
      <c r="A909">
        <v>10</v>
      </c>
      <c r="B909" s="1">
        <v>45182</v>
      </c>
      <c r="C909" s="1" t="str">
        <f>TEXT(Table4_2[[#This Row],[Date]],"dddd")</f>
        <v>Wednesday</v>
      </c>
      <c r="D909" s="21">
        <v>30.4</v>
      </c>
      <c r="E909" s="21">
        <v>69</v>
      </c>
      <c r="F909" s="21">
        <v>674</v>
      </c>
      <c r="G909" s="21">
        <v>6.3</v>
      </c>
      <c r="H909">
        <v>42</v>
      </c>
      <c r="I909">
        <v>86.72</v>
      </c>
      <c r="J909">
        <v>0.69</v>
      </c>
      <c r="K909" t="str" cm="1">
        <f t="array" ref="K909">_xlfn.IFS(Table4_2[[#This Row],[Growth Days]]&lt;=14,"Seedling",Table4_2[[#This Row],[Growth Days]]&lt;=35, "Vegetative",Table4_2[[#This Row],[Growth Days]]&lt;=50, "Maturity")</f>
        <v>Maturity</v>
      </c>
      <c r="L909" t="str">
        <f>IF(Table4_2[[#This Row],[TDS Value (ppm)]]&lt;560, "Low", IF(Table4_2[[#This Row],[TDS Value (ppm)]]&lt;=800,"Optimal","High"))</f>
        <v>Optimal</v>
      </c>
    </row>
    <row r="910" spans="1:12" x14ac:dyDescent="0.25">
      <c r="A910">
        <v>11</v>
      </c>
      <c r="B910" s="1">
        <v>45147</v>
      </c>
      <c r="C910" s="1" t="str">
        <f>TEXT(Table4_2[[#This Row],[Date]],"dddd")</f>
        <v>Wednesday</v>
      </c>
      <c r="D910" s="21">
        <v>32.299999999999997</v>
      </c>
      <c r="E910" s="21">
        <v>69</v>
      </c>
      <c r="F910" s="21">
        <v>529</v>
      </c>
      <c r="G910" s="21">
        <v>6.3</v>
      </c>
      <c r="H910">
        <v>7</v>
      </c>
      <c r="I910">
        <v>90.14</v>
      </c>
      <c r="J910">
        <v>0.69</v>
      </c>
      <c r="K910" t="str" cm="1">
        <f t="array" ref="K910">_xlfn.IFS(Table4_2[[#This Row],[Growth Days]]&lt;=14,"Seedling",Table4_2[[#This Row],[Growth Days]]&lt;=35, "Vegetative",Table4_2[[#This Row],[Growth Days]]&lt;=50, "Maturity")</f>
        <v>Seedling</v>
      </c>
      <c r="L910" t="str">
        <f>IF(Table4_2[[#This Row],[TDS Value (ppm)]]&lt;560, "Low", IF(Table4_2[[#This Row],[TDS Value (ppm)]]&lt;=800,"Optimal","High"))</f>
        <v>Low</v>
      </c>
    </row>
    <row r="911" spans="1:12" x14ac:dyDescent="0.25">
      <c r="A911">
        <v>11</v>
      </c>
      <c r="B911" s="1">
        <v>45154</v>
      </c>
      <c r="C911" s="1" t="str">
        <f>TEXT(Table4_2[[#This Row],[Date]],"dddd")</f>
        <v>Wednesday</v>
      </c>
      <c r="D911" s="21">
        <v>29.8</v>
      </c>
      <c r="E911" s="21">
        <v>74</v>
      </c>
      <c r="F911" s="21">
        <v>462</v>
      </c>
      <c r="G911" s="21">
        <v>6.6</v>
      </c>
      <c r="H911">
        <v>14</v>
      </c>
      <c r="I911">
        <v>85.64</v>
      </c>
      <c r="J911">
        <v>0.74</v>
      </c>
      <c r="K911" t="str" cm="1">
        <f t="array" ref="K911">_xlfn.IFS(Table4_2[[#This Row],[Growth Days]]&lt;=14,"Seedling",Table4_2[[#This Row],[Growth Days]]&lt;=35, "Vegetative",Table4_2[[#This Row],[Growth Days]]&lt;=50, "Maturity")</f>
        <v>Seedling</v>
      </c>
      <c r="L911" t="str">
        <f>IF(Table4_2[[#This Row],[TDS Value (ppm)]]&lt;560, "Low", IF(Table4_2[[#This Row],[TDS Value (ppm)]]&lt;=800,"Optimal","High"))</f>
        <v>Low</v>
      </c>
    </row>
    <row r="912" spans="1:12" x14ac:dyDescent="0.25">
      <c r="A912">
        <v>11</v>
      </c>
      <c r="B912" s="1">
        <v>45161</v>
      </c>
      <c r="C912" s="1" t="str">
        <f>TEXT(Table4_2[[#This Row],[Date]],"dddd")</f>
        <v>Wednesday</v>
      </c>
      <c r="D912" s="21">
        <v>30.8</v>
      </c>
      <c r="E912" s="21">
        <v>53</v>
      </c>
      <c r="F912" s="21">
        <v>537</v>
      </c>
      <c r="G912" s="21">
        <v>6.7</v>
      </c>
      <c r="H912">
        <v>21</v>
      </c>
      <c r="I912">
        <v>87.44</v>
      </c>
      <c r="J912">
        <v>0.53</v>
      </c>
      <c r="K912" t="str" cm="1">
        <f t="array" ref="K912">_xlfn.IFS(Table4_2[[#This Row],[Growth Days]]&lt;=14,"Seedling",Table4_2[[#This Row],[Growth Days]]&lt;=35, "Vegetative",Table4_2[[#This Row],[Growth Days]]&lt;=50, "Maturity")</f>
        <v>Vegetative</v>
      </c>
      <c r="L912" t="str">
        <f>IF(Table4_2[[#This Row],[TDS Value (ppm)]]&lt;560, "Low", IF(Table4_2[[#This Row],[TDS Value (ppm)]]&lt;=800,"Optimal","High"))</f>
        <v>Low</v>
      </c>
    </row>
    <row r="913" spans="1:12" x14ac:dyDescent="0.25">
      <c r="A913">
        <v>11</v>
      </c>
      <c r="B913" s="1">
        <v>45168</v>
      </c>
      <c r="C913" s="1" t="str">
        <f>TEXT(Table4_2[[#This Row],[Date]],"dddd")</f>
        <v>Wednesday</v>
      </c>
      <c r="D913" s="21">
        <v>29.1</v>
      </c>
      <c r="E913" s="21">
        <v>69</v>
      </c>
      <c r="F913" s="21">
        <v>421</v>
      </c>
      <c r="G913" s="21">
        <v>6.1</v>
      </c>
      <c r="H913">
        <v>28</v>
      </c>
      <c r="I913">
        <v>84.38</v>
      </c>
      <c r="J913">
        <v>0.69</v>
      </c>
      <c r="K913" t="str" cm="1">
        <f t="array" ref="K913">_xlfn.IFS(Table4_2[[#This Row],[Growth Days]]&lt;=14,"Seedling",Table4_2[[#This Row],[Growth Days]]&lt;=35, "Vegetative",Table4_2[[#This Row],[Growth Days]]&lt;=50, "Maturity")</f>
        <v>Vegetative</v>
      </c>
      <c r="L913" t="str">
        <f>IF(Table4_2[[#This Row],[TDS Value (ppm)]]&lt;560, "Low", IF(Table4_2[[#This Row],[TDS Value (ppm)]]&lt;=800,"Optimal","High"))</f>
        <v>Low</v>
      </c>
    </row>
    <row r="914" spans="1:12" x14ac:dyDescent="0.25">
      <c r="A914">
        <v>11</v>
      </c>
      <c r="B914" s="1">
        <v>45175</v>
      </c>
      <c r="C914" s="1" t="str">
        <f>TEXT(Table4_2[[#This Row],[Date]],"dddd")</f>
        <v>Wednesday</v>
      </c>
      <c r="D914" s="21">
        <v>32.1</v>
      </c>
      <c r="E914" s="21">
        <v>56</v>
      </c>
      <c r="F914" s="21">
        <v>519</v>
      </c>
      <c r="G914" s="21">
        <v>6.7</v>
      </c>
      <c r="H914">
        <v>35</v>
      </c>
      <c r="I914">
        <v>89.78</v>
      </c>
      <c r="J914">
        <v>0.56000000000000005</v>
      </c>
      <c r="K914" t="str" cm="1">
        <f t="array" ref="K914">_xlfn.IFS(Table4_2[[#This Row],[Growth Days]]&lt;=14,"Seedling",Table4_2[[#This Row],[Growth Days]]&lt;=35, "Vegetative",Table4_2[[#This Row],[Growth Days]]&lt;=50, "Maturity")</f>
        <v>Vegetative</v>
      </c>
      <c r="L914" t="str">
        <f>IF(Table4_2[[#This Row],[TDS Value (ppm)]]&lt;560, "Low", IF(Table4_2[[#This Row],[TDS Value (ppm)]]&lt;=800,"Optimal","High"))</f>
        <v>Low</v>
      </c>
    </row>
    <row r="915" spans="1:12" x14ac:dyDescent="0.25">
      <c r="A915">
        <v>11</v>
      </c>
      <c r="B915" s="1">
        <v>45182</v>
      </c>
      <c r="C915" s="1" t="str">
        <f>TEXT(Table4_2[[#This Row],[Date]],"dddd")</f>
        <v>Wednesday</v>
      </c>
      <c r="D915" s="21">
        <v>30.4</v>
      </c>
      <c r="E915" s="21">
        <v>60</v>
      </c>
      <c r="F915" s="21">
        <v>690</v>
      </c>
      <c r="G915" s="21">
        <v>6.3</v>
      </c>
      <c r="H915">
        <v>42</v>
      </c>
      <c r="I915">
        <v>86.72</v>
      </c>
      <c r="J915">
        <v>0.6</v>
      </c>
      <c r="K915" t="str" cm="1">
        <f t="array" ref="K915">_xlfn.IFS(Table4_2[[#This Row],[Growth Days]]&lt;=14,"Seedling",Table4_2[[#This Row],[Growth Days]]&lt;=35, "Vegetative",Table4_2[[#This Row],[Growth Days]]&lt;=50, "Maturity")</f>
        <v>Maturity</v>
      </c>
      <c r="L915" t="str">
        <f>IF(Table4_2[[#This Row],[TDS Value (ppm)]]&lt;560, "Low", IF(Table4_2[[#This Row],[TDS Value (ppm)]]&lt;=800,"Optimal","High"))</f>
        <v>Optimal</v>
      </c>
    </row>
    <row r="916" spans="1:12" x14ac:dyDescent="0.25">
      <c r="A916">
        <v>12</v>
      </c>
      <c r="B916" s="1">
        <v>45147</v>
      </c>
      <c r="C916" s="1" t="str">
        <f>TEXT(Table4_2[[#This Row],[Date]],"dddd")</f>
        <v>Wednesday</v>
      </c>
      <c r="D916" s="21">
        <v>32.299999999999997</v>
      </c>
      <c r="E916" s="21">
        <v>60</v>
      </c>
      <c r="F916" s="21">
        <v>435</v>
      </c>
      <c r="G916" s="21">
        <v>6.4</v>
      </c>
      <c r="H916">
        <v>7</v>
      </c>
      <c r="I916">
        <v>90.14</v>
      </c>
      <c r="J916">
        <v>0.6</v>
      </c>
      <c r="K916" t="str" cm="1">
        <f t="array" ref="K916">_xlfn.IFS(Table4_2[[#This Row],[Growth Days]]&lt;=14,"Seedling",Table4_2[[#This Row],[Growth Days]]&lt;=35, "Vegetative",Table4_2[[#This Row],[Growth Days]]&lt;=50, "Maturity")</f>
        <v>Seedling</v>
      </c>
      <c r="L916" t="str">
        <f>IF(Table4_2[[#This Row],[TDS Value (ppm)]]&lt;560, "Low", IF(Table4_2[[#This Row],[TDS Value (ppm)]]&lt;=800,"Optimal","High"))</f>
        <v>Low</v>
      </c>
    </row>
    <row r="917" spans="1:12" x14ac:dyDescent="0.25">
      <c r="A917">
        <v>12</v>
      </c>
      <c r="B917" s="1">
        <v>45154</v>
      </c>
      <c r="C917" s="1" t="str">
        <f>TEXT(Table4_2[[#This Row],[Date]],"dddd")</f>
        <v>Wednesday</v>
      </c>
      <c r="D917" s="21">
        <v>29.8</v>
      </c>
      <c r="E917" s="21">
        <v>78</v>
      </c>
      <c r="F917" s="21">
        <v>710</v>
      </c>
      <c r="G917" s="21">
        <v>6.6</v>
      </c>
      <c r="H917">
        <v>14</v>
      </c>
      <c r="I917">
        <v>85.64</v>
      </c>
      <c r="J917">
        <v>0.78</v>
      </c>
      <c r="K917" t="str" cm="1">
        <f t="array" ref="K917">_xlfn.IFS(Table4_2[[#This Row],[Growth Days]]&lt;=14,"Seedling",Table4_2[[#This Row],[Growth Days]]&lt;=35, "Vegetative",Table4_2[[#This Row],[Growth Days]]&lt;=50, "Maturity")</f>
        <v>Seedling</v>
      </c>
      <c r="L917" t="str">
        <f>IF(Table4_2[[#This Row],[TDS Value (ppm)]]&lt;560, "Low", IF(Table4_2[[#This Row],[TDS Value (ppm)]]&lt;=800,"Optimal","High"))</f>
        <v>Optimal</v>
      </c>
    </row>
    <row r="918" spans="1:12" x14ac:dyDescent="0.25">
      <c r="A918">
        <v>12</v>
      </c>
      <c r="B918" s="1">
        <v>45161</v>
      </c>
      <c r="C918" s="1" t="str">
        <f>TEXT(Table4_2[[#This Row],[Date]],"dddd")</f>
        <v>Wednesday</v>
      </c>
      <c r="D918" s="21">
        <v>30.8</v>
      </c>
      <c r="E918" s="21">
        <v>72</v>
      </c>
      <c r="F918" s="21">
        <v>450</v>
      </c>
      <c r="G918" s="21">
        <v>6.7</v>
      </c>
      <c r="H918">
        <v>21</v>
      </c>
      <c r="I918">
        <v>87.44</v>
      </c>
      <c r="J918">
        <v>0.72</v>
      </c>
      <c r="K918" t="str" cm="1">
        <f t="array" ref="K918">_xlfn.IFS(Table4_2[[#This Row],[Growth Days]]&lt;=14,"Seedling",Table4_2[[#This Row],[Growth Days]]&lt;=35, "Vegetative",Table4_2[[#This Row],[Growth Days]]&lt;=50, "Maturity")</f>
        <v>Vegetative</v>
      </c>
      <c r="L918" t="str">
        <f>IF(Table4_2[[#This Row],[TDS Value (ppm)]]&lt;560, "Low", IF(Table4_2[[#This Row],[TDS Value (ppm)]]&lt;=800,"Optimal","High"))</f>
        <v>Low</v>
      </c>
    </row>
    <row r="919" spans="1:12" x14ac:dyDescent="0.25">
      <c r="A919">
        <v>12</v>
      </c>
      <c r="B919" s="1">
        <v>45168</v>
      </c>
      <c r="C919" s="1" t="str">
        <f>TEXT(Table4_2[[#This Row],[Date]],"dddd")</f>
        <v>Wednesday</v>
      </c>
      <c r="D919" s="21">
        <v>29.1</v>
      </c>
      <c r="E919" s="21">
        <v>72</v>
      </c>
      <c r="F919" s="21">
        <v>497</v>
      </c>
      <c r="G919" s="21">
        <v>6.6</v>
      </c>
      <c r="H919">
        <v>28</v>
      </c>
      <c r="I919">
        <v>84.38</v>
      </c>
      <c r="J919">
        <v>0.72</v>
      </c>
      <c r="K919" t="str" cm="1">
        <f t="array" ref="K919">_xlfn.IFS(Table4_2[[#This Row],[Growth Days]]&lt;=14,"Seedling",Table4_2[[#This Row],[Growth Days]]&lt;=35, "Vegetative",Table4_2[[#This Row],[Growth Days]]&lt;=50, "Maturity")</f>
        <v>Vegetative</v>
      </c>
      <c r="L919" t="str">
        <f>IF(Table4_2[[#This Row],[TDS Value (ppm)]]&lt;560, "Low", IF(Table4_2[[#This Row],[TDS Value (ppm)]]&lt;=800,"Optimal","High"))</f>
        <v>Low</v>
      </c>
    </row>
    <row r="920" spans="1:12" x14ac:dyDescent="0.25">
      <c r="A920">
        <v>12</v>
      </c>
      <c r="B920" s="1">
        <v>45175</v>
      </c>
      <c r="C920" s="1" t="str">
        <f>TEXT(Table4_2[[#This Row],[Date]],"dddd")</f>
        <v>Wednesday</v>
      </c>
      <c r="D920" s="21">
        <v>32.1</v>
      </c>
      <c r="E920" s="21">
        <v>55</v>
      </c>
      <c r="F920" s="21">
        <v>537</v>
      </c>
      <c r="G920" s="21">
        <v>6</v>
      </c>
      <c r="H920">
        <v>35</v>
      </c>
      <c r="I920">
        <v>89.78</v>
      </c>
      <c r="J920">
        <v>0.55000000000000004</v>
      </c>
      <c r="K920" t="str" cm="1">
        <f t="array" ref="K920">_xlfn.IFS(Table4_2[[#This Row],[Growth Days]]&lt;=14,"Seedling",Table4_2[[#This Row],[Growth Days]]&lt;=35, "Vegetative",Table4_2[[#This Row],[Growth Days]]&lt;=50, "Maturity")</f>
        <v>Vegetative</v>
      </c>
      <c r="L920" t="str">
        <f>IF(Table4_2[[#This Row],[TDS Value (ppm)]]&lt;560, "Low", IF(Table4_2[[#This Row],[TDS Value (ppm)]]&lt;=800,"Optimal","High"))</f>
        <v>Low</v>
      </c>
    </row>
    <row r="921" spans="1:12" x14ac:dyDescent="0.25">
      <c r="A921">
        <v>12</v>
      </c>
      <c r="B921" s="1">
        <v>45182</v>
      </c>
      <c r="C921" s="1" t="str">
        <f>TEXT(Table4_2[[#This Row],[Date]],"dddd")</f>
        <v>Wednesday</v>
      </c>
      <c r="D921" s="21">
        <v>30.4</v>
      </c>
      <c r="E921" s="21">
        <v>56</v>
      </c>
      <c r="F921" s="21">
        <v>507</v>
      </c>
      <c r="G921" s="21">
        <v>6.4</v>
      </c>
      <c r="H921">
        <v>42</v>
      </c>
      <c r="I921">
        <v>86.72</v>
      </c>
      <c r="J921">
        <v>0.56000000000000005</v>
      </c>
      <c r="K921" t="str" cm="1">
        <f t="array" ref="K921">_xlfn.IFS(Table4_2[[#This Row],[Growth Days]]&lt;=14,"Seedling",Table4_2[[#This Row],[Growth Days]]&lt;=35, "Vegetative",Table4_2[[#This Row],[Growth Days]]&lt;=50, "Maturity")</f>
        <v>Maturity</v>
      </c>
      <c r="L921" t="str">
        <f>IF(Table4_2[[#This Row],[TDS Value (ppm)]]&lt;560, "Low", IF(Table4_2[[#This Row],[TDS Value (ppm)]]&lt;=800,"Optimal","High"))</f>
        <v>Low</v>
      </c>
    </row>
    <row r="922" spans="1:12" x14ac:dyDescent="0.25">
      <c r="A922">
        <v>13</v>
      </c>
      <c r="B922" s="1">
        <v>45147</v>
      </c>
      <c r="C922" s="1" t="str">
        <f>TEXT(Table4_2[[#This Row],[Date]],"dddd")</f>
        <v>Wednesday</v>
      </c>
      <c r="D922" s="21">
        <v>32.299999999999997</v>
      </c>
      <c r="E922" s="21">
        <v>72</v>
      </c>
      <c r="F922" s="21">
        <v>459</v>
      </c>
      <c r="G922" s="21">
        <v>6.1</v>
      </c>
      <c r="H922">
        <v>7</v>
      </c>
      <c r="I922">
        <v>90.14</v>
      </c>
      <c r="J922">
        <v>0.72</v>
      </c>
      <c r="K922" t="str" cm="1">
        <f t="array" ref="K922">_xlfn.IFS(Table4_2[[#This Row],[Growth Days]]&lt;=14,"Seedling",Table4_2[[#This Row],[Growth Days]]&lt;=35, "Vegetative",Table4_2[[#This Row],[Growth Days]]&lt;=50, "Maturity")</f>
        <v>Seedling</v>
      </c>
      <c r="L922" t="str">
        <f>IF(Table4_2[[#This Row],[TDS Value (ppm)]]&lt;560, "Low", IF(Table4_2[[#This Row],[TDS Value (ppm)]]&lt;=800,"Optimal","High"))</f>
        <v>Low</v>
      </c>
    </row>
    <row r="923" spans="1:12" x14ac:dyDescent="0.25">
      <c r="A923">
        <v>13</v>
      </c>
      <c r="B923" s="1">
        <v>45154</v>
      </c>
      <c r="C923" s="1" t="str">
        <f>TEXT(Table4_2[[#This Row],[Date]],"dddd")</f>
        <v>Wednesday</v>
      </c>
      <c r="D923" s="21">
        <v>29.8</v>
      </c>
      <c r="E923" s="21">
        <v>75</v>
      </c>
      <c r="F923" s="21">
        <v>739</v>
      </c>
      <c r="G923" s="21">
        <v>6.7</v>
      </c>
      <c r="H923">
        <v>14</v>
      </c>
      <c r="I923">
        <v>85.64</v>
      </c>
      <c r="J923">
        <v>0.75</v>
      </c>
      <c r="K923" t="str" cm="1">
        <f t="array" ref="K923">_xlfn.IFS(Table4_2[[#This Row],[Growth Days]]&lt;=14,"Seedling",Table4_2[[#This Row],[Growth Days]]&lt;=35, "Vegetative",Table4_2[[#This Row],[Growth Days]]&lt;=50, "Maturity")</f>
        <v>Seedling</v>
      </c>
      <c r="L923" t="str">
        <f>IF(Table4_2[[#This Row],[TDS Value (ppm)]]&lt;560, "Low", IF(Table4_2[[#This Row],[TDS Value (ppm)]]&lt;=800,"Optimal","High"))</f>
        <v>Optimal</v>
      </c>
    </row>
    <row r="924" spans="1:12" x14ac:dyDescent="0.25">
      <c r="A924">
        <v>13</v>
      </c>
      <c r="B924" s="1">
        <v>45161</v>
      </c>
      <c r="C924" s="1" t="str">
        <f>TEXT(Table4_2[[#This Row],[Date]],"dddd")</f>
        <v>Wednesday</v>
      </c>
      <c r="D924" s="21">
        <v>30.8</v>
      </c>
      <c r="E924" s="21">
        <v>68</v>
      </c>
      <c r="F924" s="21">
        <v>667</v>
      </c>
      <c r="G924" s="21">
        <v>6.5</v>
      </c>
      <c r="H924">
        <v>21</v>
      </c>
      <c r="I924">
        <v>87.44</v>
      </c>
      <c r="J924">
        <v>0.68</v>
      </c>
      <c r="K924" t="str" cm="1">
        <f t="array" ref="K924">_xlfn.IFS(Table4_2[[#This Row],[Growth Days]]&lt;=14,"Seedling",Table4_2[[#This Row],[Growth Days]]&lt;=35, "Vegetative",Table4_2[[#This Row],[Growth Days]]&lt;=50, "Maturity")</f>
        <v>Vegetative</v>
      </c>
      <c r="L924" t="str">
        <f>IF(Table4_2[[#This Row],[TDS Value (ppm)]]&lt;560, "Low", IF(Table4_2[[#This Row],[TDS Value (ppm)]]&lt;=800,"Optimal","High"))</f>
        <v>Optimal</v>
      </c>
    </row>
    <row r="925" spans="1:12" x14ac:dyDescent="0.25">
      <c r="A925">
        <v>13</v>
      </c>
      <c r="B925" s="1">
        <v>45168</v>
      </c>
      <c r="C925" s="1" t="str">
        <f>TEXT(Table4_2[[#This Row],[Date]],"dddd")</f>
        <v>Wednesday</v>
      </c>
      <c r="D925" s="21">
        <v>29.1</v>
      </c>
      <c r="E925" s="21">
        <v>75</v>
      </c>
      <c r="F925" s="21">
        <v>719</v>
      </c>
      <c r="G925" s="21">
        <v>6.4</v>
      </c>
      <c r="H925">
        <v>28</v>
      </c>
      <c r="I925">
        <v>84.38</v>
      </c>
      <c r="J925">
        <v>0.75</v>
      </c>
      <c r="K925" t="str" cm="1">
        <f t="array" ref="K925">_xlfn.IFS(Table4_2[[#This Row],[Growth Days]]&lt;=14,"Seedling",Table4_2[[#This Row],[Growth Days]]&lt;=35, "Vegetative",Table4_2[[#This Row],[Growth Days]]&lt;=50, "Maturity")</f>
        <v>Vegetative</v>
      </c>
      <c r="L925" t="str">
        <f>IF(Table4_2[[#This Row],[TDS Value (ppm)]]&lt;560, "Low", IF(Table4_2[[#This Row],[TDS Value (ppm)]]&lt;=800,"Optimal","High"))</f>
        <v>Optimal</v>
      </c>
    </row>
    <row r="926" spans="1:12" x14ac:dyDescent="0.25">
      <c r="A926">
        <v>13</v>
      </c>
      <c r="B926" s="1">
        <v>45175</v>
      </c>
      <c r="C926" s="1" t="str">
        <f>TEXT(Table4_2[[#This Row],[Date]],"dddd")</f>
        <v>Wednesday</v>
      </c>
      <c r="D926" s="21">
        <v>32.1</v>
      </c>
      <c r="E926" s="21">
        <v>64</v>
      </c>
      <c r="F926" s="21">
        <v>416</v>
      </c>
      <c r="G926" s="21">
        <v>6.6</v>
      </c>
      <c r="H926">
        <v>35</v>
      </c>
      <c r="I926">
        <v>89.78</v>
      </c>
      <c r="J926">
        <v>0.64</v>
      </c>
      <c r="K926" t="str" cm="1">
        <f t="array" ref="K926">_xlfn.IFS(Table4_2[[#This Row],[Growth Days]]&lt;=14,"Seedling",Table4_2[[#This Row],[Growth Days]]&lt;=35, "Vegetative",Table4_2[[#This Row],[Growth Days]]&lt;=50, "Maturity")</f>
        <v>Vegetative</v>
      </c>
      <c r="L926" t="str">
        <f>IF(Table4_2[[#This Row],[TDS Value (ppm)]]&lt;560, "Low", IF(Table4_2[[#This Row],[TDS Value (ppm)]]&lt;=800,"Optimal","High"))</f>
        <v>Low</v>
      </c>
    </row>
    <row r="927" spans="1:12" x14ac:dyDescent="0.25">
      <c r="A927">
        <v>13</v>
      </c>
      <c r="B927" s="1">
        <v>45182</v>
      </c>
      <c r="C927" s="1" t="str">
        <f>TEXT(Table4_2[[#This Row],[Date]],"dddd")</f>
        <v>Wednesday</v>
      </c>
      <c r="D927" s="21">
        <v>30.4</v>
      </c>
      <c r="E927" s="21">
        <v>65</v>
      </c>
      <c r="F927" s="21">
        <v>415</v>
      </c>
      <c r="G927" s="21">
        <v>6.1</v>
      </c>
      <c r="H927">
        <v>42</v>
      </c>
      <c r="I927">
        <v>86.72</v>
      </c>
      <c r="J927">
        <v>0.65</v>
      </c>
      <c r="K927" t="str" cm="1">
        <f t="array" ref="K927">_xlfn.IFS(Table4_2[[#This Row],[Growth Days]]&lt;=14,"Seedling",Table4_2[[#This Row],[Growth Days]]&lt;=35, "Vegetative",Table4_2[[#This Row],[Growth Days]]&lt;=50, "Maturity")</f>
        <v>Maturity</v>
      </c>
      <c r="L927" t="str">
        <f>IF(Table4_2[[#This Row],[TDS Value (ppm)]]&lt;560, "Low", IF(Table4_2[[#This Row],[TDS Value (ppm)]]&lt;=800,"Optimal","High"))</f>
        <v>Low</v>
      </c>
    </row>
    <row r="928" spans="1:12" x14ac:dyDescent="0.25">
      <c r="A928">
        <v>14</v>
      </c>
      <c r="B928" s="1">
        <v>45147</v>
      </c>
      <c r="C928" s="1" t="str">
        <f>TEXT(Table4_2[[#This Row],[Date]],"dddd")</f>
        <v>Wednesday</v>
      </c>
      <c r="D928" s="21">
        <v>32.299999999999997</v>
      </c>
      <c r="E928" s="21">
        <v>61</v>
      </c>
      <c r="F928" s="21">
        <v>522</v>
      </c>
      <c r="G928" s="21">
        <v>6.3</v>
      </c>
      <c r="H928">
        <v>7</v>
      </c>
      <c r="I928">
        <v>90.14</v>
      </c>
      <c r="J928">
        <v>0.61</v>
      </c>
      <c r="K928" t="str" cm="1">
        <f t="array" ref="K928">_xlfn.IFS(Table4_2[[#This Row],[Growth Days]]&lt;=14,"Seedling",Table4_2[[#This Row],[Growth Days]]&lt;=35, "Vegetative",Table4_2[[#This Row],[Growth Days]]&lt;=50, "Maturity")</f>
        <v>Seedling</v>
      </c>
      <c r="L928" t="str">
        <f>IF(Table4_2[[#This Row],[TDS Value (ppm)]]&lt;560, "Low", IF(Table4_2[[#This Row],[TDS Value (ppm)]]&lt;=800,"Optimal","High"))</f>
        <v>Low</v>
      </c>
    </row>
    <row r="929" spans="1:12" x14ac:dyDescent="0.25">
      <c r="A929">
        <v>14</v>
      </c>
      <c r="B929" s="1">
        <v>45154</v>
      </c>
      <c r="C929" s="1" t="str">
        <f>TEXT(Table4_2[[#This Row],[Date]],"dddd")</f>
        <v>Wednesday</v>
      </c>
      <c r="D929" s="21">
        <v>29.8</v>
      </c>
      <c r="E929" s="21">
        <v>52</v>
      </c>
      <c r="F929" s="21">
        <v>798</v>
      </c>
      <c r="G929" s="21">
        <v>6.6</v>
      </c>
      <c r="H929">
        <v>14</v>
      </c>
      <c r="I929">
        <v>85.64</v>
      </c>
      <c r="J929">
        <v>0.52</v>
      </c>
      <c r="K929" t="str" cm="1">
        <f t="array" ref="K929">_xlfn.IFS(Table4_2[[#This Row],[Growth Days]]&lt;=14,"Seedling",Table4_2[[#This Row],[Growth Days]]&lt;=35, "Vegetative",Table4_2[[#This Row],[Growth Days]]&lt;=50, "Maturity")</f>
        <v>Seedling</v>
      </c>
      <c r="L929" t="str">
        <f>IF(Table4_2[[#This Row],[TDS Value (ppm)]]&lt;560, "Low", IF(Table4_2[[#This Row],[TDS Value (ppm)]]&lt;=800,"Optimal","High"))</f>
        <v>Optimal</v>
      </c>
    </row>
    <row r="930" spans="1:12" x14ac:dyDescent="0.25">
      <c r="A930">
        <v>14</v>
      </c>
      <c r="B930" s="1">
        <v>45161</v>
      </c>
      <c r="C930" s="1" t="str">
        <f>TEXT(Table4_2[[#This Row],[Date]],"dddd")</f>
        <v>Wednesday</v>
      </c>
      <c r="D930" s="21">
        <v>30.8</v>
      </c>
      <c r="E930" s="21">
        <v>55</v>
      </c>
      <c r="F930" s="21">
        <v>466</v>
      </c>
      <c r="G930" s="21">
        <v>6</v>
      </c>
      <c r="H930">
        <v>21</v>
      </c>
      <c r="I930">
        <v>87.44</v>
      </c>
      <c r="J930">
        <v>0.55000000000000004</v>
      </c>
      <c r="K930" t="str" cm="1">
        <f t="array" ref="K930">_xlfn.IFS(Table4_2[[#This Row],[Growth Days]]&lt;=14,"Seedling",Table4_2[[#This Row],[Growth Days]]&lt;=35, "Vegetative",Table4_2[[#This Row],[Growth Days]]&lt;=50, "Maturity")</f>
        <v>Vegetative</v>
      </c>
      <c r="L930" t="str">
        <f>IF(Table4_2[[#This Row],[TDS Value (ppm)]]&lt;560, "Low", IF(Table4_2[[#This Row],[TDS Value (ppm)]]&lt;=800,"Optimal","High"))</f>
        <v>Low</v>
      </c>
    </row>
    <row r="931" spans="1:12" x14ac:dyDescent="0.25">
      <c r="A931">
        <v>14</v>
      </c>
      <c r="B931" s="1">
        <v>45168</v>
      </c>
      <c r="C931" s="1" t="str">
        <f>TEXT(Table4_2[[#This Row],[Date]],"dddd")</f>
        <v>Wednesday</v>
      </c>
      <c r="D931" s="21">
        <v>29.1</v>
      </c>
      <c r="E931" s="21">
        <v>77</v>
      </c>
      <c r="F931" s="21">
        <v>413</v>
      </c>
      <c r="G931" s="21">
        <v>6.4</v>
      </c>
      <c r="H931">
        <v>28</v>
      </c>
      <c r="I931">
        <v>84.38</v>
      </c>
      <c r="J931">
        <v>0.77</v>
      </c>
      <c r="K931" t="str" cm="1">
        <f t="array" ref="K931">_xlfn.IFS(Table4_2[[#This Row],[Growth Days]]&lt;=14,"Seedling",Table4_2[[#This Row],[Growth Days]]&lt;=35, "Vegetative",Table4_2[[#This Row],[Growth Days]]&lt;=50, "Maturity")</f>
        <v>Vegetative</v>
      </c>
      <c r="L931" t="str">
        <f>IF(Table4_2[[#This Row],[TDS Value (ppm)]]&lt;560, "Low", IF(Table4_2[[#This Row],[TDS Value (ppm)]]&lt;=800,"Optimal","High"))</f>
        <v>Low</v>
      </c>
    </row>
    <row r="932" spans="1:12" x14ac:dyDescent="0.25">
      <c r="A932">
        <v>14</v>
      </c>
      <c r="B932" s="1">
        <v>45175</v>
      </c>
      <c r="C932" s="1" t="str">
        <f>TEXT(Table4_2[[#This Row],[Date]],"dddd")</f>
        <v>Wednesday</v>
      </c>
      <c r="D932" s="21">
        <v>32.1</v>
      </c>
      <c r="E932" s="21">
        <v>66</v>
      </c>
      <c r="F932" s="21">
        <v>434</v>
      </c>
      <c r="G932" s="21">
        <v>6.3</v>
      </c>
      <c r="H932">
        <v>35</v>
      </c>
      <c r="I932">
        <v>89.78</v>
      </c>
      <c r="J932">
        <v>0.66</v>
      </c>
      <c r="K932" t="str" cm="1">
        <f t="array" ref="K932">_xlfn.IFS(Table4_2[[#This Row],[Growth Days]]&lt;=14,"Seedling",Table4_2[[#This Row],[Growth Days]]&lt;=35, "Vegetative",Table4_2[[#This Row],[Growth Days]]&lt;=50, "Maturity")</f>
        <v>Vegetative</v>
      </c>
      <c r="L932" t="str">
        <f>IF(Table4_2[[#This Row],[TDS Value (ppm)]]&lt;560, "Low", IF(Table4_2[[#This Row],[TDS Value (ppm)]]&lt;=800,"Optimal","High"))</f>
        <v>Low</v>
      </c>
    </row>
    <row r="933" spans="1:12" x14ac:dyDescent="0.25">
      <c r="A933">
        <v>14</v>
      </c>
      <c r="B933" s="1">
        <v>45182</v>
      </c>
      <c r="C933" s="1" t="str">
        <f>TEXT(Table4_2[[#This Row],[Date]],"dddd")</f>
        <v>Wednesday</v>
      </c>
      <c r="D933" s="21">
        <v>30.4</v>
      </c>
      <c r="E933" s="21">
        <v>76</v>
      </c>
      <c r="F933" s="21">
        <v>449</v>
      </c>
      <c r="G933" s="21">
        <v>6.3</v>
      </c>
      <c r="H933">
        <v>42</v>
      </c>
      <c r="I933">
        <v>86.72</v>
      </c>
      <c r="J933">
        <v>0.76</v>
      </c>
      <c r="K933" t="str" cm="1">
        <f t="array" ref="K933">_xlfn.IFS(Table4_2[[#This Row],[Growth Days]]&lt;=14,"Seedling",Table4_2[[#This Row],[Growth Days]]&lt;=35, "Vegetative",Table4_2[[#This Row],[Growth Days]]&lt;=50, "Maturity")</f>
        <v>Maturity</v>
      </c>
      <c r="L933" t="str">
        <f>IF(Table4_2[[#This Row],[TDS Value (ppm)]]&lt;560, "Low", IF(Table4_2[[#This Row],[TDS Value (ppm)]]&lt;=800,"Optimal","High"))</f>
        <v>Low</v>
      </c>
    </row>
    <row r="934" spans="1:12" x14ac:dyDescent="0.25">
      <c r="A934">
        <v>15</v>
      </c>
      <c r="B934" s="1">
        <v>45147</v>
      </c>
      <c r="C934" s="1" t="str">
        <f>TEXT(Table4_2[[#This Row],[Date]],"dddd")</f>
        <v>Wednesday</v>
      </c>
      <c r="D934" s="21">
        <v>32.299999999999997</v>
      </c>
      <c r="E934" s="21">
        <v>71</v>
      </c>
      <c r="F934" s="21">
        <v>741</v>
      </c>
      <c r="G934" s="21">
        <v>6.2</v>
      </c>
      <c r="H934">
        <v>7</v>
      </c>
      <c r="I934">
        <v>90.14</v>
      </c>
      <c r="J934">
        <v>0.71</v>
      </c>
      <c r="K934" t="str" cm="1">
        <f t="array" ref="K934">_xlfn.IFS(Table4_2[[#This Row],[Growth Days]]&lt;=14,"Seedling",Table4_2[[#This Row],[Growth Days]]&lt;=35, "Vegetative",Table4_2[[#This Row],[Growth Days]]&lt;=50, "Maturity")</f>
        <v>Seedling</v>
      </c>
      <c r="L934" t="str">
        <f>IF(Table4_2[[#This Row],[TDS Value (ppm)]]&lt;560, "Low", IF(Table4_2[[#This Row],[TDS Value (ppm)]]&lt;=800,"Optimal","High"))</f>
        <v>Optimal</v>
      </c>
    </row>
    <row r="935" spans="1:12" x14ac:dyDescent="0.25">
      <c r="A935">
        <v>15</v>
      </c>
      <c r="B935" s="1">
        <v>45154</v>
      </c>
      <c r="C935" s="1" t="str">
        <f>TEXT(Table4_2[[#This Row],[Date]],"dddd")</f>
        <v>Wednesday</v>
      </c>
      <c r="D935" s="21">
        <v>29.8</v>
      </c>
      <c r="E935" s="21">
        <v>58</v>
      </c>
      <c r="F935" s="21">
        <v>409</v>
      </c>
      <c r="G935" s="21">
        <v>6.3</v>
      </c>
      <c r="H935">
        <v>14</v>
      </c>
      <c r="I935">
        <v>85.64</v>
      </c>
      <c r="J935">
        <v>0.57999999999999996</v>
      </c>
      <c r="K935" t="str" cm="1">
        <f t="array" ref="K935">_xlfn.IFS(Table4_2[[#This Row],[Growth Days]]&lt;=14,"Seedling",Table4_2[[#This Row],[Growth Days]]&lt;=35, "Vegetative",Table4_2[[#This Row],[Growth Days]]&lt;=50, "Maturity")</f>
        <v>Seedling</v>
      </c>
      <c r="L935" t="str">
        <f>IF(Table4_2[[#This Row],[TDS Value (ppm)]]&lt;560, "Low", IF(Table4_2[[#This Row],[TDS Value (ppm)]]&lt;=800,"Optimal","High"))</f>
        <v>Low</v>
      </c>
    </row>
    <row r="936" spans="1:12" x14ac:dyDescent="0.25">
      <c r="A936">
        <v>15</v>
      </c>
      <c r="B936" s="1">
        <v>45161</v>
      </c>
      <c r="C936" s="1" t="str">
        <f>TEXT(Table4_2[[#This Row],[Date]],"dddd")</f>
        <v>Wednesday</v>
      </c>
      <c r="D936" s="21">
        <v>30.8</v>
      </c>
      <c r="E936" s="21">
        <v>74</v>
      </c>
      <c r="F936" s="21">
        <v>609</v>
      </c>
      <c r="G936" s="21">
        <v>6.4</v>
      </c>
      <c r="H936">
        <v>21</v>
      </c>
      <c r="I936">
        <v>87.44</v>
      </c>
      <c r="J936">
        <v>0.74</v>
      </c>
      <c r="K936" t="str" cm="1">
        <f t="array" ref="K936">_xlfn.IFS(Table4_2[[#This Row],[Growth Days]]&lt;=14,"Seedling",Table4_2[[#This Row],[Growth Days]]&lt;=35, "Vegetative",Table4_2[[#This Row],[Growth Days]]&lt;=50, "Maturity")</f>
        <v>Vegetative</v>
      </c>
      <c r="L936" t="str">
        <f>IF(Table4_2[[#This Row],[TDS Value (ppm)]]&lt;560, "Low", IF(Table4_2[[#This Row],[TDS Value (ppm)]]&lt;=800,"Optimal","High"))</f>
        <v>Optimal</v>
      </c>
    </row>
    <row r="937" spans="1:12" x14ac:dyDescent="0.25">
      <c r="A937">
        <v>15</v>
      </c>
      <c r="B937" s="1">
        <v>45168</v>
      </c>
      <c r="C937" s="1" t="str">
        <f>TEXT(Table4_2[[#This Row],[Date]],"dddd")</f>
        <v>Wednesday</v>
      </c>
      <c r="D937" s="21">
        <v>29.1</v>
      </c>
      <c r="E937" s="21">
        <v>75</v>
      </c>
      <c r="F937" s="21">
        <v>543</v>
      </c>
      <c r="G937" s="21">
        <v>6.1</v>
      </c>
      <c r="H937">
        <v>28</v>
      </c>
      <c r="I937">
        <v>84.38</v>
      </c>
      <c r="J937">
        <v>0.75</v>
      </c>
      <c r="K937" t="str" cm="1">
        <f t="array" ref="K937">_xlfn.IFS(Table4_2[[#This Row],[Growth Days]]&lt;=14,"Seedling",Table4_2[[#This Row],[Growth Days]]&lt;=35, "Vegetative",Table4_2[[#This Row],[Growth Days]]&lt;=50, "Maturity")</f>
        <v>Vegetative</v>
      </c>
      <c r="L937" t="str">
        <f>IF(Table4_2[[#This Row],[TDS Value (ppm)]]&lt;560, "Low", IF(Table4_2[[#This Row],[TDS Value (ppm)]]&lt;=800,"Optimal","High"))</f>
        <v>Low</v>
      </c>
    </row>
    <row r="938" spans="1:12" x14ac:dyDescent="0.25">
      <c r="A938">
        <v>15</v>
      </c>
      <c r="B938" s="1">
        <v>45175</v>
      </c>
      <c r="C938" s="1" t="str">
        <f>TEXT(Table4_2[[#This Row],[Date]],"dddd")</f>
        <v>Wednesday</v>
      </c>
      <c r="D938" s="21">
        <v>32.1</v>
      </c>
      <c r="E938" s="21">
        <v>75</v>
      </c>
      <c r="F938" s="21">
        <v>427</v>
      </c>
      <c r="G938" s="21">
        <v>6.3</v>
      </c>
      <c r="H938">
        <v>35</v>
      </c>
      <c r="I938">
        <v>89.78</v>
      </c>
      <c r="J938">
        <v>0.75</v>
      </c>
      <c r="K938" t="str" cm="1">
        <f t="array" ref="K938">_xlfn.IFS(Table4_2[[#This Row],[Growth Days]]&lt;=14,"Seedling",Table4_2[[#This Row],[Growth Days]]&lt;=35, "Vegetative",Table4_2[[#This Row],[Growth Days]]&lt;=50, "Maturity")</f>
        <v>Vegetative</v>
      </c>
      <c r="L938" t="str">
        <f>IF(Table4_2[[#This Row],[TDS Value (ppm)]]&lt;560, "Low", IF(Table4_2[[#This Row],[TDS Value (ppm)]]&lt;=800,"Optimal","High"))</f>
        <v>Low</v>
      </c>
    </row>
    <row r="939" spans="1:12" x14ac:dyDescent="0.25">
      <c r="A939">
        <v>15</v>
      </c>
      <c r="B939" s="1">
        <v>45182</v>
      </c>
      <c r="C939" s="1" t="str">
        <f>TEXT(Table4_2[[#This Row],[Date]],"dddd")</f>
        <v>Wednesday</v>
      </c>
      <c r="D939" s="21">
        <v>30.4</v>
      </c>
      <c r="E939" s="21">
        <v>75</v>
      </c>
      <c r="F939" s="21">
        <v>561</v>
      </c>
      <c r="G939" s="21">
        <v>6.1</v>
      </c>
      <c r="H939">
        <v>42</v>
      </c>
      <c r="I939">
        <v>86.72</v>
      </c>
      <c r="J939">
        <v>0.75</v>
      </c>
      <c r="K939" t="str" cm="1">
        <f t="array" ref="K939">_xlfn.IFS(Table4_2[[#This Row],[Growth Days]]&lt;=14,"Seedling",Table4_2[[#This Row],[Growth Days]]&lt;=35, "Vegetative",Table4_2[[#This Row],[Growth Days]]&lt;=50, "Maturity")</f>
        <v>Maturity</v>
      </c>
      <c r="L939" t="str">
        <f>IF(Table4_2[[#This Row],[TDS Value (ppm)]]&lt;560, "Low", IF(Table4_2[[#This Row],[TDS Value (ppm)]]&lt;=800,"Optimal","High"))</f>
        <v>Optimal</v>
      </c>
    </row>
    <row r="940" spans="1:12" x14ac:dyDescent="0.25">
      <c r="A940">
        <v>16</v>
      </c>
      <c r="B940" s="1">
        <v>45147</v>
      </c>
      <c r="C940" s="1" t="str">
        <f>TEXT(Table4_2[[#This Row],[Date]],"dddd")</f>
        <v>Wednesday</v>
      </c>
      <c r="D940" s="21">
        <v>32.299999999999997</v>
      </c>
      <c r="E940" s="21">
        <v>58</v>
      </c>
      <c r="F940" s="21">
        <v>779</v>
      </c>
      <c r="G940" s="21">
        <v>6.3</v>
      </c>
      <c r="H940">
        <v>7</v>
      </c>
      <c r="I940">
        <v>90.14</v>
      </c>
      <c r="J940">
        <v>0.57999999999999996</v>
      </c>
      <c r="K940" t="str" cm="1">
        <f t="array" ref="K940">_xlfn.IFS(Table4_2[[#This Row],[Growth Days]]&lt;=14,"Seedling",Table4_2[[#This Row],[Growth Days]]&lt;=35, "Vegetative",Table4_2[[#This Row],[Growth Days]]&lt;=50, "Maturity")</f>
        <v>Seedling</v>
      </c>
      <c r="L940" t="str">
        <f>IF(Table4_2[[#This Row],[TDS Value (ppm)]]&lt;560, "Low", IF(Table4_2[[#This Row],[TDS Value (ppm)]]&lt;=800,"Optimal","High"))</f>
        <v>Optimal</v>
      </c>
    </row>
    <row r="941" spans="1:12" x14ac:dyDescent="0.25">
      <c r="A941">
        <v>16</v>
      </c>
      <c r="B941" s="1">
        <v>45154</v>
      </c>
      <c r="C941" s="1" t="str">
        <f>TEXT(Table4_2[[#This Row],[Date]],"dddd")</f>
        <v>Wednesday</v>
      </c>
      <c r="D941" s="21">
        <v>29.8</v>
      </c>
      <c r="E941" s="21">
        <v>71</v>
      </c>
      <c r="F941" s="21">
        <v>654</v>
      </c>
      <c r="G941" s="21">
        <v>6.2</v>
      </c>
      <c r="H941">
        <v>14</v>
      </c>
      <c r="I941">
        <v>85.64</v>
      </c>
      <c r="J941">
        <v>0.71</v>
      </c>
      <c r="K941" t="str" cm="1">
        <f t="array" ref="K941">_xlfn.IFS(Table4_2[[#This Row],[Growth Days]]&lt;=14,"Seedling",Table4_2[[#This Row],[Growth Days]]&lt;=35, "Vegetative",Table4_2[[#This Row],[Growth Days]]&lt;=50, "Maturity")</f>
        <v>Seedling</v>
      </c>
      <c r="L941" t="str">
        <f>IF(Table4_2[[#This Row],[TDS Value (ppm)]]&lt;560, "Low", IF(Table4_2[[#This Row],[TDS Value (ppm)]]&lt;=800,"Optimal","High"))</f>
        <v>Optimal</v>
      </c>
    </row>
    <row r="942" spans="1:12" x14ac:dyDescent="0.25">
      <c r="A942">
        <v>16</v>
      </c>
      <c r="B942" s="1">
        <v>45161</v>
      </c>
      <c r="C942" s="1" t="str">
        <f>TEXT(Table4_2[[#This Row],[Date]],"dddd")</f>
        <v>Wednesday</v>
      </c>
      <c r="D942" s="21">
        <v>30.8</v>
      </c>
      <c r="E942" s="21">
        <v>79</v>
      </c>
      <c r="F942" s="21">
        <v>513</v>
      </c>
      <c r="G942" s="21">
        <v>6.8</v>
      </c>
      <c r="H942">
        <v>21</v>
      </c>
      <c r="I942">
        <v>87.44</v>
      </c>
      <c r="J942">
        <v>0.79</v>
      </c>
      <c r="K942" t="str" cm="1">
        <f t="array" ref="K942">_xlfn.IFS(Table4_2[[#This Row],[Growth Days]]&lt;=14,"Seedling",Table4_2[[#This Row],[Growth Days]]&lt;=35, "Vegetative",Table4_2[[#This Row],[Growth Days]]&lt;=50, "Maturity")</f>
        <v>Vegetative</v>
      </c>
      <c r="L942" t="str">
        <f>IF(Table4_2[[#This Row],[TDS Value (ppm)]]&lt;560, "Low", IF(Table4_2[[#This Row],[TDS Value (ppm)]]&lt;=800,"Optimal","High"))</f>
        <v>Low</v>
      </c>
    </row>
    <row r="943" spans="1:12" x14ac:dyDescent="0.25">
      <c r="A943">
        <v>16</v>
      </c>
      <c r="B943" s="1">
        <v>45168</v>
      </c>
      <c r="C943" s="1" t="str">
        <f>TEXT(Table4_2[[#This Row],[Date]],"dddd")</f>
        <v>Wednesday</v>
      </c>
      <c r="D943" s="21">
        <v>29.1</v>
      </c>
      <c r="E943" s="21">
        <v>70</v>
      </c>
      <c r="F943" s="21">
        <v>755</v>
      </c>
      <c r="G943" s="21">
        <v>6.5</v>
      </c>
      <c r="H943">
        <v>28</v>
      </c>
      <c r="I943">
        <v>84.38</v>
      </c>
      <c r="J943">
        <v>0.7</v>
      </c>
      <c r="K943" t="str" cm="1">
        <f t="array" ref="K943">_xlfn.IFS(Table4_2[[#This Row],[Growth Days]]&lt;=14,"Seedling",Table4_2[[#This Row],[Growth Days]]&lt;=35, "Vegetative",Table4_2[[#This Row],[Growth Days]]&lt;=50, "Maturity")</f>
        <v>Vegetative</v>
      </c>
      <c r="L943" t="str">
        <f>IF(Table4_2[[#This Row],[TDS Value (ppm)]]&lt;560, "Low", IF(Table4_2[[#This Row],[TDS Value (ppm)]]&lt;=800,"Optimal","High"))</f>
        <v>Optimal</v>
      </c>
    </row>
    <row r="944" spans="1:12" x14ac:dyDescent="0.25">
      <c r="A944">
        <v>16</v>
      </c>
      <c r="B944" s="1">
        <v>45175</v>
      </c>
      <c r="C944" s="1" t="str">
        <f>TEXT(Table4_2[[#This Row],[Date]],"dddd")</f>
        <v>Wednesday</v>
      </c>
      <c r="D944" s="21">
        <v>32.1</v>
      </c>
      <c r="E944" s="21">
        <v>65</v>
      </c>
      <c r="F944" s="21">
        <v>627</v>
      </c>
      <c r="G944" s="21">
        <v>6.2</v>
      </c>
      <c r="H944">
        <v>35</v>
      </c>
      <c r="I944">
        <v>89.78</v>
      </c>
      <c r="J944">
        <v>0.65</v>
      </c>
      <c r="K944" t="str" cm="1">
        <f t="array" ref="K944">_xlfn.IFS(Table4_2[[#This Row],[Growth Days]]&lt;=14,"Seedling",Table4_2[[#This Row],[Growth Days]]&lt;=35, "Vegetative",Table4_2[[#This Row],[Growth Days]]&lt;=50, "Maturity")</f>
        <v>Vegetative</v>
      </c>
      <c r="L944" t="str">
        <f>IF(Table4_2[[#This Row],[TDS Value (ppm)]]&lt;560, "Low", IF(Table4_2[[#This Row],[TDS Value (ppm)]]&lt;=800,"Optimal","High"))</f>
        <v>Optimal</v>
      </c>
    </row>
    <row r="945" spans="1:12" x14ac:dyDescent="0.25">
      <c r="A945">
        <v>16</v>
      </c>
      <c r="B945" s="1">
        <v>45182</v>
      </c>
      <c r="C945" s="1" t="str">
        <f>TEXT(Table4_2[[#This Row],[Date]],"dddd")</f>
        <v>Wednesday</v>
      </c>
      <c r="D945" s="21">
        <v>30.4</v>
      </c>
      <c r="E945" s="21">
        <v>68</v>
      </c>
      <c r="F945" s="21">
        <v>701</v>
      </c>
      <c r="G945" s="21">
        <v>6.7</v>
      </c>
      <c r="H945">
        <v>42</v>
      </c>
      <c r="I945">
        <v>86.72</v>
      </c>
      <c r="J945">
        <v>0.68</v>
      </c>
      <c r="K945" t="str" cm="1">
        <f t="array" ref="K945">_xlfn.IFS(Table4_2[[#This Row],[Growth Days]]&lt;=14,"Seedling",Table4_2[[#This Row],[Growth Days]]&lt;=35, "Vegetative",Table4_2[[#This Row],[Growth Days]]&lt;=50, "Maturity")</f>
        <v>Maturity</v>
      </c>
      <c r="L945" t="str">
        <f>IF(Table4_2[[#This Row],[TDS Value (ppm)]]&lt;560, "Low", IF(Table4_2[[#This Row],[TDS Value (ppm)]]&lt;=800,"Optimal","High"))</f>
        <v>Optimal</v>
      </c>
    </row>
    <row r="946" spans="1:12" x14ac:dyDescent="0.25">
      <c r="A946">
        <v>17</v>
      </c>
      <c r="B946" s="1">
        <v>45147</v>
      </c>
      <c r="C946" s="1" t="str">
        <f>TEXT(Table4_2[[#This Row],[Date]],"dddd")</f>
        <v>Wednesday</v>
      </c>
      <c r="D946" s="21">
        <v>32.299999999999997</v>
      </c>
      <c r="E946" s="21">
        <v>71</v>
      </c>
      <c r="F946" s="21">
        <v>552</v>
      </c>
      <c r="G946" s="21">
        <v>6.5</v>
      </c>
      <c r="H946">
        <v>7</v>
      </c>
      <c r="I946">
        <v>90.14</v>
      </c>
      <c r="J946">
        <v>0.71</v>
      </c>
      <c r="K946" t="str" cm="1">
        <f t="array" ref="K946">_xlfn.IFS(Table4_2[[#This Row],[Growth Days]]&lt;=14,"Seedling",Table4_2[[#This Row],[Growth Days]]&lt;=35, "Vegetative",Table4_2[[#This Row],[Growth Days]]&lt;=50, "Maturity")</f>
        <v>Seedling</v>
      </c>
      <c r="L946" t="str">
        <f>IF(Table4_2[[#This Row],[TDS Value (ppm)]]&lt;560, "Low", IF(Table4_2[[#This Row],[TDS Value (ppm)]]&lt;=800,"Optimal","High"))</f>
        <v>Low</v>
      </c>
    </row>
    <row r="947" spans="1:12" x14ac:dyDescent="0.25">
      <c r="A947">
        <v>17</v>
      </c>
      <c r="B947" s="1">
        <v>45154</v>
      </c>
      <c r="C947" s="1" t="str">
        <f>TEXT(Table4_2[[#This Row],[Date]],"dddd")</f>
        <v>Wednesday</v>
      </c>
      <c r="D947" s="21">
        <v>29.8</v>
      </c>
      <c r="E947" s="21">
        <v>58</v>
      </c>
      <c r="F947" s="21">
        <v>543</v>
      </c>
      <c r="G947" s="21">
        <v>6.2</v>
      </c>
      <c r="H947">
        <v>14</v>
      </c>
      <c r="I947">
        <v>85.64</v>
      </c>
      <c r="J947">
        <v>0.57999999999999996</v>
      </c>
      <c r="K947" t="str" cm="1">
        <f t="array" ref="K947">_xlfn.IFS(Table4_2[[#This Row],[Growth Days]]&lt;=14,"Seedling",Table4_2[[#This Row],[Growth Days]]&lt;=35, "Vegetative",Table4_2[[#This Row],[Growth Days]]&lt;=50, "Maturity")</f>
        <v>Seedling</v>
      </c>
      <c r="L947" t="str">
        <f>IF(Table4_2[[#This Row],[TDS Value (ppm)]]&lt;560, "Low", IF(Table4_2[[#This Row],[TDS Value (ppm)]]&lt;=800,"Optimal","High"))</f>
        <v>Low</v>
      </c>
    </row>
    <row r="948" spans="1:12" x14ac:dyDescent="0.25">
      <c r="A948">
        <v>17</v>
      </c>
      <c r="B948" s="1">
        <v>45161</v>
      </c>
      <c r="C948" s="1" t="str">
        <f>TEXT(Table4_2[[#This Row],[Date]],"dddd")</f>
        <v>Wednesday</v>
      </c>
      <c r="D948" s="21">
        <v>30.8</v>
      </c>
      <c r="E948" s="21">
        <v>58</v>
      </c>
      <c r="F948" s="21">
        <v>625</v>
      </c>
      <c r="G948" s="21">
        <v>6.8</v>
      </c>
      <c r="H948">
        <v>21</v>
      </c>
      <c r="I948">
        <v>87.44</v>
      </c>
      <c r="J948">
        <v>0.57999999999999996</v>
      </c>
      <c r="K948" t="str" cm="1">
        <f t="array" ref="K948">_xlfn.IFS(Table4_2[[#This Row],[Growth Days]]&lt;=14,"Seedling",Table4_2[[#This Row],[Growth Days]]&lt;=35, "Vegetative",Table4_2[[#This Row],[Growth Days]]&lt;=50, "Maturity")</f>
        <v>Vegetative</v>
      </c>
      <c r="L948" t="str">
        <f>IF(Table4_2[[#This Row],[TDS Value (ppm)]]&lt;560, "Low", IF(Table4_2[[#This Row],[TDS Value (ppm)]]&lt;=800,"Optimal","High"))</f>
        <v>Optimal</v>
      </c>
    </row>
    <row r="949" spans="1:12" x14ac:dyDescent="0.25">
      <c r="A949">
        <v>17</v>
      </c>
      <c r="B949" s="1">
        <v>45168</v>
      </c>
      <c r="C949" s="1" t="str">
        <f>TEXT(Table4_2[[#This Row],[Date]],"dddd")</f>
        <v>Wednesday</v>
      </c>
      <c r="D949" s="21">
        <v>29.1</v>
      </c>
      <c r="E949" s="21">
        <v>80</v>
      </c>
      <c r="F949" s="21">
        <v>632</v>
      </c>
      <c r="G949" s="21">
        <v>6.5</v>
      </c>
      <c r="H949">
        <v>28</v>
      </c>
      <c r="I949">
        <v>84.38</v>
      </c>
      <c r="J949">
        <v>0.8</v>
      </c>
      <c r="K949" t="str" cm="1">
        <f t="array" ref="K949">_xlfn.IFS(Table4_2[[#This Row],[Growth Days]]&lt;=14,"Seedling",Table4_2[[#This Row],[Growth Days]]&lt;=35, "Vegetative",Table4_2[[#This Row],[Growth Days]]&lt;=50, "Maturity")</f>
        <v>Vegetative</v>
      </c>
      <c r="L949" t="str">
        <f>IF(Table4_2[[#This Row],[TDS Value (ppm)]]&lt;560, "Low", IF(Table4_2[[#This Row],[TDS Value (ppm)]]&lt;=800,"Optimal","High"))</f>
        <v>Optimal</v>
      </c>
    </row>
    <row r="950" spans="1:12" x14ac:dyDescent="0.25">
      <c r="A950">
        <v>17</v>
      </c>
      <c r="B950" s="1">
        <v>45175</v>
      </c>
      <c r="C950" s="1" t="str">
        <f>TEXT(Table4_2[[#This Row],[Date]],"dddd")</f>
        <v>Wednesday</v>
      </c>
      <c r="D950" s="21">
        <v>32.1</v>
      </c>
      <c r="E950" s="21">
        <v>67</v>
      </c>
      <c r="F950" s="21">
        <v>672</v>
      </c>
      <c r="G950" s="21">
        <v>6.6</v>
      </c>
      <c r="H950">
        <v>35</v>
      </c>
      <c r="I950">
        <v>89.78</v>
      </c>
      <c r="J950">
        <v>0.67</v>
      </c>
      <c r="K950" t="str" cm="1">
        <f t="array" ref="K950">_xlfn.IFS(Table4_2[[#This Row],[Growth Days]]&lt;=14,"Seedling",Table4_2[[#This Row],[Growth Days]]&lt;=35, "Vegetative",Table4_2[[#This Row],[Growth Days]]&lt;=50, "Maturity")</f>
        <v>Vegetative</v>
      </c>
      <c r="L950" t="str">
        <f>IF(Table4_2[[#This Row],[TDS Value (ppm)]]&lt;560, "Low", IF(Table4_2[[#This Row],[TDS Value (ppm)]]&lt;=800,"Optimal","High"))</f>
        <v>Optimal</v>
      </c>
    </row>
    <row r="951" spans="1:12" x14ac:dyDescent="0.25">
      <c r="A951">
        <v>17</v>
      </c>
      <c r="B951" s="1">
        <v>45182</v>
      </c>
      <c r="C951" s="1" t="str">
        <f>TEXT(Table4_2[[#This Row],[Date]],"dddd")</f>
        <v>Wednesday</v>
      </c>
      <c r="D951" s="21">
        <v>30.4</v>
      </c>
      <c r="E951" s="21">
        <v>60</v>
      </c>
      <c r="F951" s="21">
        <v>716</v>
      </c>
      <c r="G951" s="21">
        <v>6.3</v>
      </c>
      <c r="H951">
        <v>42</v>
      </c>
      <c r="I951">
        <v>86.72</v>
      </c>
      <c r="J951">
        <v>0.6</v>
      </c>
      <c r="K951" t="str" cm="1">
        <f t="array" ref="K951">_xlfn.IFS(Table4_2[[#This Row],[Growth Days]]&lt;=14,"Seedling",Table4_2[[#This Row],[Growth Days]]&lt;=35, "Vegetative",Table4_2[[#This Row],[Growth Days]]&lt;=50, "Maturity")</f>
        <v>Maturity</v>
      </c>
      <c r="L951" t="str">
        <f>IF(Table4_2[[#This Row],[TDS Value (ppm)]]&lt;560, "Low", IF(Table4_2[[#This Row],[TDS Value (ppm)]]&lt;=800,"Optimal","High"))</f>
        <v>Optimal</v>
      </c>
    </row>
    <row r="952" spans="1:12" x14ac:dyDescent="0.25">
      <c r="A952">
        <v>18</v>
      </c>
      <c r="B952" s="1">
        <v>45147</v>
      </c>
      <c r="C952" s="1" t="str">
        <f>TEXT(Table4_2[[#This Row],[Date]],"dddd")</f>
        <v>Wednesday</v>
      </c>
      <c r="D952" s="21">
        <v>32.299999999999997</v>
      </c>
      <c r="E952" s="21">
        <v>67</v>
      </c>
      <c r="F952" s="21">
        <v>794</v>
      </c>
      <c r="G952" s="21">
        <v>6</v>
      </c>
      <c r="H952">
        <v>7</v>
      </c>
      <c r="I952">
        <v>90.14</v>
      </c>
      <c r="J952">
        <v>0.67</v>
      </c>
      <c r="K952" t="str" cm="1">
        <f t="array" ref="K952">_xlfn.IFS(Table4_2[[#This Row],[Growth Days]]&lt;=14,"Seedling",Table4_2[[#This Row],[Growth Days]]&lt;=35, "Vegetative",Table4_2[[#This Row],[Growth Days]]&lt;=50, "Maturity")</f>
        <v>Seedling</v>
      </c>
      <c r="L952" t="str">
        <f>IF(Table4_2[[#This Row],[TDS Value (ppm)]]&lt;560, "Low", IF(Table4_2[[#This Row],[TDS Value (ppm)]]&lt;=800,"Optimal","High"))</f>
        <v>Optimal</v>
      </c>
    </row>
    <row r="953" spans="1:12" x14ac:dyDescent="0.25">
      <c r="A953">
        <v>18</v>
      </c>
      <c r="B953" s="1">
        <v>45154</v>
      </c>
      <c r="C953" s="1" t="str">
        <f>TEXT(Table4_2[[#This Row],[Date]],"dddd")</f>
        <v>Wednesday</v>
      </c>
      <c r="D953" s="21">
        <v>29.8</v>
      </c>
      <c r="E953" s="21">
        <v>69</v>
      </c>
      <c r="F953" s="21">
        <v>688</v>
      </c>
      <c r="G953" s="21">
        <v>6</v>
      </c>
      <c r="H953">
        <v>14</v>
      </c>
      <c r="I953">
        <v>85.64</v>
      </c>
      <c r="J953">
        <v>0.69</v>
      </c>
      <c r="K953" t="str" cm="1">
        <f t="array" ref="K953">_xlfn.IFS(Table4_2[[#This Row],[Growth Days]]&lt;=14,"Seedling",Table4_2[[#This Row],[Growth Days]]&lt;=35, "Vegetative",Table4_2[[#This Row],[Growth Days]]&lt;=50, "Maturity")</f>
        <v>Seedling</v>
      </c>
      <c r="L953" t="str">
        <f>IF(Table4_2[[#This Row],[TDS Value (ppm)]]&lt;560, "Low", IF(Table4_2[[#This Row],[TDS Value (ppm)]]&lt;=800,"Optimal","High"))</f>
        <v>Optimal</v>
      </c>
    </row>
    <row r="954" spans="1:12" x14ac:dyDescent="0.25">
      <c r="A954">
        <v>18</v>
      </c>
      <c r="B954" s="1">
        <v>45161</v>
      </c>
      <c r="C954" s="1" t="str">
        <f>TEXT(Table4_2[[#This Row],[Date]],"dddd")</f>
        <v>Wednesday</v>
      </c>
      <c r="D954" s="21">
        <v>30.8</v>
      </c>
      <c r="E954" s="21">
        <v>74</v>
      </c>
      <c r="F954" s="21">
        <v>505</v>
      </c>
      <c r="G954" s="21">
        <v>6.3</v>
      </c>
      <c r="H954">
        <v>21</v>
      </c>
      <c r="I954">
        <v>87.44</v>
      </c>
      <c r="J954">
        <v>0.74</v>
      </c>
      <c r="K954" t="str" cm="1">
        <f t="array" ref="K954">_xlfn.IFS(Table4_2[[#This Row],[Growth Days]]&lt;=14,"Seedling",Table4_2[[#This Row],[Growth Days]]&lt;=35, "Vegetative",Table4_2[[#This Row],[Growth Days]]&lt;=50, "Maturity")</f>
        <v>Vegetative</v>
      </c>
      <c r="L954" t="str">
        <f>IF(Table4_2[[#This Row],[TDS Value (ppm)]]&lt;560, "Low", IF(Table4_2[[#This Row],[TDS Value (ppm)]]&lt;=800,"Optimal","High"))</f>
        <v>Low</v>
      </c>
    </row>
    <row r="955" spans="1:12" x14ac:dyDescent="0.25">
      <c r="A955">
        <v>18</v>
      </c>
      <c r="B955" s="1">
        <v>45168</v>
      </c>
      <c r="C955" s="1" t="str">
        <f>TEXT(Table4_2[[#This Row],[Date]],"dddd")</f>
        <v>Wednesday</v>
      </c>
      <c r="D955" s="21">
        <v>29.1</v>
      </c>
      <c r="E955" s="21">
        <v>70</v>
      </c>
      <c r="F955" s="21">
        <v>637</v>
      </c>
      <c r="G955" s="21">
        <v>6.4</v>
      </c>
      <c r="H955">
        <v>28</v>
      </c>
      <c r="I955">
        <v>84.38</v>
      </c>
      <c r="J955">
        <v>0.7</v>
      </c>
      <c r="K955" t="str" cm="1">
        <f t="array" ref="K955">_xlfn.IFS(Table4_2[[#This Row],[Growth Days]]&lt;=14,"Seedling",Table4_2[[#This Row],[Growth Days]]&lt;=35, "Vegetative",Table4_2[[#This Row],[Growth Days]]&lt;=50, "Maturity")</f>
        <v>Vegetative</v>
      </c>
      <c r="L955" t="str">
        <f>IF(Table4_2[[#This Row],[TDS Value (ppm)]]&lt;560, "Low", IF(Table4_2[[#This Row],[TDS Value (ppm)]]&lt;=800,"Optimal","High"))</f>
        <v>Optimal</v>
      </c>
    </row>
    <row r="956" spans="1:12" x14ac:dyDescent="0.25">
      <c r="A956">
        <v>18</v>
      </c>
      <c r="B956" s="1">
        <v>45175</v>
      </c>
      <c r="C956" s="1" t="str">
        <f>TEXT(Table4_2[[#This Row],[Date]],"dddd")</f>
        <v>Wednesday</v>
      </c>
      <c r="D956" s="21">
        <v>32.1</v>
      </c>
      <c r="E956" s="21">
        <v>73</v>
      </c>
      <c r="F956" s="21">
        <v>423</v>
      </c>
      <c r="G956" s="21">
        <v>6.2</v>
      </c>
      <c r="H956">
        <v>35</v>
      </c>
      <c r="I956">
        <v>89.78</v>
      </c>
      <c r="J956">
        <v>0.73</v>
      </c>
      <c r="K956" t="str" cm="1">
        <f t="array" ref="K956">_xlfn.IFS(Table4_2[[#This Row],[Growth Days]]&lt;=14,"Seedling",Table4_2[[#This Row],[Growth Days]]&lt;=35, "Vegetative",Table4_2[[#This Row],[Growth Days]]&lt;=50, "Maturity")</f>
        <v>Vegetative</v>
      </c>
      <c r="L956" t="str">
        <f>IF(Table4_2[[#This Row],[TDS Value (ppm)]]&lt;560, "Low", IF(Table4_2[[#This Row],[TDS Value (ppm)]]&lt;=800,"Optimal","High"))</f>
        <v>Low</v>
      </c>
    </row>
    <row r="957" spans="1:12" x14ac:dyDescent="0.25">
      <c r="A957">
        <v>18</v>
      </c>
      <c r="B957" s="1">
        <v>45182</v>
      </c>
      <c r="C957" s="1" t="str">
        <f>TEXT(Table4_2[[#This Row],[Date]],"dddd")</f>
        <v>Wednesday</v>
      </c>
      <c r="D957" s="21">
        <v>30.4</v>
      </c>
      <c r="E957" s="21">
        <v>59</v>
      </c>
      <c r="F957" s="21">
        <v>501</v>
      </c>
      <c r="G957" s="21">
        <v>6</v>
      </c>
      <c r="H957">
        <v>42</v>
      </c>
      <c r="I957">
        <v>86.72</v>
      </c>
      <c r="J957">
        <v>0.59</v>
      </c>
      <c r="K957" t="str" cm="1">
        <f t="array" ref="K957">_xlfn.IFS(Table4_2[[#This Row],[Growth Days]]&lt;=14,"Seedling",Table4_2[[#This Row],[Growth Days]]&lt;=35, "Vegetative",Table4_2[[#This Row],[Growth Days]]&lt;=50, "Maturity")</f>
        <v>Maturity</v>
      </c>
      <c r="L957" t="str">
        <f>IF(Table4_2[[#This Row],[TDS Value (ppm)]]&lt;560, "Low", IF(Table4_2[[#This Row],[TDS Value (ppm)]]&lt;=800,"Optimal","High"))</f>
        <v>Low</v>
      </c>
    </row>
    <row r="958" spans="1:12" x14ac:dyDescent="0.25">
      <c r="A958">
        <v>19</v>
      </c>
      <c r="B958" s="1">
        <v>45147</v>
      </c>
      <c r="C958" s="1" t="str">
        <f>TEXT(Table4_2[[#This Row],[Date]],"dddd")</f>
        <v>Wednesday</v>
      </c>
      <c r="D958" s="21">
        <v>32.299999999999997</v>
      </c>
      <c r="E958" s="21">
        <v>72</v>
      </c>
      <c r="F958" s="21">
        <v>747</v>
      </c>
      <c r="G958" s="21">
        <v>6.1</v>
      </c>
      <c r="H958">
        <v>7</v>
      </c>
      <c r="I958">
        <v>90.14</v>
      </c>
      <c r="J958">
        <v>0.72</v>
      </c>
      <c r="K958" t="str" cm="1">
        <f t="array" ref="K958">_xlfn.IFS(Table4_2[[#This Row],[Growth Days]]&lt;=14,"Seedling",Table4_2[[#This Row],[Growth Days]]&lt;=35, "Vegetative",Table4_2[[#This Row],[Growth Days]]&lt;=50, "Maturity")</f>
        <v>Seedling</v>
      </c>
      <c r="L958" t="str">
        <f>IF(Table4_2[[#This Row],[TDS Value (ppm)]]&lt;560, "Low", IF(Table4_2[[#This Row],[TDS Value (ppm)]]&lt;=800,"Optimal","High"))</f>
        <v>Optimal</v>
      </c>
    </row>
    <row r="959" spans="1:12" x14ac:dyDescent="0.25">
      <c r="A959">
        <v>19</v>
      </c>
      <c r="B959" s="1">
        <v>45154</v>
      </c>
      <c r="C959" s="1" t="str">
        <f>TEXT(Table4_2[[#This Row],[Date]],"dddd")</f>
        <v>Wednesday</v>
      </c>
      <c r="D959" s="21">
        <v>29.8</v>
      </c>
      <c r="E959" s="21">
        <v>72</v>
      </c>
      <c r="F959" s="21">
        <v>599</v>
      </c>
      <c r="G959" s="21">
        <v>6.7</v>
      </c>
      <c r="H959">
        <v>14</v>
      </c>
      <c r="I959">
        <v>85.64</v>
      </c>
      <c r="J959">
        <v>0.72</v>
      </c>
      <c r="K959" t="str" cm="1">
        <f t="array" ref="K959">_xlfn.IFS(Table4_2[[#This Row],[Growth Days]]&lt;=14,"Seedling",Table4_2[[#This Row],[Growth Days]]&lt;=35, "Vegetative",Table4_2[[#This Row],[Growth Days]]&lt;=50, "Maturity")</f>
        <v>Seedling</v>
      </c>
      <c r="L959" t="str">
        <f>IF(Table4_2[[#This Row],[TDS Value (ppm)]]&lt;560, "Low", IF(Table4_2[[#This Row],[TDS Value (ppm)]]&lt;=800,"Optimal","High"))</f>
        <v>Optimal</v>
      </c>
    </row>
    <row r="960" spans="1:12" x14ac:dyDescent="0.25">
      <c r="A960">
        <v>19</v>
      </c>
      <c r="B960" s="1">
        <v>45161</v>
      </c>
      <c r="C960" s="1" t="str">
        <f>TEXT(Table4_2[[#This Row],[Date]],"dddd")</f>
        <v>Wednesday</v>
      </c>
      <c r="D960" s="21">
        <v>30.8</v>
      </c>
      <c r="E960" s="21">
        <v>69</v>
      </c>
      <c r="F960" s="21">
        <v>515</v>
      </c>
      <c r="G960" s="21">
        <v>6.2</v>
      </c>
      <c r="H960">
        <v>21</v>
      </c>
      <c r="I960">
        <v>87.44</v>
      </c>
      <c r="J960">
        <v>0.69</v>
      </c>
      <c r="K960" t="str" cm="1">
        <f t="array" ref="K960">_xlfn.IFS(Table4_2[[#This Row],[Growth Days]]&lt;=14,"Seedling",Table4_2[[#This Row],[Growth Days]]&lt;=35, "Vegetative",Table4_2[[#This Row],[Growth Days]]&lt;=50, "Maturity")</f>
        <v>Vegetative</v>
      </c>
      <c r="L960" t="str">
        <f>IF(Table4_2[[#This Row],[TDS Value (ppm)]]&lt;560, "Low", IF(Table4_2[[#This Row],[TDS Value (ppm)]]&lt;=800,"Optimal","High"))</f>
        <v>Low</v>
      </c>
    </row>
    <row r="961" spans="1:12" x14ac:dyDescent="0.25">
      <c r="A961">
        <v>19</v>
      </c>
      <c r="B961" s="1">
        <v>45168</v>
      </c>
      <c r="C961" s="1" t="str">
        <f>TEXT(Table4_2[[#This Row],[Date]],"dddd")</f>
        <v>Wednesday</v>
      </c>
      <c r="D961" s="21">
        <v>29.1</v>
      </c>
      <c r="E961" s="21">
        <v>75</v>
      </c>
      <c r="F961" s="21">
        <v>411</v>
      </c>
      <c r="G961" s="21">
        <v>6.6</v>
      </c>
      <c r="H961">
        <v>28</v>
      </c>
      <c r="I961">
        <v>84.38</v>
      </c>
      <c r="J961">
        <v>0.75</v>
      </c>
      <c r="K961" t="str" cm="1">
        <f t="array" ref="K961">_xlfn.IFS(Table4_2[[#This Row],[Growth Days]]&lt;=14,"Seedling",Table4_2[[#This Row],[Growth Days]]&lt;=35, "Vegetative",Table4_2[[#This Row],[Growth Days]]&lt;=50, "Maturity")</f>
        <v>Vegetative</v>
      </c>
      <c r="L961" t="str">
        <f>IF(Table4_2[[#This Row],[TDS Value (ppm)]]&lt;560, "Low", IF(Table4_2[[#This Row],[TDS Value (ppm)]]&lt;=800,"Optimal","High"))</f>
        <v>Low</v>
      </c>
    </row>
    <row r="962" spans="1:12" x14ac:dyDescent="0.25">
      <c r="A962">
        <v>19</v>
      </c>
      <c r="B962" s="1">
        <v>45175</v>
      </c>
      <c r="C962" s="1" t="str">
        <f>TEXT(Table4_2[[#This Row],[Date]],"dddd")</f>
        <v>Wednesday</v>
      </c>
      <c r="D962" s="21">
        <v>32.1</v>
      </c>
      <c r="E962" s="21">
        <v>52</v>
      </c>
      <c r="F962" s="21">
        <v>497</v>
      </c>
      <c r="G962" s="21">
        <v>6.1</v>
      </c>
      <c r="H962">
        <v>35</v>
      </c>
      <c r="I962">
        <v>89.78</v>
      </c>
      <c r="J962">
        <v>0.52</v>
      </c>
      <c r="K962" t="str" cm="1">
        <f t="array" ref="K962">_xlfn.IFS(Table4_2[[#This Row],[Growth Days]]&lt;=14,"Seedling",Table4_2[[#This Row],[Growth Days]]&lt;=35, "Vegetative",Table4_2[[#This Row],[Growth Days]]&lt;=50, "Maturity")</f>
        <v>Vegetative</v>
      </c>
      <c r="L962" t="str">
        <f>IF(Table4_2[[#This Row],[TDS Value (ppm)]]&lt;560, "Low", IF(Table4_2[[#This Row],[TDS Value (ppm)]]&lt;=800,"Optimal","High"))</f>
        <v>Low</v>
      </c>
    </row>
    <row r="963" spans="1:12" x14ac:dyDescent="0.25">
      <c r="A963">
        <v>19</v>
      </c>
      <c r="B963" s="1">
        <v>45182</v>
      </c>
      <c r="C963" s="1" t="str">
        <f>TEXT(Table4_2[[#This Row],[Date]],"dddd")</f>
        <v>Wednesday</v>
      </c>
      <c r="D963" s="21">
        <v>30.4</v>
      </c>
      <c r="E963" s="21">
        <v>52</v>
      </c>
      <c r="F963" s="21">
        <v>417</v>
      </c>
      <c r="G963" s="21">
        <v>6.6</v>
      </c>
      <c r="H963">
        <v>42</v>
      </c>
      <c r="I963">
        <v>86.72</v>
      </c>
      <c r="J963">
        <v>0.52</v>
      </c>
      <c r="K963" t="str" cm="1">
        <f t="array" ref="K963">_xlfn.IFS(Table4_2[[#This Row],[Growth Days]]&lt;=14,"Seedling",Table4_2[[#This Row],[Growth Days]]&lt;=35, "Vegetative",Table4_2[[#This Row],[Growth Days]]&lt;=50, "Maturity")</f>
        <v>Maturity</v>
      </c>
      <c r="L963" t="str">
        <f>IF(Table4_2[[#This Row],[TDS Value (ppm)]]&lt;560, "Low", IF(Table4_2[[#This Row],[TDS Value (ppm)]]&lt;=800,"Optimal","High"))</f>
        <v>Low</v>
      </c>
    </row>
    <row r="964" spans="1:12" x14ac:dyDescent="0.25">
      <c r="A964">
        <v>20</v>
      </c>
      <c r="B964" s="1">
        <v>45147</v>
      </c>
      <c r="C964" s="1" t="str">
        <f>TEXT(Table4_2[[#This Row],[Date]],"dddd")</f>
        <v>Wednesday</v>
      </c>
      <c r="D964" s="21">
        <v>32.299999999999997</v>
      </c>
      <c r="E964" s="21">
        <v>69</v>
      </c>
      <c r="F964" s="21">
        <v>767</v>
      </c>
      <c r="G964" s="21">
        <v>6.3</v>
      </c>
      <c r="H964">
        <v>7</v>
      </c>
      <c r="I964">
        <v>90.14</v>
      </c>
      <c r="J964">
        <v>0.69</v>
      </c>
      <c r="K964" t="str" cm="1">
        <f t="array" ref="K964">_xlfn.IFS(Table4_2[[#This Row],[Growth Days]]&lt;=14,"Seedling",Table4_2[[#This Row],[Growth Days]]&lt;=35, "Vegetative",Table4_2[[#This Row],[Growth Days]]&lt;=50, "Maturity")</f>
        <v>Seedling</v>
      </c>
      <c r="L964" t="str">
        <f>IF(Table4_2[[#This Row],[TDS Value (ppm)]]&lt;560, "Low", IF(Table4_2[[#This Row],[TDS Value (ppm)]]&lt;=800,"Optimal","High"))</f>
        <v>Optimal</v>
      </c>
    </row>
    <row r="965" spans="1:12" x14ac:dyDescent="0.25">
      <c r="A965">
        <v>20</v>
      </c>
      <c r="B965" s="1">
        <v>45154</v>
      </c>
      <c r="C965" s="1" t="str">
        <f>TEXT(Table4_2[[#This Row],[Date]],"dddd")</f>
        <v>Wednesday</v>
      </c>
      <c r="D965" s="21">
        <v>29.8</v>
      </c>
      <c r="E965" s="21">
        <v>54</v>
      </c>
      <c r="F965" s="21">
        <v>693</v>
      </c>
      <c r="G965" s="21">
        <v>6</v>
      </c>
      <c r="H965">
        <v>14</v>
      </c>
      <c r="I965">
        <v>85.64</v>
      </c>
      <c r="J965">
        <v>0.54</v>
      </c>
      <c r="K965" t="str" cm="1">
        <f t="array" ref="K965">_xlfn.IFS(Table4_2[[#This Row],[Growth Days]]&lt;=14,"Seedling",Table4_2[[#This Row],[Growth Days]]&lt;=35, "Vegetative",Table4_2[[#This Row],[Growth Days]]&lt;=50, "Maturity")</f>
        <v>Seedling</v>
      </c>
      <c r="L965" t="str">
        <f>IF(Table4_2[[#This Row],[TDS Value (ppm)]]&lt;560, "Low", IF(Table4_2[[#This Row],[TDS Value (ppm)]]&lt;=800,"Optimal","High"))</f>
        <v>Optimal</v>
      </c>
    </row>
    <row r="966" spans="1:12" x14ac:dyDescent="0.25">
      <c r="A966">
        <v>20</v>
      </c>
      <c r="B966" s="1">
        <v>45161</v>
      </c>
      <c r="C966" s="1" t="str">
        <f>TEXT(Table4_2[[#This Row],[Date]],"dddd")</f>
        <v>Wednesday</v>
      </c>
      <c r="D966" s="21">
        <v>30.8</v>
      </c>
      <c r="E966" s="21">
        <v>66</v>
      </c>
      <c r="F966" s="21">
        <v>770</v>
      </c>
      <c r="G966" s="21">
        <v>6.1</v>
      </c>
      <c r="H966">
        <v>21</v>
      </c>
      <c r="I966">
        <v>87.44</v>
      </c>
      <c r="J966">
        <v>0.66</v>
      </c>
      <c r="K966" t="str" cm="1">
        <f t="array" ref="K966">_xlfn.IFS(Table4_2[[#This Row],[Growth Days]]&lt;=14,"Seedling",Table4_2[[#This Row],[Growth Days]]&lt;=35, "Vegetative",Table4_2[[#This Row],[Growth Days]]&lt;=50, "Maturity")</f>
        <v>Vegetative</v>
      </c>
      <c r="L966" t="str">
        <f>IF(Table4_2[[#This Row],[TDS Value (ppm)]]&lt;560, "Low", IF(Table4_2[[#This Row],[TDS Value (ppm)]]&lt;=800,"Optimal","High"))</f>
        <v>Optimal</v>
      </c>
    </row>
    <row r="967" spans="1:12" x14ac:dyDescent="0.25">
      <c r="A967">
        <v>20</v>
      </c>
      <c r="B967" s="1">
        <v>45168</v>
      </c>
      <c r="C967" s="1" t="str">
        <f>TEXT(Table4_2[[#This Row],[Date]],"dddd")</f>
        <v>Wednesday</v>
      </c>
      <c r="D967" s="21">
        <v>29.1</v>
      </c>
      <c r="E967" s="21">
        <v>50</v>
      </c>
      <c r="F967" s="21">
        <v>494</v>
      </c>
      <c r="G967" s="21">
        <v>6.2</v>
      </c>
      <c r="H967">
        <v>28</v>
      </c>
      <c r="I967">
        <v>84.38</v>
      </c>
      <c r="J967">
        <v>0.5</v>
      </c>
      <c r="K967" t="str" cm="1">
        <f t="array" ref="K967">_xlfn.IFS(Table4_2[[#This Row],[Growth Days]]&lt;=14,"Seedling",Table4_2[[#This Row],[Growth Days]]&lt;=35, "Vegetative",Table4_2[[#This Row],[Growth Days]]&lt;=50, "Maturity")</f>
        <v>Vegetative</v>
      </c>
      <c r="L967" t="str">
        <f>IF(Table4_2[[#This Row],[TDS Value (ppm)]]&lt;560, "Low", IF(Table4_2[[#This Row],[TDS Value (ppm)]]&lt;=800,"Optimal","High"))</f>
        <v>Low</v>
      </c>
    </row>
    <row r="968" spans="1:12" x14ac:dyDescent="0.25">
      <c r="A968">
        <v>20</v>
      </c>
      <c r="B968" s="1">
        <v>45175</v>
      </c>
      <c r="C968" s="1" t="str">
        <f>TEXT(Table4_2[[#This Row],[Date]],"dddd")</f>
        <v>Wednesday</v>
      </c>
      <c r="D968" s="21">
        <v>32.1</v>
      </c>
      <c r="E968" s="21">
        <v>68</v>
      </c>
      <c r="F968" s="21">
        <v>607</v>
      </c>
      <c r="G968" s="21">
        <v>6.2</v>
      </c>
      <c r="H968">
        <v>35</v>
      </c>
      <c r="I968">
        <v>89.78</v>
      </c>
      <c r="J968">
        <v>0.68</v>
      </c>
      <c r="K968" t="str" cm="1">
        <f t="array" ref="K968">_xlfn.IFS(Table4_2[[#This Row],[Growth Days]]&lt;=14,"Seedling",Table4_2[[#This Row],[Growth Days]]&lt;=35, "Vegetative",Table4_2[[#This Row],[Growth Days]]&lt;=50, "Maturity")</f>
        <v>Vegetative</v>
      </c>
      <c r="L968" t="str">
        <f>IF(Table4_2[[#This Row],[TDS Value (ppm)]]&lt;560, "Low", IF(Table4_2[[#This Row],[TDS Value (ppm)]]&lt;=800,"Optimal","High"))</f>
        <v>Optimal</v>
      </c>
    </row>
    <row r="969" spans="1:12" x14ac:dyDescent="0.25">
      <c r="A969">
        <v>20</v>
      </c>
      <c r="B969" s="1">
        <v>45182</v>
      </c>
      <c r="C969" s="1" t="str">
        <f>TEXT(Table4_2[[#This Row],[Date]],"dddd")</f>
        <v>Wednesday</v>
      </c>
      <c r="D969" s="21">
        <v>30.4</v>
      </c>
      <c r="E969" s="21">
        <v>72</v>
      </c>
      <c r="F969" s="21">
        <v>518</v>
      </c>
      <c r="G969" s="21">
        <v>6.1</v>
      </c>
      <c r="H969">
        <v>42</v>
      </c>
      <c r="I969">
        <v>86.72</v>
      </c>
      <c r="J969">
        <v>0.72</v>
      </c>
      <c r="K969" t="str" cm="1">
        <f t="array" ref="K969">_xlfn.IFS(Table4_2[[#This Row],[Growth Days]]&lt;=14,"Seedling",Table4_2[[#This Row],[Growth Days]]&lt;=35, "Vegetative",Table4_2[[#This Row],[Growth Days]]&lt;=50, "Maturity")</f>
        <v>Maturity</v>
      </c>
      <c r="L969" t="str">
        <f>IF(Table4_2[[#This Row],[TDS Value (ppm)]]&lt;560, "Low", IF(Table4_2[[#This Row],[TDS Value (ppm)]]&lt;=800,"Optimal","High"))</f>
        <v>Low</v>
      </c>
    </row>
    <row r="970" spans="1:12" x14ac:dyDescent="0.25">
      <c r="A970">
        <v>21</v>
      </c>
      <c r="B970" s="1">
        <v>45147</v>
      </c>
      <c r="C970" s="1" t="str">
        <f>TEXT(Table4_2[[#This Row],[Date]],"dddd")</f>
        <v>Wednesday</v>
      </c>
      <c r="D970" s="21">
        <v>32.299999999999997</v>
      </c>
      <c r="E970" s="21">
        <v>72</v>
      </c>
      <c r="F970" s="21">
        <v>727</v>
      </c>
      <c r="G970" s="21">
        <v>6.4</v>
      </c>
      <c r="H970">
        <v>7</v>
      </c>
      <c r="I970">
        <v>90.14</v>
      </c>
      <c r="J970">
        <v>0.72</v>
      </c>
      <c r="K970" t="str" cm="1">
        <f t="array" ref="K970">_xlfn.IFS(Table4_2[[#This Row],[Growth Days]]&lt;=14,"Seedling",Table4_2[[#This Row],[Growth Days]]&lt;=35, "Vegetative",Table4_2[[#This Row],[Growth Days]]&lt;=50, "Maturity")</f>
        <v>Seedling</v>
      </c>
      <c r="L970" t="str">
        <f>IF(Table4_2[[#This Row],[TDS Value (ppm)]]&lt;560, "Low", IF(Table4_2[[#This Row],[TDS Value (ppm)]]&lt;=800,"Optimal","High"))</f>
        <v>Optimal</v>
      </c>
    </row>
    <row r="971" spans="1:12" x14ac:dyDescent="0.25">
      <c r="A971">
        <v>21</v>
      </c>
      <c r="B971" s="1">
        <v>45154</v>
      </c>
      <c r="C971" s="1" t="str">
        <f>TEXT(Table4_2[[#This Row],[Date]],"dddd")</f>
        <v>Wednesday</v>
      </c>
      <c r="D971" s="21">
        <v>29.8</v>
      </c>
      <c r="E971" s="21">
        <v>54</v>
      </c>
      <c r="F971" s="21">
        <v>418</v>
      </c>
      <c r="G971" s="21">
        <v>6.8</v>
      </c>
      <c r="H971">
        <v>14</v>
      </c>
      <c r="I971">
        <v>85.64</v>
      </c>
      <c r="J971">
        <v>0.54</v>
      </c>
      <c r="K971" t="str" cm="1">
        <f t="array" ref="K971">_xlfn.IFS(Table4_2[[#This Row],[Growth Days]]&lt;=14,"Seedling",Table4_2[[#This Row],[Growth Days]]&lt;=35, "Vegetative",Table4_2[[#This Row],[Growth Days]]&lt;=50, "Maturity")</f>
        <v>Seedling</v>
      </c>
      <c r="L971" t="str">
        <f>IF(Table4_2[[#This Row],[TDS Value (ppm)]]&lt;560, "Low", IF(Table4_2[[#This Row],[TDS Value (ppm)]]&lt;=800,"Optimal","High"))</f>
        <v>Low</v>
      </c>
    </row>
    <row r="972" spans="1:12" x14ac:dyDescent="0.25">
      <c r="A972">
        <v>21</v>
      </c>
      <c r="B972" s="1">
        <v>45161</v>
      </c>
      <c r="C972" s="1" t="str">
        <f>TEXT(Table4_2[[#This Row],[Date]],"dddd")</f>
        <v>Wednesday</v>
      </c>
      <c r="D972" s="21">
        <v>30.8</v>
      </c>
      <c r="E972" s="21">
        <v>76</v>
      </c>
      <c r="F972" s="21">
        <v>501</v>
      </c>
      <c r="G972" s="21">
        <v>6.7</v>
      </c>
      <c r="H972">
        <v>21</v>
      </c>
      <c r="I972">
        <v>87.44</v>
      </c>
      <c r="J972">
        <v>0.76</v>
      </c>
      <c r="K972" t="str" cm="1">
        <f t="array" ref="K972">_xlfn.IFS(Table4_2[[#This Row],[Growth Days]]&lt;=14,"Seedling",Table4_2[[#This Row],[Growth Days]]&lt;=35, "Vegetative",Table4_2[[#This Row],[Growth Days]]&lt;=50, "Maturity")</f>
        <v>Vegetative</v>
      </c>
      <c r="L972" t="str">
        <f>IF(Table4_2[[#This Row],[TDS Value (ppm)]]&lt;560, "Low", IF(Table4_2[[#This Row],[TDS Value (ppm)]]&lt;=800,"Optimal","High"))</f>
        <v>Low</v>
      </c>
    </row>
    <row r="973" spans="1:12" x14ac:dyDescent="0.25">
      <c r="A973">
        <v>21</v>
      </c>
      <c r="B973" s="1">
        <v>45168</v>
      </c>
      <c r="C973" s="1" t="str">
        <f>TEXT(Table4_2[[#This Row],[Date]],"dddd")</f>
        <v>Wednesday</v>
      </c>
      <c r="D973" s="21">
        <v>29.1</v>
      </c>
      <c r="E973" s="21">
        <v>55</v>
      </c>
      <c r="F973" s="21">
        <v>653</v>
      </c>
      <c r="G973" s="21">
        <v>6.2</v>
      </c>
      <c r="H973">
        <v>28</v>
      </c>
      <c r="I973">
        <v>84.38</v>
      </c>
      <c r="J973">
        <v>0.55000000000000004</v>
      </c>
      <c r="K973" t="str" cm="1">
        <f t="array" ref="K973">_xlfn.IFS(Table4_2[[#This Row],[Growth Days]]&lt;=14,"Seedling",Table4_2[[#This Row],[Growth Days]]&lt;=35, "Vegetative",Table4_2[[#This Row],[Growth Days]]&lt;=50, "Maturity")</f>
        <v>Vegetative</v>
      </c>
      <c r="L973" t="str">
        <f>IF(Table4_2[[#This Row],[TDS Value (ppm)]]&lt;560, "Low", IF(Table4_2[[#This Row],[TDS Value (ppm)]]&lt;=800,"Optimal","High"))</f>
        <v>Optimal</v>
      </c>
    </row>
    <row r="974" spans="1:12" x14ac:dyDescent="0.25">
      <c r="A974">
        <v>21</v>
      </c>
      <c r="B974" s="1">
        <v>45175</v>
      </c>
      <c r="C974" s="1" t="str">
        <f>TEXT(Table4_2[[#This Row],[Date]],"dddd")</f>
        <v>Wednesday</v>
      </c>
      <c r="D974" s="21">
        <v>32.1</v>
      </c>
      <c r="E974" s="21">
        <v>62</v>
      </c>
      <c r="F974" s="21">
        <v>538</v>
      </c>
      <c r="G974" s="21">
        <v>6.2</v>
      </c>
      <c r="H974">
        <v>35</v>
      </c>
      <c r="I974">
        <v>89.78</v>
      </c>
      <c r="J974">
        <v>0.62</v>
      </c>
      <c r="K974" t="str" cm="1">
        <f t="array" ref="K974">_xlfn.IFS(Table4_2[[#This Row],[Growth Days]]&lt;=14,"Seedling",Table4_2[[#This Row],[Growth Days]]&lt;=35, "Vegetative",Table4_2[[#This Row],[Growth Days]]&lt;=50, "Maturity")</f>
        <v>Vegetative</v>
      </c>
      <c r="L974" t="str">
        <f>IF(Table4_2[[#This Row],[TDS Value (ppm)]]&lt;560, "Low", IF(Table4_2[[#This Row],[TDS Value (ppm)]]&lt;=800,"Optimal","High"))</f>
        <v>Low</v>
      </c>
    </row>
    <row r="975" spans="1:12" x14ac:dyDescent="0.25">
      <c r="A975">
        <v>21</v>
      </c>
      <c r="B975" s="1">
        <v>45182</v>
      </c>
      <c r="C975" s="1" t="str">
        <f>TEXT(Table4_2[[#This Row],[Date]],"dddd")</f>
        <v>Wednesday</v>
      </c>
      <c r="D975" s="21">
        <v>30.4</v>
      </c>
      <c r="E975" s="21">
        <v>63</v>
      </c>
      <c r="F975" s="21">
        <v>630</v>
      </c>
      <c r="G975" s="21">
        <v>6.3</v>
      </c>
      <c r="H975">
        <v>42</v>
      </c>
      <c r="I975">
        <v>86.72</v>
      </c>
      <c r="J975">
        <v>0.63</v>
      </c>
      <c r="K975" t="str" cm="1">
        <f t="array" ref="K975">_xlfn.IFS(Table4_2[[#This Row],[Growth Days]]&lt;=14,"Seedling",Table4_2[[#This Row],[Growth Days]]&lt;=35, "Vegetative",Table4_2[[#This Row],[Growth Days]]&lt;=50, "Maturity")</f>
        <v>Maturity</v>
      </c>
      <c r="L975" t="str">
        <f>IF(Table4_2[[#This Row],[TDS Value (ppm)]]&lt;560, "Low", IF(Table4_2[[#This Row],[TDS Value (ppm)]]&lt;=800,"Optimal","High"))</f>
        <v>Optimal</v>
      </c>
    </row>
    <row r="976" spans="1:12" x14ac:dyDescent="0.25">
      <c r="A976">
        <v>22</v>
      </c>
      <c r="B976" s="1">
        <v>45147</v>
      </c>
      <c r="C976" s="1" t="str">
        <f>TEXT(Table4_2[[#This Row],[Date]],"dddd")</f>
        <v>Wednesday</v>
      </c>
      <c r="D976" s="21">
        <v>32.299999999999997</v>
      </c>
      <c r="E976" s="21">
        <v>70</v>
      </c>
      <c r="F976" s="21">
        <v>418</v>
      </c>
      <c r="G976" s="21">
        <v>6</v>
      </c>
      <c r="H976">
        <v>7</v>
      </c>
      <c r="I976">
        <v>90.14</v>
      </c>
      <c r="J976">
        <v>0.7</v>
      </c>
      <c r="K976" t="str" cm="1">
        <f t="array" ref="K976">_xlfn.IFS(Table4_2[[#This Row],[Growth Days]]&lt;=14,"Seedling",Table4_2[[#This Row],[Growth Days]]&lt;=35, "Vegetative",Table4_2[[#This Row],[Growth Days]]&lt;=50, "Maturity")</f>
        <v>Seedling</v>
      </c>
      <c r="L976" t="str">
        <f>IF(Table4_2[[#This Row],[TDS Value (ppm)]]&lt;560, "Low", IF(Table4_2[[#This Row],[TDS Value (ppm)]]&lt;=800,"Optimal","High"))</f>
        <v>Low</v>
      </c>
    </row>
    <row r="977" spans="1:12" x14ac:dyDescent="0.25">
      <c r="A977">
        <v>22</v>
      </c>
      <c r="B977" s="1">
        <v>45154</v>
      </c>
      <c r="C977" s="1" t="str">
        <f>TEXT(Table4_2[[#This Row],[Date]],"dddd")</f>
        <v>Wednesday</v>
      </c>
      <c r="D977" s="21">
        <v>29.8</v>
      </c>
      <c r="E977" s="21">
        <v>72</v>
      </c>
      <c r="F977" s="21">
        <v>551</v>
      </c>
      <c r="G977" s="21">
        <v>6.1</v>
      </c>
      <c r="H977">
        <v>14</v>
      </c>
      <c r="I977">
        <v>85.64</v>
      </c>
      <c r="J977">
        <v>0.72</v>
      </c>
      <c r="K977" t="str" cm="1">
        <f t="array" ref="K977">_xlfn.IFS(Table4_2[[#This Row],[Growth Days]]&lt;=14,"Seedling",Table4_2[[#This Row],[Growth Days]]&lt;=35, "Vegetative",Table4_2[[#This Row],[Growth Days]]&lt;=50, "Maturity")</f>
        <v>Seedling</v>
      </c>
      <c r="L977" t="str">
        <f>IF(Table4_2[[#This Row],[TDS Value (ppm)]]&lt;560, "Low", IF(Table4_2[[#This Row],[TDS Value (ppm)]]&lt;=800,"Optimal","High"))</f>
        <v>Low</v>
      </c>
    </row>
    <row r="978" spans="1:12" x14ac:dyDescent="0.25">
      <c r="A978">
        <v>22</v>
      </c>
      <c r="B978" s="1">
        <v>45161</v>
      </c>
      <c r="C978" s="1" t="str">
        <f>TEXT(Table4_2[[#This Row],[Date]],"dddd")</f>
        <v>Wednesday</v>
      </c>
      <c r="D978" s="21">
        <v>30.8</v>
      </c>
      <c r="E978" s="21">
        <v>64</v>
      </c>
      <c r="F978" s="21">
        <v>596</v>
      </c>
      <c r="G978" s="21">
        <v>6.6</v>
      </c>
      <c r="H978">
        <v>21</v>
      </c>
      <c r="I978">
        <v>87.44</v>
      </c>
      <c r="J978">
        <v>0.64</v>
      </c>
      <c r="K978" t="str" cm="1">
        <f t="array" ref="K978">_xlfn.IFS(Table4_2[[#This Row],[Growth Days]]&lt;=14,"Seedling",Table4_2[[#This Row],[Growth Days]]&lt;=35, "Vegetative",Table4_2[[#This Row],[Growth Days]]&lt;=50, "Maturity")</f>
        <v>Vegetative</v>
      </c>
      <c r="L978" t="str">
        <f>IF(Table4_2[[#This Row],[TDS Value (ppm)]]&lt;560, "Low", IF(Table4_2[[#This Row],[TDS Value (ppm)]]&lt;=800,"Optimal","High"))</f>
        <v>Optimal</v>
      </c>
    </row>
    <row r="979" spans="1:12" x14ac:dyDescent="0.25">
      <c r="A979">
        <v>22</v>
      </c>
      <c r="B979" s="1">
        <v>45168</v>
      </c>
      <c r="C979" s="1" t="str">
        <f>TEXT(Table4_2[[#This Row],[Date]],"dddd")</f>
        <v>Wednesday</v>
      </c>
      <c r="D979" s="21">
        <v>29.1</v>
      </c>
      <c r="E979" s="21">
        <v>66</v>
      </c>
      <c r="F979" s="21">
        <v>665</v>
      </c>
      <c r="G979" s="21">
        <v>6.5</v>
      </c>
      <c r="H979">
        <v>28</v>
      </c>
      <c r="I979">
        <v>84.38</v>
      </c>
      <c r="J979">
        <v>0.66</v>
      </c>
      <c r="K979" t="str" cm="1">
        <f t="array" ref="K979">_xlfn.IFS(Table4_2[[#This Row],[Growth Days]]&lt;=14,"Seedling",Table4_2[[#This Row],[Growth Days]]&lt;=35, "Vegetative",Table4_2[[#This Row],[Growth Days]]&lt;=50, "Maturity")</f>
        <v>Vegetative</v>
      </c>
      <c r="L979" t="str">
        <f>IF(Table4_2[[#This Row],[TDS Value (ppm)]]&lt;560, "Low", IF(Table4_2[[#This Row],[TDS Value (ppm)]]&lt;=800,"Optimal","High"))</f>
        <v>Optimal</v>
      </c>
    </row>
    <row r="980" spans="1:12" x14ac:dyDescent="0.25">
      <c r="A980">
        <v>22</v>
      </c>
      <c r="B980" s="1">
        <v>45175</v>
      </c>
      <c r="C980" s="1" t="str">
        <f>TEXT(Table4_2[[#This Row],[Date]],"dddd")</f>
        <v>Wednesday</v>
      </c>
      <c r="D980" s="21">
        <v>32.1</v>
      </c>
      <c r="E980" s="21">
        <v>67</v>
      </c>
      <c r="F980" s="21">
        <v>473</v>
      </c>
      <c r="G980" s="21">
        <v>6.7</v>
      </c>
      <c r="H980">
        <v>35</v>
      </c>
      <c r="I980">
        <v>89.78</v>
      </c>
      <c r="J980">
        <v>0.67</v>
      </c>
      <c r="K980" t="str" cm="1">
        <f t="array" ref="K980">_xlfn.IFS(Table4_2[[#This Row],[Growth Days]]&lt;=14,"Seedling",Table4_2[[#This Row],[Growth Days]]&lt;=35, "Vegetative",Table4_2[[#This Row],[Growth Days]]&lt;=50, "Maturity")</f>
        <v>Vegetative</v>
      </c>
      <c r="L980" t="str">
        <f>IF(Table4_2[[#This Row],[TDS Value (ppm)]]&lt;560, "Low", IF(Table4_2[[#This Row],[TDS Value (ppm)]]&lt;=800,"Optimal","High"))</f>
        <v>Low</v>
      </c>
    </row>
    <row r="981" spans="1:12" x14ac:dyDescent="0.25">
      <c r="A981">
        <v>22</v>
      </c>
      <c r="B981" s="1">
        <v>45182</v>
      </c>
      <c r="C981" s="1" t="str">
        <f>TEXT(Table4_2[[#This Row],[Date]],"dddd")</f>
        <v>Wednesday</v>
      </c>
      <c r="D981" s="21">
        <v>30.4</v>
      </c>
      <c r="E981" s="21">
        <v>52</v>
      </c>
      <c r="F981" s="21">
        <v>440</v>
      </c>
      <c r="G981" s="21">
        <v>6.3</v>
      </c>
      <c r="H981">
        <v>42</v>
      </c>
      <c r="I981">
        <v>86.72</v>
      </c>
      <c r="J981">
        <v>0.52</v>
      </c>
      <c r="K981" t="str" cm="1">
        <f t="array" ref="K981">_xlfn.IFS(Table4_2[[#This Row],[Growth Days]]&lt;=14,"Seedling",Table4_2[[#This Row],[Growth Days]]&lt;=35, "Vegetative",Table4_2[[#This Row],[Growth Days]]&lt;=50, "Maturity")</f>
        <v>Maturity</v>
      </c>
      <c r="L981" t="str">
        <f>IF(Table4_2[[#This Row],[TDS Value (ppm)]]&lt;560, "Low", IF(Table4_2[[#This Row],[TDS Value (ppm)]]&lt;=800,"Optimal","High"))</f>
        <v>Low</v>
      </c>
    </row>
    <row r="982" spans="1:12" x14ac:dyDescent="0.25">
      <c r="A982">
        <v>23</v>
      </c>
      <c r="B982" s="1">
        <v>45147</v>
      </c>
      <c r="C982" s="1" t="str">
        <f>TEXT(Table4_2[[#This Row],[Date]],"dddd")</f>
        <v>Wednesday</v>
      </c>
      <c r="D982" s="21">
        <v>32.299999999999997</v>
      </c>
      <c r="E982" s="21">
        <v>68</v>
      </c>
      <c r="F982" s="21">
        <v>514</v>
      </c>
      <c r="G982" s="21">
        <v>6.5</v>
      </c>
      <c r="H982">
        <v>7</v>
      </c>
      <c r="I982">
        <v>90.14</v>
      </c>
      <c r="J982">
        <v>0.68</v>
      </c>
      <c r="K982" t="str" cm="1">
        <f t="array" ref="K982">_xlfn.IFS(Table4_2[[#This Row],[Growth Days]]&lt;=14,"Seedling",Table4_2[[#This Row],[Growth Days]]&lt;=35, "Vegetative",Table4_2[[#This Row],[Growth Days]]&lt;=50, "Maturity")</f>
        <v>Seedling</v>
      </c>
      <c r="L982" t="str">
        <f>IF(Table4_2[[#This Row],[TDS Value (ppm)]]&lt;560, "Low", IF(Table4_2[[#This Row],[TDS Value (ppm)]]&lt;=800,"Optimal","High"))</f>
        <v>Low</v>
      </c>
    </row>
    <row r="983" spans="1:12" x14ac:dyDescent="0.25">
      <c r="A983">
        <v>23</v>
      </c>
      <c r="B983" s="1">
        <v>45154</v>
      </c>
      <c r="C983" s="1" t="str">
        <f>TEXT(Table4_2[[#This Row],[Date]],"dddd")</f>
        <v>Wednesday</v>
      </c>
      <c r="D983" s="21">
        <v>29.8</v>
      </c>
      <c r="E983" s="21">
        <v>50</v>
      </c>
      <c r="F983" s="21">
        <v>722</v>
      </c>
      <c r="G983" s="21">
        <v>6.5</v>
      </c>
      <c r="H983">
        <v>14</v>
      </c>
      <c r="I983">
        <v>85.64</v>
      </c>
      <c r="J983">
        <v>0.5</v>
      </c>
      <c r="K983" t="str" cm="1">
        <f t="array" ref="K983">_xlfn.IFS(Table4_2[[#This Row],[Growth Days]]&lt;=14,"Seedling",Table4_2[[#This Row],[Growth Days]]&lt;=35, "Vegetative",Table4_2[[#This Row],[Growth Days]]&lt;=50, "Maturity")</f>
        <v>Seedling</v>
      </c>
      <c r="L983" t="str">
        <f>IF(Table4_2[[#This Row],[TDS Value (ppm)]]&lt;560, "Low", IF(Table4_2[[#This Row],[TDS Value (ppm)]]&lt;=800,"Optimal","High"))</f>
        <v>Optimal</v>
      </c>
    </row>
    <row r="984" spans="1:12" x14ac:dyDescent="0.25">
      <c r="A984">
        <v>23</v>
      </c>
      <c r="B984" s="1">
        <v>45161</v>
      </c>
      <c r="C984" s="1" t="str">
        <f>TEXT(Table4_2[[#This Row],[Date]],"dddd")</f>
        <v>Wednesday</v>
      </c>
      <c r="D984" s="21">
        <v>30.8</v>
      </c>
      <c r="E984" s="21">
        <v>59</v>
      </c>
      <c r="F984" s="21">
        <v>798</v>
      </c>
      <c r="G984" s="21">
        <v>6.2</v>
      </c>
      <c r="H984">
        <v>21</v>
      </c>
      <c r="I984">
        <v>87.44</v>
      </c>
      <c r="J984">
        <v>0.59</v>
      </c>
      <c r="K984" t="str" cm="1">
        <f t="array" ref="K984">_xlfn.IFS(Table4_2[[#This Row],[Growth Days]]&lt;=14,"Seedling",Table4_2[[#This Row],[Growth Days]]&lt;=35, "Vegetative",Table4_2[[#This Row],[Growth Days]]&lt;=50, "Maturity")</f>
        <v>Vegetative</v>
      </c>
      <c r="L984" t="str">
        <f>IF(Table4_2[[#This Row],[TDS Value (ppm)]]&lt;560, "Low", IF(Table4_2[[#This Row],[TDS Value (ppm)]]&lt;=800,"Optimal","High"))</f>
        <v>Optimal</v>
      </c>
    </row>
    <row r="985" spans="1:12" x14ac:dyDescent="0.25">
      <c r="A985">
        <v>23</v>
      </c>
      <c r="B985" s="1">
        <v>45168</v>
      </c>
      <c r="C985" s="1" t="str">
        <f>TEXT(Table4_2[[#This Row],[Date]],"dddd")</f>
        <v>Wednesday</v>
      </c>
      <c r="D985" s="21">
        <v>29.1</v>
      </c>
      <c r="E985" s="21">
        <v>67</v>
      </c>
      <c r="F985" s="21">
        <v>755</v>
      </c>
      <c r="G985" s="21">
        <v>6.8</v>
      </c>
      <c r="H985">
        <v>28</v>
      </c>
      <c r="I985">
        <v>84.38</v>
      </c>
      <c r="J985">
        <v>0.67</v>
      </c>
      <c r="K985" t="str" cm="1">
        <f t="array" ref="K985">_xlfn.IFS(Table4_2[[#This Row],[Growth Days]]&lt;=14,"Seedling",Table4_2[[#This Row],[Growth Days]]&lt;=35, "Vegetative",Table4_2[[#This Row],[Growth Days]]&lt;=50, "Maturity")</f>
        <v>Vegetative</v>
      </c>
      <c r="L985" t="str">
        <f>IF(Table4_2[[#This Row],[TDS Value (ppm)]]&lt;560, "Low", IF(Table4_2[[#This Row],[TDS Value (ppm)]]&lt;=800,"Optimal","High"))</f>
        <v>Optimal</v>
      </c>
    </row>
    <row r="986" spans="1:12" x14ac:dyDescent="0.25">
      <c r="A986">
        <v>23</v>
      </c>
      <c r="B986" s="1">
        <v>45175</v>
      </c>
      <c r="C986" s="1" t="str">
        <f>TEXT(Table4_2[[#This Row],[Date]],"dddd")</f>
        <v>Wednesday</v>
      </c>
      <c r="D986" s="21">
        <v>32.1</v>
      </c>
      <c r="E986" s="21">
        <v>76</v>
      </c>
      <c r="F986" s="21">
        <v>749</v>
      </c>
      <c r="G986" s="21">
        <v>6.3</v>
      </c>
      <c r="H986">
        <v>35</v>
      </c>
      <c r="I986">
        <v>89.78</v>
      </c>
      <c r="J986">
        <v>0.76</v>
      </c>
      <c r="K986" t="str" cm="1">
        <f t="array" ref="K986">_xlfn.IFS(Table4_2[[#This Row],[Growth Days]]&lt;=14,"Seedling",Table4_2[[#This Row],[Growth Days]]&lt;=35, "Vegetative",Table4_2[[#This Row],[Growth Days]]&lt;=50, "Maturity")</f>
        <v>Vegetative</v>
      </c>
      <c r="L986" t="str">
        <f>IF(Table4_2[[#This Row],[TDS Value (ppm)]]&lt;560, "Low", IF(Table4_2[[#This Row],[TDS Value (ppm)]]&lt;=800,"Optimal","High"))</f>
        <v>Optimal</v>
      </c>
    </row>
    <row r="987" spans="1:12" x14ac:dyDescent="0.25">
      <c r="A987">
        <v>23</v>
      </c>
      <c r="B987" s="1">
        <v>45182</v>
      </c>
      <c r="C987" s="1" t="str">
        <f>TEXT(Table4_2[[#This Row],[Date]],"dddd")</f>
        <v>Wednesday</v>
      </c>
      <c r="D987" s="21">
        <v>30.4</v>
      </c>
      <c r="E987" s="21">
        <v>69</v>
      </c>
      <c r="F987" s="21">
        <v>665</v>
      </c>
      <c r="G987" s="21">
        <v>6.4</v>
      </c>
      <c r="H987">
        <v>42</v>
      </c>
      <c r="I987">
        <v>86.72</v>
      </c>
      <c r="J987">
        <v>0.69</v>
      </c>
      <c r="K987" t="str" cm="1">
        <f t="array" ref="K987">_xlfn.IFS(Table4_2[[#This Row],[Growth Days]]&lt;=14,"Seedling",Table4_2[[#This Row],[Growth Days]]&lt;=35, "Vegetative",Table4_2[[#This Row],[Growth Days]]&lt;=50, "Maturity")</f>
        <v>Maturity</v>
      </c>
      <c r="L987" t="str">
        <f>IF(Table4_2[[#This Row],[TDS Value (ppm)]]&lt;560, "Low", IF(Table4_2[[#This Row],[TDS Value (ppm)]]&lt;=800,"Optimal","High"))</f>
        <v>Optimal</v>
      </c>
    </row>
    <row r="988" spans="1:12" x14ac:dyDescent="0.25">
      <c r="A988">
        <v>24</v>
      </c>
      <c r="B988" s="1">
        <v>45147</v>
      </c>
      <c r="C988" s="1" t="str">
        <f>TEXT(Table4_2[[#This Row],[Date]],"dddd")</f>
        <v>Wednesday</v>
      </c>
      <c r="D988" s="21">
        <v>22.7</v>
      </c>
      <c r="E988" s="21">
        <v>64</v>
      </c>
      <c r="F988" s="21">
        <v>683</v>
      </c>
      <c r="G988" s="21">
        <v>6.2</v>
      </c>
      <c r="H988">
        <v>7</v>
      </c>
      <c r="I988">
        <v>72.86</v>
      </c>
      <c r="J988">
        <v>0.64</v>
      </c>
      <c r="K988" t="str" cm="1">
        <f t="array" ref="K988">_xlfn.IFS(Table4_2[[#This Row],[Growth Days]]&lt;=14,"Seedling",Table4_2[[#This Row],[Growth Days]]&lt;=35, "Vegetative",Table4_2[[#This Row],[Growth Days]]&lt;=50, "Maturity")</f>
        <v>Seedling</v>
      </c>
      <c r="L988" t="str">
        <f>IF(Table4_2[[#This Row],[TDS Value (ppm)]]&lt;560, "Low", IF(Table4_2[[#This Row],[TDS Value (ppm)]]&lt;=800,"Optimal","High"))</f>
        <v>Optimal</v>
      </c>
    </row>
    <row r="989" spans="1:12" x14ac:dyDescent="0.25">
      <c r="A989">
        <v>24</v>
      </c>
      <c r="B989" s="1">
        <v>45154</v>
      </c>
      <c r="C989" s="1" t="str">
        <f>TEXT(Table4_2[[#This Row],[Date]],"dddd")</f>
        <v>Wednesday</v>
      </c>
      <c r="D989" s="21">
        <v>29.6</v>
      </c>
      <c r="E989" s="21">
        <v>69</v>
      </c>
      <c r="F989" s="21">
        <v>566</v>
      </c>
      <c r="G989" s="21">
        <v>6</v>
      </c>
      <c r="H989">
        <v>14</v>
      </c>
      <c r="I989">
        <v>85.28</v>
      </c>
      <c r="J989">
        <v>0.69</v>
      </c>
      <c r="K989" t="str" cm="1">
        <f t="array" ref="K989">_xlfn.IFS(Table4_2[[#This Row],[Growth Days]]&lt;=14,"Seedling",Table4_2[[#This Row],[Growth Days]]&lt;=35, "Vegetative",Table4_2[[#This Row],[Growth Days]]&lt;=50, "Maturity")</f>
        <v>Seedling</v>
      </c>
      <c r="L989" t="str">
        <f>IF(Table4_2[[#This Row],[TDS Value (ppm)]]&lt;560, "Low", IF(Table4_2[[#This Row],[TDS Value (ppm)]]&lt;=800,"Optimal","High"))</f>
        <v>Optimal</v>
      </c>
    </row>
    <row r="990" spans="1:12" x14ac:dyDescent="0.25">
      <c r="A990">
        <v>24</v>
      </c>
      <c r="B990" s="1">
        <v>45161</v>
      </c>
      <c r="C990" s="1" t="str">
        <f>TEXT(Table4_2[[#This Row],[Date]],"dddd")</f>
        <v>Wednesday</v>
      </c>
      <c r="D990" s="21">
        <v>31.3</v>
      </c>
      <c r="E990" s="21">
        <v>77</v>
      </c>
      <c r="F990" s="21">
        <v>658</v>
      </c>
      <c r="G990" s="21">
        <v>6.1</v>
      </c>
      <c r="H990">
        <v>21</v>
      </c>
      <c r="I990">
        <v>88.34</v>
      </c>
      <c r="J990">
        <v>0.77</v>
      </c>
      <c r="K990" t="str" cm="1">
        <f t="array" ref="K990">_xlfn.IFS(Table4_2[[#This Row],[Growth Days]]&lt;=14,"Seedling",Table4_2[[#This Row],[Growth Days]]&lt;=35, "Vegetative",Table4_2[[#This Row],[Growth Days]]&lt;=50, "Maturity")</f>
        <v>Vegetative</v>
      </c>
      <c r="L990" t="str">
        <f>IF(Table4_2[[#This Row],[TDS Value (ppm)]]&lt;560, "Low", IF(Table4_2[[#This Row],[TDS Value (ppm)]]&lt;=800,"Optimal","High"))</f>
        <v>Optimal</v>
      </c>
    </row>
    <row r="991" spans="1:12" x14ac:dyDescent="0.25">
      <c r="A991">
        <v>24</v>
      </c>
      <c r="B991" s="1">
        <v>45168</v>
      </c>
      <c r="C991" s="1" t="str">
        <f>TEXT(Table4_2[[#This Row],[Date]],"dddd")</f>
        <v>Wednesday</v>
      </c>
      <c r="D991" s="21">
        <v>29.2</v>
      </c>
      <c r="E991" s="21">
        <v>56</v>
      </c>
      <c r="F991" s="21">
        <v>430</v>
      </c>
      <c r="G991" s="21">
        <v>6</v>
      </c>
      <c r="H991">
        <v>28</v>
      </c>
      <c r="I991">
        <v>84.56</v>
      </c>
      <c r="J991">
        <v>0.56000000000000005</v>
      </c>
      <c r="K991" t="str" cm="1">
        <f t="array" ref="K991">_xlfn.IFS(Table4_2[[#This Row],[Growth Days]]&lt;=14,"Seedling",Table4_2[[#This Row],[Growth Days]]&lt;=35, "Vegetative",Table4_2[[#This Row],[Growth Days]]&lt;=50, "Maturity")</f>
        <v>Vegetative</v>
      </c>
      <c r="L991" t="str">
        <f>IF(Table4_2[[#This Row],[TDS Value (ppm)]]&lt;560, "Low", IF(Table4_2[[#This Row],[TDS Value (ppm)]]&lt;=800,"Optimal","High"))</f>
        <v>Low</v>
      </c>
    </row>
    <row r="992" spans="1:12" x14ac:dyDescent="0.25">
      <c r="A992">
        <v>24</v>
      </c>
      <c r="B992" s="1">
        <v>45175</v>
      </c>
      <c r="C992" s="1" t="str">
        <f>TEXT(Table4_2[[#This Row],[Date]],"dddd")</f>
        <v>Wednesday</v>
      </c>
      <c r="D992" s="21">
        <v>31.5</v>
      </c>
      <c r="E992" s="21">
        <v>50</v>
      </c>
      <c r="F992" s="21">
        <v>591</v>
      </c>
      <c r="G992" s="21">
        <v>6</v>
      </c>
      <c r="H992">
        <v>35</v>
      </c>
      <c r="I992">
        <v>88.7</v>
      </c>
      <c r="J992">
        <v>0.5</v>
      </c>
      <c r="K992" t="str" cm="1">
        <f t="array" ref="K992">_xlfn.IFS(Table4_2[[#This Row],[Growth Days]]&lt;=14,"Seedling",Table4_2[[#This Row],[Growth Days]]&lt;=35, "Vegetative",Table4_2[[#This Row],[Growth Days]]&lt;=50, "Maturity")</f>
        <v>Vegetative</v>
      </c>
      <c r="L992" t="str">
        <f>IF(Table4_2[[#This Row],[TDS Value (ppm)]]&lt;560, "Low", IF(Table4_2[[#This Row],[TDS Value (ppm)]]&lt;=800,"Optimal","High"))</f>
        <v>Optimal</v>
      </c>
    </row>
    <row r="993" spans="1:12" x14ac:dyDescent="0.25">
      <c r="A993">
        <v>24</v>
      </c>
      <c r="B993" s="1">
        <v>45182</v>
      </c>
      <c r="C993" s="1" t="str">
        <f>TEXT(Table4_2[[#This Row],[Date]],"dddd")</f>
        <v>Wednesday</v>
      </c>
      <c r="D993" s="21">
        <v>29.1</v>
      </c>
      <c r="E993" s="21">
        <v>51</v>
      </c>
      <c r="F993" s="21">
        <v>697</v>
      </c>
      <c r="G993" s="21">
        <v>6.1</v>
      </c>
      <c r="H993">
        <v>42</v>
      </c>
      <c r="I993">
        <v>84.38</v>
      </c>
      <c r="J993">
        <v>0.51</v>
      </c>
      <c r="K993" t="str" cm="1">
        <f t="array" ref="K993">_xlfn.IFS(Table4_2[[#This Row],[Growth Days]]&lt;=14,"Seedling",Table4_2[[#This Row],[Growth Days]]&lt;=35, "Vegetative",Table4_2[[#This Row],[Growth Days]]&lt;=50, "Maturity")</f>
        <v>Maturity</v>
      </c>
      <c r="L993" t="str">
        <f>IF(Table4_2[[#This Row],[TDS Value (ppm)]]&lt;560, "Low", IF(Table4_2[[#This Row],[TDS Value (ppm)]]&lt;=800,"Optimal","High"))</f>
        <v>Optimal</v>
      </c>
    </row>
    <row r="994" spans="1:12" x14ac:dyDescent="0.25">
      <c r="A994">
        <v>25</v>
      </c>
      <c r="B994" s="1">
        <v>45147</v>
      </c>
      <c r="C994" s="1" t="str">
        <f>TEXT(Table4_2[[#This Row],[Date]],"dddd")</f>
        <v>Wednesday</v>
      </c>
      <c r="D994" s="21">
        <v>32.299999999999997</v>
      </c>
      <c r="E994" s="21">
        <v>66</v>
      </c>
      <c r="F994" s="21">
        <v>567</v>
      </c>
      <c r="G994" s="21">
        <v>6.2</v>
      </c>
      <c r="H994">
        <v>7</v>
      </c>
      <c r="I994">
        <v>90.14</v>
      </c>
      <c r="J994">
        <v>0.66</v>
      </c>
      <c r="K994" t="str" cm="1">
        <f t="array" ref="K994">_xlfn.IFS(Table4_2[[#This Row],[Growth Days]]&lt;=14,"Seedling",Table4_2[[#This Row],[Growth Days]]&lt;=35, "Vegetative",Table4_2[[#This Row],[Growth Days]]&lt;=50, "Maturity")</f>
        <v>Seedling</v>
      </c>
      <c r="L994" t="str">
        <f>IF(Table4_2[[#This Row],[TDS Value (ppm)]]&lt;560, "Low", IF(Table4_2[[#This Row],[TDS Value (ppm)]]&lt;=800,"Optimal","High"))</f>
        <v>Optimal</v>
      </c>
    </row>
    <row r="995" spans="1:12" x14ac:dyDescent="0.25">
      <c r="A995">
        <v>25</v>
      </c>
      <c r="B995" s="1">
        <v>45154</v>
      </c>
      <c r="C995" s="1" t="str">
        <f>TEXT(Table4_2[[#This Row],[Date]],"dddd")</f>
        <v>Wednesday</v>
      </c>
      <c r="D995" s="21">
        <v>29.8</v>
      </c>
      <c r="E995" s="21">
        <v>55</v>
      </c>
      <c r="F995" s="21">
        <v>797</v>
      </c>
      <c r="G995" s="21">
        <v>6.2</v>
      </c>
      <c r="H995">
        <v>14</v>
      </c>
      <c r="I995">
        <v>85.64</v>
      </c>
      <c r="J995">
        <v>0.55000000000000004</v>
      </c>
      <c r="K995" t="str" cm="1">
        <f t="array" ref="K995">_xlfn.IFS(Table4_2[[#This Row],[Growth Days]]&lt;=14,"Seedling",Table4_2[[#This Row],[Growth Days]]&lt;=35, "Vegetative",Table4_2[[#This Row],[Growth Days]]&lt;=50, "Maturity")</f>
        <v>Seedling</v>
      </c>
      <c r="L995" t="str">
        <f>IF(Table4_2[[#This Row],[TDS Value (ppm)]]&lt;560, "Low", IF(Table4_2[[#This Row],[TDS Value (ppm)]]&lt;=800,"Optimal","High"))</f>
        <v>Optimal</v>
      </c>
    </row>
    <row r="996" spans="1:12" x14ac:dyDescent="0.25">
      <c r="A996">
        <v>25</v>
      </c>
      <c r="B996" s="1">
        <v>45161</v>
      </c>
      <c r="C996" s="1" t="str">
        <f>TEXT(Table4_2[[#This Row],[Date]],"dddd")</f>
        <v>Wednesday</v>
      </c>
      <c r="D996" s="21">
        <v>30.8</v>
      </c>
      <c r="E996" s="21">
        <v>79</v>
      </c>
      <c r="F996" s="21">
        <v>738</v>
      </c>
      <c r="G996" s="21">
        <v>6.6</v>
      </c>
      <c r="H996">
        <v>21</v>
      </c>
      <c r="I996">
        <v>87.44</v>
      </c>
      <c r="J996">
        <v>0.79</v>
      </c>
      <c r="K996" t="str" cm="1">
        <f t="array" ref="K996">_xlfn.IFS(Table4_2[[#This Row],[Growth Days]]&lt;=14,"Seedling",Table4_2[[#This Row],[Growth Days]]&lt;=35, "Vegetative",Table4_2[[#This Row],[Growth Days]]&lt;=50, "Maturity")</f>
        <v>Vegetative</v>
      </c>
      <c r="L996" t="str">
        <f>IF(Table4_2[[#This Row],[TDS Value (ppm)]]&lt;560, "Low", IF(Table4_2[[#This Row],[TDS Value (ppm)]]&lt;=800,"Optimal","High"))</f>
        <v>Optimal</v>
      </c>
    </row>
    <row r="997" spans="1:12" x14ac:dyDescent="0.25">
      <c r="A997">
        <v>25</v>
      </c>
      <c r="B997" s="1">
        <v>45168</v>
      </c>
      <c r="C997" s="1" t="str">
        <f>TEXT(Table4_2[[#This Row],[Date]],"dddd")</f>
        <v>Wednesday</v>
      </c>
      <c r="D997" s="21">
        <v>29.1</v>
      </c>
      <c r="E997" s="21">
        <v>68</v>
      </c>
      <c r="F997" s="21">
        <v>679</v>
      </c>
      <c r="G997" s="21">
        <v>6.5</v>
      </c>
      <c r="H997">
        <v>28</v>
      </c>
      <c r="I997">
        <v>84.38</v>
      </c>
      <c r="J997">
        <v>0.68</v>
      </c>
      <c r="K997" t="str" cm="1">
        <f t="array" ref="K997">_xlfn.IFS(Table4_2[[#This Row],[Growth Days]]&lt;=14,"Seedling",Table4_2[[#This Row],[Growth Days]]&lt;=35, "Vegetative",Table4_2[[#This Row],[Growth Days]]&lt;=50, "Maturity")</f>
        <v>Vegetative</v>
      </c>
      <c r="L997" t="str">
        <f>IF(Table4_2[[#This Row],[TDS Value (ppm)]]&lt;560, "Low", IF(Table4_2[[#This Row],[TDS Value (ppm)]]&lt;=800,"Optimal","High"))</f>
        <v>Optimal</v>
      </c>
    </row>
    <row r="998" spans="1:12" x14ac:dyDescent="0.25">
      <c r="A998">
        <v>25</v>
      </c>
      <c r="B998" s="1">
        <v>45175</v>
      </c>
      <c r="C998" s="1" t="str">
        <f>TEXT(Table4_2[[#This Row],[Date]],"dddd")</f>
        <v>Wednesday</v>
      </c>
      <c r="D998" s="21">
        <v>32.1</v>
      </c>
      <c r="E998" s="21">
        <v>73</v>
      </c>
      <c r="F998" s="21">
        <v>416</v>
      </c>
      <c r="G998" s="21">
        <v>6.2</v>
      </c>
      <c r="H998">
        <v>35</v>
      </c>
      <c r="I998">
        <v>89.78</v>
      </c>
      <c r="J998">
        <v>0.73</v>
      </c>
      <c r="K998" t="str" cm="1">
        <f t="array" ref="K998">_xlfn.IFS(Table4_2[[#This Row],[Growth Days]]&lt;=14,"Seedling",Table4_2[[#This Row],[Growth Days]]&lt;=35, "Vegetative",Table4_2[[#This Row],[Growth Days]]&lt;=50, "Maturity")</f>
        <v>Vegetative</v>
      </c>
      <c r="L998" t="str">
        <f>IF(Table4_2[[#This Row],[TDS Value (ppm)]]&lt;560, "Low", IF(Table4_2[[#This Row],[TDS Value (ppm)]]&lt;=800,"Optimal","High"))</f>
        <v>Low</v>
      </c>
    </row>
    <row r="999" spans="1:12" x14ac:dyDescent="0.25">
      <c r="A999">
        <v>25</v>
      </c>
      <c r="B999" s="1">
        <v>45182</v>
      </c>
      <c r="C999" s="1" t="str">
        <f>TEXT(Table4_2[[#This Row],[Date]],"dddd")</f>
        <v>Wednesday</v>
      </c>
      <c r="D999" s="21">
        <v>30.4</v>
      </c>
      <c r="E999" s="21">
        <v>73</v>
      </c>
      <c r="F999" s="21">
        <v>514</v>
      </c>
      <c r="G999" s="21">
        <v>6</v>
      </c>
      <c r="H999">
        <v>42</v>
      </c>
      <c r="I999">
        <v>86.72</v>
      </c>
      <c r="J999">
        <v>0.73</v>
      </c>
      <c r="K999" t="str" cm="1">
        <f t="array" ref="K999">_xlfn.IFS(Table4_2[[#This Row],[Growth Days]]&lt;=14,"Seedling",Table4_2[[#This Row],[Growth Days]]&lt;=35, "Vegetative",Table4_2[[#This Row],[Growth Days]]&lt;=50, "Maturity")</f>
        <v>Maturity</v>
      </c>
      <c r="L999" t="str">
        <f>IF(Table4_2[[#This Row],[TDS Value (ppm)]]&lt;560, "Low", IF(Table4_2[[#This Row],[TDS Value (ppm)]]&lt;=800,"Optimal","High"))</f>
        <v>Low</v>
      </c>
    </row>
    <row r="1000" spans="1:12" x14ac:dyDescent="0.25">
      <c r="A1000">
        <v>26</v>
      </c>
      <c r="B1000" s="1">
        <v>45147</v>
      </c>
      <c r="C1000" s="1" t="str">
        <f>TEXT(Table4_2[[#This Row],[Date]],"dddd")</f>
        <v>Wednesday</v>
      </c>
      <c r="D1000" s="21">
        <v>32.299999999999997</v>
      </c>
      <c r="E1000" s="21">
        <v>77</v>
      </c>
      <c r="F1000" s="21">
        <v>513</v>
      </c>
      <c r="G1000" s="21">
        <v>6.5</v>
      </c>
      <c r="H1000">
        <v>7</v>
      </c>
      <c r="I1000">
        <v>90.14</v>
      </c>
      <c r="J1000">
        <v>0.77</v>
      </c>
      <c r="K1000" t="str" cm="1">
        <f t="array" ref="K1000">_xlfn.IFS(Table4_2[[#This Row],[Growth Days]]&lt;=14,"Seedling",Table4_2[[#This Row],[Growth Days]]&lt;=35, "Vegetative",Table4_2[[#This Row],[Growth Days]]&lt;=50, "Maturity")</f>
        <v>Seedling</v>
      </c>
      <c r="L1000" t="str">
        <f>IF(Table4_2[[#This Row],[TDS Value (ppm)]]&lt;560, "Low", IF(Table4_2[[#This Row],[TDS Value (ppm)]]&lt;=800,"Optimal","High"))</f>
        <v>Low</v>
      </c>
    </row>
    <row r="1001" spans="1:12" x14ac:dyDescent="0.25">
      <c r="A1001">
        <v>26</v>
      </c>
      <c r="B1001" s="1">
        <v>45154</v>
      </c>
      <c r="C1001" s="1" t="str">
        <f>TEXT(Table4_2[[#This Row],[Date]],"dddd")</f>
        <v>Wednesday</v>
      </c>
      <c r="D1001" s="21">
        <v>29.8</v>
      </c>
      <c r="E1001" s="21">
        <v>53</v>
      </c>
      <c r="F1001" s="21">
        <v>523</v>
      </c>
      <c r="G1001" s="21">
        <v>6.8</v>
      </c>
      <c r="H1001">
        <v>14</v>
      </c>
      <c r="I1001">
        <v>85.64</v>
      </c>
      <c r="J1001">
        <v>0.53</v>
      </c>
      <c r="K1001" t="str" cm="1">
        <f t="array" ref="K1001">_xlfn.IFS(Table4_2[[#This Row],[Growth Days]]&lt;=14,"Seedling",Table4_2[[#This Row],[Growth Days]]&lt;=35, "Vegetative",Table4_2[[#This Row],[Growth Days]]&lt;=50, "Maturity")</f>
        <v>Seedling</v>
      </c>
      <c r="L1001" t="str">
        <f>IF(Table4_2[[#This Row],[TDS Value (ppm)]]&lt;560, "Low", IF(Table4_2[[#This Row],[TDS Value (ppm)]]&lt;=800,"Optimal","High"))</f>
        <v>Low</v>
      </c>
    </row>
    <row r="1002" spans="1:12" x14ac:dyDescent="0.25">
      <c r="A1002">
        <v>26</v>
      </c>
      <c r="B1002" s="1">
        <v>45161</v>
      </c>
      <c r="C1002" s="1" t="str">
        <f>TEXT(Table4_2[[#This Row],[Date]],"dddd")</f>
        <v>Wednesday</v>
      </c>
      <c r="D1002" s="21">
        <v>30.8</v>
      </c>
      <c r="E1002" s="21">
        <v>57</v>
      </c>
      <c r="F1002" s="21">
        <v>409</v>
      </c>
      <c r="G1002" s="21">
        <v>6.6</v>
      </c>
      <c r="H1002">
        <v>21</v>
      </c>
      <c r="I1002">
        <v>87.44</v>
      </c>
      <c r="J1002">
        <v>0.56999999999999995</v>
      </c>
      <c r="K1002" t="str" cm="1">
        <f t="array" ref="K1002">_xlfn.IFS(Table4_2[[#This Row],[Growth Days]]&lt;=14,"Seedling",Table4_2[[#This Row],[Growth Days]]&lt;=35, "Vegetative",Table4_2[[#This Row],[Growth Days]]&lt;=50, "Maturity")</f>
        <v>Vegetative</v>
      </c>
      <c r="L1002" t="str">
        <f>IF(Table4_2[[#This Row],[TDS Value (ppm)]]&lt;560, "Low", IF(Table4_2[[#This Row],[TDS Value (ppm)]]&lt;=800,"Optimal","High"))</f>
        <v>Low</v>
      </c>
    </row>
    <row r="1003" spans="1:12" x14ac:dyDescent="0.25">
      <c r="A1003">
        <v>26</v>
      </c>
      <c r="B1003" s="1">
        <v>45168</v>
      </c>
      <c r="C1003" s="1" t="str">
        <f>TEXT(Table4_2[[#This Row],[Date]],"dddd")</f>
        <v>Wednesday</v>
      </c>
      <c r="D1003" s="21">
        <v>29.1</v>
      </c>
      <c r="E1003" s="21">
        <v>50</v>
      </c>
      <c r="F1003" s="21">
        <v>578</v>
      </c>
      <c r="G1003" s="21">
        <v>6.5</v>
      </c>
      <c r="H1003">
        <v>28</v>
      </c>
      <c r="I1003">
        <v>84.38</v>
      </c>
      <c r="J1003">
        <v>0.5</v>
      </c>
      <c r="K1003" t="str" cm="1">
        <f t="array" ref="K1003">_xlfn.IFS(Table4_2[[#This Row],[Growth Days]]&lt;=14,"Seedling",Table4_2[[#This Row],[Growth Days]]&lt;=35, "Vegetative",Table4_2[[#This Row],[Growth Days]]&lt;=50, "Maturity")</f>
        <v>Vegetative</v>
      </c>
      <c r="L1003" t="str">
        <f>IF(Table4_2[[#This Row],[TDS Value (ppm)]]&lt;560, "Low", IF(Table4_2[[#This Row],[TDS Value (ppm)]]&lt;=800,"Optimal","High"))</f>
        <v>Optimal</v>
      </c>
    </row>
    <row r="1004" spans="1:12" x14ac:dyDescent="0.25">
      <c r="A1004">
        <v>26</v>
      </c>
      <c r="B1004" s="1">
        <v>45175</v>
      </c>
      <c r="C1004" s="1" t="str">
        <f>TEXT(Table4_2[[#This Row],[Date]],"dddd")</f>
        <v>Wednesday</v>
      </c>
      <c r="D1004" s="21">
        <v>32.1</v>
      </c>
      <c r="E1004" s="21">
        <v>62</v>
      </c>
      <c r="F1004" s="21">
        <v>577</v>
      </c>
      <c r="G1004" s="21">
        <v>6</v>
      </c>
      <c r="H1004">
        <v>35</v>
      </c>
      <c r="I1004">
        <v>89.78</v>
      </c>
      <c r="J1004">
        <v>0.62</v>
      </c>
      <c r="K1004" t="str" cm="1">
        <f t="array" ref="K1004">_xlfn.IFS(Table4_2[[#This Row],[Growth Days]]&lt;=14,"Seedling",Table4_2[[#This Row],[Growth Days]]&lt;=35, "Vegetative",Table4_2[[#This Row],[Growth Days]]&lt;=50, "Maturity")</f>
        <v>Vegetative</v>
      </c>
      <c r="L1004" t="str">
        <f>IF(Table4_2[[#This Row],[TDS Value (ppm)]]&lt;560, "Low", IF(Table4_2[[#This Row],[TDS Value (ppm)]]&lt;=800,"Optimal","High"))</f>
        <v>Optimal</v>
      </c>
    </row>
    <row r="1005" spans="1:12" x14ac:dyDescent="0.25">
      <c r="A1005">
        <v>26</v>
      </c>
      <c r="B1005" s="1">
        <v>45182</v>
      </c>
      <c r="C1005" s="1" t="str">
        <f>TEXT(Table4_2[[#This Row],[Date]],"dddd")</f>
        <v>Wednesday</v>
      </c>
      <c r="D1005" s="21">
        <v>30.4</v>
      </c>
      <c r="E1005" s="21">
        <v>64</v>
      </c>
      <c r="F1005" s="21">
        <v>746</v>
      </c>
      <c r="G1005" s="21">
        <v>6.4</v>
      </c>
      <c r="H1005">
        <v>42</v>
      </c>
      <c r="I1005">
        <v>86.72</v>
      </c>
      <c r="J1005">
        <v>0.64</v>
      </c>
      <c r="K1005" t="str" cm="1">
        <f t="array" ref="K1005">_xlfn.IFS(Table4_2[[#This Row],[Growth Days]]&lt;=14,"Seedling",Table4_2[[#This Row],[Growth Days]]&lt;=35, "Vegetative",Table4_2[[#This Row],[Growth Days]]&lt;=50, "Maturity")</f>
        <v>Maturity</v>
      </c>
      <c r="L1005" t="str">
        <f>IF(Table4_2[[#This Row],[TDS Value (ppm)]]&lt;560, "Low", IF(Table4_2[[#This Row],[TDS Value (ppm)]]&lt;=800,"Optimal","High"))</f>
        <v>Optimal</v>
      </c>
    </row>
    <row r="1006" spans="1:12" x14ac:dyDescent="0.25">
      <c r="A1006">
        <v>27</v>
      </c>
      <c r="B1006" s="1">
        <v>45147</v>
      </c>
      <c r="C1006" s="1" t="str">
        <f>TEXT(Table4_2[[#This Row],[Date]],"dddd")</f>
        <v>Wednesday</v>
      </c>
      <c r="D1006" s="21">
        <v>32.299999999999997</v>
      </c>
      <c r="E1006" s="21">
        <v>80</v>
      </c>
      <c r="F1006" s="21">
        <v>722</v>
      </c>
      <c r="G1006" s="21">
        <v>6.1</v>
      </c>
      <c r="H1006">
        <v>7</v>
      </c>
      <c r="I1006">
        <v>90.14</v>
      </c>
      <c r="J1006">
        <v>0.8</v>
      </c>
      <c r="K1006" t="str" cm="1">
        <f t="array" ref="K1006">_xlfn.IFS(Table4_2[[#This Row],[Growth Days]]&lt;=14,"Seedling",Table4_2[[#This Row],[Growth Days]]&lt;=35, "Vegetative",Table4_2[[#This Row],[Growth Days]]&lt;=50, "Maturity")</f>
        <v>Seedling</v>
      </c>
      <c r="L1006" t="str">
        <f>IF(Table4_2[[#This Row],[TDS Value (ppm)]]&lt;560, "Low", IF(Table4_2[[#This Row],[TDS Value (ppm)]]&lt;=800,"Optimal","High"))</f>
        <v>Optimal</v>
      </c>
    </row>
    <row r="1007" spans="1:12" x14ac:dyDescent="0.25">
      <c r="A1007">
        <v>27</v>
      </c>
      <c r="B1007" s="1">
        <v>45154</v>
      </c>
      <c r="C1007" s="1" t="str">
        <f>TEXT(Table4_2[[#This Row],[Date]],"dddd")</f>
        <v>Wednesday</v>
      </c>
      <c r="D1007" s="21">
        <v>29.8</v>
      </c>
      <c r="E1007" s="21">
        <v>64</v>
      </c>
      <c r="F1007" s="21">
        <v>785</v>
      </c>
      <c r="G1007" s="21">
        <v>6.5</v>
      </c>
      <c r="H1007">
        <v>14</v>
      </c>
      <c r="I1007">
        <v>85.64</v>
      </c>
      <c r="J1007">
        <v>0.64</v>
      </c>
      <c r="K1007" t="str" cm="1">
        <f t="array" ref="K1007">_xlfn.IFS(Table4_2[[#This Row],[Growth Days]]&lt;=14,"Seedling",Table4_2[[#This Row],[Growth Days]]&lt;=35, "Vegetative",Table4_2[[#This Row],[Growth Days]]&lt;=50, "Maturity")</f>
        <v>Seedling</v>
      </c>
      <c r="L1007" t="str">
        <f>IF(Table4_2[[#This Row],[TDS Value (ppm)]]&lt;560, "Low", IF(Table4_2[[#This Row],[TDS Value (ppm)]]&lt;=800,"Optimal","High"))</f>
        <v>Optimal</v>
      </c>
    </row>
    <row r="1008" spans="1:12" x14ac:dyDescent="0.25">
      <c r="A1008">
        <v>27</v>
      </c>
      <c r="B1008" s="1">
        <v>45161</v>
      </c>
      <c r="C1008" s="1" t="str">
        <f>TEXT(Table4_2[[#This Row],[Date]],"dddd")</f>
        <v>Wednesday</v>
      </c>
      <c r="D1008" s="21">
        <v>30.8</v>
      </c>
      <c r="E1008" s="21">
        <v>64</v>
      </c>
      <c r="F1008" s="21">
        <v>736</v>
      </c>
      <c r="G1008" s="21">
        <v>6.5</v>
      </c>
      <c r="H1008">
        <v>21</v>
      </c>
      <c r="I1008">
        <v>87.44</v>
      </c>
      <c r="J1008">
        <v>0.64</v>
      </c>
      <c r="K1008" t="str" cm="1">
        <f t="array" ref="K1008">_xlfn.IFS(Table4_2[[#This Row],[Growth Days]]&lt;=14,"Seedling",Table4_2[[#This Row],[Growth Days]]&lt;=35, "Vegetative",Table4_2[[#This Row],[Growth Days]]&lt;=50, "Maturity")</f>
        <v>Vegetative</v>
      </c>
      <c r="L1008" t="str">
        <f>IF(Table4_2[[#This Row],[TDS Value (ppm)]]&lt;560, "Low", IF(Table4_2[[#This Row],[TDS Value (ppm)]]&lt;=800,"Optimal","High"))</f>
        <v>Optimal</v>
      </c>
    </row>
    <row r="1009" spans="1:12" x14ac:dyDescent="0.25">
      <c r="A1009">
        <v>27</v>
      </c>
      <c r="B1009" s="1">
        <v>45168</v>
      </c>
      <c r="C1009" s="1" t="str">
        <f>TEXT(Table4_2[[#This Row],[Date]],"dddd")</f>
        <v>Wednesday</v>
      </c>
      <c r="D1009" s="21">
        <v>29.1</v>
      </c>
      <c r="E1009" s="21">
        <v>73</v>
      </c>
      <c r="F1009" s="21">
        <v>726</v>
      </c>
      <c r="G1009" s="21">
        <v>6.2</v>
      </c>
      <c r="H1009">
        <v>28</v>
      </c>
      <c r="I1009">
        <v>84.38</v>
      </c>
      <c r="J1009">
        <v>0.73</v>
      </c>
      <c r="K1009" t="str" cm="1">
        <f t="array" ref="K1009">_xlfn.IFS(Table4_2[[#This Row],[Growth Days]]&lt;=14,"Seedling",Table4_2[[#This Row],[Growth Days]]&lt;=35, "Vegetative",Table4_2[[#This Row],[Growth Days]]&lt;=50, "Maturity")</f>
        <v>Vegetative</v>
      </c>
      <c r="L1009" t="str">
        <f>IF(Table4_2[[#This Row],[TDS Value (ppm)]]&lt;560, "Low", IF(Table4_2[[#This Row],[TDS Value (ppm)]]&lt;=800,"Optimal","High"))</f>
        <v>Optimal</v>
      </c>
    </row>
    <row r="1010" spans="1:12" x14ac:dyDescent="0.25">
      <c r="A1010">
        <v>27</v>
      </c>
      <c r="B1010" s="1">
        <v>45175</v>
      </c>
      <c r="C1010" s="1" t="str">
        <f>TEXT(Table4_2[[#This Row],[Date]],"dddd")</f>
        <v>Wednesday</v>
      </c>
      <c r="D1010" s="21">
        <v>32.1</v>
      </c>
      <c r="E1010" s="21">
        <v>70</v>
      </c>
      <c r="F1010" s="21">
        <v>799</v>
      </c>
      <c r="G1010" s="21">
        <v>6.1</v>
      </c>
      <c r="H1010">
        <v>35</v>
      </c>
      <c r="I1010">
        <v>89.78</v>
      </c>
      <c r="J1010">
        <v>0.7</v>
      </c>
      <c r="K1010" t="str" cm="1">
        <f t="array" ref="K1010">_xlfn.IFS(Table4_2[[#This Row],[Growth Days]]&lt;=14,"Seedling",Table4_2[[#This Row],[Growth Days]]&lt;=35, "Vegetative",Table4_2[[#This Row],[Growth Days]]&lt;=50, "Maturity")</f>
        <v>Vegetative</v>
      </c>
      <c r="L1010" t="str">
        <f>IF(Table4_2[[#This Row],[TDS Value (ppm)]]&lt;560, "Low", IF(Table4_2[[#This Row],[TDS Value (ppm)]]&lt;=800,"Optimal","High"))</f>
        <v>Optimal</v>
      </c>
    </row>
    <row r="1011" spans="1:12" x14ac:dyDescent="0.25">
      <c r="A1011">
        <v>27</v>
      </c>
      <c r="B1011" s="1">
        <v>45182</v>
      </c>
      <c r="C1011" s="1" t="str">
        <f>TEXT(Table4_2[[#This Row],[Date]],"dddd")</f>
        <v>Wednesday</v>
      </c>
      <c r="D1011" s="21">
        <v>30.4</v>
      </c>
      <c r="E1011" s="21">
        <v>73</v>
      </c>
      <c r="F1011" s="21">
        <v>645</v>
      </c>
      <c r="G1011" s="21">
        <v>6.5</v>
      </c>
      <c r="H1011">
        <v>42</v>
      </c>
      <c r="I1011">
        <v>86.72</v>
      </c>
      <c r="J1011">
        <v>0.73</v>
      </c>
      <c r="K1011" t="str" cm="1">
        <f t="array" ref="K1011">_xlfn.IFS(Table4_2[[#This Row],[Growth Days]]&lt;=14,"Seedling",Table4_2[[#This Row],[Growth Days]]&lt;=35, "Vegetative",Table4_2[[#This Row],[Growth Days]]&lt;=50, "Maturity")</f>
        <v>Maturity</v>
      </c>
      <c r="L1011" t="str">
        <f>IF(Table4_2[[#This Row],[TDS Value (ppm)]]&lt;560, "Low", IF(Table4_2[[#This Row],[TDS Value (ppm)]]&lt;=800,"Optimal","High"))</f>
        <v>Optimal</v>
      </c>
    </row>
    <row r="1012" spans="1:12" x14ac:dyDescent="0.25">
      <c r="A1012">
        <v>28</v>
      </c>
      <c r="B1012" s="1">
        <v>45147</v>
      </c>
      <c r="C1012" s="1" t="str">
        <f>TEXT(Table4_2[[#This Row],[Date]],"dddd")</f>
        <v>Wednesday</v>
      </c>
      <c r="D1012" s="21">
        <v>32.299999999999997</v>
      </c>
      <c r="E1012" s="21">
        <v>72</v>
      </c>
      <c r="F1012" s="21">
        <v>554</v>
      </c>
      <c r="G1012" s="21">
        <v>6.3</v>
      </c>
      <c r="H1012">
        <v>7</v>
      </c>
      <c r="I1012">
        <v>90.14</v>
      </c>
      <c r="J1012">
        <v>0.72</v>
      </c>
      <c r="K1012" t="str" cm="1">
        <f t="array" ref="K1012">_xlfn.IFS(Table4_2[[#This Row],[Growth Days]]&lt;=14,"Seedling",Table4_2[[#This Row],[Growth Days]]&lt;=35, "Vegetative",Table4_2[[#This Row],[Growth Days]]&lt;=50, "Maturity")</f>
        <v>Seedling</v>
      </c>
      <c r="L1012" t="str">
        <f>IF(Table4_2[[#This Row],[TDS Value (ppm)]]&lt;560, "Low", IF(Table4_2[[#This Row],[TDS Value (ppm)]]&lt;=800,"Optimal","High"))</f>
        <v>Low</v>
      </c>
    </row>
    <row r="1013" spans="1:12" x14ac:dyDescent="0.25">
      <c r="A1013">
        <v>28</v>
      </c>
      <c r="B1013" s="1">
        <v>45154</v>
      </c>
      <c r="C1013" s="1" t="str">
        <f>TEXT(Table4_2[[#This Row],[Date]],"dddd")</f>
        <v>Wednesday</v>
      </c>
      <c r="D1013" s="21">
        <v>29.8</v>
      </c>
      <c r="E1013" s="21">
        <v>60</v>
      </c>
      <c r="F1013" s="21">
        <v>406</v>
      </c>
      <c r="G1013" s="21">
        <v>6.4</v>
      </c>
      <c r="H1013">
        <v>14</v>
      </c>
      <c r="I1013">
        <v>85.64</v>
      </c>
      <c r="J1013">
        <v>0.6</v>
      </c>
      <c r="K1013" t="str" cm="1">
        <f t="array" ref="K1013">_xlfn.IFS(Table4_2[[#This Row],[Growth Days]]&lt;=14,"Seedling",Table4_2[[#This Row],[Growth Days]]&lt;=35, "Vegetative",Table4_2[[#This Row],[Growth Days]]&lt;=50, "Maturity")</f>
        <v>Seedling</v>
      </c>
      <c r="L1013" t="str">
        <f>IF(Table4_2[[#This Row],[TDS Value (ppm)]]&lt;560, "Low", IF(Table4_2[[#This Row],[TDS Value (ppm)]]&lt;=800,"Optimal","High"))</f>
        <v>Low</v>
      </c>
    </row>
    <row r="1014" spans="1:12" x14ac:dyDescent="0.25">
      <c r="A1014">
        <v>28</v>
      </c>
      <c r="B1014" s="1">
        <v>45161</v>
      </c>
      <c r="C1014" s="1" t="str">
        <f>TEXT(Table4_2[[#This Row],[Date]],"dddd")</f>
        <v>Wednesday</v>
      </c>
      <c r="D1014" s="21">
        <v>30.8</v>
      </c>
      <c r="E1014" s="21">
        <v>59</v>
      </c>
      <c r="F1014" s="21">
        <v>788</v>
      </c>
      <c r="G1014" s="21">
        <v>6.6</v>
      </c>
      <c r="H1014">
        <v>21</v>
      </c>
      <c r="I1014">
        <v>87.44</v>
      </c>
      <c r="J1014">
        <v>0.59</v>
      </c>
      <c r="K1014" t="str" cm="1">
        <f t="array" ref="K1014">_xlfn.IFS(Table4_2[[#This Row],[Growth Days]]&lt;=14,"Seedling",Table4_2[[#This Row],[Growth Days]]&lt;=35, "Vegetative",Table4_2[[#This Row],[Growth Days]]&lt;=50, "Maturity")</f>
        <v>Vegetative</v>
      </c>
      <c r="L1014" t="str">
        <f>IF(Table4_2[[#This Row],[TDS Value (ppm)]]&lt;560, "Low", IF(Table4_2[[#This Row],[TDS Value (ppm)]]&lt;=800,"Optimal","High"))</f>
        <v>Optimal</v>
      </c>
    </row>
    <row r="1015" spans="1:12" x14ac:dyDescent="0.25">
      <c r="A1015">
        <v>28</v>
      </c>
      <c r="B1015" s="1">
        <v>45168</v>
      </c>
      <c r="C1015" s="1" t="str">
        <f>TEXT(Table4_2[[#This Row],[Date]],"dddd")</f>
        <v>Wednesday</v>
      </c>
      <c r="D1015" s="21">
        <v>29.1</v>
      </c>
      <c r="E1015" s="21">
        <v>62</v>
      </c>
      <c r="F1015" s="21">
        <v>400</v>
      </c>
      <c r="G1015" s="21">
        <v>6.1</v>
      </c>
      <c r="H1015">
        <v>28</v>
      </c>
      <c r="I1015">
        <v>84.38</v>
      </c>
      <c r="J1015">
        <v>0.62</v>
      </c>
      <c r="K1015" t="str" cm="1">
        <f t="array" ref="K1015">_xlfn.IFS(Table4_2[[#This Row],[Growth Days]]&lt;=14,"Seedling",Table4_2[[#This Row],[Growth Days]]&lt;=35, "Vegetative",Table4_2[[#This Row],[Growth Days]]&lt;=50, "Maturity")</f>
        <v>Vegetative</v>
      </c>
      <c r="L1015" t="str">
        <f>IF(Table4_2[[#This Row],[TDS Value (ppm)]]&lt;560, "Low", IF(Table4_2[[#This Row],[TDS Value (ppm)]]&lt;=800,"Optimal","High"))</f>
        <v>Low</v>
      </c>
    </row>
    <row r="1016" spans="1:12" x14ac:dyDescent="0.25">
      <c r="A1016">
        <v>28</v>
      </c>
      <c r="B1016" s="1">
        <v>45175</v>
      </c>
      <c r="C1016" s="1" t="str">
        <f>TEXT(Table4_2[[#This Row],[Date]],"dddd")</f>
        <v>Wednesday</v>
      </c>
      <c r="D1016" s="21">
        <v>32.1</v>
      </c>
      <c r="E1016" s="21">
        <v>61</v>
      </c>
      <c r="F1016" s="21">
        <v>601</v>
      </c>
      <c r="G1016" s="21">
        <v>6.1</v>
      </c>
      <c r="H1016">
        <v>35</v>
      </c>
      <c r="I1016">
        <v>89.78</v>
      </c>
      <c r="J1016">
        <v>0.61</v>
      </c>
      <c r="K1016" t="str" cm="1">
        <f t="array" ref="K1016">_xlfn.IFS(Table4_2[[#This Row],[Growth Days]]&lt;=14,"Seedling",Table4_2[[#This Row],[Growth Days]]&lt;=35, "Vegetative",Table4_2[[#This Row],[Growth Days]]&lt;=50, "Maturity")</f>
        <v>Vegetative</v>
      </c>
      <c r="L1016" t="str">
        <f>IF(Table4_2[[#This Row],[TDS Value (ppm)]]&lt;560, "Low", IF(Table4_2[[#This Row],[TDS Value (ppm)]]&lt;=800,"Optimal","High"))</f>
        <v>Optimal</v>
      </c>
    </row>
    <row r="1017" spans="1:12" x14ac:dyDescent="0.25">
      <c r="A1017">
        <v>28</v>
      </c>
      <c r="B1017" s="1">
        <v>45182</v>
      </c>
      <c r="C1017" s="1" t="str">
        <f>TEXT(Table4_2[[#This Row],[Date]],"dddd")</f>
        <v>Wednesday</v>
      </c>
      <c r="D1017" s="21">
        <v>30.4</v>
      </c>
      <c r="E1017" s="21">
        <v>79</v>
      </c>
      <c r="F1017" s="21">
        <v>619</v>
      </c>
      <c r="G1017" s="21">
        <v>6.2</v>
      </c>
      <c r="H1017">
        <v>42</v>
      </c>
      <c r="I1017">
        <v>86.72</v>
      </c>
      <c r="J1017">
        <v>0.79</v>
      </c>
      <c r="K1017" t="str" cm="1">
        <f t="array" ref="K1017">_xlfn.IFS(Table4_2[[#This Row],[Growth Days]]&lt;=14,"Seedling",Table4_2[[#This Row],[Growth Days]]&lt;=35, "Vegetative",Table4_2[[#This Row],[Growth Days]]&lt;=50, "Maturity")</f>
        <v>Maturity</v>
      </c>
      <c r="L1017" t="str">
        <f>IF(Table4_2[[#This Row],[TDS Value (ppm)]]&lt;560, "Low", IF(Table4_2[[#This Row],[TDS Value (ppm)]]&lt;=800,"Optimal","High"))</f>
        <v>Optimal</v>
      </c>
    </row>
    <row r="1018" spans="1:12" x14ac:dyDescent="0.25">
      <c r="A1018">
        <v>29</v>
      </c>
      <c r="B1018" s="1">
        <v>45147</v>
      </c>
      <c r="C1018" s="1" t="str">
        <f>TEXT(Table4_2[[#This Row],[Date]],"dddd")</f>
        <v>Wednesday</v>
      </c>
      <c r="D1018" s="21">
        <v>32.299999999999997</v>
      </c>
      <c r="E1018" s="21">
        <v>69</v>
      </c>
      <c r="F1018" s="21">
        <v>704</v>
      </c>
      <c r="G1018" s="21">
        <v>6.5</v>
      </c>
      <c r="H1018">
        <v>7</v>
      </c>
      <c r="I1018">
        <v>90.14</v>
      </c>
      <c r="J1018">
        <v>0.69</v>
      </c>
      <c r="K1018" t="str" cm="1">
        <f t="array" ref="K1018">_xlfn.IFS(Table4_2[[#This Row],[Growth Days]]&lt;=14,"Seedling",Table4_2[[#This Row],[Growth Days]]&lt;=35, "Vegetative",Table4_2[[#This Row],[Growth Days]]&lt;=50, "Maturity")</f>
        <v>Seedling</v>
      </c>
      <c r="L1018" t="str">
        <f>IF(Table4_2[[#This Row],[TDS Value (ppm)]]&lt;560, "Low", IF(Table4_2[[#This Row],[TDS Value (ppm)]]&lt;=800,"Optimal","High"))</f>
        <v>Optimal</v>
      </c>
    </row>
    <row r="1019" spans="1:12" x14ac:dyDescent="0.25">
      <c r="A1019">
        <v>29</v>
      </c>
      <c r="B1019" s="1">
        <v>45154</v>
      </c>
      <c r="C1019" s="1" t="str">
        <f>TEXT(Table4_2[[#This Row],[Date]],"dddd")</f>
        <v>Wednesday</v>
      </c>
      <c r="D1019" s="21">
        <v>29.8</v>
      </c>
      <c r="E1019" s="21">
        <v>64</v>
      </c>
      <c r="F1019" s="21">
        <v>706</v>
      </c>
      <c r="G1019" s="21">
        <v>6.2</v>
      </c>
      <c r="H1019">
        <v>14</v>
      </c>
      <c r="I1019">
        <v>85.64</v>
      </c>
      <c r="J1019">
        <v>0.64</v>
      </c>
      <c r="K1019" t="str" cm="1">
        <f t="array" ref="K1019">_xlfn.IFS(Table4_2[[#This Row],[Growth Days]]&lt;=14,"Seedling",Table4_2[[#This Row],[Growth Days]]&lt;=35, "Vegetative",Table4_2[[#This Row],[Growth Days]]&lt;=50, "Maturity")</f>
        <v>Seedling</v>
      </c>
      <c r="L1019" t="str">
        <f>IF(Table4_2[[#This Row],[TDS Value (ppm)]]&lt;560, "Low", IF(Table4_2[[#This Row],[TDS Value (ppm)]]&lt;=800,"Optimal","High"))</f>
        <v>Optimal</v>
      </c>
    </row>
    <row r="1020" spans="1:12" x14ac:dyDescent="0.25">
      <c r="A1020">
        <v>29</v>
      </c>
      <c r="B1020" s="1">
        <v>45161</v>
      </c>
      <c r="C1020" s="1" t="str">
        <f>TEXT(Table4_2[[#This Row],[Date]],"dddd")</f>
        <v>Wednesday</v>
      </c>
      <c r="D1020" s="21">
        <v>30.8</v>
      </c>
      <c r="E1020" s="21">
        <v>59</v>
      </c>
      <c r="F1020" s="21">
        <v>479</v>
      </c>
      <c r="G1020" s="21">
        <v>6.3</v>
      </c>
      <c r="H1020">
        <v>21</v>
      </c>
      <c r="I1020">
        <v>87.44</v>
      </c>
      <c r="J1020">
        <v>0.59</v>
      </c>
      <c r="K1020" t="str" cm="1">
        <f t="array" ref="K1020">_xlfn.IFS(Table4_2[[#This Row],[Growth Days]]&lt;=14,"Seedling",Table4_2[[#This Row],[Growth Days]]&lt;=35, "Vegetative",Table4_2[[#This Row],[Growth Days]]&lt;=50, "Maturity")</f>
        <v>Vegetative</v>
      </c>
      <c r="L1020" t="str">
        <f>IF(Table4_2[[#This Row],[TDS Value (ppm)]]&lt;560, "Low", IF(Table4_2[[#This Row],[TDS Value (ppm)]]&lt;=800,"Optimal","High"))</f>
        <v>Low</v>
      </c>
    </row>
    <row r="1021" spans="1:12" x14ac:dyDescent="0.25">
      <c r="A1021">
        <v>29</v>
      </c>
      <c r="B1021" s="1">
        <v>45168</v>
      </c>
      <c r="C1021" s="1" t="str">
        <f>TEXT(Table4_2[[#This Row],[Date]],"dddd")</f>
        <v>Wednesday</v>
      </c>
      <c r="D1021" s="21">
        <v>29.1</v>
      </c>
      <c r="E1021" s="21">
        <v>53</v>
      </c>
      <c r="F1021" s="21">
        <v>414</v>
      </c>
      <c r="G1021" s="21">
        <v>6</v>
      </c>
      <c r="H1021">
        <v>28</v>
      </c>
      <c r="I1021">
        <v>84.38</v>
      </c>
      <c r="J1021">
        <v>0.53</v>
      </c>
      <c r="K1021" t="str" cm="1">
        <f t="array" ref="K1021">_xlfn.IFS(Table4_2[[#This Row],[Growth Days]]&lt;=14,"Seedling",Table4_2[[#This Row],[Growth Days]]&lt;=35, "Vegetative",Table4_2[[#This Row],[Growth Days]]&lt;=50, "Maturity")</f>
        <v>Vegetative</v>
      </c>
      <c r="L1021" t="str">
        <f>IF(Table4_2[[#This Row],[TDS Value (ppm)]]&lt;560, "Low", IF(Table4_2[[#This Row],[TDS Value (ppm)]]&lt;=800,"Optimal","High"))</f>
        <v>Low</v>
      </c>
    </row>
    <row r="1022" spans="1:12" x14ac:dyDescent="0.25">
      <c r="A1022">
        <v>29</v>
      </c>
      <c r="B1022" s="1">
        <v>45175</v>
      </c>
      <c r="C1022" s="1" t="str">
        <f>TEXT(Table4_2[[#This Row],[Date]],"dddd")</f>
        <v>Wednesday</v>
      </c>
      <c r="D1022" s="21">
        <v>32.1</v>
      </c>
      <c r="E1022" s="21">
        <v>71</v>
      </c>
      <c r="F1022" s="21">
        <v>428</v>
      </c>
      <c r="G1022" s="21">
        <v>6.5</v>
      </c>
      <c r="H1022">
        <v>35</v>
      </c>
      <c r="I1022">
        <v>89.78</v>
      </c>
      <c r="J1022">
        <v>0.71</v>
      </c>
      <c r="K1022" t="str" cm="1">
        <f t="array" ref="K1022">_xlfn.IFS(Table4_2[[#This Row],[Growth Days]]&lt;=14,"Seedling",Table4_2[[#This Row],[Growth Days]]&lt;=35, "Vegetative",Table4_2[[#This Row],[Growth Days]]&lt;=50, "Maturity")</f>
        <v>Vegetative</v>
      </c>
      <c r="L1022" t="str">
        <f>IF(Table4_2[[#This Row],[TDS Value (ppm)]]&lt;560, "Low", IF(Table4_2[[#This Row],[TDS Value (ppm)]]&lt;=800,"Optimal","High"))</f>
        <v>Low</v>
      </c>
    </row>
    <row r="1023" spans="1:12" x14ac:dyDescent="0.25">
      <c r="A1023">
        <v>29</v>
      </c>
      <c r="B1023" s="1">
        <v>45182</v>
      </c>
      <c r="C1023" s="1" t="str">
        <f>TEXT(Table4_2[[#This Row],[Date]],"dddd")</f>
        <v>Wednesday</v>
      </c>
      <c r="D1023" s="21">
        <v>30.4</v>
      </c>
      <c r="E1023" s="21">
        <v>78</v>
      </c>
      <c r="F1023" s="21">
        <v>635</v>
      </c>
      <c r="G1023" s="21">
        <v>6</v>
      </c>
      <c r="H1023">
        <v>42</v>
      </c>
      <c r="I1023">
        <v>86.72</v>
      </c>
      <c r="J1023">
        <v>0.78</v>
      </c>
      <c r="K1023" t="str" cm="1">
        <f t="array" ref="K1023">_xlfn.IFS(Table4_2[[#This Row],[Growth Days]]&lt;=14,"Seedling",Table4_2[[#This Row],[Growth Days]]&lt;=35, "Vegetative",Table4_2[[#This Row],[Growth Days]]&lt;=50, "Maturity")</f>
        <v>Maturity</v>
      </c>
      <c r="L1023" t="str">
        <f>IF(Table4_2[[#This Row],[TDS Value (ppm)]]&lt;560, "Low", IF(Table4_2[[#This Row],[TDS Value (ppm)]]&lt;=800,"Optimal","High"))</f>
        <v>Optimal</v>
      </c>
    </row>
    <row r="1024" spans="1:12" x14ac:dyDescent="0.25">
      <c r="A1024">
        <v>30</v>
      </c>
      <c r="B1024" s="1">
        <v>45147</v>
      </c>
      <c r="C1024" s="1" t="str">
        <f>TEXT(Table4_2[[#This Row],[Date]],"dddd")</f>
        <v>Wednesday</v>
      </c>
      <c r="D1024" s="21">
        <v>32.299999999999997</v>
      </c>
      <c r="E1024" s="21">
        <v>75</v>
      </c>
      <c r="F1024" s="21">
        <v>747</v>
      </c>
      <c r="G1024" s="21">
        <v>6.7</v>
      </c>
      <c r="H1024">
        <v>7</v>
      </c>
      <c r="I1024">
        <v>90.14</v>
      </c>
      <c r="J1024">
        <v>0.75</v>
      </c>
      <c r="K1024" t="str" cm="1">
        <f t="array" ref="K1024">_xlfn.IFS(Table4_2[[#This Row],[Growth Days]]&lt;=14,"Seedling",Table4_2[[#This Row],[Growth Days]]&lt;=35, "Vegetative",Table4_2[[#This Row],[Growth Days]]&lt;=50, "Maturity")</f>
        <v>Seedling</v>
      </c>
      <c r="L1024" t="str">
        <f>IF(Table4_2[[#This Row],[TDS Value (ppm)]]&lt;560, "Low", IF(Table4_2[[#This Row],[TDS Value (ppm)]]&lt;=800,"Optimal","High"))</f>
        <v>Optimal</v>
      </c>
    </row>
    <row r="1025" spans="1:12" x14ac:dyDescent="0.25">
      <c r="A1025">
        <v>30</v>
      </c>
      <c r="B1025" s="1">
        <v>45154</v>
      </c>
      <c r="C1025" s="1" t="str">
        <f>TEXT(Table4_2[[#This Row],[Date]],"dddd")</f>
        <v>Wednesday</v>
      </c>
      <c r="D1025" s="21">
        <v>29.8</v>
      </c>
      <c r="E1025" s="21">
        <v>57</v>
      </c>
      <c r="F1025" s="21">
        <v>495</v>
      </c>
      <c r="G1025" s="21">
        <v>6.3</v>
      </c>
      <c r="H1025">
        <v>14</v>
      </c>
      <c r="I1025">
        <v>85.64</v>
      </c>
      <c r="J1025">
        <v>0.56999999999999995</v>
      </c>
      <c r="K1025" t="str" cm="1">
        <f t="array" ref="K1025">_xlfn.IFS(Table4_2[[#This Row],[Growth Days]]&lt;=14,"Seedling",Table4_2[[#This Row],[Growth Days]]&lt;=35, "Vegetative",Table4_2[[#This Row],[Growth Days]]&lt;=50, "Maturity")</f>
        <v>Seedling</v>
      </c>
      <c r="L1025" t="str">
        <f>IF(Table4_2[[#This Row],[TDS Value (ppm)]]&lt;560, "Low", IF(Table4_2[[#This Row],[TDS Value (ppm)]]&lt;=800,"Optimal","High"))</f>
        <v>Low</v>
      </c>
    </row>
    <row r="1026" spans="1:12" x14ac:dyDescent="0.25">
      <c r="A1026">
        <v>30</v>
      </c>
      <c r="B1026" s="1">
        <v>45161</v>
      </c>
      <c r="C1026" s="1" t="str">
        <f>TEXT(Table4_2[[#This Row],[Date]],"dddd")</f>
        <v>Wednesday</v>
      </c>
      <c r="D1026" s="21">
        <v>30.8</v>
      </c>
      <c r="E1026" s="21">
        <v>61</v>
      </c>
      <c r="F1026" s="21">
        <v>479</v>
      </c>
      <c r="G1026" s="21">
        <v>6.8</v>
      </c>
      <c r="H1026">
        <v>21</v>
      </c>
      <c r="I1026">
        <v>87.44</v>
      </c>
      <c r="J1026">
        <v>0.61</v>
      </c>
      <c r="K1026" t="str" cm="1">
        <f t="array" ref="K1026">_xlfn.IFS(Table4_2[[#This Row],[Growth Days]]&lt;=14,"Seedling",Table4_2[[#This Row],[Growth Days]]&lt;=35, "Vegetative",Table4_2[[#This Row],[Growth Days]]&lt;=50, "Maturity")</f>
        <v>Vegetative</v>
      </c>
      <c r="L1026" t="str">
        <f>IF(Table4_2[[#This Row],[TDS Value (ppm)]]&lt;560, "Low", IF(Table4_2[[#This Row],[TDS Value (ppm)]]&lt;=800,"Optimal","High"))</f>
        <v>Low</v>
      </c>
    </row>
    <row r="1027" spans="1:12" x14ac:dyDescent="0.25">
      <c r="A1027">
        <v>30</v>
      </c>
      <c r="B1027" s="1">
        <v>45168</v>
      </c>
      <c r="C1027" s="1" t="str">
        <f>TEXT(Table4_2[[#This Row],[Date]],"dddd")</f>
        <v>Wednesday</v>
      </c>
      <c r="D1027" s="21">
        <v>29.1</v>
      </c>
      <c r="E1027" s="21">
        <v>53</v>
      </c>
      <c r="F1027" s="21">
        <v>692</v>
      </c>
      <c r="G1027" s="21">
        <v>6.3</v>
      </c>
      <c r="H1027">
        <v>28</v>
      </c>
      <c r="I1027">
        <v>84.38</v>
      </c>
      <c r="J1027">
        <v>0.53</v>
      </c>
      <c r="K1027" t="str" cm="1">
        <f t="array" ref="K1027">_xlfn.IFS(Table4_2[[#This Row],[Growth Days]]&lt;=14,"Seedling",Table4_2[[#This Row],[Growth Days]]&lt;=35, "Vegetative",Table4_2[[#This Row],[Growth Days]]&lt;=50, "Maturity")</f>
        <v>Vegetative</v>
      </c>
      <c r="L1027" t="str">
        <f>IF(Table4_2[[#This Row],[TDS Value (ppm)]]&lt;560, "Low", IF(Table4_2[[#This Row],[TDS Value (ppm)]]&lt;=800,"Optimal","High"))</f>
        <v>Optimal</v>
      </c>
    </row>
    <row r="1028" spans="1:12" x14ac:dyDescent="0.25">
      <c r="A1028">
        <v>30</v>
      </c>
      <c r="B1028" s="1">
        <v>45175</v>
      </c>
      <c r="C1028" s="1" t="str">
        <f>TEXT(Table4_2[[#This Row],[Date]],"dddd")</f>
        <v>Wednesday</v>
      </c>
      <c r="D1028" s="21">
        <v>32.1</v>
      </c>
      <c r="E1028" s="21">
        <v>78</v>
      </c>
      <c r="F1028" s="21">
        <v>532</v>
      </c>
      <c r="G1028" s="21">
        <v>6.3</v>
      </c>
      <c r="H1028">
        <v>35</v>
      </c>
      <c r="I1028">
        <v>89.78</v>
      </c>
      <c r="J1028">
        <v>0.78</v>
      </c>
      <c r="K1028" t="str" cm="1">
        <f t="array" ref="K1028">_xlfn.IFS(Table4_2[[#This Row],[Growth Days]]&lt;=14,"Seedling",Table4_2[[#This Row],[Growth Days]]&lt;=35, "Vegetative",Table4_2[[#This Row],[Growth Days]]&lt;=50, "Maturity")</f>
        <v>Vegetative</v>
      </c>
      <c r="L1028" t="str">
        <f>IF(Table4_2[[#This Row],[TDS Value (ppm)]]&lt;560, "Low", IF(Table4_2[[#This Row],[TDS Value (ppm)]]&lt;=800,"Optimal","High"))</f>
        <v>Low</v>
      </c>
    </row>
    <row r="1029" spans="1:12" x14ac:dyDescent="0.25">
      <c r="A1029">
        <v>30</v>
      </c>
      <c r="B1029" s="1">
        <v>45182</v>
      </c>
      <c r="C1029" s="1" t="str">
        <f>TEXT(Table4_2[[#This Row],[Date]],"dddd")</f>
        <v>Wednesday</v>
      </c>
      <c r="D1029" s="21">
        <v>30.4</v>
      </c>
      <c r="E1029" s="21">
        <v>52</v>
      </c>
      <c r="F1029" s="21">
        <v>545</v>
      </c>
      <c r="G1029" s="21">
        <v>6</v>
      </c>
      <c r="H1029">
        <v>42</v>
      </c>
      <c r="I1029">
        <v>86.72</v>
      </c>
      <c r="J1029">
        <v>0.52</v>
      </c>
      <c r="K1029" t="str" cm="1">
        <f t="array" ref="K1029">_xlfn.IFS(Table4_2[[#This Row],[Growth Days]]&lt;=14,"Seedling",Table4_2[[#This Row],[Growth Days]]&lt;=35, "Vegetative",Table4_2[[#This Row],[Growth Days]]&lt;=50, "Maturity")</f>
        <v>Maturity</v>
      </c>
      <c r="L1029" t="str">
        <f>IF(Table4_2[[#This Row],[TDS Value (ppm)]]&lt;560, "Low", IF(Table4_2[[#This Row],[TDS Value (ppm)]]&lt;=800,"Optimal","High"))</f>
        <v>Low</v>
      </c>
    </row>
    <row r="1030" spans="1:12" x14ac:dyDescent="0.25">
      <c r="A1030">
        <v>31</v>
      </c>
      <c r="B1030" s="1">
        <v>45147</v>
      </c>
      <c r="C1030" s="1" t="str">
        <f>TEXT(Table4_2[[#This Row],[Date]],"dddd")</f>
        <v>Wednesday</v>
      </c>
      <c r="D1030" s="21">
        <v>32.299999999999997</v>
      </c>
      <c r="E1030" s="21">
        <v>72</v>
      </c>
      <c r="F1030" s="21">
        <v>641</v>
      </c>
      <c r="G1030" s="21">
        <v>6.6</v>
      </c>
      <c r="H1030">
        <v>7</v>
      </c>
      <c r="I1030">
        <v>90.14</v>
      </c>
      <c r="J1030">
        <v>0.72</v>
      </c>
      <c r="K1030" t="str" cm="1">
        <f t="array" ref="K1030">_xlfn.IFS(Table4_2[[#This Row],[Growth Days]]&lt;=14,"Seedling",Table4_2[[#This Row],[Growth Days]]&lt;=35, "Vegetative",Table4_2[[#This Row],[Growth Days]]&lt;=50, "Maturity")</f>
        <v>Seedling</v>
      </c>
      <c r="L1030" t="str">
        <f>IF(Table4_2[[#This Row],[TDS Value (ppm)]]&lt;560, "Low", IF(Table4_2[[#This Row],[TDS Value (ppm)]]&lt;=800,"Optimal","High"))</f>
        <v>Optimal</v>
      </c>
    </row>
    <row r="1031" spans="1:12" x14ac:dyDescent="0.25">
      <c r="A1031">
        <v>31</v>
      </c>
      <c r="B1031" s="1">
        <v>45154</v>
      </c>
      <c r="C1031" s="1" t="str">
        <f>TEXT(Table4_2[[#This Row],[Date]],"dddd")</f>
        <v>Wednesday</v>
      </c>
      <c r="D1031" s="21">
        <v>29.8</v>
      </c>
      <c r="E1031" s="21">
        <v>58</v>
      </c>
      <c r="F1031" s="21">
        <v>521</v>
      </c>
      <c r="G1031" s="21">
        <v>6.2</v>
      </c>
      <c r="H1031">
        <v>14</v>
      </c>
      <c r="I1031">
        <v>85.64</v>
      </c>
      <c r="J1031">
        <v>0.57999999999999996</v>
      </c>
      <c r="K1031" t="str" cm="1">
        <f t="array" ref="K1031">_xlfn.IFS(Table4_2[[#This Row],[Growth Days]]&lt;=14,"Seedling",Table4_2[[#This Row],[Growth Days]]&lt;=35, "Vegetative",Table4_2[[#This Row],[Growth Days]]&lt;=50, "Maturity")</f>
        <v>Seedling</v>
      </c>
      <c r="L1031" t="str">
        <f>IF(Table4_2[[#This Row],[TDS Value (ppm)]]&lt;560, "Low", IF(Table4_2[[#This Row],[TDS Value (ppm)]]&lt;=800,"Optimal","High"))</f>
        <v>Low</v>
      </c>
    </row>
    <row r="1032" spans="1:12" x14ac:dyDescent="0.25">
      <c r="A1032">
        <v>31</v>
      </c>
      <c r="B1032" s="1">
        <v>45161</v>
      </c>
      <c r="C1032" s="1" t="str">
        <f>TEXT(Table4_2[[#This Row],[Date]],"dddd")</f>
        <v>Wednesday</v>
      </c>
      <c r="D1032" s="21">
        <v>30.8</v>
      </c>
      <c r="E1032" s="21">
        <v>74</v>
      </c>
      <c r="F1032" s="21">
        <v>508</v>
      </c>
      <c r="G1032" s="21">
        <v>6.5</v>
      </c>
      <c r="H1032">
        <v>21</v>
      </c>
      <c r="I1032">
        <v>87.44</v>
      </c>
      <c r="J1032">
        <v>0.74</v>
      </c>
      <c r="K1032" t="str" cm="1">
        <f t="array" ref="K1032">_xlfn.IFS(Table4_2[[#This Row],[Growth Days]]&lt;=14,"Seedling",Table4_2[[#This Row],[Growth Days]]&lt;=35, "Vegetative",Table4_2[[#This Row],[Growth Days]]&lt;=50, "Maturity")</f>
        <v>Vegetative</v>
      </c>
      <c r="L1032" t="str">
        <f>IF(Table4_2[[#This Row],[TDS Value (ppm)]]&lt;560, "Low", IF(Table4_2[[#This Row],[TDS Value (ppm)]]&lt;=800,"Optimal","High"))</f>
        <v>Low</v>
      </c>
    </row>
    <row r="1033" spans="1:12" x14ac:dyDescent="0.25">
      <c r="A1033">
        <v>31</v>
      </c>
      <c r="B1033" s="1">
        <v>45168</v>
      </c>
      <c r="C1033" s="1" t="str">
        <f>TEXT(Table4_2[[#This Row],[Date]],"dddd")</f>
        <v>Wednesday</v>
      </c>
      <c r="D1033" s="21">
        <v>29.1</v>
      </c>
      <c r="E1033" s="21">
        <v>78</v>
      </c>
      <c r="F1033" s="21">
        <v>688</v>
      </c>
      <c r="G1033" s="21">
        <v>6.7</v>
      </c>
      <c r="H1033">
        <v>28</v>
      </c>
      <c r="I1033">
        <v>84.38</v>
      </c>
      <c r="J1033">
        <v>0.78</v>
      </c>
      <c r="K1033" t="str" cm="1">
        <f t="array" ref="K1033">_xlfn.IFS(Table4_2[[#This Row],[Growth Days]]&lt;=14,"Seedling",Table4_2[[#This Row],[Growth Days]]&lt;=35, "Vegetative",Table4_2[[#This Row],[Growth Days]]&lt;=50, "Maturity")</f>
        <v>Vegetative</v>
      </c>
      <c r="L1033" t="str">
        <f>IF(Table4_2[[#This Row],[TDS Value (ppm)]]&lt;560, "Low", IF(Table4_2[[#This Row],[TDS Value (ppm)]]&lt;=800,"Optimal","High"))</f>
        <v>Optimal</v>
      </c>
    </row>
    <row r="1034" spans="1:12" x14ac:dyDescent="0.25">
      <c r="A1034">
        <v>31</v>
      </c>
      <c r="B1034" s="1">
        <v>45175</v>
      </c>
      <c r="C1034" s="1" t="str">
        <f>TEXT(Table4_2[[#This Row],[Date]],"dddd")</f>
        <v>Wednesday</v>
      </c>
      <c r="D1034" s="21">
        <v>32.1</v>
      </c>
      <c r="E1034" s="21">
        <v>64</v>
      </c>
      <c r="F1034" s="21">
        <v>422</v>
      </c>
      <c r="G1034" s="21">
        <v>6.4</v>
      </c>
      <c r="H1034">
        <v>35</v>
      </c>
      <c r="I1034">
        <v>89.78</v>
      </c>
      <c r="J1034">
        <v>0.64</v>
      </c>
      <c r="K1034" t="str" cm="1">
        <f t="array" ref="K1034">_xlfn.IFS(Table4_2[[#This Row],[Growth Days]]&lt;=14,"Seedling",Table4_2[[#This Row],[Growth Days]]&lt;=35, "Vegetative",Table4_2[[#This Row],[Growth Days]]&lt;=50, "Maturity")</f>
        <v>Vegetative</v>
      </c>
      <c r="L1034" t="str">
        <f>IF(Table4_2[[#This Row],[TDS Value (ppm)]]&lt;560, "Low", IF(Table4_2[[#This Row],[TDS Value (ppm)]]&lt;=800,"Optimal","High"))</f>
        <v>Low</v>
      </c>
    </row>
    <row r="1035" spans="1:12" x14ac:dyDescent="0.25">
      <c r="A1035">
        <v>31</v>
      </c>
      <c r="B1035" s="1">
        <v>45182</v>
      </c>
      <c r="C1035" s="1" t="str">
        <f>TEXT(Table4_2[[#This Row],[Date]],"dddd")</f>
        <v>Wednesday</v>
      </c>
      <c r="D1035" s="21">
        <v>30.4</v>
      </c>
      <c r="E1035" s="21">
        <v>79</v>
      </c>
      <c r="F1035" s="21">
        <v>790</v>
      </c>
      <c r="G1035" s="21">
        <v>6.7</v>
      </c>
      <c r="H1035">
        <v>42</v>
      </c>
      <c r="I1035">
        <v>86.72</v>
      </c>
      <c r="J1035">
        <v>0.79</v>
      </c>
      <c r="K1035" t="str" cm="1">
        <f t="array" ref="K1035">_xlfn.IFS(Table4_2[[#This Row],[Growth Days]]&lt;=14,"Seedling",Table4_2[[#This Row],[Growth Days]]&lt;=35, "Vegetative",Table4_2[[#This Row],[Growth Days]]&lt;=50, "Maturity")</f>
        <v>Maturity</v>
      </c>
      <c r="L1035" t="str">
        <f>IF(Table4_2[[#This Row],[TDS Value (ppm)]]&lt;560, "Low", IF(Table4_2[[#This Row],[TDS Value (ppm)]]&lt;=800,"Optimal","High"))</f>
        <v>Optimal</v>
      </c>
    </row>
    <row r="1036" spans="1:12" x14ac:dyDescent="0.25">
      <c r="A1036">
        <v>32</v>
      </c>
      <c r="B1036" s="1">
        <v>45147</v>
      </c>
      <c r="C1036" s="1" t="str">
        <f>TEXT(Table4_2[[#This Row],[Date]],"dddd")</f>
        <v>Wednesday</v>
      </c>
      <c r="D1036" s="21">
        <v>32.299999999999997</v>
      </c>
      <c r="E1036" s="21">
        <v>57</v>
      </c>
      <c r="F1036" s="21">
        <v>557</v>
      </c>
      <c r="G1036" s="21">
        <v>6.2</v>
      </c>
      <c r="H1036">
        <v>7</v>
      </c>
      <c r="I1036">
        <v>90.14</v>
      </c>
      <c r="J1036">
        <v>0.56999999999999995</v>
      </c>
      <c r="K1036" t="str" cm="1">
        <f t="array" ref="K1036">_xlfn.IFS(Table4_2[[#This Row],[Growth Days]]&lt;=14,"Seedling",Table4_2[[#This Row],[Growth Days]]&lt;=35, "Vegetative",Table4_2[[#This Row],[Growth Days]]&lt;=50, "Maturity")</f>
        <v>Seedling</v>
      </c>
      <c r="L1036" t="str">
        <f>IF(Table4_2[[#This Row],[TDS Value (ppm)]]&lt;560, "Low", IF(Table4_2[[#This Row],[TDS Value (ppm)]]&lt;=800,"Optimal","High"))</f>
        <v>Low</v>
      </c>
    </row>
    <row r="1037" spans="1:12" x14ac:dyDescent="0.25">
      <c r="A1037">
        <v>32</v>
      </c>
      <c r="B1037" s="1">
        <v>45154</v>
      </c>
      <c r="C1037" s="1" t="str">
        <f>TEXT(Table4_2[[#This Row],[Date]],"dddd")</f>
        <v>Wednesday</v>
      </c>
      <c r="D1037" s="21">
        <v>29.8</v>
      </c>
      <c r="E1037" s="21">
        <v>68</v>
      </c>
      <c r="F1037" s="21">
        <v>571</v>
      </c>
      <c r="G1037" s="21">
        <v>6.1</v>
      </c>
      <c r="H1037">
        <v>14</v>
      </c>
      <c r="I1037">
        <v>85.64</v>
      </c>
      <c r="J1037">
        <v>0.68</v>
      </c>
      <c r="K1037" t="str" cm="1">
        <f t="array" ref="K1037">_xlfn.IFS(Table4_2[[#This Row],[Growth Days]]&lt;=14,"Seedling",Table4_2[[#This Row],[Growth Days]]&lt;=35, "Vegetative",Table4_2[[#This Row],[Growth Days]]&lt;=50, "Maturity")</f>
        <v>Seedling</v>
      </c>
      <c r="L1037" t="str">
        <f>IF(Table4_2[[#This Row],[TDS Value (ppm)]]&lt;560, "Low", IF(Table4_2[[#This Row],[TDS Value (ppm)]]&lt;=800,"Optimal","High"))</f>
        <v>Optimal</v>
      </c>
    </row>
    <row r="1038" spans="1:12" x14ac:dyDescent="0.25">
      <c r="A1038">
        <v>32</v>
      </c>
      <c r="B1038" s="1">
        <v>45161</v>
      </c>
      <c r="C1038" s="1" t="str">
        <f>TEXT(Table4_2[[#This Row],[Date]],"dddd")</f>
        <v>Wednesday</v>
      </c>
      <c r="D1038" s="21">
        <v>30.8</v>
      </c>
      <c r="E1038" s="21">
        <v>61</v>
      </c>
      <c r="F1038" s="21">
        <v>721</v>
      </c>
      <c r="G1038" s="21">
        <v>6</v>
      </c>
      <c r="H1038">
        <v>21</v>
      </c>
      <c r="I1038">
        <v>87.44</v>
      </c>
      <c r="J1038">
        <v>0.61</v>
      </c>
      <c r="K1038" t="str" cm="1">
        <f t="array" ref="K1038">_xlfn.IFS(Table4_2[[#This Row],[Growth Days]]&lt;=14,"Seedling",Table4_2[[#This Row],[Growth Days]]&lt;=35, "Vegetative",Table4_2[[#This Row],[Growth Days]]&lt;=50, "Maturity")</f>
        <v>Vegetative</v>
      </c>
      <c r="L1038" t="str">
        <f>IF(Table4_2[[#This Row],[TDS Value (ppm)]]&lt;560, "Low", IF(Table4_2[[#This Row],[TDS Value (ppm)]]&lt;=800,"Optimal","High"))</f>
        <v>Optimal</v>
      </c>
    </row>
    <row r="1039" spans="1:12" x14ac:dyDescent="0.25">
      <c r="A1039">
        <v>32</v>
      </c>
      <c r="B1039" s="1">
        <v>45168</v>
      </c>
      <c r="C1039" s="1" t="str">
        <f>TEXT(Table4_2[[#This Row],[Date]],"dddd")</f>
        <v>Wednesday</v>
      </c>
      <c r="D1039" s="21">
        <v>29.1</v>
      </c>
      <c r="E1039" s="21">
        <v>53</v>
      </c>
      <c r="F1039" s="21">
        <v>796</v>
      </c>
      <c r="G1039" s="21">
        <v>6.8</v>
      </c>
      <c r="H1039">
        <v>28</v>
      </c>
      <c r="I1039">
        <v>84.38</v>
      </c>
      <c r="J1039">
        <v>0.53</v>
      </c>
      <c r="K1039" t="str" cm="1">
        <f t="array" ref="K1039">_xlfn.IFS(Table4_2[[#This Row],[Growth Days]]&lt;=14,"Seedling",Table4_2[[#This Row],[Growth Days]]&lt;=35, "Vegetative",Table4_2[[#This Row],[Growth Days]]&lt;=50, "Maturity")</f>
        <v>Vegetative</v>
      </c>
      <c r="L1039" t="str">
        <f>IF(Table4_2[[#This Row],[TDS Value (ppm)]]&lt;560, "Low", IF(Table4_2[[#This Row],[TDS Value (ppm)]]&lt;=800,"Optimal","High"))</f>
        <v>Optimal</v>
      </c>
    </row>
    <row r="1040" spans="1:12" x14ac:dyDescent="0.25">
      <c r="A1040">
        <v>32</v>
      </c>
      <c r="B1040" s="1">
        <v>45175</v>
      </c>
      <c r="C1040" s="1" t="str">
        <f>TEXT(Table4_2[[#This Row],[Date]],"dddd")</f>
        <v>Wednesday</v>
      </c>
      <c r="D1040" s="21">
        <v>32.1</v>
      </c>
      <c r="E1040" s="21">
        <v>77</v>
      </c>
      <c r="F1040" s="21">
        <v>596</v>
      </c>
      <c r="G1040" s="21">
        <v>6.5</v>
      </c>
      <c r="H1040">
        <v>35</v>
      </c>
      <c r="I1040">
        <v>89.78</v>
      </c>
      <c r="J1040">
        <v>0.77</v>
      </c>
      <c r="K1040" t="str" cm="1">
        <f t="array" ref="K1040">_xlfn.IFS(Table4_2[[#This Row],[Growth Days]]&lt;=14,"Seedling",Table4_2[[#This Row],[Growth Days]]&lt;=35, "Vegetative",Table4_2[[#This Row],[Growth Days]]&lt;=50, "Maturity")</f>
        <v>Vegetative</v>
      </c>
      <c r="L1040" t="str">
        <f>IF(Table4_2[[#This Row],[TDS Value (ppm)]]&lt;560, "Low", IF(Table4_2[[#This Row],[TDS Value (ppm)]]&lt;=800,"Optimal","High"))</f>
        <v>Optimal</v>
      </c>
    </row>
    <row r="1041" spans="1:12" x14ac:dyDescent="0.25">
      <c r="A1041">
        <v>32</v>
      </c>
      <c r="B1041" s="1">
        <v>45182</v>
      </c>
      <c r="C1041" s="1" t="str">
        <f>TEXT(Table4_2[[#This Row],[Date]],"dddd")</f>
        <v>Wednesday</v>
      </c>
      <c r="D1041" s="21">
        <v>30.4</v>
      </c>
      <c r="E1041" s="21">
        <v>78</v>
      </c>
      <c r="F1041" s="21">
        <v>465</v>
      </c>
      <c r="G1041" s="21">
        <v>6.6</v>
      </c>
      <c r="H1041">
        <v>42</v>
      </c>
      <c r="I1041">
        <v>86.72</v>
      </c>
      <c r="J1041">
        <v>0.78</v>
      </c>
      <c r="K1041" t="str" cm="1">
        <f t="array" ref="K1041">_xlfn.IFS(Table4_2[[#This Row],[Growth Days]]&lt;=14,"Seedling",Table4_2[[#This Row],[Growth Days]]&lt;=35, "Vegetative",Table4_2[[#This Row],[Growth Days]]&lt;=50, "Maturity")</f>
        <v>Maturity</v>
      </c>
      <c r="L1041" t="str">
        <f>IF(Table4_2[[#This Row],[TDS Value (ppm)]]&lt;560, "Low", IF(Table4_2[[#This Row],[TDS Value (ppm)]]&lt;=800,"Optimal","High"))</f>
        <v>Low</v>
      </c>
    </row>
    <row r="1042" spans="1:12" x14ac:dyDescent="0.25">
      <c r="A1042">
        <v>33</v>
      </c>
      <c r="B1042" s="1">
        <v>45147</v>
      </c>
      <c r="C1042" s="1" t="str">
        <f>TEXT(Table4_2[[#This Row],[Date]],"dddd")</f>
        <v>Wednesday</v>
      </c>
      <c r="D1042" s="21">
        <v>32.299999999999997</v>
      </c>
      <c r="E1042" s="21">
        <v>75</v>
      </c>
      <c r="F1042" s="21">
        <v>447</v>
      </c>
      <c r="G1042" s="21">
        <v>6.7</v>
      </c>
      <c r="H1042">
        <v>7</v>
      </c>
      <c r="I1042">
        <v>90.14</v>
      </c>
      <c r="J1042">
        <v>0.75</v>
      </c>
      <c r="K1042" t="str" cm="1">
        <f t="array" ref="K1042">_xlfn.IFS(Table4_2[[#This Row],[Growth Days]]&lt;=14,"Seedling",Table4_2[[#This Row],[Growth Days]]&lt;=35, "Vegetative",Table4_2[[#This Row],[Growth Days]]&lt;=50, "Maturity")</f>
        <v>Seedling</v>
      </c>
      <c r="L1042" t="str">
        <f>IF(Table4_2[[#This Row],[TDS Value (ppm)]]&lt;560, "Low", IF(Table4_2[[#This Row],[TDS Value (ppm)]]&lt;=800,"Optimal","High"))</f>
        <v>Low</v>
      </c>
    </row>
    <row r="1043" spans="1:12" x14ac:dyDescent="0.25">
      <c r="A1043">
        <v>33</v>
      </c>
      <c r="B1043" s="1">
        <v>45154</v>
      </c>
      <c r="C1043" s="1" t="str">
        <f>TEXT(Table4_2[[#This Row],[Date]],"dddd")</f>
        <v>Wednesday</v>
      </c>
      <c r="D1043" s="21">
        <v>29.8</v>
      </c>
      <c r="E1043" s="21">
        <v>62</v>
      </c>
      <c r="F1043" s="21">
        <v>793</v>
      </c>
      <c r="G1043" s="21">
        <v>6.2</v>
      </c>
      <c r="H1043">
        <v>14</v>
      </c>
      <c r="I1043">
        <v>85.64</v>
      </c>
      <c r="J1043">
        <v>0.62</v>
      </c>
      <c r="K1043" t="str" cm="1">
        <f t="array" ref="K1043">_xlfn.IFS(Table4_2[[#This Row],[Growth Days]]&lt;=14,"Seedling",Table4_2[[#This Row],[Growth Days]]&lt;=35, "Vegetative",Table4_2[[#This Row],[Growth Days]]&lt;=50, "Maturity")</f>
        <v>Seedling</v>
      </c>
      <c r="L1043" t="str">
        <f>IF(Table4_2[[#This Row],[TDS Value (ppm)]]&lt;560, "Low", IF(Table4_2[[#This Row],[TDS Value (ppm)]]&lt;=800,"Optimal","High"))</f>
        <v>Optimal</v>
      </c>
    </row>
    <row r="1044" spans="1:12" x14ac:dyDescent="0.25">
      <c r="A1044">
        <v>33</v>
      </c>
      <c r="B1044" s="1">
        <v>45161</v>
      </c>
      <c r="C1044" s="1" t="str">
        <f>TEXT(Table4_2[[#This Row],[Date]],"dddd")</f>
        <v>Wednesday</v>
      </c>
      <c r="D1044" s="21">
        <v>30.8</v>
      </c>
      <c r="E1044" s="21">
        <v>74</v>
      </c>
      <c r="F1044" s="21">
        <v>647</v>
      </c>
      <c r="G1044" s="21">
        <v>6.6</v>
      </c>
      <c r="H1044">
        <v>21</v>
      </c>
      <c r="I1044">
        <v>87.44</v>
      </c>
      <c r="J1044">
        <v>0.74</v>
      </c>
      <c r="K1044" t="str" cm="1">
        <f t="array" ref="K1044">_xlfn.IFS(Table4_2[[#This Row],[Growth Days]]&lt;=14,"Seedling",Table4_2[[#This Row],[Growth Days]]&lt;=35, "Vegetative",Table4_2[[#This Row],[Growth Days]]&lt;=50, "Maturity")</f>
        <v>Vegetative</v>
      </c>
      <c r="L1044" t="str">
        <f>IF(Table4_2[[#This Row],[TDS Value (ppm)]]&lt;560, "Low", IF(Table4_2[[#This Row],[TDS Value (ppm)]]&lt;=800,"Optimal","High"))</f>
        <v>Optimal</v>
      </c>
    </row>
    <row r="1045" spans="1:12" x14ac:dyDescent="0.25">
      <c r="A1045">
        <v>33</v>
      </c>
      <c r="B1045" s="1">
        <v>45168</v>
      </c>
      <c r="C1045" s="1" t="str">
        <f>TEXT(Table4_2[[#This Row],[Date]],"dddd")</f>
        <v>Wednesday</v>
      </c>
      <c r="D1045" s="21">
        <v>29.1</v>
      </c>
      <c r="E1045" s="21">
        <v>60</v>
      </c>
      <c r="F1045" s="21">
        <v>446</v>
      </c>
      <c r="G1045" s="21">
        <v>6.2</v>
      </c>
      <c r="H1045">
        <v>28</v>
      </c>
      <c r="I1045">
        <v>84.38</v>
      </c>
      <c r="J1045">
        <v>0.6</v>
      </c>
      <c r="K1045" t="str" cm="1">
        <f t="array" ref="K1045">_xlfn.IFS(Table4_2[[#This Row],[Growth Days]]&lt;=14,"Seedling",Table4_2[[#This Row],[Growth Days]]&lt;=35, "Vegetative",Table4_2[[#This Row],[Growth Days]]&lt;=50, "Maturity")</f>
        <v>Vegetative</v>
      </c>
      <c r="L1045" t="str">
        <f>IF(Table4_2[[#This Row],[TDS Value (ppm)]]&lt;560, "Low", IF(Table4_2[[#This Row],[TDS Value (ppm)]]&lt;=800,"Optimal","High"))</f>
        <v>Low</v>
      </c>
    </row>
    <row r="1046" spans="1:12" x14ac:dyDescent="0.25">
      <c r="A1046">
        <v>33</v>
      </c>
      <c r="B1046" s="1">
        <v>45175</v>
      </c>
      <c r="C1046" s="1" t="str">
        <f>TEXT(Table4_2[[#This Row],[Date]],"dddd")</f>
        <v>Wednesday</v>
      </c>
      <c r="D1046" s="21">
        <v>32.1</v>
      </c>
      <c r="E1046" s="21">
        <v>67</v>
      </c>
      <c r="F1046" s="21">
        <v>741</v>
      </c>
      <c r="G1046" s="21">
        <v>6.3</v>
      </c>
      <c r="H1046">
        <v>35</v>
      </c>
      <c r="I1046">
        <v>89.78</v>
      </c>
      <c r="J1046">
        <v>0.67</v>
      </c>
      <c r="K1046" t="str" cm="1">
        <f t="array" ref="K1046">_xlfn.IFS(Table4_2[[#This Row],[Growth Days]]&lt;=14,"Seedling",Table4_2[[#This Row],[Growth Days]]&lt;=35, "Vegetative",Table4_2[[#This Row],[Growth Days]]&lt;=50, "Maturity")</f>
        <v>Vegetative</v>
      </c>
      <c r="L1046" t="str">
        <f>IF(Table4_2[[#This Row],[TDS Value (ppm)]]&lt;560, "Low", IF(Table4_2[[#This Row],[TDS Value (ppm)]]&lt;=800,"Optimal","High"))</f>
        <v>Optimal</v>
      </c>
    </row>
    <row r="1047" spans="1:12" x14ac:dyDescent="0.25">
      <c r="A1047">
        <v>33</v>
      </c>
      <c r="B1047" s="1">
        <v>45182</v>
      </c>
      <c r="C1047" s="1" t="str">
        <f>TEXT(Table4_2[[#This Row],[Date]],"dddd")</f>
        <v>Wednesday</v>
      </c>
      <c r="D1047" s="21">
        <v>30.4</v>
      </c>
      <c r="E1047" s="21">
        <v>56</v>
      </c>
      <c r="F1047" s="21">
        <v>578</v>
      </c>
      <c r="G1047" s="21">
        <v>6.4</v>
      </c>
      <c r="H1047">
        <v>42</v>
      </c>
      <c r="I1047">
        <v>86.72</v>
      </c>
      <c r="J1047">
        <v>0.56000000000000005</v>
      </c>
      <c r="K1047" t="str" cm="1">
        <f t="array" ref="K1047">_xlfn.IFS(Table4_2[[#This Row],[Growth Days]]&lt;=14,"Seedling",Table4_2[[#This Row],[Growth Days]]&lt;=35, "Vegetative",Table4_2[[#This Row],[Growth Days]]&lt;=50, "Maturity")</f>
        <v>Maturity</v>
      </c>
      <c r="L1047" t="str">
        <f>IF(Table4_2[[#This Row],[TDS Value (ppm)]]&lt;560, "Low", IF(Table4_2[[#This Row],[TDS Value (ppm)]]&lt;=800,"Optimal","High"))</f>
        <v>Optimal</v>
      </c>
    </row>
    <row r="1048" spans="1:12" x14ac:dyDescent="0.25">
      <c r="A1048">
        <v>34</v>
      </c>
      <c r="B1048" s="1">
        <v>45147</v>
      </c>
      <c r="C1048" s="1" t="str">
        <f>TEXT(Table4_2[[#This Row],[Date]],"dddd")</f>
        <v>Wednesday</v>
      </c>
      <c r="D1048" s="21">
        <v>32.299999999999997</v>
      </c>
      <c r="E1048" s="21">
        <v>68</v>
      </c>
      <c r="F1048" s="21">
        <v>684</v>
      </c>
      <c r="G1048" s="21">
        <v>6.4</v>
      </c>
      <c r="H1048">
        <v>7</v>
      </c>
      <c r="I1048">
        <v>90.14</v>
      </c>
      <c r="J1048">
        <v>0.68</v>
      </c>
      <c r="K1048" t="str" cm="1">
        <f t="array" ref="K1048">_xlfn.IFS(Table4_2[[#This Row],[Growth Days]]&lt;=14,"Seedling",Table4_2[[#This Row],[Growth Days]]&lt;=35, "Vegetative",Table4_2[[#This Row],[Growth Days]]&lt;=50, "Maturity")</f>
        <v>Seedling</v>
      </c>
      <c r="L1048" t="str">
        <f>IF(Table4_2[[#This Row],[TDS Value (ppm)]]&lt;560, "Low", IF(Table4_2[[#This Row],[TDS Value (ppm)]]&lt;=800,"Optimal","High"))</f>
        <v>Optimal</v>
      </c>
    </row>
    <row r="1049" spans="1:12" x14ac:dyDescent="0.25">
      <c r="A1049">
        <v>34</v>
      </c>
      <c r="B1049" s="1">
        <v>45154</v>
      </c>
      <c r="C1049" s="1" t="str">
        <f>TEXT(Table4_2[[#This Row],[Date]],"dddd")</f>
        <v>Wednesday</v>
      </c>
      <c r="D1049" s="21">
        <v>29.8</v>
      </c>
      <c r="E1049" s="21">
        <v>55</v>
      </c>
      <c r="F1049" s="21">
        <v>794</v>
      </c>
      <c r="G1049" s="21">
        <v>6.3</v>
      </c>
      <c r="H1049">
        <v>14</v>
      </c>
      <c r="I1049">
        <v>85.64</v>
      </c>
      <c r="J1049">
        <v>0.55000000000000004</v>
      </c>
      <c r="K1049" t="str" cm="1">
        <f t="array" ref="K1049">_xlfn.IFS(Table4_2[[#This Row],[Growth Days]]&lt;=14,"Seedling",Table4_2[[#This Row],[Growth Days]]&lt;=35, "Vegetative",Table4_2[[#This Row],[Growth Days]]&lt;=50, "Maturity")</f>
        <v>Seedling</v>
      </c>
      <c r="L1049" t="str">
        <f>IF(Table4_2[[#This Row],[TDS Value (ppm)]]&lt;560, "Low", IF(Table4_2[[#This Row],[TDS Value (ppm)]]&lt;=800,"Optimal","High"))</f>
        <v>Optimal</v>
      </c>
    </row>
    <row r="1050" spans="1:12" x14ac:dyDescent="0.25">
      <c r="A1050">
        <v>34</v>
      </c>
      <c r="B1050" s="1">
        <v>45161</v>
      </c>
      <c r="C1050" s="1" t="str">
        <f>TEXT(Table4_2[[#This Row],[Date]],"dddd")</f>
        <v>Wednesday</v>
      </c>
      <c r="D1050" s="21">
        <v>30.8</v>
      </c>
      <c r="E1050" s="21">
        <v>58</v>
      </c>
      <c r="F1050" s="21">
        <v>654</v>
      </c>
      <c r="G1050" s="21">
        <v>6.1</v>
      </c>
      <c r="H1050">
        <v>21</v>
      </c>
      <c r="I1050">
        <v>87.44</v>
      </c>
      <c r="J1050">
        <v>0.57999999999999996</v>
      </c>
      <c r="K1050" t="str" cm="1">
        <f t="array" ref="K1050">_xlfn.IFS(Table4_2[[#This Row],[Growth Days]]&lt;=14,"Seedling",Table4_2[[#This Row],[Growth Days]]&lt;=35, "Vegetative",Table4_2[[#This Row],[Growth Days]]&lt;=50, "Maturity")</f>
        <v>Vegetative</v>
      </c>
      <c r="L1050" t="str">
        <f>IF(Table4_2[[#This Row],[TDS Value (ppm)]]&lt;560, "Low", IF(Table4_2[[#This Row],[TDS Value (ppm)]]&lt;=800,"Optimal","High"))</f>
        <v>Optimal</v>
      </c>
    </row>
    <row r="1051" spans="1:12" x14ac:dyDescent="0.25">
      <c r="A1051">
        <v>34</v>
      </c>
      <c r="B1051" s="1">
        <v>45168</v>
      </c>
      <c r="C1051" s="1" t="str">
        <f>TEXT(Table4_2[[#This Row],[Date]],"dddd")</f>
        <v>Wednesday</v>
      </c>
      <c r="D1051" s="21">
        <v>29.1</v>
      </c>
      <c r="E1051" s="21">
        <v>74</v>
      </c>
      <c r="F1051" s="21">
        <v>544</v>
      </c>
      <c r="G1051" s="21">
        <v>6.6</v>
      </c>
      <c r="H1051">
        <v>28</v>
      </c>
      <c r="I1051">
        <v>84.38</v>
      </c>
      <c r="J1051">
        <v>0.74</v>
      </c>
      <c r="K1051" t="str" cm="1">
        <f t="array" ref="K1051">_xlfn.IFS(Table4_2[[#This Row],[Growth Days]]&lt;=14,"Seedling",Table4_2[[#This Row],[Growth Days]]&lt;=35, "Vegetative",Table4_2[[#This Row],[Growth Days]]&lt;=50, "Maturity")</f>
        <v>Vegetative</v>
      </c>
      <c r="L1051" t="str">
        <f>IF(Table4_2[[#This Row],[TDS Value (ppm)]]&lt;560, "Low", IF(Table4_2[[#This Row],[TDS Value (ppm)]]&lt;=800,"Optimal","High"))</f>
        <v>Low</v>
      </c>
    </row>
    <row r="1052" spans="1:12" x14ac:dyDescent="0.25">
      <c r="A1052">
        <v>34</v>
      </c>
      <c r="B1052" s="1">
        <v>45175</v>
      </c>
      <c r="C1052" s="1" t="str">
        <f>TEXT(Table4_2[[#This Row],[Date]],"dddd")</f>
        <v>Wednesday</v>
      </c>
      <c r="D1052" s="21">
        <v>32.1</v>
      </c>
      <c r="E1052" s="21">
        <v>54</v>
      </c>
      <c r="F1052" s="21">
        <v>435</v>
      </c>
      <c r="G1052" s="21">
        <v>6.2</v>
      </c>
      <c r="H1052">
        <v>35</v>
      </c>
      <c r="I1052">
        <v>89.78</v>
      </c>
      <c r="J1052">
        <v>0.54</v>
      </c>
      <c r="K1052" t="str" cm="1">
        <f t="array" ref="K1052">_xlfn.IFS(Table4_2[[#This Row],[Growth Days]]&lt;=14,"Seedling",Table4_2[[#This Row],[Growth Days]]&lt;=35, "Vegetative",Table4_2[[#This Row],[Growth Days]]&lt;=50, "Maturity")</f>
        <v>Vegetative</v>
      </c>
      <c r="L1052" t="str">
        <f>IF(Table4_2[[#This Row],[TDS Value (ppm)]]&lt;560, "Low", IF(Table4_2[[#This Row],[TDS Value (ppm)]]&lt;=800,"Optimal","High"))</f>
        <v>Low</v>
      </c>
    </row>
    <row r="1053" spans="1:12" x14ac:dyDescent="0.25">
      <c r="A1053">
        <v>34</v>
      </c>
      <c r="B1053" s="1">
        <v>45182</v>
      </c>
      <c r="C1053" s="1" t="str">
        <f>TEXT(Table4_2[[#This Row],[Date]],"dddd")</f>
        <v>Wednesday</v>
      </c>
      <c r="D1053" s="21">
        <v>30.4</v>
      </c>
      <c r="E1053" s="21">
        <v>69</v>
      </c>
      <c r="F1053" s="21">
        <v>535</v>
      </c>
      <c r="G1053" s="21">
        <v>6.3</v>
      </c>
      <c r="H1053">
        <v>42</v>
      </c>
      <c r="I1053">
        <v>86.72</v>
      </c>
      <c r="J1053">
        <v>0.69</v>
      </c>
      <c r="K1053" t="str" cm="1">
        <f t="array" ref="K1053">_xlfn.IFS(Table4_2[[#This Row],[Growth Days]]&lt;=14,"Seedling",Table4_2[[#This Row],[Growth Days]]&lt;=35, "Vegetative",Table4_2[[#This Row],[Growth Days]]&lt;=50, "Maturity")</f>
        <v>Maturity</v>
      </c>
      <c r="L1053" t="str">
        <f>IF(Table4_2[[#This Row],[TDS Value (ppm)]]&lt;560, "Low", IF(Table4_2[[#This Row],[TDS Value (ppm)]]&lt;=800,"Optimal","High"))</f>
        <v>Low</v>
      </c>
    </row>
    <row r="1054" spans="1:12" x14ac:dyDescent="0.25">
      <c r="A1054">
        <v>35</v>
      </c>
      <c r="B1054" s="1">
        <v>45147</v>
      </c>
      <c r="C1054" s="1" t="str">
        <f>TEXT(Table4_2[[#This Row],[Date]],"dddd")</f>
        <v>Wednesday</v>
      </c>
      <c r="D1054" s="21">
        <v>32.299999999999997</v>
      </c>
      <c r="E1054" s="21">
        <v>79</v>
      </c>
      <c r="F1054" s="21">
        <v>747</v>
      </c>
      <c r="G1054" s="21">
        <v>6.7</v>
      </c>
      <c r="H1054">
        <v>7</v>
      </c>
      <c r="I1054">
        <v>90.14</v>
      </c>
      <c r="J1054">
        <v>0.79</v>
      </c>
      <c r="K1054" t="str" cm="1">
        <f t="array" ref="K1054">_xlfn.IFS(Table4_2[[#This Row],[Growth Days]]&lt;=14,"Seedling",Table4_2[[#This Row],[Growth Days]]&lt;=35, "Vegetative",Table4_2[[#This Row],[Growth Days]]&lt;=50, "Maturity")</f>
        <v>Seedling</v>
      </c>
      <c r="L1054" t="str">
        <f>IF(Table4_2[[#This Row],[TDS Value (ppm)]]&lt;560, "Low", IF(Table4_2[[#This Row],[TDS Value (ppm)]]&lt;=800,"Optimal","High"))</f>
        <v>Optimal</v>
      </c>
    </row>
    <row r="1055" spans="1:12" x14ac:dyDescent="0.25">
      <c r="A1055">
        <v>35</v>
      </c>
      <c r="B1055" s="1">
        <v>45154</v>
      </c>
      <c r="C1055" s="1" t="str">
        <f>TEXT(Table4_2[[#This Row],[Date]],"dddd")</f>
        <v>Wednesday</v>
      </c>
      <c r="D1055" s="21">
        <v>29.8</v>
      </c>
      <c r="E1055" s="21">
        <v>59</v>
      </c>
      <c r="F1055" s="21">
        <v>720</v>
      </c>
      <c r="G1055" s="21">
        <v>6.2</v>
      </c>
      <c r="H1055">
        <v>14</v>
      </c>
      <c r="I1055">
        <v>85.64</v>
      </c>
      <c r="J1055">
        <v>0.59</v>
      </c>
      <c r="K1055" t="str" cm="1">
        <f t="array" ref="K1055">_xlfn.IFS(Table4_2[[#This Row],[Growth Days]]&lt;=14,"Seedling",Table4_2[[#This Row],[Growth Days]]&lt;=35, "Vegetative",Table4_2[[#This Row],[Growth Days]]&lt;=50, "Maturity")</f>
        <v>Seedling</v>
      </c>
      <c r="L1055" t="str">
        <f>IF(Table4_2[[#This Row],[TDS Value (ppm)]]&lt;560, "Low", IF(Table4_2[[#This Row],[TDS Value (ppm)]]&lt;=800,"Optimal","High"))</f>
        <v>Optimal</v>
      </c>
    </row>
    <row r="1056" spans="1:12" x14ac:dyDescent="0.25">
      <c r="A1056">
        <v>35</v>
      </c>
      <c r="B1056" s="1">
        <v>45161</v>
      </c>
      <c r="C1056" s="1" t="str">
        <f>TEXT(Table4_2[[#This Row],[Date]],"dddd")</f>
        <v>Wednesday</v>
      </c>
      <c r="D1056" s="21">
        <v>30.8</v>
      </c>
      <c r="E1056" s="21">
        <v>66</v>
      </c>
      <c r="F1056" s="21">
        <v>725</v>
      </c>
      <c r="G1056" s="21">
        <v>6.1</v>
      </c>
      <c r="H1056">
        <v>21</v>
      </c>
      <c r="I1056">
        <v>87.44</v>
      </c>
      <c r="J1056">
        <v>0.66</v>
      </c>
      <c r="K1056" t="str" cm="1">
        <f t="array" ref="K1056">_xlfn.IFS(Table4_2[[#This Row],[Growth Days]]&lt;=14,"Seedling",Table4_2[[#This Row],[Growth Days]]&lt;=35, "Vegetative",Table4_2[[#This Row],[Growth Days]]&lt;=50, "Maturity")</f>
        <v>Vegetative</v>
      </c>
      <c r="L1056" t="str">
        <f>IF(Table4_2[[#This Row],[TDS Value (ppm)]]&lt;560, "Low", IF(Table4_2[[#This Row],[TDS Value (ppm)]]&lt;=800,"Optimal","High"))</f>
        <v>Optimal</v>
      </c>
    </row>
    <row r="1057" spans="1:12" x14ac:dyDescent="0.25">
      <c r="A1057">
        <v>35</v>
      </c>
      <c r="B1057" s="1">
        <v>45168</v>
      </c>
      <c r="C1057" s="1" t="str">
        <f>TEXT(Table4_2[[#This Row],[Date]],"dddd")</f>
        <v>Wednesday</v>
      </c>
      <c r="D1057" s="21">
        <v>29.1</v>
      </c>
      <c r="E1057" s="21">
        <v>63</v>
      </c>
      <c r="F1057" s="21">
        <v>440</v>
      </c>
      <c r="G1057" s="21">
        <v>6.5</v>
      </c>
      <c r="H1057">
        <v>28</v>
      </c>
      <c r="I1057">
        <v>84.38</v>
      </c>
      <c r="J1057">
        <v>0.63</v>
      </c>
      <c r="K1057" t="str" cm="1">
        <f t="array" ref="K1057">_xlfn.IFS(Table4_2[[#This Row],[Growth Days]]&lt;=14,"Seedling",Table4_2[[#This Row],[Growth Days]]&lt;=35, "Vegetative",Table4_2[[#This Row],[Growth Days]]&lt;=50, "Maturity")</f>
        <v>Vegetative</v>
      </c>
      <c r="L1057" t="str">
        <f>IF(Table4_2[[#This Row],[TDS Value (ppm)]]&lt;560, "Low", IF(Table4_2[[#This Row],[TDS Value (ppm)]]&lt;=800,"Optimal","High"))</f>
        <v>Low</v>
      </c>
    </row>
    <row r="1058" spans="1:12" x14ac:dyDescent="0.25">
      <c r="A1058">
        <v>35</v>
      </c>
      <c r="B1058" s="1">
        <v>45175</v>
      </c>
      <c r="C1058" s="1" t="str">
        <f>TEXT(Table4_2[[#This Row],[Date]],"dddd")</f>
        <v>Wednesday</v>
      </c>
      <c r="D1058" s="21">
        <v>32.1</v>
      </c>
      <c r="E1058" s="21">
        <v>63</v>
      </c>
      <c r="F1058" s="21">
        <v>696</v>
      </c>
      <c r="G1058" s="21">
        <v>6.7</v>
      </c>
      <c r="H1058">
        <v>35</v>
      </c>
      <c r="I1058">
        <v>89.78</v>
      </c>
      <c r="J1058">
        <v>0.63</v>
      </c>
      <c r="K1058" t="str" cm="1">
        <f t="array" ref="K1058">_xlfn.IFS(Table4_2[[#This Row],[Growth Days]]&lt;=14,"Seedling",Table4_2[[#This Row],[Growth Days]]&lt;=35, "Vegetative",Table4_2[[#This Row],[Growth Days]]&lt;=50, "Maturity")</f>
        <v>Vegetative</v>
      </c>
      <c r="L1058" t="str">
        <f>IF(Table4_2[[#This Row],[TDS Value (ppm)]]&lt;560, "Low", IF(Table4_2[[#This Row],[TDS Value (ppm)]]&lt;=800,"Optimal","High"))</f>
        <v>Optimal</v>
      </c>
    </row>
    <row r="1059" spans="1:12" x14ac:dyDescent="0.25">
      <c r="A1059">
        <v>35</v>
      </c>
      <c r="B1059" s="1">
        <v>45182</v>
      </c>
      <c r="C1059" s="1" t="str">
        <f>TEXT(Table4_2[[#This Row],[Date]],"dddd")</f>
        <v>Wednesday</v>
      </c>
      <c r="D1059" s="21">
        <v>30.4</v>
      </c>
      <c r="E1059" s="21">
        <v>70</v>
      </c>
      <c r="F1059" s="21">
        <v>627</v>
      </c>
      <c r="G1059" s="21">
        <v>6.8</v>
      </c>
      <c r="H1059">
        <v>42</v>
      </c>
      <c r="I1059">
        <v>86.72</v>
      </c>
      <c r="J1059">
        <v>0.7</v>
      </c>
      <c r="K1059" t="str" cm="1">
        <f t="array" ref="K1059">_xlfn.IFS(Table4_2[[#This Row],[Growth Days]]&lt;=14,"Seedling",Table4_2[[#This Row],[Growth Days]]&lt;=35, "Vegetative",Table4_2[[#This Row],[Growth Days]]&lt;=50, "Maturity")</f>
        <v>Maturity</v>
      </c>
      <c r="L1059" t="str">
        <f>IF(Table4_2[[#This Row],[TDS Value (ppm)]]&lt;560, "Low", IF(Table4_2[[#This Row],[TDS Value (ppm)]]&lt;=800,"Optimal","High"))</f>
        <v>Optimal</v>
      </c>
    </row>
    <row r="1060" spans="1:12" x14ac:dyDescent="0.25">
      <c r="A1060">
        <v>36</v>
      </c>
      <c r="B1060" s="1">
        <v>45147</v>
      </c>
      <c r="C1060" s="1" t="str">
        <f>TEXT(Table4_2[[#This Row],[Date]],"dddd")</f>
        <v>Wednesday</v>
      </c>
      <c r="D1060" s="21">
        <v>32.299999999999997</v>
      </c>
      <c r="E1060" s="21">
        <v>76</v>
      </c>
      <c r="F1060" s="21">
        <v>748</v>
      </c>
      <c r="G1060" s="21">
        <v>6.8</v>
      </c>
      <c r="H1060">
        <v>7</v>
      </c>
      <c r="I1060">
        <v>90.14</v>
      </c>
      <c r="J1060">
        <v>0.76</v>
      </c>
      <c r="K1060" t="str" cm="1">
        <f t="array" ref="K1060">_xlfn.IFS(Table4_2[[#This Row],[Growth Days]]&lt;=14,"Seedling",Table4_2[[#This Row],[Growth Days]]&lt;=35, "Vegetative",Table4_2[[#This Row],[Growth Days]]&lt;=50, "Maturity")</f>
        <v>Seedling</v>
      </c>
      <c r="L1060" t="str">
        <f>IF(Table4_2[[#This Row],[TDS Value (ppm)]]&lt;560, "Low", IF(Table4_2[[#This Row],[TDS Value (ppm)]]&lt;=800,"Optimal","High"))</f>
        <v>Optimal</v>
      </c>
    </row>
    <row r="1061" spans="1:12" x14ac:dyDescent="0.25">
      <c r="A1061">
        <v>36</v>
      </c>
      <c r="B1061" s="1">
        <v>45154</v>
      </c>
      <c r="C1061" s="1" t="str">
        <f>TEXT(Table4_2[[#This Row],[Date]],"dddd")</f>
        <v>Wednesday</v>
      </c>
      <c r="D1061" s="21">
        <v>29.8</v>
      </c>
      <c r="E1061" s="21">
        <v>55</v>
      </c>
      <c r="F1061" s="21">
        <v>508</v>
      </c>
      <c r="G1061" s="21">
        <v>6.7</v>
      </c>
      <c r="H1061">
        <v>14</v>
      </c>
      <c r="I1061">
        <v>85.64</v>
      </c>
      <c r="J1061">
        <v>0.55000000000000004</v>
      </c>
      <c r="K1061" t="str" cm="1">
        <f t="array" ref="K1061">_xlfn.IFS(Table4_2[[#This Row],[Growth Days]]&lt;=14,"Seedling",Table4_2[[#This Row],[Growth Days]]&lt;=35, "Vegetative",Table4_2[[#This Row],[Growth Days]]&lt;=50, "Maturity")</f>
        <v>Seedling</v>
      </c>
      <c r="L1061" t="str">
        <f>IF(Table4_2[[#This Row],[TDS Value (ppm)]]&lt;560, "Low", IF(Table4_2[[#This Row],[TDS Value (ppm)]]&lt;=800,"Optimal","High"))</f>
        <v>Low</v>
      </c>
    </row>
    <row r="1062" spans="1:12" x14ac:dyDescent="0.25">
      <c r="A1062">
        <v>36</v>
      </c>
      <c r="B1062" s="1">
        <v>45161</v>
      </c>
      <c r="C1062" s="1" t="str">
        <f>TEXT(Table4_2[[#This Row],[Date]],"dddd")</f>
        <v>Wednesday</v>
      </c>
      <c r="D1062" s="21">
        <v>30.8</v>
      </c>
      <c r="E1062" s="21">
        <v>67</v>
      </c>
      <c r="F1062" s="21">
        <v>620</v>
      </c>
      <c r="G1062" s="21">
        <v>6.2</v>
      </c>
      <c r="H1062">
        <v>21</v>
      </c>
      <c r="I1062">
        <v>87.44</v>
      </c>
      <c r="J1062">
        <v>0.67</v>
      </c>
      <c r="K1062" t="str" cm="1">
        <f t="array" ref="K1062">_xlfn.IFS(Table4_2[[#This Row],[Growth Days]]&lt;=14,"Seedling",Table4_2[[#This Row],[Growth Days]]&lt;=35, "Vegetative",Table4_2[[#This Row],[Growth Days]]&lt;=50, "Maturity")</f>
        <v>Vegetative</v>
      </c>
      <c r="L1062" t="str">
        <f>IF(Table4_2[[#This Row],[TDS Value (ppm)]]&lt;560, "Low", IF(Table4_2[[#This Row],[TDS Value (ppm)]]&lt;=800,"Optimal","High"))</f>
        <v>Optimal</v>
      </c>
    </row>
    <row r="1063" spans="1:12" x14ac:dyDescent="0.25">
      <c r="A1063">
        <v>36</v>
      </c>
      <c r="B1063" s="1">
        <v>45168</v>
      </c>
      <c r="C1063" s="1" t="str">
        <f>TEXT(Table4_2[[#This Row],[Date]],"dddd")</f>
        <v>Wednesday</v>
      </c>
      <c r="D1063" s="21">
        <v>29.1</v>
      </c>
      <c r="E1063" s="21">
        <v>68</v>
      </c>
      <c r="F1063" s="21">
        <v>424</v>
      </c>
      <c r="G1063" s="21">
        <v>6.7</v>
      </c>
      <c r="H1063">
        <v>28</v>
      </c>
      <c r="I1063">
        <v>84.38</v>
      </c>
      <c r="J1063">
        <v>0.68</v>
      </c>
      <c r="K1063" t="str" cm="1">
        <f t="array" ref="K1063">_xlfn.IFS(Table4_2[[#This Row],[Growth Days]]&lt;=14,"Seedling",Table4_2[[#This Row],[Growth Days]]&lt;=35, "Vegetative",Table4_2[[#This Row],[Growth Days]]&lt;=50, "Maturity")</f>
        <v>Vegetative</v>
      </c>
      <c r="L1063" t="str">
        <f>IF(Table4_2[[#This Row],[TDS Value (ppm)]]&lt;560, "Low", IF(Table4_2[[#This Row],[TDS Value (ppm)]]&lt;=800,"Optimal","High"))</f>
        <v>Low</v>
      </c>
    </row>
    <row r="1064" spans="1:12" x14ac:dyDescent="0.25">
      <c r="A1064">
        <v>36</v>
      </c>
      <c r="B1064" s="1">
        <v>45175</v>
      </c>
      <c r="C1064" s="1" t="str">
        <f>TEXT(Table4_2[[#This Row],[Date]],"dddd")</f>
        <v>Wednesday</v>
      </c>
      <c r="D1064" s="21">
        <v>32.1</v>
      </c>
      <c r="E1064" s="21">
        <v>71</v>
      </c>
      <c r="F1064" s="21">
        <v>570</v>
      </c>
      <c r="G1064" s="21">
        <v>6.2</v>
      </c>
      <c r="H1064">
        <v>35</v>
      </c>
      <c r="I1064">
        <v>89.78</v>
      </c>
      <c r="J1064">
        <v>0.71</v>
      </c>
      <c r="K1064" t="str" cm="1">
        <f t="array" ref="K1064">_xlfn.IFS(Table4_2[[#This Row],[Growth Days]]&lt;=14,"Seedling",Table4_2[[#This Row],[Growth Days]]&lt;=35, "Vegetative",Table4_2[[#This Row],[Growth Days]]&lt;=50, "Maturity")</f>
        <v>Vegetative</v>
      </c>
      <c r="L1064" t="str">
        <f>IF(Table4_2[[#This Row],[TDS Value (ppm)]]&lt;560, "Low", IF(Table4_2[[#This Row],[TDS Value (ppm)]]&lt;=800,"Optimal","High"))</f>
        <v>Optimal</v>
      </c>
    </row>
    <row r="1065" spans="1:12" x14ac:dyDescent="0.25">
      <c r="A1065">
        <v>36</v>
      </c>
      <c r="B1065" s="1">
        <v>45182</v>
      </c>
      <c r="C1065" s="1" t="str">
        <f>TEXT(Table4_2[[#This Row],[Date]],"dddd")</f>
        <v>Wednesday</v>
      </c>
      <c r="D1065" s="21">
        <v>30.4</v>
      </c>
      <c r="E1065" s="21">
        <v>74</v>
      </c>
      <c r="F1065" s="21">
        <v>733</v>
      </c>
      <c r="G1065" s="21">
        <v>6.7</v>
      </c>
      <c r="H1065">
        <v>42</v>
      </c>
      <c r="I1065">
        <v>86.72</v>
      </c>
      <c r="J1065">
        <v>0.74</v>
      </c>
      <c r="K1065" t="str" cm="1">
        <f t="array" ref="K1065">_xlfn.IFS(Table4_2[[#This Row],[Growth Days]]&lt;=14,"Seedling",Table4_2[[#This Row],[Growth Days]]&lt;=35, "Vegetative",Table4_2[[#This Row],[Growth Days]]&lt;=50, "Maturity")</f>
        <v>Maturity</v>
      </c>
      <c r="L1065" t="str">
        <f>IF(Table4_2[[#This Row],[TDS Value (ppm)]]&lt;560, "Low", IF(Table4_2[[#This Row],[TDS Value (ppm)]]&lt;=800,"Optimal","High"))</f>
        <v>Optimal</v>
      </c>
    </row>
    <row r="1066" spans="1:12" x14ac:dyDescent="0.25">
      <c r="A1066">
        <v>37</v>
      </c>
      <c r="B1066" s="1">
        <v>45147</v>
      </c>
      <c r="C1066" s="1" t="str">
        <f>TEXT(Table4_2[[#This Row],[Date]],"dddd")</f>
        <v>Wednesday</v>
      </c>
      <c r="D1066" s="21">
        <v>32.299999999999997</v>
      </c>
      <c r="E1066" s="21">
        <v>74</v>
      </c>
      <c r="F1066" s="21">
        <v>408</v>
      </c>
      <c r="G1066" s="21">
        <v>6.1</v>
      </c>
      <c r="H1066">
        <v>7</v>
      </c>
      <c r="I1066">
        <v>90.14</v>
      </c>
      <c r="J1066">
        <v>0.74</v>
      </c>
      <c r="K1066" t="str" cm="1">
        <f t="array" ref="K1066">_xlfn.IFS(Table4_2[[#This Row],[Growth Days]]&lt;=14,"Seedling",Table4_2[[#This Row],[Growth Days]]&lt;=35, "Vegetative",Table4_2[[#This Row],[Growth Days]]&lt;=50, "Maturity")</f>
        <v>Seedling</v>
      </c>
      <c r="L1066" t="str">
        <f>IF(Table4_2[[#This Row],[TDS Value (ppm)]]&lt;560, "Low", IF(Table4_2[[#This Row],[TDS Value (ppm)]]&lt;=800,"Optimal","High"))</f>
        <v>Low</v>
      </c>
    </row>
    <row r="1067" spans="1:12" x14ac:dyDescent="0.25">
      <c r="A1067">
        <v>37</v>
      </c>
      <c r="B1067" s="1">
        <v>45154</v>
      </c>
      <c r="C1067" s="1" t="str">
        <f>TEXT(Table4_2[[#This Row],[Date]],"dddd")</f>
        <v>Wednesday</v>
      </c>
      <c r="D1067" s="21">
        <v>29.8</v>
      </c>
      <c r="E1067" s="21">
        <v>80</v>
      </c>
      <c r="F1067" s="21">
        <v>695</v>
      </c>
      <c r="G1067" s="21">
        <v>6.5</v>
      </c>
      <c r="H1067">
        <v>14</v>
      </c>
      <c r="I1067">
        <v>85.64</v>
      </c>
      <c r="J1067">
        <v>0.8</v>
      </c>
      <c r="K1067" t="str" cm="1">
        <f t="array" ref="K1067">_xlfn.IFS(Table4_2[[#This Row],[Growth Days]]&lt;=14,"Seedling",Table4_2[[#This Row],[Growth Days]]&lt;=35, "Vegetative",Table4_2[[#This Row],[Growth Days]]&lt;=50, "Maturity")</f>
        <v>Seedling</v>
      </c>
      <c r="L1067" t="str">
        <f>IF(Table4_2[[#This Row],[TDS Value (ppm)]]&lt;560, "Low", IF(Table4_2[[#This Row],[TDS Value (ppm)]]&lt;=800,"Optimal","High"))</f>
        <v>Optimal</v>
      </c>
    </row>
    <row r="1068" spans="1:12" x14ac:dyDescent="0.25">
      <c r="A1068">
        <v>37</v>
      </c>
      <c r="B1068" s="1">
        <v>45161</v>
      </c>
      <c r="C1068" s="1" t="str">
        <f>TEXT(Table4_2[[#This Row],[Date]],"dddd")</f>
        <v>Wednesday</v>
      </c>
      <c r="D1068" s="21">
        <v>30.8</v>
      </c>
      <c r="E1068" s="21">
        <v>77</v>
      </c>
      <c r="F1068" s="21">
        <v>557</v>
      </c>
      <c r="G1068" s="21">
        <v>6.2</v>
      </c>
      <c r="H1068">
        <v>21</v>
      </c>
      <c r="I1068">
        <v>87.44</v>
      </c>
      <c r="J1068">
        <v>0.77</v>
      </c>
      <c r="K1068" t="str" cm="1">
        <f t="array" ref="K1068">_xlfn.IFS(Table4_2[[#This Row],[Growth Days]]&lt;=14,"Seedling",Table4_2[[#This Row],[Growth Days]]&lt;=35, "Vegetative",Table4_2[[#This Row],[Growth Days]]&lt;=50, "Maturity")</f>
        <v>Vegetative</v>
      </c>
      <c r="L1068" t="str">
        <f>IF(Table4_2[[#This Row],[TDS Value (ppm)]]&lt;560, "Low", IF(Table4_2[[#This Row],[TDS Value (ppm)]]&lt;=800,"Optimal","High"))</f>
        <v>Low</v>
      </c>
    </row>
    <row r="1069" spans="1:12" x14ac:dyDescent="0.25">
      <c r="A1069">
        <v>37</v>
      </c>
      <c r="B1069" s="1">
        <v>45168</v>
      </c>
      <c r="C1069" s="1" t="str">
        <f>TEXT(Table4_2[[#This Row],[Date]],"dddd")</f>
        <v>Wednesday</v>
      </c>
      <c r="D1069" s="21">
        <v>29.1</v>
      </c>
      <c r="E1069" s="21">
        <v>75</v>
      </c>
      <c r="F1069" s="21">
        <v>489</v>
      </c>
      <c r="G1069" s="21">
        <v>6.3</v>
      </c>
      <c r="H1069">
        <v>28</v>
      </c>
      <c r="I1069">
        <v>84.38</v>
      </c>
      <c r="J1069">
        <v>0.75</v>
      </c>
      <c r="K1069" t="str" cm="1">
        <f t="array" ref="K1069">_xlfn.IFS(Table4_2[[#This Row],[Growth Days]]&lt;=14,"Seedling",Table4_2[[#This Row],[Growth Days]]&lt;=35, "Vegetative",Table4_2[[#This Row],[Growth Days]]&lt;=50, "Maturity")</f>
        <v>Vegetative</v>
      </c>
      <c r="L1069" t="str">
        <f>IF(Table4_2[[#This Row],[TDS Value (ppm)]]&lt;560, "Low", IF(Table4_2[[#This Row],[TDS Value (ppm)]]&lt;=800,"Optimal","High"))</f>
        <v>Low</v>
      </c>
    </row>
    <row r="1070" spans="1:12" x14ac:dyDescent="0.25">
      <c r="A1070">
        <v>37</v>
      </c>
      <c r="B1070" s="1">
        <v>45175</v>
      </c>
      <c r="C1070" s="1" t="str">
        <f>TEXT(Table4_2[[#This Row],[Date]],"dddd")</f>
        <v>Wednesday</v>
      </c>
      <c r="D1070" s="21">
        <v>32.1</v>
      </c>
      <c r="E1070" s="21">
        <v>76</v>
      </c>
      <c r="F1070" s="21">
        <v>536</v>
      </c>
      <c r="G1070" s="21">
        <v>6.8</v>
      </c>
      <c r="H1070">
        <v>35</v>
      </c>
      <c r="I1070">
        <v>89.78</v>
      </c>
      <c r="J1070">
        <v>0.76</v>
      </c>
      <c r="K1070" t="str" cm="1">
        <f t="array" ref="K1070">_xlfn.IFS(Table4_2[[#This Row],[Growth Days]]&lt;=14,"Seedling",Table4_2[[#This Row],[Growth Days]]&lt;=35, "Vegetative",Table4_2[[#This Row],[Growth Days]]&lt;=50, "Maturity")</f>
        <v>Vegetative</v>
      </c>
      <c r="L1070" t="str">
        <f>IF(Table4_2[[#This Row],[TDS Value (ppm)]]&lt;560, "Low", IF(Table4_2[[#This Row],[TDS Value (ppm)]]&lt;=800,"Optimal","High"))</f>
        <v>Low</v>
      </c>
    </row>
    <row r="1071" spans="1:12" x14ac:dyDescent="0.25">
      <c r="A1071">
        <v>37</v>
      </c>
      <c r="B1071" s="1">
        <v>45182</v>
      </c>
      <c r="C1071" s="1" t="str">
        <f>TEXT(Table4_2[[#This Row],[Date]],"dddd")</f>
        <v>Wednesday</v>
      </c>
      <c r="D1071" s="21">
        <v>30.4</v>
      </c>
      <c r="E1071" s="21">
        <v>71</v>
      </c>
      <c r="F1071" s="21">
        <v>496</v>
      </c>
      <c r="G1071" s="21">
        <v>6</v>
      </c>
      <c r="H1071">
        <v>42</v>
      </c>
      <c r="I1071">
        <v>86.72</v>
      </c>
      <c r="J1071">
        <v>0.71</v>
      </c>
      <c r="K1071" t="str" cm="1">
        <f t="array" ref="K1071">_xlfn.IFS(Table4_2[[#This Row],[Growth Days]]&lt;=14,"Seedling",Table4_2[[#This Row],[Growth Days]]&lt;=35, "Vegetative",Table4_2[[#This Row],[Growth Days]]&lt;=50, "Maturity")</f>
        <v>Maturity</v>
      </c>
      <c r="L1071" t="str">
        <f>IF(Table4_2[[#This Row],[TDS Value (ppm)]]&lt;560, "Low", IF(Table4_2[[#This Row],[TDS Value (ppm)]]&lt;=800,"Optimal","High"))</f>
        <v>Low</v>
      </c>
    </row>
    <row r="1072" spans="1:12" x14ac:dyDescent="0.25">
      <c r="A1072">
        <v>38</v>
      </c>
      <c r="B1072" s="1">
        <v>45147</v>
      </c>
      <c r="C1072" s="1" t="str">
        <f>TEXT(Table4_2[[#This Row],[Date]],"dddd")</f>
        <v>Wednesday</v>
      </c>
      <c r="D1072" s="21">
        <v>32.299999999999997</v>
      </c>
      <c r="E1072" s="21">
        <v>78</v>
      </c>
      <c r="F1072" s="21">
        <v>430</v>
      </c>
      <c r="G1072" s="21">
        <v>6.2</v>
      </c>
      <c r="H1072">
        <v>7</v>
      </c>
      <c r="I1072">
        <v>90.14</v>
      </c>
      <c r="J1072">
        <v>0.78</v>
      </c>
      <c r="K1072" t="str" cm="1">
        <f t="array" ref="K1072">_xlfn.IFS(Table4_2[[#This Row],[Growth Days]]&lt;=14,"Seedling",Table4_2[[#This Row],[Growth Days]]&lt;=35, "Vegetative",Table4_2[[#This Row],[Growth Days]]&lt;=50, "Maturity")</f>
        <v>Seedling</v>
      </c>
      <c r="L1072" t="str">
        <f>IF(Table4_2[[#This Row],[TDS Value (ppm)]]&lt;560, "Low", IF(Table4_2[[#This Row],[TDS Value (ppm)]]&lt;=800,"Optimal","High"))</f>
        <v>Low</v>
      </c>
    </row>
    <row r="1073" spans="1:12" x14ac:dyDescent="0.25">
      <c r="A1073">
        <v>38</v>
      </c>
      <c r="B1073" s="1">
        <v>45154</v>
      </c>
      <c r="C1073" s="1" t="str">
        <f>TEXT(Table4_2[[#This Row],[Date]],"dddd")</f>
        <v>Wednesday</v>
      </c>
      <c r="D1073" s="21">
        <v>29.8</v>
      </c>
      <c r="E1073" s="21">
        <v>64</v>
      </c>
      <c r="F1073" s="21">
        <v>459</v>
      </c>
      <c r="G1073" s="21">
        <v>6.1</v>
      </c>
      <c r="H1073">
        <v>14</v>
      </c>
      <c r="I1073">
        <v>85.64</v>
      </c>
      <c r="J1073">
        <v>0.64</v>
      </c>
      <c r="K1073" t="str" cm="1">
        <f t="array" ref="K1073">_xlfn.IFS(Table4_2[[#This Row],[Growth Days]]&lt;=14,"Seedling",Table4_2[[#This Row],[Growth Days]]&lt;=35, "Vegetative",Table4_2[[#This Row],[Growth Days]]&lt;=50, "Maturity")</f>
        <v>Seedling</v>
      </c>
      <c r="L1073" t="str">
        <f>IF(Table4_2[[#This Row],[TDS Value (ppm)]]&lt;560, "Low", IF(Table4_2[[#This Row],[TDS Value (ppm)]]&lt;=800,"Optimal","High"))</f>
        <v>Low</v>
      </c>
    </row>
    <row r="1074" spans="1:12" x14ac:dyDescent="0.25">
      <c r="A1074">
        <v>38</v>
      </c>
      <c r="B1074" s="1">
        <v>45161</v>
      </c>
      <c r="C1074" s="1" t="str">
        <f>TEXT(Table4_2[[#This Row],[Date]],"dddd")</f>
        <v>Wednesday</v>
      </c>
      <c r="D1074" s="21">
        <v>30.8</v>
      </c>
      <c r="E1074" s="21">
        <v>75</v>
      </c>
      <c r="F1074" s="21">
        <v>578</v>
      </c>
      <c r="G1074" s="21">
        <v>6.1</v>
      </c>
      <c r="H1074">
        <v>21</v>
      </c>
      <c r="I1074">
        <v>87.44</v>
      </c>
      <c r="J1074">
        <v>0.75</v>
      </c>
      <c r="K1074" t="str" cm="1">
        <f t="array" ref="K1074">_xlfn.IFS(Table4_2[[#This Row],[Growth Days]]&lt;=14,"Seedling",Table4_2[[#This Row],[Growth Days]]&lt;=35, "Vegetative",Table4_2[[#This Row],[Growth Days]]&lt;=50, "Maturity")</f>
        <v>Vegetative</v>
      </c>
      <c r="L1074" t="str">
        <f>IF(Table4_2[[#This Row],[TDS Value (ppm)]]&lt;560, "Low", IF(Table4_2[[#This Row],[TDS Value (ppm)]]&lt;=800,"Optimal","High"))</f>
        <v>Optimal</v>
      </c>
    </row>
    <row r="1075" spans="1:12" x14ac:dyDescent="0.25">
      <c r="A1075">
        <v>38</v>
      </c>
      <c r="B1075" s="1">
        <v>45168</v>
      </c>
      <c r="C1075" s="1" t="str">
        <f>TEXT(Table4_2[[#This Row],[Date]],"dddd")</f>
        <v>Wednesday</v>
      </c>
      <c r="D1075" s="21">
        <v>29.1</v>
      </c>
      <c r="E1075" s="21">
        <v>57</v>
      </c>
      <c r="F1075" s="21">
        <v>702</v>
      </c>
      <c r="G1075" s="21">
        <v>6.4</v>
      </c>
      <c r="H1075">
        <v>28</v>
      </c>
      <c r="I1075">
        <v>84.38</v>
      </c>
      <c r="J1075">
        <v>0.56999999999999995</v>
      </c>
      <c r="K1075" t="str" cm="1">
        <f t="array" ref="K1075">_xlfn.IFS(Table4_2[[#This Row],[Growth Days]]&lt;=14,"Seedling",Table4_2[[#This Row],[Growth Days]]&lt;=35, "Vegetative",Table4_2[[#This Row],[Growth Days]]&lt;=50, "Maturity")</f>
        <v>Vegetative</v>
      </c>
      <c r="L1075" t="str">
        <f>IF(Table4_2[[#This Row],[TDS Value (ppm)]]&lt;560, "Low", IF(Table4_2[[#This Row],[TDS Value (ppm)]]&lt;=800,"Optimal","High"))</f>
        <v>Optimal</v>
      </c>
    </row>
    <row r="1076" spans="1:12" x14ac:dyDescent="0.25">
      <c r="A1076">
        <v>38</v>
      </c>
      <c r="B1076" s="1">
        <v>45175</v>
      </c>
      <c r="C1076" s="1" t="str">
        <f>TEXT(Table4_2[[#This Row],[Date]],"dddd")</f>
        <v>Wednesday</v>
      </c>
      <c r="D1076" s="21">
        <v>32.1</v>
      </c>
      <c r="E1076" s="21">
        <v>55</v>
      </c>
      <c r="F1076" s="21">
        <v>470</v>
      </c>
      <c r="G1076" s="21">
        <v>6.7</v>
      </c>
      <c r="H1076">
        <v>35</v>
      </c>
      <c r="I1076">
        <v>89.78</v>
      </c>
      <c r="J1076">
        <v>0.55000000000000004</v>
      </c>
      <c r="K1076" t="str" cm="1">
        <f t="array" ref="K1076">_xlfn.IFS(Table4_2[[#This Row],[Growth Days]]&lt;=14,"Seedling",Table4_2[[#This Row],[Growth Days]]&lt;=35, "Vegetative",Table4_2[[#This Row],[Growth Days]]&lt;=50, "Maturity")</f>
        <v>Vegetative</v>
      </c>
      <c r="L1076" t="str">
        <f>IF(Table4_2[[#This Row],[TDS Value (ppm)]]&lt;560, "Low", IF(Table4_2[[#This Row],[TDS Value (ppm)]]&lt;=800,"Optimal","High"))</f>
        <v>Low</v>
      </c>
    </row>
    <row r="1077" spans="1:12" x14ac:dyDescent="0.25">
      <c r="A1077">
        <v>38</v>
      </c>
      <c r="B1077" s="1">
        <v>45182</v>
      </c>
      <c r="C1077" s="1" t="str">
        <f>TEXT(Table4_2[[#This Row],[Date]],"dddd")</f>
        <v>Wednesday</v>
      </c>
      <c r="D1077" s="21">
        <v>30.4</v>
      </c>
      <c r="E1077" s="21">
        <v>66</v>
      </c>
      <c r="F1077" s="21">
        <v>748</v>
      </c>
      <c r="G1077" s="21">
        <v>6.3</v>
      </c>
      <c r="H1077">
        <v>42</v>
      </c>
      <c r="I1077">
        <v>86.72</v>
      </c>
      <c r="J1077">
        <v>0.66</v>
      </c>
      <c r="K1077" t="str" cm="1">
        <f t="array" ref="K1077">_xlfn.IFS(Table4_2[[#This Row],[Growth Days]]&lt;=14,"Seedling",Table4_2[[#This Row],[Growth Days]]&lt;=35, "Vegetative",Table4_2[[#This Row],[Growth Days]]&lt;=50, "Maturity")</f>
        <v>Maturity</v>
      </c>
      <c r="L1077" t="str">
        <f>IF(Table4_2[[#This Row],[TDS Value (ppm)]]&lt;560, "Low", IF(Table4_2[[#This Row],[TDS Value (ppm)]]&lt;=800,"Optimal","High"))</f>
        <v>Optimal</v>
      </c>
    </row>
    <row r="1078" spans="1:12" x14ac:dyDescent="0.25">
      <c r="A1078">
        <v>39</v>
      </c>
      <c r="B1078" s="1">
        <v>45147</v>
      </c>
      <c r="C1078" s="1" t="str">
        <f>TEXT(Table4_2[[#This Row],[Date]],"dddd")</f>
        <v>Wednesday</v>
      </c>
      <c r="D1078" s="21">
        <v>32.299999999999997</v>
      </c>
      <c r="E1078" s="21">
        <v>61</v>
      </c>
      <c r="F1078" s="21">
        <v>591</v>
      </c>
      <c r="G1078" s="21">
        <v>6</v>
      </c>
      <c r="H1078">
        <v>7</v>
      </c>
      <c r="I1078">
        <v>90.14</v>
      </c>
      <c r="J1078">
        <v>0.61</v>
      </c>
      <c r="K1078" t="str" cm="1">
        <f t="array" ref="K1078">_xlfn.IFS(Table4_2[[#This Row],[Growth Days]]&lt;=14,"Seedling",Table4_2[[#This Row],[Growth Days]]&lt;=35, "Vegetative",Table4_2[[#This Row],[Growth Days]]&lt;=50, "Maturity")</f>
        <v>Seedling</v>
      </c>
      <c r="L1078" t="str">
        <f>IF(Table4_2[[#This Row],[TDS Value (ppm)]]&lt;560, "Low", IF(Table4_2[[#This Row],[TDS Value (ppm)]]&lt;=800,"Optimal","High"))</f>
        <v>Optimal</v>
      </c>
    </row>
    <row r="1079" spans="1:12" x14ac:dyDescent="0.25">
      <c r="A1079">
        <v>39</v>
      </c>
      <c r="B1079" s="1">
        <v>45154</v>
      </c>
      <c r="C1079" s="1" t="str">
        <f>TEXT(Table4_2[[#This Row],[Date]],"dddd")</f>
        <v>Wednesday</v>
      </c>
      <c r="D1079" s="21">
        <v>29.8</v>
      </c>
      <c r="E1079" s="21">
        <v>56</v>
      </c>
      <c r="F1079" s="21">
        <v>404</v>
      </c>
      <c r="G1079" s="21">
        <v>6.3</v>
      </c>
      <c r="H1079">
        <v>14</v>
      </c>
      <c r="I1079">
        <v>85.64</v>
      </c>
      <c r="J1079">
        <v>0.56000000000000005</v>
      </c>
      <c r="K1079" t="str" cm="1">
        <f t="array" ref="K1079">_xlfn.IFS(Table4_2[[#This Row],[Growth Days]]&lt;=14,"Seedling",Table4_2[[#This Row],[Growth Days]]&lt;=35, "Vegetative",Table4_2[[#This Row],[Growth Days]]&lt;=50, "Maturity")</f>
        <v>Seedling</v>
      </c>
      <c r="L1079" t="str">
        <f>IF(Table4_2[[#This Row],[TDS Value (ppm)]]&lt;560, "Low", IF(Table4_2[[#This Row],[TDS Value (ppm)]]&lt;=800,"Optimal","High"))</f>
        <v>Low</v>
      </c>
    </row>
    <row r="1080" spans="1:12" x14ac:dyDescent="0.25">
      <c r="A1080">
        <v>39</v>
      </c>
      <c r="B1080" s="1">
        <v>45161</v>
      </c>
      <c r="C1080" s="1" t="str">
        <f>TEXT(Table4_2[[#This Row],[Date]],"dddd")</f>
        <v>Wednesday</v>
      </c>
      <c r="D1080" s="21">
        <v>30.8</v>
      </c>
      <c r="E1080" s="21">
        <v>57</v>
      </c>
      <c r="F1080" s="21">
        <v>633</v>
      </c>
      <c r="G1080" s="21">
        <v>6.5</v>
      </c>
      <c r="H1080">
        <v>21</v>
      </c>
      <c r="I1080">
        <v>87.44</v>
      </c>
      <c r="J1080">
        <v>0.56999999999999995</v>
      </c>
      <c r="K1080" t="str" cm="1">
        <f t="array" ref="K1080">_xlfn.IFS(Table4_2[[#This Row],[Growth Days]]&lt;=14,"Seedling",Table4_2[[#This Row],[Growth Days]]&lt;=35, "Vegetative",Table4_2[[#This Row],[Growth Days]]&lt;=50, "Maturity")</f>
        <v>Vegetative</v>
      </c>
      <c r="L1080" t="str">
        <f>IF(Table4_2[[#This Row],[TDS Value (ppm)]]&lt;560, "Low", IF(Table4_2[[#This Row],[TDS Value (ppm)]]&lt;=800,"Optimal","High"))</f>
        <v>Optimal</v>
      </c>
    </row>
    <row r="1081" spans="1:12" x14ac:dyDescent="0.25">
      <c r="A1081">
        <v>39</v>
      </c>
      <c r="B1081" s="1">
        <v>45168</v>
      </c>
      <c r="C1081" s="1" t="str">
        <f>TEXT(Table4_2[[#This Row],[Date]],"dddd")</f>
        <v>Wednesday</v>
      </c>
      <c r="D1081" s="21">
        <v>29.1</v>
      </c>
      <c r="E1081" s="21">
        <v>60</v>
      </c>
      <c r="F1081" s="21">
        <v>687</v>
      </c>
      <c r="G1081" s="21">
        <v>6.6</v>
      </c>
      <c r="H1081">
        <v>28</v>
      </c>
      <c r="I1081">
        <v>84.38</v>
      </c>
      <c r="J1081">
        <v>0.6</v>
      </c>
      <c r="K1081" t="str" cm="1">
        <f t="array" ref="K1081">_xlfn.IFS(Table4_2[[#This Row],[Growth Days]]&lt;=14,"Seedling",Table4_2[[#This Row],[Growth Days]]&lt;=35, "Vegetative",Table4_2[[#This Row],[Growth Days]]&lt;=50, "Maturity")</f>
        <v>Vegetative</v>
      </c>
      <c r="L1081" t="str">
        <f>IF(Table4_2[[#This Row],[TDS Value (ppm)]]&lt;560, "Low", IF(Table4_2[[#This Row],[TDS Value (ppm)]]&lt;=800,"Optimal","High"))</f>
        <v>Optimal</v>
      </c>
    </row>
    <row r="1082" spans="1:12" x14ac:dyDescent="0.25">
      <c r="A1082">
        <v>39</v>
      </c>
      <c r="B1082" s="1">
        <v>45175</v>
      </c>
      <c r="C1082" s="1" t="str">
        <f>TEXT(Table4_2[[#This Row],[Date]],"dddd")</f>
        <v>Wednesday</v>
      </c>
      <c r="D1082" s="21">
        <v>32.1</v>
      </c>
      <c r="E1082" s="21">
        <v>65</v>
      </c>
      <c r="F1082" s="21">
        <v>739</v>
      </c>
      <c r="G1082" s="21">
        <v>6.1</v>
      </c>
      <c r="H1082">
        <v>35</v>
      </c>
      <c r="I1082">
        <v>89.78</v>
      </c>
      <c r="J1082">
        <v>0.65</v>
      </c>
      <c r="K1082" t="str" cm="1">
        <f t="array" ref="K1082">_xlfn.IFS(Table4_2[[#This Row],[Growth Days]]&lt;=14,"Seedling",Table4_2[[#This Row],[Growth Days]]&lt;=35, "Vegetative",Table4_2[[#This Row],[Growth Days]]&lt;=50, "Maturity")</f>
        <v>Vegetative</v>
      </c>
      <c r="L1082" t="str">
        <f>IF(Table4_2[[#This Row],[TDS Value (ppm)]]&lt;560, "Low", IF(Table4_2[[#This Row],[TDS Value (ppm)]]&lt;=800,"Optimal","High"))</f>
        <v>Optimal</v>
      </c>
    </row>
    <row r="1083" spans="1:12" x14ac:dyDescent="0.25">
      <c r="A1083">
        <v>39</v>
      </c>
      <c r="B1083" s="1">
        <v>45182</v>
      </c>
      <c r="C1083" s="1" t="str">
        <f>TEXT(Table4_2[[#This Row],[Date]],"dddd")</f>
        <v>Wednesday</v>
      </c>
      <c r="D1083" s="21">
        <v>30.4</v>
      </c>
      <c r="E1083" s="21">
        <v>70</v>
      </c>
      <c r="F1083" s="21">
        <v>612</v>
      </c>
      <c r="G1083" s="21">
        <v>6.5</v>
      </c>
      <c r="H1083">
        <v>42</v>
      </c>
      <c r="I1083">
        <v>86.72</v>
      </c>
      <c r="J1083">
        <v>0.7</v>
      </c>
      <c r="K1083" t="str" cm="1">
        <f t="array" ref="K1083">_xlfn.IFS(Table4_2[[#This Row],[Growth Days]]&lt;=14,"Seedling",Table4_2[[#This Row],[Growth Days]]&lt;=35, "Vegetative",Table4_2[[#This Row],[Growth Days]]&lt;=50, "Maturity")</f>
        <v>Maturity</v>
      </c>
      <c r="L1083" t="str">
        <f>IF(Table4_2[[#This Row],[TDS Value (ppm)]]&lt;560, "Low", IF(Table4_2[[#This Row],[TDS Value (ppm)]]&lt;=800,"Optimal","High"))</f>
        <v>Optimal</v>
      </c>
    </row>
    <row r="1084" spans="1:12" x14ac:dyDescent="0.25">
      <c r="A1084">
        <v>40</v>
      </c>
      <c r="B1084" s="1">
        <v>45147</v>
      </c>
      <c r="C1084" s="1" t="str">
        <f>TEXT(Table4_2[[#This Row],[Date]],"dddd")</f>
        <v>Wednesday</v>
      </c>
      <c r="D1084" s="21">
        <v>32.299999999999997</v>
      </c>
      <c r="E1084" s="21">
        <v>69</v>
      </c>
      <c r="F1084" s="21">
        <v>541</v>
      </c>
      <c r="G1084" s="21">
        <v>6.5</v>
      </c>
      <c r="H1084">
        <v>7</v>
      </c>
      <c r="I1084">
        <v>90.14</v>
      </c>
      <c r="J1084">
        <v>0.69</v>
      </c>
      <c r="K1084" t="str" cm="1">
        <f t="array" ref="K1084">_xlfn.IFS(Table4_2[[#This Row],[Growth Days]]&lt;=14,"Seedling",Table4_2[[#This Row],[Growth Days]]&lt;=35, "Vegetative",Table4_2[[#This Row],[Growth Days]]&lt;=50, "Maturity")</f>
        <v>Seedling</v>
      </c>
      <c r="L1084" t="str">
        <f>IF(Table4_2[[#This Row],[TDS Value (ppm)]]&lt;560, "Low", IF(Table4_2[[#This Row],[TDS Value (ppm)]]&lt;=800,"Optimal","High"))</f>
        <v>Low</v>
      </c>
    </row>
    <row r="1085" spans="1:12" x14ac:dyDescent="0.25">
      <c r="A1085">
        <v>40</v>
      </c>
      <c r="B1085" s="1">
        <v>45154</v>
      </c>
      <c r="C1085" s="1" t="str">
        <f>TEXT(Table4_2[[#This Row],[Date]],"dddd")</f>
        <v>Wednesday</v>
      </c>
      <c r="D1085" s="21">
        <v>29.8</v>
      </c>
      <c r="E1085" s="21">
        <v>59</v>
      </c>
      <c r="F1085" s="21">
        <v>404</v>
      </c>
      <c r="G1085" s="21">
        <v>6.7</v>
      </c>
      <c r="H1085">
        <v>14</v>
      </c>
      <c r="I1085">
        <v>85.64</v>
      </c>
      <c r="J1085">
        <v>0.59</v>
      </c>
      <c r="K1085" t="str" cm="1">
        <f t="array" ref="K1085">_xlfn.IFS(Table4_2[[#This Row],[Growth Days]]&lt;=14,"Seedling",Table4_2[[#This Row],[Growth Days]]&lt;=35, "Vegetative",Table4_2[[#This Row],[Growth Days]]&lt;=50, "Maturity")</f>
        <v>Seedling</v>
      </c>
      <c r="L1085" t="str">
        <f>IF(Table4_2[[#This Row],[TDS Value (ppm)]]&lt;560, "Low", IF(Table4_2[[#This Row],[TDS Value (ppm)]]&lt;=800,"Optimal","High"))</f>
        <v>Low</v>
      </c>
    </row>
    <row r="1086" spans="1:12" x14ac:dyDescent="0.25">
      <c r="A1086">
        <v>40</v>
      </c>
      <c r="B1086" s="1">
        <v>45161</v>
      </c>
      <c r="C1086" s="1" t="str">
        <f>TEXT(Table4_2[[#This Row],[Date]],"dddd")</f>
        <v>Wednesday</v>
      </c>
      <c r="D1086" s="21">
        <v>30.8</v>
      </c>
      <c r="E1086" s="21">
        <v>58</v>
      </c>
      <c r="F1086" s="21">
        <v>444</v>
      </c>
      <c r="G1086" s="21">
        <v>6.7</v>
      </c>
      <c r="H1086">
        <v>21</v>
      </c>
      <c r="I1086">
        <v>87.44</v>
      </c>
      <c r="J1086">
        <v>0.57999999999999996</v>
      </c>
      <c r="K1086" t="str" cm="1">
        <f t="array" ref="K1086">_xlfn.IFS(Table4_2[[#This Row],[Growth Days]]&lt;=14,"Seedling",Table4_2[[#This Row],[Growth Days]]&lt;=35, "Vegetative",Table4_2[[#This Row],[Growth Days]]&lt;=50, "Maturity")</f>
        <v>Vegetative</v>
      </c>
      <c r="L1086" t="str">
        <f>IF(Table4_2[[#This Row],[TDS Value (ppm)]]&lt;560, "Low", IF(Table4_2[[#This Row],[TDS Value (ppm)]]&lt;=800,"Optimal","High"))</f>
        <v>Low</v>
      </c>
    </row>
    <row r="1087" spans="1:12" x14ac:dyDescent="0.25">
      <c r="A1087">
        <v>40</v>
      </c>
      <c r="B1087" s="1">
        <v>45168</v>
      </c>
      <c r="C1087" s="1" t="str">
        <f>TEXT(Table4_2[[#This Row],[Date]],"dddd")</f>
        <v>Wednesday</v>
      </c>
      <c r="D1087" s="21">
        <v>29.1</v>
      </c>
      <c r="E1087" s="21">
        <v>54</v>
      </c>
      <c r="F1087" s="21">
        <v>424</v>
      </c>
      <c r="G1087" s="21">
        <v>6.7</v>
      </c>
      <c r="H1087">
        <v>28</v>
      </c>
      <c r="I1087">
        <v>84.38</v>
      </c>
      <c r="J1087">
        <v>0.54</v>
      </c>
      <c r="K1087" t="str" cm="1">
        <f t="array" ref="K1087">_xlfn.IFS(Table4_2[[#This Row],[Growth Days]]&lt;=14,"Seedling",Table4_2[[#This Row],[Growth Days]]&lt;=35, "Vegetative",Table4_2[[#This Row],[Growth Days]]&lt;=50, "Maturity")</f>
        <v>Vegetative</v>
      </c>
      <c r="L1087" t="str">
        <f>IF(Table4_2[[#This Row],[TDS Value (ppm)]]&lt;560, "Low", IF(Table4_2[[#This Row],[TDS Value (ppm)]]&lt;=800,"Optimal","High"))</f>
        <v>Low</v>
      </c>
    </row>
    <row r="1088" spans="1:12" x14ac:dyDescent="0.25">
      <c r="A1088">
        <v>40</v>
      </c>
      <c r="B1088" s="1">
        <v>45175</v>
      </c>
      <c r="C1088" s="1" t="str">
        <f>TEXT(Table4_2[[#This Row],[Date]],"dddd")</f>
        <v>Wednesday</v>
      </c>
      <c r="D1088" s="21">
        <v>32.1</v>
      </c>
      <c r="E1088" s="21">
        <v>56</v>
      </c>
      <c r="F1088" s="21">
        <v>518</v>
      </c>
      <c r="G1088" s="21">
        <v>6.1</v>
      </c>
      <c r="H1088">
        <v>35</v>
      </c>
      <c r="I1088">
        <v>89.78</v>
      </c>
      <c r="J1088">
        <v>0.56000000000000005</v>
      </c>
      <c r="K1088" t="str" cm="1">
        <f t="array" ref="K1088">_xlfn.IFS(Table4_2[[#This Row],[Growth Days]]&lt;=14,"Seedling",Table4_2[[#This Row],[Growth Days]]&lt;=35, "Vegetative",Table4_2[[#This Row],[Growth Days]]&lt;=50, "Maturity")</f>
        <v>Vegetative</v>
      </c>
      <c r="L1088" t="str">
        <f>IF(Table4_2[[#This Row],[TDS Value (ppm)]]&lt;560, "Low", IF(Table4_2[[#This Row],[TDS Value (ppm)]]&lt;=800,"Optimal","High"))</f>
        <v>Low</v>
      </c>
    </row>
    <row r="1089" spans="1:12" x14ac:dyDescent="0.25">
      <c r="A1089">
        <v>40</v>
      </c>
      <c r="B1089" s="1">
        <v>45182</v>
      </c>
      <c r="C1089" s="1" t="str">
        <f>TEXT(Table4_2[[#This Row],[Date]],"dddd")</f>
        <v>Wednesday</v>
      </c>
      <c r="D1089" s="21">
        <v>30.4</v>
      </c>
      <c r="E1089" s="21">
        <v>76</v>
      </c>
      <c r="F1089" s="21">
        <v>544</v>
      </c>
      <c r="G1089" s="21">
        <v>6.5</v>
      </c>
      <c r="H1089">
        <v>42</v>
      </c>
      <c r="I1089">
        <v>86.72</v>
      </c>
      <c r="J1089">
        <v>0.76</v>
      </c>
      <c r="K1089" t="str" cm="1">
        <f t="array" ref="K1089">_xlfn.IFS(Table4_2[[#This Row],[Growth Days]]&lt;=14,"Seedling",Table4_2[[#This Row],[Growth Days]]&lt;=35, "Vegetative",Table4_2[[#This Row],[Growth Days]]&lt;=50, "Maturity")</f>
        <v>Maturity</v>
      </c>
      <c r="L1089" t="str">
        <f>IF(Table4_2[[#This Row],[TDS Value (ppm)]]&lt;560, "Low", IF(Table4_2[[#This Row],[TDS Value (ppm)]]&lt;=800,"Optimal","High"))</f>
        <v>Low</v>
      </c>
    </row>
    <row r="1090" spans="1:12" x14ac:dyDescent="0.25">
      <c r="A1090">
        <v>41</v>
      </c>
      <c r="B1090" s="1">
        <v>45147</v>
      </c>
      <c r="C1090" s="1" t="str">
        <f>TEXT(Table4_2[[#This Row],[Date]],"dddd")</f>
        <v>Wednesday</v>
      </c>
      <c r="D1090" s="21">
        <v>32.299999999999997</v>
      </c>
      <c r="E1090" s="21">
        <v>64</v>
      </c>
      <c r="F1090" s="21">
        <v>429</v>
      </c>
      <c r="G1090" s="21">
        <v>6.6</v>
      </c>
      <c r="H1090">
        <v>7</v>
      </c>
      <c r="I1090">
        <v>90.14</v>
      </c>
      <c r="J1090">
        <v>0.64</v>
      </c>
      <c r="K1090" t="str" cm="1">
        <f t="array" ref="K1090">_xlfn.IFS(Table4_2[[#This Row],[Growth Days]]&lt;=14,"Seedling",Table4_2[[#This Row],[Growth Days]]&lt;=35, "Vegetative",Table4_2[[#This Row],[Growth Days]]&lt;=50, "Maturity")</f>
        <v>Seedling</v>
      </c>
      <c r="L1090" t="str">
        <f>IF(Table4_2[[#This Row],[TDS Value (ppm)]]&lt;560, "Low", IF(Table4_2[[#This Row],[TDS Value (ppm)]]&lt;=800,"Optimal","High"))</f>
        <v>Low</v>
      </c>
    </row>
    <row r="1091" spans="1:12" x14ac:dyDescent="0.25">
      <c r="A1091">
        <v>41</v>
      </c>
      <c r="B1091" s="1">
        <v>45154</v>
      </c>
      <c r="C1091" s="1" t="str">
        <f>TEXT(Table4_2[[#This Row],[Date]],"dddd")</f>
        <v>Wednesday</v>
      </c>
      <c r="D1091" s="21">
        <v>29.8</v>
      </c>
      <c r="E1091" s="21">
        <v>53</v>
      </c>
      <c r="F1091" s="21">
        <v>749</v>
      </c>
      <c r="G1091" s="21">
        <v>6.2</v>
      </c>
      <c r="H1091">
        <v>14</v>
      </c>
      <c r="I1091">
        <v>85.64</v>
      </c>
      <c r="J1091">
        <v>0.53</v>
      </c>
      <c r="K1091" t="str" cm="1">
        <f t="array" ref="K1091">_xlfn.IFS(Table4_2[[#This Row],[Growth Days]]&lt;=14,"Seedling",Table4_2[[#This Row],[Growth Days]]&lt;=35, "Vegetative",Table4_2[[#This Row],[Growth Days]]&lt;=50, "Maturity")</f>
        <v>Seedling</v>
      </c>
      <c r="L1091" t="str">
        <f>IF(Table4_2[[#This Row],[TDS Value (ppm)]]&lt;560, "Low", IF(Table4_2[[#This Row],[TDS Value (ppm)]]&lt;=800,"Optimal","High"))</f>
        <v>Optimal</v>
      </c>
    </row>
    <row r="1092" spans="1:12" x14ac:dyDescent="0.25">
      <c r="A1092">
        <v>41</v>
      </c>
      <c r="B1092" s="1">
        <v>45161</v>
      </c>
      <c r="C1092" s="1" t="str">
        <f>TEXT(Table4_2[[#This Row],[Date]],"dddd")</f>
        <v>Wednesday</v>
      </c>
      <c r="D1092" s="21">
        <v>30.8</v>
      </c>
      <c r="E1092" s="21">
        <v>53</v>
      </c>
      <c r="F1092" s="21">
        <v>548</v>
      </c>
      <c r="G1092" s="21">
        <v>6.1</v>
      </c>
      <c r="H1092">
        <v>21</v>
      </c>
      <c r="I1092">
        <v>87.44</v>
      </c>
      <c r="J1092">
        <v>0.53</v>
      </c>
      <c r="K1092" t="str" cm="1">
        <f t="array" ref="K1092">_xlfn.IFS(Table4_2[[#This Row],[Growth Days]]&lt;=14,"Seedling",Table4_2[[#This Row],[Growth Days]]&lt;=35, "Vegetative",Table4_2[[#This Row],[Growth Days]]&lt;=50, "Maturity")</f>
        <v>Vegetative</v>
      </c>
      <c r="L1092" t="str">
        <f>IF(Table4_2[[#This Row],[TDS Value (ppm)]]&lt;560, "Low", IF(Table4_2[[#This Row],[TDS Value (ppm)]]&lt;=800,"Optimal","High"))</f>
        <v>Low</v>
      </c>
    </row>
    <row r="1093" spans="1:12" x14ac:dyDescent="0.25">
      <c r="A1093">
        <v>41</v>
      </c>
      <c r="B1093" s="1">
        <v>45168</v>
      </c>
      <c r="C1093" s="1" t="str">
        <f>TEXT(Table4_2[[#This Row],[Date]],"dddd")</f>
        <v>Wednesday</v>
      </c>
      <c r="D1093" s="21">
        <v>29.1</v>
      </c>
      <c r="E1093" s="21">
        <v>77</v>
      </c>
      <c r="F1093" s="21">
        <v>586</v>
      </c>
      <c r="G1093" s="21">
        <v>6.4</v>
      </c>
      <c r="H1093">
        <v>28</v>
      </c>
      <c r="I1093">
        <v>84.38</v>
      </c>
      <c r="J1093">
        <v>0.77</v>
      </c>
      <c r="K1093" t="str" cm="1">
        <f t="array" ref="K1093">_xlfn.IFS(Table4_2[[#This Row],[Growth Days]]&lt;=14,"Seedling",Table4_2[[#This Row],[Growth Days]]&lt;=35, "Vegetative",Table4_2[[#This Row],[Growth Days]]&lt;=50, "Maturity")</f>
        <v>Vegetative</v>
      </c>
      <c r="L1093" t="str">
        <f>IF(Table4_2[[#This Row],[TDS Value (ppm)]]&lt;560, "Low", IF(Table4_2[[#This Row],[TDS Value (ppm)]]&lt;=800,"Optimal","High"))</f>
        <v>Optimal</v>
      </c>
    </row>
    <row r="1094" spans="1:12" x14ac:dyDescent="0.25">
      <c r="A1094">
        <v>41</v>
      </c>
      <c r="B1094" s="1">
        <v>45175</v>
      </c>
      <c r="C1094" s="1" t="str">
        <f>TEXT(Table4_2[[#This Row],[Date]],"dddd")</f>
        <v>Wednesday</v>
      </c>
      <c r="D1094" s="21">
        <v>32.1</v>
      </c>
      <c r="E1094" s="21">
        <v>77</v>
      </c>
      <c r="F1094" s="21">
        <v>641</v>
      </c>
      <c r="G1094" s="21">
        <v>6.2</v>
      </c>
      <c r="H1094">
        <v>35</v>
      </c>
      <c r="I1094">
        <v>89.78</v>
      </c>
      <c r="J1094">
        <v>0.77</v>
      </c>
      <c r="K1094" t="str" cm="1">
        <f t="array" ref="K1094">_xlfn.IFS(Table4_2[[#This Row],[Growth Days]]&lt;=14,"Seedling",Table4_2[[#This Row],[Growth Days]]&lt;=35, "Vegetative",Table4_2[[#This Row],[Growth Days]]&lt;=50, "Maturity")</f>
        <v>Vegetative</v>
      </c>
      <c r="L1094" t="str">
        <f>IF(Table4_2[[#This Row],[TDS Value (ppm)]]&lt;560, "Low", IF(Table4_2[[#This Row],[TDS Value (ppm)]]&lt;=800,"Optimal","High"))</f>
        <v>Optimal</v>
      </c>
    </row>
    <row r="1095" spans="1:12" x14ac:dyDescent="0.25">
      <c r="A1095">
        <v>41</v>
      </c>
      <c r="B1095" s="1">
        <v>45182</v>
      </c>
      <c r="C1095" s="1" t="str">
        <f>TEXT(Table4_2[[#This Row],[Date]],"dddd")</f>
        <v>Wednesday</v>
      </c>
      <c r="D1095" s="21">
        <v>30.4</v>
      </c>
      <c r="E1095" s="21">
        <v>64</v>
      </c>
      <c r="F1095" s="21">
        <v>551</v>
      </c>
      <c r="G1095" s="21">
        <v>6.1</v>
      </c>
      <c r="H1095">
        <v>42</v>
      </c>
      <c r="I1095">
        <v>86.72</v>
      </c>
      <c r="J1095">
        <v>0.64</v>
      </c>
      <c r="K1095" t="str" cm="1">
        <f t="array" ref="K1095">_xlfn.IFS(Table4_2[[#This Row],[Growth Days]]&lt;=14,"Seedling",Table4_2[[#This Row],[Growth Days]]&lt;=35, "Vegetative",Table4_2[[#This Row],[Growth Days]]&lt;=50, "Maturity")</f>
        <v>Maturity</v>
      </c>
      <c r="L1095" t="str">
        <f>IF(Table4_2[[#This Row],[TDS Value (ppm)]]&lt;560, "Low", IF(Table4_2[[#This Row],[TDS Value (ppm)]]&lt;=800,"Optimal","High"))</f>
        <v>Low</v>
      </c>
    </row>
    <row r="1096" spans="1:12" x14ac:dyDescent="0.25">
      <c r="A1096">
        <v>42</v>
      </c>
      <c r="B1096" s="1">
        <v>45147</v>
      </c>
      <c r="C1096" s="1" t="str">
        <f>TEXT(Table4_2[[#This Row],[Date]],"dddd")</f>
        <v>Wednesday</v>
      </c>
      <c r="D1096" s="21">
        <v>32.299999999999997</v>
      </c>
      <c r="E1096" s="21">
        <v>61</v>
      </c>
      <c r="F1096" s="21">
        <v>605</v>
      </c>
      <c r="G1096" s="21">
        <v>6.5</v>
      </c>
      <c r="H1096">
        <v>7</v>
      </c>
      <c r="I1096">
        <v>90.14</v>
      </c>
      <c r="J1096">
        <v>0.61</v>
      </c>
      <c r="K1096" t="str" cm="1">
        <f t="array" ref="K1096">_xlfn.IFS(Table4_2[[#This Row],[Growth Days]]&lt;=14,"Seedling",Table4_2[[#This Row],[Growth Days]]&lt;=35, "Vegetative",Table4_2[[#This Row],[Growth Days]]&lt;=50, "Maturity")</f>
        <v>Seedling</v>
      </c>
      <c r="L1096" t="str">
        <f>IF(Table4_2[[#This Row],[TDS Value (ppm)]]&lt;560, "Low", IF(Table4_2[[#This Row],[TDS Value (ppm)]]&lt;=800,"Optimal","High"))</f>
        <v>Optimal</v>
      </c>
    </row>
    <row r="1097" spans="1:12" x14ac:dyDescent="0.25">
      <c r="A1097">
        <v>42</v>
      </c>
      <c r="B1097" s="1">
        <v>45154</v>
      </c>
      <c r="C1097" s="1" t="str">
        <f>TEXT(Table4_2[[#This Row],[Date]],"dddd")</f>
        <v>Wednesday</v>
      </c>
      <c r="D1097" s="21">
        <v>29.8</v>
      </c>
      <c r="E1097" s="21">
        <v>72</v>
      </c>
      <c r="F1097" s="21">
        <v>430</v>
      </c>
      <c r="G1097" s="21">
        <v>6.2</v>
      </c>
      <c r="H1097">
        <v>14</v>
      </c>
      <c r="I1097">
        <v>85.64</v>
      </c>
      <c r="J1097">
        <v>0.72</v>
      </c>
      <c r="K1097" t="str" cm="1">
        <f t="array" ref="K1097">_xlfn.IFS(Table4_2[[#This Row],[Growth Days]]&lt;=14,"Seedling",Table4_2[[#This Row],[Growth Days]]&lt;=35, "Vegetative",Table4_2[[#This Row],[Growth Days]]&lt;=50, "Maturity")</f>
        <v>Seedling</v>
      </c>
      <c r="L1097" t="str">
        <f>IF(Table4_2[[#This Row],[TDS Value (ppm)]]&lt;560, "Low", IF(Table4_2[[#This Row],[TDS Value (ppm)]]&lt;=800,"Optimal","High"))</f>
        <v>Low</v>
      </c>
    </row>
    <row r="1098" spans="1:12" x14ac:dyDescent="0.25">
      <c r="A1098">
        <v>42</v>
      </c>
      <c r="B1098" s="1">
        <v>45161</v>
      </c>
      <c r="C1098" s="1" t="str">
        <f>TEXT(Table4_2[[#This Row],[Date]],"dddd")</f>
        <v>Wednesday</v>
      </c>
      <c r="D1098" s="21">
        <v>30.8</v>
      </c>
      <c r="E1098" s="21">
        <v>61</v>
      </c>
      <c r="F1098" s="21">
        <v>448</v>
      </c>
      <c r="G1098" s="21">
        <v>6.8</v>
      </c>
      <c r="H1098">
        <v>21</v>
      </c>
      <c r="I1098">
        <v>87.44</v>
      </c>
      <c r="J1098">
        <v>0.61</v>
      </c>
      <c r="K1098" t="str" cm="1">
        <f t="array" ref="K1098">_xlfn.IFS(Table4_2[[#This Row],[Growth Days]]&lt;=14,"Seedling",Table4_2[[#This Row],[Growth Days]]&lt;=35, "Vegetative",Table4_2[[#This Row],[Growth Days]]&lt;=50, "Maturity")</f>
        <v>Vegetative</v>
      </c>
      <c r="L1098" t="str">
        <f>IF(Table4_2[[#This Row],[TDS Value (ppm)]]&lt;560, "Low", IF(Table4_2[[#This Row],[TDS Value (ppm)]]&lt;=800,"Optimal","High"))</f>
        <v>Low</v>
      </c>
    </row>
    <row r="1099" spans="1:12" x14ac:dyDescent="0.25">
      <c r="A1099">
        <v>42</v>
      </c>
      <c r="B1099" s="1">
        <v>45168</v>
      </c>
      <c r="C1099" s="1" t="str">
        <f>TEXT(Table4_2[[#This Row],[Date]],"dddd")</f>
        <v>Wednesday</v>
      </c>
      <c r="D1099" s="21">
        <v>29.1</v>
      </c>
      <c r="E1099" s="21">
        <v>79</v>
      </c>
      <c r="F1099" s="21">
        <v>673</v>
      </c>
      <c r="G1099" s="21">
        <v>6.5</v>
      </c>
      <c r="H1099">
        <v>28</v>
      </c>
      <c r="I1099">
        <v>84.38</v>
      </c>
      <c r="J1099">
        <v>0.79</v>
      </c>
      <c r="K1099" t="str" cm="1">
        <f t="array" ref="K1099">_xlfn.IFS(Table4_2[[#This Row],[Growth Days]]&lt;=14,"Seedling",Table4_2[[#This Row],[Growth Days]]&lt;=35, "Vegetative",Table4_2[[#This Row],[Growth Days]]&lt;=50, "Maturity")</f>
        <v>Vegetative</v>
      </c>
      <c r="L1099" t="str">
        <f>IF(Table4_2[[#This Row],[TDS Value (ppm)]]&lt;560, "Low", IF(Table4_2[[#This Row],[TDS Value (ppm)]]&lt;=800,"Optimal","High"))</f>
        <v>Optimal</v>
      </c>
    </row>
    <row r="1100" spans="1:12" x14ac:dyDescent="0.25">
      <c r="A1100">
        <v>42</v>
      </c>
      <c r="B1100" s="1">
        <v>45175</v>
      </c>
      <c r="C1100" s="1" t="str">
        <f>TEXT(Table4_2[[#This Row],[Date]],"dddd")</f>
        <v>Wednesday</v>
      </c>
      <c r="D1100" s="21">
        <v>32.1</v>
      </c>
      <c r="E1100" s="21">
        <v>69</v>
      </c>
      <c r="F1100" s="21">
        <v>576</v>
      </c>
      <c r="G1100" s="21">
        <v>6.5</v>
      </c>
      <c r="H1100">
        <v>35</v>
      </c>
      <c r="I1100">
        <v>89.78</v>
      </c>
      <c r="J1100">
        <v>0.69</v>
      </c>
      <c r="K1100" t="str" cm="1">
        <f t="array" ref="K1100">_xlfn.IFS(Table4_2[[#This Row],[Growth Days]]&lt;=14,"Seedling",Table4_2[[#This Row],[Growth Days]]&lt;=35, "Vegetative",Table4_2[[#This Row],[Growth Days]]&lt;=50, "Maturity")</f>
        <v>Vegetative</v>
      </c>
      <c r="L1100" t="str">
        <f>IF(Table4_2[[#This Row],[TDS Value (ppm)]]&lt;560, "Low", IF(Table4_2[[#This Row],[TDS Value (ppm)]]&lt;=800,"Optimal","High"))</f>
        <v>Optimal</v>
      </c>
    </row>
    <row r="1101" spans="1:12" x14ac:dyDescent="0.25">
      <c r="A1101">
        <v>42</v>
      </c>
      <c r="B1101" s="1">
        <v>45182</v>
      </c>
      <c r="C1101" s="1" t="str">
        <f>TEXT(Table4_2[[#This Row],[Date]],"dddd")</f>
        <v>Wednesday</v>
      </c>
      <c r="D1101" s="21">
        <v>30.4</v>
      </c>
      <c r="E1101" s="21">
        <v>62</v>
      </c>
      <c r="F1101" s="21">
        <v>506</v>
      </c>
      <c r="G1101" s="21">
        <v>6.5</v>
      </c>
      <c r="H1101">
        <v>42</v>
      </c>
      <c r="I1101">
        <v>86.72</v>
      </c>
      <c r="J1101">
        <v>0.62</v>
      </c>
      <c r="K1101" t="str" cm="1">
        <f t="array" ref="K1101">_xlfn.IFS(Table4_2[[#This Row],[Growth Days]]&lt;=14,"Seedling",Table4_2[[#This Row],[Growth Days]]&lt;=35, "Vegetative",Table4_2[[#This Row],[Growth Days]]&lt;=50, "Maturity")</f>
        <v>Maturity</v>
      </c>
      <c r="L1101" t="str">
        <f>IF(Table4_2[[#This Row],[TDS Value (ppm)]]&lt;560, "Low", IF(Table4_2[[#This Row],[TDS Value (ppm)]]&lt;=800,"Optimal","High"))</f>
        <v>Low</v>
      </c>
    </row>
    <row r="1102" spans="1:12" x14ac:dyDescent="0.25">
      <c r="A1102">
        <v>43</v>
      </c>
      <c r="B1102" s="1">
        <v>45147</v>
      </c>
      <c r="C1102" s="1" t="str">
        <f>TEXT(Table4_2[[#This Row],[Date]],"dddd")</f>
        <v>Wednesday</v>
      </c>
      <c r="D1102" s="21">
        <v>32.299999999999997</v>
      </c>
      <c r="E1102" s="21">
        <v>55</v>
      </c>
      <c r="F1102" s="21">
        <v>532</v>
      </c>
      <c r="G1102" s="21">
        <v>6.5</v>
      </c>
      <c r="H1102">
        <v>7</v>
      </c>
      <c r="I1102">
        <v>90.14</v>
      </c>
      <c r="J1102">
        <v>0.55000000000000004</v>
      </c>
      <c r="K1102" t="str" cm="1">
        <f t="array" ref="K1102">_xlfn.IFS(Table4_2[[#This Row],[Growth Days]]&lt;=14,"Seedling",Table4_2[[#This Row],[Growth Days]]&lt;=35, "Vegetative",Table4_2[[#This Row],[Growth Days]]&lt;=50, "Maturity")</f>
        <v>Seedling</v>
      </c>
      <c r="L1102" t="str">
        <f>IF(Table4_2[[#This Row],[TDS Value (ppm)]]&lt;560, "Low", IF(Table4_2[[#This Row],[TDS Value (ppm)]]&lt;=800,"Optimal","High"))</f>
        <v>Low</v>
      </c>
    </row>
    <row r="1103" spans="1:12" x14ac:dyDescent="0.25">
      <c r="A1103">
        <v>43</v>
      </c>
      <c r="B1103" s="1">
        <v>45154</v>
      </c>
      <c r="C1103" s="1" t="str">
        <f>TEXT(Table4_2[[#This Row],[Date]],"dddd")</f>
        <v>Wednesday</v>
      </c>
      <c r="D1103" s="21">
        <v>29.8</v>
      </c>
      <c r="E1103" s="21">
        <v>68</v>
      </c>
      <c r="F1103" s="21">
        <v>547</v>
      </c>
      <c r="G1103" s="21">
        <v>6.3</v>
      </c>
      <c r="H1103">
        <v>14</v>
      </c>
      <c r="I1103">
        <v>85.64</v>
      </c>
      <c r="J1103">
        <v>0.68</v>
      </c>
      <c r="K1103" t="str" cm="1">
        <f t="array" ref="K1103">_xlfn.IFS(Table4_2[[#This Row],[Growth Days]]&lt;=14,"Seedling",Table4_2[[#This Row],[Growth Days]]&lt;=35, "Vegetative",Table4_2[[#This Row],[Growth Days]]&lt;=50, "Maturity")</f>
        <v>Seedling</v>
      </c>
      <c r="L1103" t="str">
        <f>IF(Table4_2[[#This Row],[TDS Value (ppm)]]&lt;560, "Low", IF(Table4_2[[#This Row],[TDS Value (ppm)]]&lt;=800,"Optimal","High"))</f>
        <v>Low</v>
      </c>
    </row>
    <row r="1104" spans="1:12" x14ac:dyDescent="0.25">
      <c r="A1104">
        <v>43</v>
      </c>
      <c r="B1104" s="1">
        <v>45161</v>
      </c>
      <c r="C1104" s="1" t="str">
        <f>TEXT(Table4_2[[#This Row],[Date]],"dddd")</f>
        <v>Wednesday</v>
      </c>
      <c r="D1104" s="21">
        <v>30.8</v>
      </c>
      <c r="E1104" s="21">
        <v>72</v>
      </c>
      <c r="F1104" s="21">
        <v>447</v>
      </c>
      <c r="G1104" s="21">
        <v>6.7</v>
      </c>
      <c r="H1104">
        <v>21</v>
      </c>
      <c r="I1104">
        <v>87.44</v>
      </c>
      <c r="J1104">
        <v>0.72</v>
      </c>
      <c r="K1104" t="str" cm="1">
        <f t="array" ref="K1104">_xlfn.IFS(Table4_2[[#This Row],[Growth Days]]&lt;=14,"Seedling",Table4_2[[#This Row],[Growth Days]]&lt;=35, "Vegetative",Table4_2[[#This Row],[Growth Days]]&lt;=50, "Maturity")</f>
        <v>Vegetative</v>
      </c>
      <c r="L1104" t="str">
        <f>IF(Table4_2[[#This Row],[TDS Value (ppm)]]&lt;560, "Low", IF(Table4_2[[#This Row],[TDS Value (ppm)]]&lt;=800,"Optimal","High"))</f>
        <v>Low</v>
      </c>
    </row>
    <row r="1105" spans="1:12" x14ac:dyDescent="0.25">
      <c r="A1105">
        <v>43</v>
      </c>
      <c r="B1105" s="1">
        <v>45168</v>
      </c>
      <c r="C1105" s="1" t="str">
        <f>TEXT(Table4_2[[#This Row],[Date]],"dddd")</f>
        <v>Wednesday</v>
      </c>
      <c r="D1105" s="21">
        <v>29.1</v>
      </c>
      <c r="E1105" s="21">
        <v>71</v>
      </c>
      <c r="F1105" s="21">
        <v>793</v>
      </c>
      <c r="G1105" s="21">
        <v>6.7</v>
      </c>
      <c r="H1105">
        <v>28</v>
      </c>
      <c r="I1105">
        <v>84.38</v>
      </c>
      <c r="J1105">
        <v>0.71</v>
      </c>
      <c r="K1105" t="str" cm="1">
        <f t="array" ref="K1105">_xlfn.IFS(Table4_2[[#This Row],[Growth Days]]&lt;=14,"Seedling",Table4_2[[#This Row],[Growth Days]]&lt;=35, "Vegetative",Table4_2[[#This Row],[Growth Days]]&lt;=50, "Maturity")</f>
        <v>Vegetative</v>
      </c>
      <c r="L1105" t="str">
        <f>IF(Table4_2[[#This Row],[TDS Value (ppm)]]&lt;560, "Low", IF(Table4_2[[#This Row],[TDS Value (ppm)]]&lt;=800,"Optimal","High"))</f>
        <v>Optimal</v>
      </c>
    </row>
    <row r="1106" spans="1:12" x14ac:dyDescent="0.25">
      <c r="A1106">
        <v>43</v>
      </c>
      <c r="B1106" s="1">
        <v>45175</v>
      </c>
      <c r="C1106" s="1" t="str">
        <f>TEXT(Table4_2[[#This Row],[Date]],"dddd")</f>
        <v>Wednesday</v>
      </c>
      <c r="D1106" s="21">
        <v>32.1</v>
      </c>
      <c r="E1106" s="21">
        <v>73</v>
      </c>
      <c r="F1106" s="21">
        <v>661</v>
      </c>
      <c r="G1106" s="21">
        <v>6.7</v>
      </c>
      <c r="H1106">
        <v>35</v>
      </c>
      <c r="I1106">
        <v>89.78</v>
      </c>
      <c r="J1106">
        <v>0.73</v>
      </c>
      <c r="K1106" t="str" cm="1">
        <f t="array" ref="K1106">_xlfn.IFS(Table4_2[[#This Row],[Growth Days]]&lt;=14,"Seedling",Table4_2[[#This Row],[Growth Days]]&lt;=35, "Vegetative",Table4_2[[#This Row],[Growth Days]]&lt;=50, "Maturity")</f>
        <v>Vegetative</v>
      </c>
      <c r="L1106" t="str">
        <f>IF(Table4_2[[#This Row],[TDS Value (ppm)]]&lt;560, "Low", IF(Table4_2[[#This Row],[TDS Value (ppm)]]&lt;=800,"Optimal","High"))</f>
        <v>Optimal</v>
      </c>
    </row>
    <row r="1107" spans="1:12" x14ac:dyDescent="0.25">
      <c r="A1107">
        <v>43</v>
      </c>
      <c r="B1107" s="1">
        <v>45182</v>
      </c>
      <c r="C1107" s="1" t="str">
        <f>TEXT(Table4_2[[#This Row],[Date]],"dddd")</f>
        <v>Wednesday</v>
      </c>
      <c r="D1107" s="21">
        <v>30.4</v>
      </c>
      <c r="E1107" s="21">
        <v>51</v>
      </c>
      <c r="F1107" s="21">
        <v>684</v>
      </c>
      <c r="G1107" s="21">
        <v>6.5</v>
      </c>
      <c r="H1107">
        <v>42</v>
      </c>
      <c r="I1107">
        <v>86.72</v>
      </c>
      <c r="J1107">
        <v>0.51</v>
      </c>
      <c r="K1107" t="str" cm="1">
        <f t="array" ref="K1107">_xlfn.IFS(Table4_2[[#This Row],[Growth Days]]&lt;=14,"Seedling",Table4_2[[#This Row],[Growth Days]]&lt;=35, "Vegetative",Table4_2[[#This Row],[Growth Days]]&lt;=50, "Maturity")</f>
        <v>Maturity</v>
      </c>
      <c r="L1107" t="str">
        <f>IF(Table4_2[[#This Row],[TDS Value (ppm)]]&lt;560, "Low", IF(Table4_2[[#This Row],[TDS Value (ppm)]]&lt;=800,"Optimal","High"))</f>
        <v>Optimal</v>
      </c>
    </row>
    <row r="1108" spans="1:12" x14ac:dyDescent="0.25">
      <c r="A1108">
        <v>44</v>
      </c>
      <c r="B1108" s="1">
        <v>45147</v>
      </c>
      <c r="C1108" s="1" t="str">
        <f>TEXT(Table4_2[[#This Row],[Date]],"dddd")</f>
        <v>Wednesday</v>
      </c>
      <c r="D1108" s="21">
        <v>32.299999999999997</v>
      </c>
      <c r="E1108" s="21">
        <v>53</v>
      </c>
      <c r="F1108" s="21">
        <v>401</v>
      </c>
      <c r="G1108" s="21">
        <v>6.7</v>
      </c>
      <c r="H1108">
        <v>7</v>
      </c>
      <c r="I1108">
        <v>90.14</v>
      </c>
      <c r="J1108">
        <v>0.53</v>
      </c>
      <c r="K1108" t="str" cm="1">
        <f t="array" ref="K1108">_xlfn.IFS(Table4_2[[#This Row],[Growth Days]]&lt;=14,"Seedling",Table4_2[[#This Row],[Growth Days]]&lt;=35, "Vegetative",Table4_2[[#This Row],[Growth Days]]&lt;=50, "Maturity")</f>
        <v>Seedling</v>
      </c>
      <c r="L1108" t="str">
        <f>IF(Table4_2[[#This Row],[TDS Value (ppm)]]&lt;560, "Low", IF(Table4_2[[#This Row],[TDS Value (ppm)]]&lt;=800,"Optimal","High"))</f>
        <v>Low</v>
      </c>
    </row>
    <row r="1109" spans="1:12" x14ac:dyDescent="0.25">
      <c r="A1109">
        <v>44</v>
      </c>
      <c r="B1109" s="1">
        <v>45154</v>
      </c>
      <c r="C1109" s="1" t="str">
        <f>TEXT(Table4_2[[#This Row],[Date]],"dddd")</f>
        <v>Wednesday</v>
      </c>
      <c r="D1109" s="21">
        <v>29.8</v>
      </c>
      <c r="E1109" s="21">
        <v>77</v>
      </c>
      <c r="F1109" s="21">
        <v>688</v>
      </c>
      <c r="G1109" s="21">
        <v>6.2</v>
      </c>
      <c r="H1109">
        <v>14</v>
      </c>
      <c r="I1109">
        <v>85.64</v>
      </c>
      <c r="J1109">
        <v>0.77</v>
      </c>
      <c r="K1109" t="str" cm="1">
        <f t="array" ref="K1109">_xlfn.IFS(Table4_2[[#This Row],[Growth Days]]&lt;=14,"Seedling",Table4_2[[#This Row],[Growth Days]]&lt;=35, "Vegetative",Table4_2[[#This Row],[Growth Days]]&lt;=50, "Maturity")</f>
        <v>Seedling</v>
      </c>
      <c r="L1109" t="str">
        <f>IF(Table4_2[[#This Row],[TDS Value (ppm)]]&lt;560, "Low", IF(Table4_2[[#This Row],[TDS Value (ppm)]]&lt;=800,"Optimal","High"))</f>
        <v>Optimal</v>
      </c>
    </row>
    <row r="1110" spans="1:12" x14ac:dyDescent="0.25">
      <c r="A1110">
        <v>44</v>
      </c>
      <c r="B1110" s="1">
        <v>45161</v>
      </c>
      <c r="C1110" s="1" t="str">
        <f>TEXT(Table4_2[[#This Row],[Date]],"dddd")</f>
        <v>Wednesday</v>
      </c>
      <c r="D1110" s="21">
        <v>30.8</v>
      </c>
      <c r="E1110" s="21">
        <v>57</v>
      </c>
      <c r="F1110" s="21">
        <v>703</v>
      </c>
      <c r="G1110" s="21">
        <v>6.4</v>
      </c>
      <c r="H1110">
        <v>21</v>
      </c>
      <c r="I1110">
        <v>87.44</v>
      </c>
      <c r="J1110">
        <v>0.56999999999999995</v>
      </c>
      <c r="K1110" t="str" cm="1">
        <f t="array" ref="K1110">_xlfn.IFS(Table4_2[[#This Row],[Growth Days]]&lt;=14,"Seedling",Table4_2[[#This Row],[Growth Days]]&lt;=35, "Vegetative",Table4_2[[#This Row],[Growth Days]]&lt;=50, "Maturity")</f>
        <v>Vegetative</v>
      </c>
      <c r="L1110" t="str">
        <f>IF(Table4_2[[#This Row],[TDS Value (ppm)]]&lt;560, "Low", IF(Table4_2[[#This Row],[TDS Value (ppm)]]&lt;=800,"Optimal","High"))</f>
        <v>Optimal</v>
      </c>
    </row>
    <row r="1111" spans="1:12" x14ac:dyDescent="0.25">
      <c r="A1111">
        <v>44</v>
      </c>
      <c r="B1111" s="1">
        <v>45168</v>
      </c>
      <c r="C1111" s="1" t="str">
        <f>TEXT(Table4_2[[#This Row],[Date]],"dddd")</f>
        <v>Wednesday</v>
      </c>
      <c r="D1111" s="21">
        <v>29.1</v>
      </c>
      <c r="E1111" s="21">
        <v>60</v>
      </c>
      <c r="F1111" s="21">
        <v>548</v>
      </c>
      <c r="G1111" s="21">
        <v>6.8</v>
      </c>
      <c r="H1111">
        <v>28</v>
      </c>
      <c r="I1111">
        <v>84.38</v>
      </c>
      <c r="J1111">
        <v>0.6</v>
      </c>
      <c r="K1111" t="str" cm="1">
        <f t="array" ref="K1111">_xlfn.IFS(Table4_2[[#This Row],[Growth Days]]&lt;=14,"Seedling",Table4_2[[#This Row],[Growth Days]]&lt;=35, "Vegetative",Table4_2[[#This Row],[Growth Days]]&lt;=50, "Maturity")</f>
        <v>Vegetative</v>
      </c>
      <c r="L1111" t="str">
        <f>IF(Table4_2[[#This Row],[TDS Value (ppm)]]&lt;560, "Low", IF(Table4_2[[#This Row],[TDS Value (ppm)]]&lt;=800,"Optimal","High"))</f>
        <v>Low</v>
      </c>
    </row>
    <row r="1112" spans="1:12" x14ac:dyDescent="0.25">
      <c r="A1112">
        <v>44</v>
      </c>
      <c r="B1112" s="1">
        <v>45175</v>
      </c>
      <c r="C1112" s="1" t="str">
        <f>TEXT(Table4_2[[#This Row],[Date]],"dddd")</f>
        <v>Wednesday</v>
      </c>
      <c r="D1112" s="21">
        <v>32.1</v>
      </c>
      <c r="E1112" s="21">
        <v>73</v>
      </c>
      <c r="F1112" s="21">
        <v>470</v>
      </c>
      <c r="G1112" s="21">
        <v>6.5</v>
      </c>
      <c r="H1112">
        <v>35</v>
      </c>
      <c r="I1112">
        <v>89.78</v>
      </c>
      <c r="J1112">
        <v>0.73</v>
      </c>
      <c r="K1112" t="str" cm="1">
        <f t="array" ref="K1112">_xlfn.IFS(Table4_2[[#This Row],[Growth Days]]&lt;=14,"Seedling",Table4_2[[#This Row],[Growth Days]]&lt;=35, "Vegetative",Table4_2[[#This Row],[Growth Days]]&lt;=50, "Maturity")</f>
        <v>Vegetative</v>
      </c>
      <c r="L1112" t="str">
        <f>IF(Table4_2[[#This Row],[TDS Value (ppm)]]&lt;560, "Low", IF(Table4_2[[#This Row],[TDS Value (ppm)]]&lt;=800,"Optimal","High"))</f>
        <v>Low</v>
      </c>
    </row>
    <row r="1113" spans="1:12" x14ac:dyDescent="0.25">
      <c r="A1113">
        <v>44</v>
      </c>
      <c r="B1113" s="1">
        <v>45182</v>
      </c>
      <c r="C1113" s="1" t="str">
        <f>TEXT(Table4_2[[#This Row],[Date]],"dddd")</f>
        <v>Wednesday</v>
      </c>
      <c r="D1113" s="21">
        <v>30.4</v>
      </c>
      <c r="E1113" s="21">
        <v>52</v>
      </c>
      <c r="F1113" s="21">
        <v>733</v>
      </c>
      <c r="G1113" s="21">
        <v>6.3</v>
      </c>
      <c r="H1113">
        <v>42</v>
      </c>
      <c r="I1113">
        <v>86.72</v>
      </c>
      <c r="J1113">
        <v>0.52</v>
      </c>
      <c r="K1113" t="str" cm="1">
        <f t="array" ref="K1113">_xlfn.IFS(Table4_2[[#This Row],[Growth Days]]&lt;=14,"Seedling",Table4_2[[#This Row],[Growth Days]]&lt;=35, "Vegetative",Table4_2[[#This Row],[Growth Days]]&lt;=50, "Maturity")</f>
        <v>Maturity</v>
      </c>
      <c r="L1113" t="str">
        <f>IF(Table4_2[[#This Row],[TDS Value (ppm)]]&lt;560, "Low", IF(Table4_2[[#This Row],[TDS Value (ppm)]]&lt;=800,"Optimal","High"))</f>
        <v>Optimal</v>
      </c>
    </row>
    <row r="1114" spans="1:12" x14ac:dyDescent="0.25">
      <c r="A1114">
        <v>45</v>
      </c>
      <c r="B1114" s="1">
        <v>45147</v>
      </c>
      <c r="C1114" s="1" t="str">
        <f>TEXT(Table4_2[[#This Row],[Date]],"dddd")</f>
        <v>Wednesday</v>
      </c>
      <c r="D1114" s="21">
        <v>32.299999999999997</v>
      </c>
      <c r="E1114" s="21">
        <v>59</v>
      </c>
      <c r="F1114" s="21">
        <v>410</v>
      </c>
      <c r="G1114" s="21">
        <v>6.2</v>
      </c>
      <c r="H1114">
        <v>7</v>
      </c>
      <c r="I1114">
        <v>90.14</v>
      </c>
      <c r="J1114">
        <v>0.59</v>
      </c>
      <c r="K1114" t="str" cm="1">
        <f t="array" ref="K1114">_xlfn.IFS(Table4_2[[#This Row],[Growth Days]]&lt;=14,"Seedling",Table4_2[[#This Row],[Growth Days]]&lt;=35, "Vegetative",Table4_2[[#This Row],[Growth Days]]&lt;=50, "Maturity")</f>
        <v>Seedling</v>
      </c>
      <c r="L1114" t="str">
        <f>IF(Table4_2[[#This Row],[TDS Value (ppm)]]&lt;560, "Low", IF(Table4_2[[#This Row],[TDS Value (ppm)]]&lt;=800,"Optimal","High"))</f>
        <v>Low</v>
      </c>
    </row>
    <row r="1115" spans="1:12" x14ac:dyDescent="0.25">
      <c r="A1115">
        <v>45</v>
      </c>
      <c r="B1115" s="1">
        <v>45154</v>
      </c>
      <c r="C1115" s="1" t="str">
        <f>TEXT(Table4_2[[#This Row],[Date]],"dddd")</f>
        <v>Wednesday</v>
      </c>
      <c r="D1115" s="21">
        <v>29.8</v>
      </c>
      <c r="E1115" s="21">
        <v>66</v>
      </c>
      <c r="F1115" s="21">
        <v>733</v>
      </c>
      <c r="G1115" s="21">
        <v>6.4</v>
      </c>
      <c r="H1115">
        <v>14</v>
      </c>
      <c r="I1115">
        <v>85.64</v>
      </c>
      <c r="J1115">
        <v>0.66</v>
      </c>
      <c r="K1115" t="str" cm="1">
        <f t="array" ref="K1115">_xlfn.IFS(Table4_2[[#This Row],[Growth Days]]&lt;=14,"Seedling",Table4_2[[#This Row],[Growth Days]]&lt;=35, "Vegetative",Table4_2[[#This Row],[Growth Days]]&lt;=50, "Maturity")</f>
        <v>Seedling</v>
      </c>
      <c r="L1115" t="str">
        <f>IF(Table4_2[[#This Row],[TDS Value (ppm)]]&lt;560, "Low", IF(Table4_2[[#This Row],[TDS Value (ppm)]]&lt;=800,"Optimal","High"))</f>
        <v>Optimal</v>
      </c>
    </row>
    <row r="1116" spans="1:12" x14ac:dyDescent="0.25">
      <c r="A1116">
        <v>45</v>
      </c>
      <c r="B1116" s="1">
        <v>45161</v>
      </c>
      <c r="C1116" s="1" t="str">
        <f>TEXT(Table4_2[[#This Row],[Date]],"dddd")</f>
        <v>Wednesday</v>
      </c>
      <c r="D1116" s="21">
        <v>30.8</v>
      </c>
      <c r="E1116" s="21">
        <v>70</v>
      </c>
      <c r="F1116" s="21">
        <v>769</v>
      </c>
      <c r="G1116" s="21">
        <v>6.7</v>
      </c>
      <c r="H1116">
        <v>21</v>
      </c>
      <c r="I1116">
        <v>87.44</v>
      </c>
      <c r="J1116">
        <v>0.7</v>
      </c>
      <c r="K1116" t="str" cm="1">
        <f t="array" ref="K1116">_xlfn.IFS(Table4_2[[#This Row],[Growth Days]]&lt;=14,"Seedling",Table4_2[[#This Row],[Growth Days]]&lt;=35, "Vegetative",Table4_2[[#This Row],[Growth Days]]&lt;=50, "Maturity")</f>
        <v>Vegetative</v>
      </c>
      <c r="L1116" t="str">
        <f>IF(Table4_2[[#This Row],[TDS Value (ppm)]]&lt;560, "Low", IF(Table4_2[[#This Row],[TDS Value (ppm)]]&lt;=800,"Optimal","High"))</f>
        <v>Optimal</v>
      </c>
    </row>
    <row r="1117" spans="1:12" x14ac:dyDescent="0.25">
      <c r="A1117">
        <v>45</v>
      </c>
      <c r="B1117" s="1">
        <v>45168</v>
      </c>
      <c r="C1117" s="1" t="str">
        <f>TEXT(Table4_2[[#This Row],[Date]],"dddd")</f>
        <v>Wednesday</v>
      </c>
      <c r="D1117" s="21">
        <v>29.1</v>
      </c>
      <c r="E1117" s="21">
        <v>50</v>
      </c>
      <c r="F1117" s="21">
        <v>432</v>
      </c>
      <c r="G1117" s="21">
        <v>6.2</v>
      </c>
      <c r="H1117">
        <v>28</v>
      </c>
      <c r="I1117">
        <v>84.38</v>
      </c>
      <c r="J1117">
        <v>0.5</v>
      </c>
      <c r="K1117" t="str" cm="1">
        <f t="array" ref="K1117">_xlfn.IFS(Table4_2[[#This Row],[Growth Days]]&lt;=14,"Seedling",Table4_2[[#This Row],[Growth Days]]&lt;=35, "Vegetative",Table4_2[[#This Row],[Growth Days]]&lt;=50, "Maturity")</f>
        <v>Vegetative</v>
      </c>
      <c r="L1117" t="str">
        <f>IF(Table4_2[[#This Row],[TDS Value (ppm)]]&lt;560, "Low", IF(Table4_2[[#This Row],[TDS Value (ppm)]]&lt;=800,"Optimal","High"))</f>
        <v>Low</v>
      </c>
    </row>
    <row r="1118" spans="1:12" x14ac:dyDescent="0.25">
      <c r="A1118">
        <v>45</v>
      </c>
      <c r="B1118" s="1">
        <v>45175</v>
      </c>
      <c r="C1118" s="1" t="str">
        <f>TEXT(Table4_2[[#This Row],[Date]],"dddd")</f>
        <v>Wednesday</v>
      </c>
      <c r="D1118" s="21">
        <v>32.1</v>
      </c>
      <c r="E1118" s="21">
        <v>70</v>
      </c>
      <c r="F1118" s="21">
        <v>776</v>
      </c>
      <c r="G1118" s="21">
        <v>6.7</v>
      </c>
      <c r="H1118">
        <v>35</v>
      </c>
      <c r="I1118">
        <v>89.78</v>
      </c>
      <c r="J1118">
        <v>0.7</v>
      </c>
      <c r="K1118" t="str" cm="1">
        <f t="array" ref="K1118">_xlfn.IFS(Table4_2[[#This Row],[Growth Days]]&lt;=14,"Seedling",Table4_2[[#This Row],[Growth Days]]&lt;=35, "Vegetative",Table4_2[[#This Row],[Growth Days]]&lt;=50, "Maturity")</f>
        <v>Vegetative</v>
      </c>
      <c r="L1118" t="str">
        <f>IF(Table4_2[[#This Row],[TDS Value (ppm)]]&lt;560, "Low", IF(Table4_2[[#This Row],[TDS Value (ppm)]]&lt;=800,"Optimal","High"))</f>
        <v>Optimal</v>
      </c>
    </row>
    <row r="1119" spans="1:12" x14ac:dyDescent="0.25">
      <c r="A1119">
        <v>45</v>
      </c>
      <c r="B1119" s="1">
        <v>45182</v>
      </c>
      <c r="C1119" s="1" t="str">
        <f>TEXT(Table4_2[[#This Row],[Date]],"dddd")</f>
        <v>Wednesday</v>
      </c>
      <c r="D1119" s="21">
        <v>30.4</v>
      </c>
      <c r="E1119" s="21">
        <v>51</v>
      </c>
      <c r="F1119" s="21">
        <v>470</v>
      </c>
      <c r="G1119" s="21">
        <v>6.6</v>
      </c>
      <c r="H1119">
        <v>42</v>
      </c>
      <c r="I1119">
        <v>86.72</v>
      </c>
      <c r="J1119">
        <v>0.51</v>
      </c>
      <c r="K1119" t="str" cm="1">
        <f t="array" ref="K1119">_xlfn.IFS(Table4_2[[#This Row],[Growth Days]]&lt;=14,"Seedling",Table4_2[[#This Row],[Growth Days]]&lt;=35, "Vegetative",Table4_2[[#This Row],[Growth Days]]&lt;=50, "Maturity")</f>
        <v>Maturity</v>
      </c>
      <c r="L1119" t="str">
        <f>IF(Table4_2[[#This Row],[TDS Value (ppm)]]&lt;560, "Low", IF(Table4_2[[#This Row],[TDS Value (ppm)]]&lt;=800,"Optimal","High"))</f>
        <v>Low</v>
      </c>
    </row>
    <row r="1120" spans="1:12" x14ac:dyDescent="0.25">
      <c r="A1120">
        <v>46</v>
      </c>
      <c r="B1120" s="1">
        <v>45147</v>
      </c>
      <c r="C1120" s="1" t="str">
        <f>TEXT(Table4_2[[#This Row],[Date]],"dddd")</f>
        <v>Wednesday</v>
      </c>
      <c r="D1120" s="21">
        <v>32.299999999999997</v>
      </c>
      <c r="E1120" s="21">
        <v>53</v>
      </c>
      <c r="F1120" s="21">
        <v>710</v>
      </c>
      <c r="G1120" s="21">
        <v>6.5</v>
      </c>
      <c r="H1120">
        <v>7</v>
      </c>
      <c r="I1120">
        <v>90.14</v>
      </c>
      <c r="J1120">
        <v>0.53</v>
      </c>
      <c r="K1120" t="str" cm="1">
        <f t="array" ref="K1120">_xlfn.IFS(Table4_2[[#This Row],[Growth Days]]&lt;=14,"Seedling",Table4_2[[#This Row],[Growth Days]]&lt;=35, "Vegetative",Table4_2[[#This Row],[Growth Days]]&lt;=50, "Maturity")</f>
        <v>Seedling</v>
      </c>
      <c r="L1120" t="str">
        <f>IF(Table4_2[[#This Row],[TDS Value (ppm)]]&lt;560, "Low", IF(Table4_2[[#This Row],[TDS Value (ppm)]]&lt;=800,"Optimal","High"))</f>
        <v>Optimal</v>
      </c>
    </row>
    <row r="1121" spans="1:12" x14ac:dyDescent="0.25">
      <c r="A1121">
        <v>46</v>
      </c>
      <c r="B1121" s="1">
        <v>45154</v>
      </c>
      <c r="C1121" s="1" t="str">
        <f>TEXT(Table4_2[[#This Row],[Date]],"dddd")</f>
        <v>Wednesday</v>
      </c>
      <c r="D1121" s="21">
        <v>29.8</v>
      </c>
      <c r="E1121" s="21">
        <v>53</v>
      </c>
      <c r="F1121" s="21">
        <v>753</v>
      </c>
      <c r="G1121" s="21">
        <v>6.2</v>
      </c>
      <c r="H1121">
        <v>14</v>
      </c>
      <c r="I1121">
        <v>85.64</v>
      </c>
      <c r="J1121">
        <v>0.53</v>
      </c>
      <c r="K1121" t="str" cm="1">
        <f t="array" ref="K1121">_xlfn.IFS(Table4_2[[#This Row],[Growth Days]]&lt;=14,"Seedling",Table4_2[[#This Row],[Growth Days]]&lt;=35, "Vegetative",Table4_2[[#This Row],[Growth Days]]&lt;=50, "Maturity")</f>
        <v>Seedling</v>
      </c>
      <c r="L1121" t="str">
        <f>IF(Table4_2[[#This Row],[TDS Value (ppm)]]&lt;560, "Low", IF(Table4_2[[#This Row],[TDS Value (ppm)]]&lt;=800,"Optimal","High"))</f>
        <v>Optimal</v>
      </c>
    </row>
    <row r="1122" spans="1:12" x14ac:dyDescent="0.25">
      <c r="A1122">
        <v>46</v>
      </c>
      <c r="B1122" s="1">
        <v>45161</v>
      </c>
      <c r="C1122" s="1" t="str">
        <f>TEXT(Table4_2[[#This Row],[Date]],"dddd")</f>
        <v>Wednesday</v>
      </c>
      <c r="D1122" s="21">
        <v>30.8</v>
      </c>
      <c r="E1122" s="21">
        <v>57</v>
      </c>
      <c r="F1122" s="21">
        <v>534</v>
      </c>
      <c r="G1122" s="21">
        <v>6.5</v>
      </c>
      <c r="H1122">
        <v>21</v>
      </c>
      <c r="I1122">
        <v>87.44</v>
      </c>
      <c r="J1122">
        <v>0.56999999999999995</v>
      </c>
      <c r="K1122" t="str" cm="1">
        <f t="array" ref="K1122">_xlfn.IFS(Table4_2[[#This Row],[Growth Days]]&lt;=14,"Seedling",Table4_2[[#This Row],[Growth Days]]&lt;=35, "Vegetative",Table4_2[[#This Row],[Growth Days]]&lt;=50, "Maturity")</f>
        <v>Vegetative</v>
      </c>
      <c r="L1122" t="str">
        <f>IF(Table4_2[[#This Row],[TDS Value (ppm)]]&lt;560, "Low", IF(Table4_2[[#This Row],[TDS Value (ppm)]]&lt;=800,"Optimal","High"))</f>
        <v>Low</v>
      </c>
    </row>
    <row r="1123" spans="1:12" x14ac:dyDescent="0.25">
      <c r="A1123">
        <v>46</v>
      </c>
      <c r="B1123" s="1">
        <v>45168</v>
      </c>
      <c r="C1123" s="1" t="str">
        <f>TEXT(Table4_2[[#This Row],[Date]],"dddd")</f>
        <v>Wednesday</v>
      </c>
      <c r="D1123" s="21">
        <v>29.1</v>
      </c>
      <c r="E1123" s="21">
        <v>70</v>
      </c>
      <c r="F1123" s="21">
        <v>720</v>
      </c>
      <c r="G1123" s="21">
        <v>6.2</v>
      </c>
      <c r="H1123">
        <v>28</v>
      </c>
      <c r="I1123">
        <v>84.38</v>
      </c>
      <c r="J1123">
        <v>0.7</v>
      </c>
      <c r="K1123" t="str" cm="1">
        <f t="array" ref="K1123">_xlfn.IFS(Table4_2[[#This Row],[Growth Days]]&lt;=14,"Seedling",Table4_2[[#This Row],[Growth Days]]&lt;=35, "Vegetative",Table4_2[[#This Row],[Growth Days]]&lt;=50, "Maturity")</f>
        <v>Vegetative</v>
      </c>
      <c r="L1123" t="str">
        <f>IF(Table4_2[[#This Row],[TDS Value (ppm)]]&lt;560, "Low", IF(Table4_2[[#This Row],[TDS Value (ppm)]]&lt;=800,"Optimal","High"))</f>
        <v>Optimal</v>
      </c>
    </row>
    <row r="1124" spans="1:12" x14ac:dyDescent="0.25">
      <c r="A1124">
        <v>46</v>
      </c>
      <c r="B1124" s="1">
        <v>45175</v>
      </c>
      <c r="C1124" s="1" t="str">
        <f>TEXT(Table4_2[[#This Row],[Date]],"dddd")</f>
        <v>Wednesday</v>
      </c>
      <c r="D1124" s="21">
        <v>32.1</v>
      </c>
      <c r="E1124" s="21">
        <v>59</v>
      </c>
      <c r="F1124" s="21">
        <v>486</v>
      </c>
      <c r="G1124" s="21">
        <v>6.6</v>
      </c>
      <c r="H1124">
        <v>35</v>
      </c>
      <c r="I1124">
        <v>89.78</v>
      </c>
      <c r="J1124">
        <v>0.59</v>
      </c>
      <c r="K1124" t="str" cm="1">
        <f t="array" ref="K1124">_xlfn.IFS(Table4_2[[#This Row],[Growth Days]]&lt;=14,"Seedling",Table4_2[[#This Row],[Growth Days]]&lt;=35, "Vegetative",Table4_2[[#This Row],[Growth Days]]&lt;=50, "Maturity")</f>
        <v>Vegetative</v>
      </c>
      <c r="L1124" t="str">
        <f>IF(Table4_2[[#This Row],[TDS Value (ppm)]]&lt;560, "Low", IF(Table4_2[[#This Row],[TDS Value (ppm)]]&lt;=800,"Optimal","High"))</f>
        <v>Low</v>
      </c>
    </row>
    <row r="1125" spans="1:12" x14ac:dyDescent="0.25">
      <c r="A1125">
        <v>46</v>
      </c>
      <c r="B1125" s="1">
        <v>45182</v>
      </c>
      <c r="C1125" s="1" t="str">
        <f>TEXT(Table4_2[[#This Row],[Date]],"dddd")</f>
        <v>Wednesday</v>
      </c>
      <c r="D1125" s="21">
        <v>30.4</v>
      </c>
      <c r="E1125" s="21">
        <v>77</v>
      </c>
      <c r="F1125" s="21">
        <v>417</v>
      </c>
      <c r="G1125" s="21">
        <v>6.7</v>
      </c>
      <c r="H1125">
        <v>42</v>
      </c>
      <c r="I1125">
        <v>86.72</v>
      </c>
      <c r="J1125">
        <v>0.77</v>
      </c>
      <c r="K1125" t="str" cm="1">
        <f t="array" ref="K1125">_xlfn.IFS(Table4_2[[#This Row],[Growth Days]]&lt;=14,"Seedling",Table4_2[[#This Row],[Growth Days]]&lt;=35, "Vegetative",Table4_2[[#This Row],[Growth Days]]&lt;=50, "Maturity")</f>
        <v>Maturity</v>
      </c>
      <c r="L1125" t="str">
        <f>IF(Table4_2[[#This Row],[TDS Value (ppm)]]&lt;560, "Low", IF(Table4_2[[#This Row],[TDS Value (ppm)]]&lt;=800,"Optimal","High"))</f>
        <v>Low</v>
      </c>
    </row>
    <row r="1126" spans="1:12" x14ac:dyDescent="0.25">
      <c r="A1126">
        <v>47</v>
      </c>
      <c r="B1126" s="1">
        <v>45147</v>
      </c>
      <c r="C1126" s="1" t="str">
        <f>TEXT(Table4_2[[#This Row],[Date]],"dddd")</f>
        <v>Wednesday</v>
      </c>
      <c r="D1126" s="21">
        <v>32.299999999999997</v>
      </c>
      <c r="E1126" s="21">
        <v>80</v>
      </c>
      <c r="F1126" s="21">
        <v>491</v>
      </c>
      <c r="G1126" s="21">
        <v>6.5</v>
      </c>
      <c r="H1126">
        <v>7</v>
      </c>
      <c r="I1126">
        <v>90.14</v>
      </c>
      <c r="J1126">
        <v>0.8</v>
      </c>
      <c r="K1126" t="str" cm="1">
        <f t="array" ref="K1126">_xlfn.IFS(Table4_2[[#This Row],[Growth Days]]&lt;=14,"Seedling",Table4_2[[#This Row],[Growth Days]]&lt;=35, "Vegetative",Table4_2[[#This Row],[Growth Days]]&lt;=50, "Maturity")</f>
        <v>Seedling</v>
      </c>
      <c r="L1126" t="str">
        <f>IF(Table4_2[[#This Row],[TDS Value (ppm)]]&lt;560, "Low", IF(Table4_2[[#This Row],[TDS Value (ppm)]]&lt;=800,"Optimal","High"))</f>
        <v>Low</v>
      </c>
    </row>
    <row r="1127" spans="1:12" x14ac:dyDescent="0.25">
      <c r="A1127">
        <v>47</v>
      </c>
      <c r="B1127" s="1">
        <v>45154</v>
      </c>
      <c r="C1127" s="1" t="str">
        <f>TEXT(Table4_2[[#This Row],[Date]],"dddd")</f>
        <v>Wednesday</v>
      </c>
      <c r="D1127" s="21">
        <v>29.8</v>
      </c>
      <c r="E1127" s="21">
        <v>62</v>
      </c>
      <c r="F1127" s="21">
        <v>656</v>
      </c>
      <c r="G1127" s="21">
        <v>6.7</v>
      </c>
      <c r="H1127">
        <v>14</v>
      </c>
      <c r="I1127">
        <v>85.64</v>
      </c>
      <c r="J1127">
        <v>0.62</v>
      </c>
      <c r="K1127" t="str" cm="1">
        <f t="array" ref="K1127">_xlfn.IFS(Table4_2[[#This Row],[Growth Days]]&lt;=14,"Seedling",Table4_2[[#This Row],[Growth Days]]&lt;=35, "Vegetative",Table4_2[[#This Row],[Growth Days]]&lt;=50, "Maturity")</f>
        <v>Seedling</v>
      </c>
      <c r="L1127" t="str">
        <f>IF(Table4_2[[#This Row],[TDS Value (ppm)]]&lt;560, "Low", IF(Table4_2[[#This Row],[TDS Value (ppm)]]&lt;=800,"Optimal","High"))</f>
        <v>Optimal</v>
      </c>
    </row>
    <row r="1128" spans="1:12" x14ac:dyDescent="0.25">
      <c r="A1128">
        <v>47</v>
      </c>
      <c r="B1128" s="1">
        <v>45161</v>
      </c>
      <c r="C1128" s="1" t="str">
        <f>TEXT(Table4_2[[#This Row],[Date]],"dddd")</f>
        <v>Wednesday</v>
      </c>
      <c r="D1128" s="21">
        <v>30.8</v>
      </c>
      <c r="E1128" s="21">
        <v>72</v>
      </c>
      <c r="F1128" s="21">
        <v>784</v>
      </c>
      <c r="G1128" s="21">
        <v>6.7</v>
      </c>
      <c r="H1128">
        <v>21</v>
      </c>
      <c r="I1128">
        <v>87.44</v>
      </c>
      <c r="J1128">
        <v>0.72</v>
      </c>
      <c r="K1128" t="str" cm="1">
        <f t="array" ref="K1128">_xlfn.IFS(Table4_2[[#This Row],[Growth Days]]&lt;=14,"Seedling",Table4_2[[#This Row],[Growth Days]]&lt;=35, "Vegetative",Table4_2[[#This Row],[Growth Days]]&lt;=50, "Maturity")</f>
        <v>Vegetative</v>
      </c>
      <c r="L1128" t="str">
        <f>IF(Table4_2[[#This Row],[TDS Value (ppm)]]&lt;560, "Low", IF(Table4_2[[#This Row],[TDS Value (ppm)]]&lt;=800,"Optimal","High"))</f>
        <v>Optimal</v>
      </c>
    </row>
    <row r="1129" spans="1:12" x14ac:dyDescent="0.25">
      <c r="A1129">
        <v>47</v>
      </c>
      <c r="B1129" s="1">
        <v>45168</v>
      </c>
      <c r="C1129" s="1" t="str">
        <f>TEXT(Table4_2[[#This Row],[Date]],"dddd")</f>
        <v>Wednesday</v>
      </c>
      <c r="D1129" s="21">
        <v>29.1</v>
      </c>
      <c r="E1129" s="21">
        <v>60</v>
      </c>
      <c r="F1129" s="21">
        <v>404</v>
      </c>
      <c r="G1129" s="21">
        <v>6.7</v>
      </c>
      <c r="H1129">
        <v>28</v>
      </c>
      <c r="I1129">
        <v>84.38</v>
      </c>
      <c r="J1129">
        <v>0.6</v>
      </c>
      <c r="K1129" t="str" cm="1">
        <f t="array" ref="K1129">_xlfn.IFS(Table4_2[[#This Row],[Growth Days]]&lt;=14,"Seedling",Table4_2[[#This Row],[Growth Days]]&lt;=35, "Vegetative",Table4_2[[#This Row],[Growth Days]]&lt;=50, "Maturity")</f>
        <v>Vegetative</v>
      </c>
      <c r="L1129" t="str">
        <f>IF(Table4_2[[#This Row],[TDS Value (ppm)]]&lt;560, "Low", IF(Table4_2[[#This Row],[TDS Value (ppm)]]&lt;=800,"Optimal","High"))</f>
        <v>Low</v>
      </c>
    </row>
    <row r="1130" spans="1:12" x14ac:dyDescent="0.25">
      <c r="A1130">
        <v>47</v>
      </c>
      <c r="B1130" s="1">
        <v>45175</v>
      </c>
      <c r="C1130" s="1" t="str">
        <f>TEXT(Table4_2[[#This Row],[Date]],"dddd")</f>
        <v>Wednesday</v>
      </c>
      <c r="D1130" s="21">
        <v>32.1</v>
      </c>
      <c r="E1130" s="21">
        <v>79</v>
      </c>
      <c r="F1130" s="21">
        <v>411</v>
      </c>
      <c r="G1130" s="21">
        <v>6.2</v>
      </c>
      <c r="H1130">
        <v>35</v>
      </c>
      <c r="I1130">
        <v>89.78</v>
      </c>
      <c r="J1130">
        <v>0.79</v>
      </c>
      <c r="K1130" t="str" cm="1">
        <f t="array" ref="K1130">_xlfn.IFS(Table4_2[[#This Row],[Growth Days]]&lt;=14,"Seedling",Table4_2[[#This Row],[Growth Days]]&lt;=35, "Vegetative",Table4_2[[#This Row],[Growth Days]]&lt;=50, "Maturity")</f>
        <v>Vegetative</v>
      </c>
      <c r="L1130" t="str">
        <f>IF(Table4_2[[#This Row],[TDS Value (ppm)]]&lt;560, "Low", IF(Table4_2[[#This Row],[TDS Value (ppm)]]&lt;=800,"Optimal","High"))</f>
        <v>Low</v>
      </c>
    </row>
    <row r="1131" spans="1:12" x14ac:dyDescent="0.25">
      <c r="A1131">
        <v>47</v>
      </c>
      <c r="B1131" s="1">
        <v>45182</v>
      </c>
      <c r="C1131" s="1" t="str">
        <f>TEXT(Table4_2[[#This Row],[Date]],"dddd")</f>
        <v>Wednesday</v>
      </c>
      <c r="D1131" s="21">
        <v>30.4</v>
      </c>
      <c r="E1131" s="21">
        <v>61</v>
      </c>
      <c r="F1131" s="21">
        <v>650</v>
      </c>
      <c r="G1131" s="21">
        <v>6.1</v>
      </c>
      <c r="H1131">
        <v>42</v>
      </c>
      <c r="I1131">
        <v>86.72</v>
      </c>
      <c r="J1131">
        <v>0.61</v>
      </c>
      <c r="K1131" t="str" cm="1">
        <f t="array" ref="K1131">_xlfn.IFS(Table4_2[[#This Row],[Growth Days]]&lt;=14,"Seedling",Table4_2[[#This Row],[Growth Days]]&lt;=35, "Vegetative",Table4_2[[#This Row],[Growth Days]]&lt;=50, "Maturity")</f>
        <v>Maturity</v>
      </c>
      <c r="L1131" t="str">
        <f>IF(Table4_2[[#This Row],[TDS Value (ppm)]]&lt;560, "Low", IF(Table4_2[[#This Row],[TDS Value (ppm)]]&lt;=800,"Optimal","High"))</f>
        <v>Optimal</v>
      </c>
    </row>
    <row r="1132" spans="1:12" x14ac:dyDescent="0.25">
      <c r="A1132">
        <v>48</v>
      </c>
      <c r="B1132" s="1">
        <v>45147</v>
      </c>
      <c r="C1132" s="1" t="str">
        <f>TEXT(Table4_2[[#This Row],[Date]],"dddd")</f>
        <v>Wednesday</v>
      </c>
      <c r="D1132" s="21">
        <v>32.299999999999997</v>
      </c>
      <c r="E1132" s="21">
        <v>79</v>
      </c>
      <c r="F1132" s="21">
        <v>756</v>
      </c>
      <c r="G1132" s="21">
        <v>6.5</v>
      </c>
      <c r="H1132">
        <v>7</v>
      </c>
      <c r="I1132">
        <v>90.14</v>
      </c>
      <c r="J1132">
        <v>0.79</v>
      </c>
      <c r="K1132" t="str" cm="1">
        <f t="array" ref="K1132">_xlfn.IFS(Table4_2[[#This Row],[Growth Days]]&lt;=14,"Seedling",Table4_2[[#This Row],[Growth Days]]&lt;=35, "Vegetative",Table4_2[[#This Row],[Growth Days]]&lt;=50, "Maturity")</f>
        <v>Seedling</v>
      </c>
      <c r="L1132" t="str">
        <f>IF(Table4_2[[#This Row],[TDS Value (ppm)]]&lt;560, "Low", IF(Table4_2[[#This Row],[TDS Value (ppm)]]&lt;=800,"Optimal","High"))</f>
        <v>Optimal</v>
      </c>
    </row>
    <row r="1133" spans="1:12" x14ac:dyDescent="0.25">
      <c r="A1133">
        <v>48</v>
      </c>
      <c r="B1133" s="1">
        <v>45154</v>
      </c>
      <c r="C1133" s="1" t="str">
        <f>TEXT(Table4_2[[#This Row],[Date]],"dddd")</f>
        <v>Wednesday</v>
      </c>
      <c r="D1133" s="21">
        <v>29.8</v>
      </c>
      <c r="E1133" s="21">
        <v>78</v>
      </c>
      <c r="F1133" s="21">
        <v>604</v>
      </c>
      <c r="G1133" s="21">
        <v>6.1</v>
      </c>
      <c r="H1133">
        <v>14</v>
      </c>
      <c r="I1133">
        <v>85.64</v>
      </c>
      <c r="J1133">
        <v>0.78</v>
      </c>
      <c r="K1133" t="str" cm="1">
        <f t="array" ref="K1133">_xlfn.IFS(Table4_2[[#This Row],[Growth Days]]&lt;=14,"Seedling",Table4_2[[#This Row],[Growth Days]]&lt;=35, "Vegetative",Table4_2[[#This Row],[Growth Days]]&lt;=50, "Maturity")</f>
        <v>Seedling</v>
      </c>
      <c r="L1133" t="str">
        <f>IF(Table4_2[[#This Row],[TDS Value (ppm)]]&lt;560, "Low", IF(Table4_2[[#This Row],[TDS Value (ppm)]]&lt;=800,"Optimal","High"))</f>
        <v>Optimal</v>
      </c>
    </row>
    <row r="1134" spans="1:12" x14ac:dyDescent="0.25">
      <c r="A1134">
        <v>48</v>
      </c>
      <c r="B1134" s="1">
        <v>45161</v>
      </c>
      <c r="C1134" s="1" t="str">
        <f>TEXT(Table4_2[[#This Row],[Date]],"dddd")</f>
        <v>Wednesday</v>
      </c>
      <c r="D1134" s="21">
        <v>30.8</v>
      </c>
      <c r="E1134" s="21">
        <v>72</v>
      </c>
      <c r="F1134" s="21">
        <v>406</v>
      </c>
      <c r="G1134" s="21">
        <v>6.5</v>
      </c>
      <c r="H1134">
        <v>21</v>
      </c>
      <c r="I1134">
        <v>87.44</v>
      </c>
      <c r="J1134">
        <v>0.72</v>
      </c>
      <c r="K1134" t="str" cm="1">
        <f t="array" ref="K1134">_xlfn.IFS(Table4_2[[#This Row],[Growth Days]]&lt;=14,"Seedling",Table4_2[[#This Row],[Growth Days]]&lt;=35, "Vegetative",Table4_2[[#This Row],[Growth Days]]&lt;=50, "Maturity")</f>
        <v>Vegetative</v>
      </c>
      <c r="L1134" t="str">
        <f>IF(Table4_2[[#This Row],[TDS Value (ppm)]]&lt;560, "Low", IF(Table4_2[[#This Row],[TDS Value (ppm)]]&lt;=800,"Optimal","High"))</f>
        <v>Low</v>
      </c>
    </row>
    <row r="1135" spans="1:12" x14ac:dyDescent="0.25">
      <c r="A1135">
        <v>48</v>
      </c>
      <c r="B1135" s="1">
        <v>45168</v>
      </c>
      <c r="C1135" s="1" t="str">
        <f>TEXT(Table4_2[[#This Row],[Date]],"dddd")</f>
        <v>Wednesday</v>
      </c>
      <c r="D1135" s="21">
        <v>29.1</v>
      </c>
      <c r="E1135" s="21">
        <v>58</v>
      </c>
      <c r="F1135" s="21">
        <v>416</v>
      </c>
      <c r="G1135" s="21">
        <v>6.4</v>
      </c>
      <c r="H1135">
        <v>28</v>
      </c>
      <c r="I1135">
        <v>84.38</v>
      </c>
      <c r="J1135">
        <v>0.57999999999999996</v>
      </c>
      <c r="K1135" t="str" cm="1">
        <f t="array" ref="K1135">_xlfn.IFS(Table4_2[[#This Row],[Growth Days]]&lt;=14,"Seedling",Table4_2[[#This Row],[Growth Days]]&lt;=35, "Vegetative",Table4_2[[#This Row],[Growth Days]]&lt;=50, "Maturity")</f>
        <v>Vegetative</v>
      </c>
      <c r="L1135" t="str">
        <f>IF(Table4_2[[#This Row],[TDS Value (ppm)]]&lt;560, "Low", IF(Table4_2[[#This Row],[TDS Value (ppm)]]&lt;=800,"Optimal","High"))</f>
        <v>Low</v>
      </c>
    </row>
    <row r="1136" spans="1:12" x14ac:dyDescent="0.25">
      <c r="A1136">
        <v>48</v>
      </c>
      <c r="B1136" s="1">
        <v>45175</v>
      </c>
      <c r="C1136" s="1" t="str">
        <f>TEXT(Table4_2[[#This Row],[Date]],"dddd")</f>
        <v>Wednesday</v>
      </c>
      <c r="D1136" s="21">
        <v>32.1</v>
      </c>
      <c r="E1136" s="21">
        <v>71</v>
      </c>
      <c r="F1136" s="21">
        <v>556</v>
      </c>
      <c r="G1136" s="21">
        <v>6.1</v>
      </c>
      <c r="H1136">
        <v>35</v>
      </c>
      <c r="I1136">
        <v>89.78</v>
      </c>
      <c r="J1136">
        <v>0.71</v>
      </c>
      <c r="K1136" t="str" cm="1">
        <f t="array" ref="K1136">_xlfn.IFS(Table4_2[[#This Row],[Growth Days]]&lt;=14,"Seedling",Table4_2[[#This Row],[Growth Days]]&lt;=35, "Vegetative",Table4_2[[#This Row],[Growth Days]]&lt;=50, "Maturity")</f>
        <v>Vegetative</v>
      </c>
      <c r="L1136" t="str">
        <f>IF(Table4_2[[#This Row],[TDS Value (ppm)]]&lt;560, "Low", IF(Table4_2[[#This Row],[TDS Value (ppm)]]&lt;=800,"Optimal","High"))</f>
        <v>Low</v>
      </c>
    </row>
    <row r="1137" spans="1:12" x14ac:dyDescent="0.25">
      <c r="A1137">
        <v>48</v>
      </c>
      <c r="B1137" s="1">
        <v>45182</v>
      </c>
      <c r="C1137" s="1" t="str">
        <f>TEXT(Table4_2[[#This Row],[Date]],"dddd")</f>
        <v>Wednesday</v>
      </c>
      <c r="D1137" s="21">
        <v>30.4</v>
      </c>
      <c r="E1137" s="21">
        <v>54</v>
      </c>
      <c r="F1137" s="21">
        <v>626</v>
      </c>
      <c r="G1137" s="21">
        <v>6.7</v>
      </c>
      <c r="H1137">
        <v>42</v>
      </c>
      <c r="I1137">
        <v>86.72</v>
      </c>
      <c r="J1137">
        <v>0.54</v>
      </c>
      <c r="K1137" t="str" cm="1">
        <f t="array" ref="K1137">_xlfn.IFS(Table4_2[[#This Row],[Growth Days]]&lt;=14,"Seedling",Table4_2[[#This Row],[Growth Days]]&lt;=35, "Vegetative",Table4_2[[#This Row],[Growth Days]]&lt;=50, "Maturity")</f>
        <v>Maturity</v>
      </c>
      <c r="L1137" t="str">
        <f>IF(Table4_2[[#This Row],[TDS Value (ppm)]]&lt;560, "Low", IF(Table4_2[[#This Row],[TDS Value (ppm)]]&lt;=800,"Optimal","High"))</f>
        <v>Optimal</v>
      </c>
    </row>
    <row r="1138" spans="1:12" x14ac:dyDescent="0.25">
      <c r="A1138">
        <v>49</v>
      </c>
      <c r="B1138" s="1">
        <v>45147</v>
      </c>
      <c r="C1138" s="1" t="str">
        <f>TEXT(Table4_2[[#This Row],[Date]],"dddd")</f>
        <v>Wednesday</v>
      </c>
      <c r="D1138" s="21">
        <v>32.299999999999997</v>
      </c>
      <c r="E1138" s="21">
        <v>53</v>
      </c>
      <c r="F1138" s="21">
        <v>674</v>
      </c>
      <c r="G1138" s="21">
        <v>6.7</v>
      </c>
      <c r="H1138">
        <v>7</v>
      </c>
      <c r="I1138">
        <v>90.14</v>
      </c>
      <c r="J1138">
        <v>0.53</v>
      </c>
      <c r="K1138" t="str" cm="1">
        <f t="array" ref="K1138">_xlfn.IFS(Table4_2[[#This Row],[Growth Days]]&lt;=14,"Seedling",Table4_2[[#This Row],[Growth Days]]&lt;=35, "Vegetative",Table4_2[[#This Row],[Growth Days]]&lt;=50, "Maturity")</f>
        <v>Seedling</v>
      </c>
      <c r="L1138" t="str">
        <f>IF(Table4_2[[#This Row],[TDS Value (ppm)]]&lt;560, "Low", IF(Table4_2[[#This Row],[TDS Value (ppm)]]&lt;=800,"Optimal","High"))</f>
        <v>Optimal</v>
      </c>
    </row>
    <row r="1139" spans="1:12" x14ac:dyDescent="0.25">
      <c r="A1139">
        <v>49</v>
      </c>
      <c r="B1139" s="1">
        <v>45154</v>
      </c>
      <c r="C1139" s="1" t="str">
        <f>TEXT(Table4_2[[#This Row],[Date]],"dddd")</f>
        <v>Wednesday</v>
      </c>
      <c r="D1139" s="21">
        <v>29.8</v>
      </c>
      <c r="E1139" s="21">
        <v>66</v>
      </c>
      <c r="F1139" s="21">
        <v>659</v>
      </c>
      <c r="G1139" s="21">
        <v>6.4</v>
      </c>
      <c r="H1139">
        <v>14</v>
      </c>
      <c r="I1139">
        <v>85.64</v>
      </c>
      <c r="J1139">
        <v>0.66</v>
      </c>
      <c r="K1139" t="str" cm="1">
        <f t="array" ref="K1139">_xlfn.IFS(Table4_2[[#This Row],[Growth Days]]&lt;=14,"Seedling",Table4_2[[#This Row],[Growth Days]]&lt;=35, "Vegetative",Table4_2[[#This Row],[Growth Days]]&lt;=50, "Maturity")</f>
        <v>Seedling</v>
      </c>
      <c r="L1139" t="str">
        <f>IF(Table4_2[[#This Row],[TDS Value (ppm)]]&lt;560, "Low", IF(Table4_2[[#This Row],[TDS Value (ppm)]]&lt;=800,"Optimal","High"))</f>
        <v>Optimal</v>
      </c>
    </row>
    <row r="1140" spans="1:12" x14ac:dyDescent="0.25">
      <c r="A1140">
        <v>49</v>
      </c>
      <c r="B1140" s="1">
        <v>45161</v>
      </c>
      <c r="C1140" s="1" t="str">
        <f>TEXT(Table4_2[[#This Row],[Date]],"dddd")</f>
        <v>Wednesday</v>
      </c>
      <c r="D1140" s="21">
        <v>30.8</v>
      </c>
      <c r="E1140" s="21">
        <v>50</v>
      </c>
      <c r="F1140" s="21">
        <v>453</v>
      </c>
      <c r="G1140" s="21">
        <v>6.2</v>
      </c>
      <c r="H1140">
        <v>21</v>
      </c>
      <c r="I1140">
        <v>87.44</v>
      </c>
      <c r="J1140">
        <v>0.5</v>
      </c>
      <c r="K1140" t="str" cm="1">
        <f t="array" ref="K1140">_xlfn.IFS(Table4_2[[#This Row],[Growth Days]]&lt;=14,"Seedling",Table4_2[[#This Row],[Growth Days]]&lt;=35, "Vegetative",Table4_2[[#This Row],[Growth Days]]&lt;=50, "Maturity")</f>
        <v>Vegetative</v>
      </c>
      <c r="L1140" t="str">
        <f>IF(Table4_2[[#This Row],[TDS Value (ppm)]]&lt;560, "Low", IF(Table4_2[[#This Row],[TDS Value (ppm)]]&lt;=800,"Optimal","High"))</f>
        <v>Low</v>
      </c>
    </row>
    <row r="1141" spans="1:12" x14ac:dyDescent="0.25">
      <c r="A1141">
        <v>49</v>
      </c>
      <c r="B1141" s="1">
        <v>45168</v>
      </c>
      <c r="C1141" s="1" t="str">
        <f>TEXT(Table4_2[[#This Row],[Date]],"dddd")</f>
        <v>Wednesday</v>
      </c>
      <c r="D1141" s="21">
        <v>29.1</v>
      </c>
      <c r="E1141" s="21">
        <v>60</v>
      </c>
      <c r="F1141" s="21">
        <v>685</v>
      </c>
      <c r="G1141" s="21">
        <v>6.3</v>
      </c>
      <c r="H1141">
        <v>28</v>
      </c>
      <c r="I1141">
        <v>84.38</v>
      </c>
      <c r="J1141">
        <v>0.6</v>
      </c>
      <c r="K1141" t="str" cm="1">
        <f t="array" ref="K1141">_xlfn.IFS(Table4_2[[#This Row],[Growth Days]]&lt;=14,"Seedling",Table4_2[[#This Row],[Growth Days]]&lt;=35, "Vegetative",Table4_2[[#This Row],[Growth Days]]&lt;=50, "Maturity")</f>
        <v>Vegetative</v>
      </c>
      <c r="L1141" t="str">
        <f>IF(Table4_2[[#This Row],[TDS Value (ppm)]]&lt;560, "Low", IF(Table4_2[[#This Row],[TDS Value (ppm)]]&lt;=800,"Optimal","High"))</f>
        <v>Optimal</v>
      </c>
    </row>
    <row r="1142" spans="1:12" x14ac:dyDescent="0.25">
      <c r="A1142">
        <v>49</v>
      </c>
      <c r="B1142" s="1">
        <v>45175</v>
      </c>
      <c r="C1142" s="1" t="str">
        <f>TEXT(Table4_2[[#This Row],[Date]],"dddd")</f>
        <v>Wednesday</v>
      </c>
      <c r="D1142" s="21">
        <v>32.1</v>
      </c>
      <c r="E1142" s="21">
        <v>53</v>
      </c>
      <c r="F1142" s="21">
        <v>651</v>
      </c>
      <c r="G1142" s="21">
        <v>6</v>
      </c>
      <c r="H1142">
        <v>35</v>
      </c>
      <c r="I1142">
        <v>89.78</v>
      </c>
      <c r="J1142">
        <v>0.53</v>
      </c>
      <c r="K1142" t="str" cm="1">
        <f t="array" ref="K1142">_xlfn.IFS(Table4_2[[#This Row],[Growth Days]]&lt;=14,"Seedling",Table4_2[[#This Row],[Growth Days]]&lt;=35, "Vegetative",Table4_2[[#This Row],[Growth Days]]&lt;=50, "Maturity")</f>
        <v>Vegetative</v>
      </c>
      <c r="L1142" t="str">
        <f>IF(Table4_2[[#This Row],[TDS Value (ppm)]]&lt;560, "Low", IF(Table4_2[[#This Row],[TDS Value (ppm)]]&lt;=800,"Optimal","High"))</f>
        <v>Optimal</v>
      </c>
    </row>
    <row r="1143" spans="1:12" x14ac:dyDescent="0.25">
      <c r="A1143">
        <v>49</v>
      </c>
      <c r="B1143" s="1">
        <v>45182</v>
      </c>
      <c r="C1143" s="1" t="str">
        <f>TEXT(Table4_2[[#This Row],[Date]],"dddd")</f>
        <v>Wednesday</v>
      </c>
      <c r="D1143" s="21">
        <v>30.4</v>
      </c>
      <c r="E1143" s="21">
        <v>50</v>
      </c>
      <c r="F1143" s="21">
        <v>492</v>
      </c>
      <c r="G1143" s="21">
        <v>6.6</v>
      </c>
      <c r="H1143">
        <v>42</v>
      </c>
      <c r="I1143">
        <v>86.72</v>
      </c>
      <c r="J1143">
        <v>0.5</v>
      </c>
      <c r="K1143" t="str" cm="1">
        <f t="array" ref="K1143">_xlfn.IFS(Table4_2[[#This Row],[Growth Days]]&lt;=14,"Seedling",Table4_2[[#This Row],[Growth Days]]&lt;=35, "Vegetative",Table4_2[[#This Row],[Growth Days]]&lt;=50, "Maturity")</f>
        <v>Maturity</v>
      </c>
      <c r="L1143" t="str">
        <f>IF(Table4_2[[#This Row],[TDS Value (ppm)]]&lt;560, "Low", IF(Table4_2[[#This Row],[TDS Value (ppm)]]&lt;=800,"Optimal","High"))</f>
        <v>Low</v>
      </c>
    </row>
    <row r="1144" spans="1:12" x14ac:dyDescent="0.25">
      <c r="A1144">
        <v>50</v>
      </c>
      <c r="B1144" s="1">
        <v>45147</v>
      </c>
      <c r="C1144" s="1" t="str">
        <f>TEXT(Table4_2[[#This Row],[Date]],"dddd")</f>
        <v>Wednesday</v>
      </c>
      <c r="D1144" s="21">
        <v>32.299999999999997</v>
      </c>
      <c r="E1144" s="21">
        <v>75</v>
      </c>
      <c r="F1144" s="21">
        <v>643</v>
      </c>
      <c r="G1144" s="21">
        <v>6.1</v>
      </c>
      <c r="H1144">
        <v>7</v>
      </c>
      <c r="I1144">
        <v>90.14</v>
      </c>
      <c r="J1144">
        <v>0.75</v>
      </c>
      <c r="K1144" t="str" cm="1">
        <f t="array" ref="K1144">_xlfn.IFS(Table4_2[[#This Row],[Growth Days]]&lt;=14,"Seedling",Table4_2[[#This Row],[Growth Days]]&lt;=35, "Vegetative",Table4_2[[#This Row],[Growth Days]]&lt;=50, "Maturity")</f>
        <v>Seedling</v>
      </c>
      <c r="L1144" t="str">
        <f>IF(Table4_2[[#This Row],[TDS Value (ppm)]]&lt;560, "Low", IF(Table4_2[[#This Row],[TDS Value (ppm)]]&lt;=800,"Optimal","High"))</f>
        <v>Optimal</v>
      </c>
    </row>
    <row r="1145" spans="1:12" x14ac:dyDescent="0.25">
      <c r="A1145">
        <v>50</v>
      </c>
      <c r="B1145" s="1">
        <v>45154</v>
      </c>
      <c r="C1145" s="1" t="str">
        <f>TEXT(Table4_2[[#This Row],[Date]],"dddd")</f>
        <v>Wednesday</v>
      </c>
      <c r="D1145" s="21">
        <v>29.8</v>
      </c>
      <c r="E1145" s="21">
        <v>50</v>
      </c>
      <c r="F1145" s="21">
        <v>480</v>
      </c>
      <c r="G1145" s="21">
        <v>6.7</v>
      </c>
      <c r="H1145">
        <v>14</v>
      </c>
      <c r="I1145">
        <v>85.64</v>
      </c>
      <c r="J1145">
        <v>0.5</v>
      </c>
      <c r="K1145" t="str" cm="1">
        <f t="array" ref="K1145">_xlfn.IFS(Table4_2[[#This Row],[Growth Days]]&lt;=14,"Seedling",Table4_2[[#This Row],[Growth Days]]&lt;=35, "Vegetative",Table4_2[[#This Row],[Growth Days]]&lt;=50, "Maturity")</f>
        <v>Seedling</v>
      </c>
      <c r="L1145" t="str">
        <f>IF(Table4_2[[#This Row],[TDS Value (ppm)]]&lt;560, "Low", IF(Table4_2[[#This Row],[TDS Value (ppm)]]&lt;=800,"Optimal","High"))</f>
        <v>Low</v>
      </c>
    </row>
    <row r="1146" spans="1:12" x14ac:dyDescent="0.25">
      <c r="A1146">
        <v>50</v>
      </c>
      <c r="B1146" s="1">
        <v>45161</v>
      </c>
      <c r="C1146" s="1" t="str">
        <f>TEXT(Table4_2[[#This Row],[Date]],"dddd")</f>
        <v>Wednesday</v>
      </c>
      <c r="D1146" s="21">
        <v>30.8</v>
      </c>
      <c r="E1146" s="21">
        <v>59</v>
      </c>
      <c r="F1146" s="21">
        <v>797</v>
      </c>
      <c r="G1146" s="21">
        <v>6.5</v>
      </c>
      <c r="H1146">
        <v>21</v>
      </c>
      <c r="I1146">
        <v>87.44</v>
      </c>
      <c r="J1146">
        <v>0.59</v>
      </c>
      <c r="K1146" t="str" cm="1">
        <f t="array" ref="K1146">_xlfn.IFS(Table4_2[[#This Row],[Growth Days]]&lt;=14,"Seedling",Table4_2[[#This Row],[Growth Days]]&lt;=35, "Vegetative",Table4_2[[#This Row],[Growth Days]]&lt;=50, "Maturity")</f>
        <v>Vegetative</v>
      </c>
      <c r="L1146" t="str">
        <f>IF(Table4_2[[#This Row],[TDS Value (ppm)]]&lt;560, "Low", IF(Table4_2[[#This Row],[TDS Value (ppm)]]&lt;=800,"Optimal","High"))</f>
        <v>Optimal</v>
      </c>
    </row>
    <row r="1147" spans="1:12" x14ac:dyDescent="0.25">
      <c r="A1147">
        <v>50</v>
      </c>
      <c r="B1147" s="1">
        <v>45168</v>
      </c>
      <c r="C1147" s="1" t="str">
        <f>TEXT(Table4_2[[#This Row],[Date]],"dddd")</f>
        <v>Wednesday</v>
      </c>
      <c r="D1147" s="21">
        <v>29.1</v>
      </c>
      <c r="E1147" s="21">
        <v>79</v>
      </c>
      <c r="F1147" s="21">
        <v>594</v>
      </c>
      <c r="G1147" s="21">
        <v>6.4</v>
      </c>
      <c r="H1147">
        <v>28</v>
      </c>
      <c r="I1147">
        <v>84.38</v>
      </c>
      <c r="J1147">
        <v>0.79</v>
      </c>
      <c r="K1147" t="str" cm="1">
        <f t="array" ref="K1147">_xlfn.IFS(Table4_2[[#This Row],[Growth Days]]&lt;=14,"Seedling",Table4_2[[#This Row],[Growth Days]]&lt;=35, "Vegetative",Table4_2[[#This Row],[Growth Days]]&lt;=50, "Maturity")</f>
        <v>Vegetative</v>
      </c>
      <c r="L1147" t="str">
        <f>IF(Table4_2[[#This Row],[TDS Value (ppm)]]&lt;560, "Low", IF(Table4_2[[#This Row],[TDS Value (ppm)]]&lt;=800,"Optimal","High"))</f>
        <v>Optimal</v>
      </c>
    </row>
    <row r="1148" spans="1:12" x14ac:dyDescent="0.25">
      <c r="A1148">
        <v>50</v>
      </c>
      <c r="B1148" s="1">
        <v>45175</v>
      </c>
      <c r="C1148" s="1" t="str">
        <f>TEXT(Table4_2[[#This Row],[Date]],"dddd")</f>
        <v>Wednesday</v>
      </c>
      <c r="D1148" s="21">
        <v>32.1</v>
      </c>
      <c r="E1148" s="21">
        <v>77</v>
      </c>
      <c r="F1148" s="21">
        <v>577</v>
      </c>
      <c r="G1148" s="21">
        <v>6.2</v>
      </c>
      <c r="H1148">
        <v>35</v>
      </c>
      <c r="I1148">
        <v>89.78</v>
      </c>
      <c r="J1148">
        <v>0.77</v>
      </c>
      <c r="K1148" t="str" cm="1">
        <f t="array" ref="K1148">_xlfn.IFS(Table4_2[[#This Row],[Growth Days]]&lt;=14,"Seedling",Table4_2[[#This Row],[Growth Days]]&lt;=35, "Vegetative",Table4_2[[#This Row],[Growth Days]]&lt;=50, "Maturity")</f>
        <v>Vegetative</v>
      </c>
      <c r="L1148" t="str">
        <f>IF(Table4_2[[#This Row],[TDS Value (ppm)]]&lt;560, "Low", IF(Table4_2[[#This Row],[TDS Value (ppm)]]&lt;=800,"Optimal","High"))</f>
        <v>Optimal</v>
      </c>
    </row>
    <row r="1149" spans="1:12" x14ac:dyDescent="0.25">
      <c r="A1149">
        <v>50</v>
      </c>
      <c r="B1149" s="1">
        <v>45182</v>
      </c>
      <c r="C1149" s="1" t="str">
        <f>TEXT(Table4_2[[#This Row],[Date]],"dddd")</f>
        <v>Wednesday</v>
      </c>
      <c r="D1149" s="21">
        <v>30.4</v>
      </c>
      <c r="E1149" s="21">
        <v>67</v>
      </c>
      <c r="F1149" s="21">
        <v>798</v>
      </c>
      <c r="G1149" s="21">
        <v>6.7</v>
      </c>
      <c r="H1149">
        <v>42</v>
      </c>
      <c r="I1149">
        <v>86.72</v>
      </c>
      <c r="J1149">
        <v>0.67</v>
      </c>
      <c r="K1149" t="str" cm="1">
        <f t="array" ref="K1149">_xlfn.IFS(Table4_2[[#This Row],[Growth Days]]&lt;=14,"Seedling",Table4_2[[#This Row],[Growth Days]]&lt;=35, "Vegetative",Table4_2[[#This Row],[Growth Days]]&lt;=50, "Maturity")</f>
        <v>Maturity</v>
      </c>
      <c r="L1149" t="str">
        <f>IF(Table4_2[[#This Row],[TDS Value (ppm)]]&lt;560, "Low", IF(Table4_2[[#This Row],[TDS Value (ppm)]]&lt;=800,"Optimal","High"))</f>
        <v>Optimal</v>
      </c>
    </row>
    <row r="1150" spans="1:12" x14ac:dyDescent="0.25">
      <c r="A1150">
        <v>51</v>
      </c>
      <c r="B1150" s="1">
        <v>45147</v>
      </c>
      <c r="C1150" s="1" t="str">
        <f>TEXT(Table4_2[[#This Row],[Date]],"dddd")</f>
        <v>Wednesday</v>
      </c>
      <c r="D1150" s="21">
        <v>32.299999999999997</v>
      </c>
      <c r="E1150" s="21">
        <v>65</v>
      </c>
      <c r="F1150" s="21">
        <v>543</v>
      </c>
      <c r="G1150" s="21">
        <v>6.3</v>
      </c>
      <c r="H1150">
        <v>7</v>
      </c>
      <c r="I1150">
        <v>90.14</v>
      </c>
      <c r="J1150">
        <v>0.65</v>
      </c>
      <c r="K1150" t="str" cm="1">
        <f t="array" ref="K1150">_xlfn.IFS(Table4_2[[#This Row],[Growth Days]]&lt;=14,"Seedling",Table4_2[[#This Row],[Growth Days]]&lt;=35, "Vegetative",Table4_2[[#This Row],[Growth Days]]&lt;=50, "Maturity")</f>
        <v>Seedling</v>
      </c>
      <c r="L1150" t="str">
        <f>IF(Table4_2[[#This Row],[TDS Value (ppm)]]&lt;560, "Low", IF(Table4_2[[#This Row],[TDS Value (ppm)]]&lt;=800,"Optimal","High"))</f>
        <v>Low</v>
      </c>
    </row>
    <row r="1151" spans="1:12" x14ac:dyDescent="0.25">
      <c r="A1151">
        <v>51</v>
      </c>
      <c r="B1151" s="1">
        <v>45154</v>
      </c>
      <c r="C1151" s="1" t="str">
        <f>TEXT(Table4_2[[#This Row],[Date]],"dddd")</f>
        <v>Wednesday</v>
      </c>
      <c r="D1151" s="21">
        <v>29.8</v>
      </c>
      <c r="E1151" s="21">
        <v>56</v>
      </c>
      <c r="F1151" s="21">
        <v>691</v>
      </c>
      <c r="G1151" s="21">
        <v>6.3</v>
      </c>
      <c r="H1151">
        <v>14</v>
      </c>
      <c r="I1151">
        <v>85.64</v>
      </c>
      <c r="J1151">
        <v>0.56000000000000005</v>
      </c>
      <c r="K1151" t="str" cm="1">
        <f t="array" ref="K1151">_xlfn.IFS(Table4_2[[#This Row],[Growth Days]]&lt;=14,"Seedling",Table4_2[[#This Row],[Growth Days]]&lt;=35, "Vegetative",Table4_2[[#This Row],[Growth Days]]&lt;=50, "Maturity")</f>
        <v>Seedling</v>
      </c>
      <c r="L1151" t="str">
        <f>IF(Table4_2[[#This Row],[TDS Value (ppm)]]&lt;560, "Low", IF(Table4_2[[#This Row],[TDS Value (ppm)]]&lt;=800,"Optimal","High"))</f>
        <v>Optimal</v>
      </c>
    </row>
    <row r="1152" spans="1:12" x14ac:dyDescent="0.25">
      <c r="A1152">
        <v>51</v>
      </c>
      <c r="B1152" s="1">
        <v>45161</v>
      </c>
      <c r="C1152" s="1" t="str">
        <f>TEXT(Table4_2[[#This Row],[Date]],"dddd")</f>
        <v>Wednesday</v>
      </c>
      <c r="D1152" s="21">
        <v>30.8</v>
      </c>
      <c r="E1152" s="21">
        <v>55</v>
      </c>
      <c r="F1152" s="21">
        <v>714</v>
      </c>
      <c r="G1152" s="21">
        <v>6</v>
      </c>
      <c r="H1152">
        <v>21</v>
      </c>
      <c r="I1152">
        <v>87.44</v>
      </c>
      <c r="J1152">
        <v>0.55000000000000004</v>
      </c>
      <c r="K1152" t="str" cm="1">
        <f t="array" ref="K1152">_xlfn.IFS(Table4_2[[#This Row],[Growth Days]]&lt;=14,"Seedling",Table4_2[[#This Row],[Growth Days]]&lt;=35, "Vegetative",Table4_2[[#This Row],[Growth Days]]&lt;=50, "Maturity")</f>
        <v>Vegetative</v>
      </c>
      <c r="L1152" t="str">
        <f>IF(Table4_2[[#This Row],[TDS Value (ppm)]]&lt;560, "Low", IF(Table4_2[[#This Row],[TDS Value (ppm)]]&lt;=800,"Optimal","High"))</f>
        <v>Optimal</v>
      </c>
    </row>
    <row r="1153" spans="1:12" x14ac:dyDescent="0.25">
      <c r="A1153">
        <v>51</v>
      </c>
      <c r="B1153" s="1">
        <v>45168</v>
      </c>
      <c r="C1153" s="1" t="str">
        <f>TEXT(Table4_2[[#This Row],[Date]],"dddd")</f>
        <v>Wednesday</v>
      </c>
      <c r="D1153" s="21">
        <v>29.1</v>
      </c>
      <c r="E1153" s="21">
        <v>58</v>
      </c>
      <c r="F1153" s="21">
        <v>674</v>
      </c>
      <c r="G1153" s="21">
        <v>6.7</v>
      </c>
      <c r="H1153">
        <v>28</v>
      </c>
      <c r="I1153">
        <v>84.38</v>
      </c>
      <c r="J1153">
        <v>0.57999999999999996</v>
      </c>
      <c r="K1153" t="str" cm="1">
        <f t="array" ref="K1153">_xlfn.IFS(Table4_2[[#This Row],[Growth Days]]&lt;=14,"Seedling",Table4_2[[#This Row],[Growth Days]]&lt;=35, "Vegetative",Table4_2[[#This Row],[Growth Days]]&lt;=50, "Maturity")</f>
        <v>Vegetative</v>
      </c>
      <c r="L1153" t="str">
        <f>IF(Table4_2[[#This Row],[TDS Value (ppm)]]&lt;560, "Low", IF(Table4_2[[#This Row],[TDS Value (ppm)]]&lt;=800,"Optimal","High"))</f>
        <v>Optimal</v>
      </c>
    </row>
    <row r="1154" spans="1:12" x14ac:dyDescent="0.25">
      <c r="A1154">
        <v>51</v>
      </c>
      <c r="B1154" s="1">
        <v>45175</v>
      </c>
      <c r="C1154" s="1" t="str">
        <f>TEXT(Table4_2[[#This Row],[Date]],"dddd")</f>
        <v>Wednesday</v>
      </c>
      <c r="D1154" s="21">
        <v>32.1</v>
      </c>
      <c r="E1154" s="21">
        <v>54</v>
      </c>
      <c r="F1154" s="21">
        <v>421</v>
      </c>
      <c r="G1154" s="21">
        <v>6.6</v>
      </c>
      <c r="H1154">
        <v>35</v>
      </c>
      <c r="I1154">
        <v>89.78</v>
      </c>
      <c r="J1154">
        <v>0.54</v>
      </c>
      <c r="K1154" t="str" cm="1">
        <f t="array" ref="K1154">_xlfn.IFS(Table4_2[[#This Row],[Growth Days]]&lt;=14,"Seedling",Table4_2[[#This Row],[Growth Days]]&lt;=35, "Vegetative",Table4_2[[#This Row],[Growth Days]]&lt;=50, "Maturity")</f>
        <v>Vegetative</v>
      </c>
      <c r="L1154" t="str">
        <f>IF(Table4_2[[#This Row],[TDS Value (ppm)]]&lt;560, "Low", IF(Table4_2[[#This Row],[TDS Value (ppm)]]&lt;=800,"Optimal","High"))</f>
        <v>Low</v>
      </c>
    </row>
    <row r="1155" spans="1:12" x14ac:dyDescent="0.25">
      <c r="A1155">
        <v>51</v>
      </c>
      <c r="B1155" s="1">
        <v>45182</v>
      </c>
      <c r="C1155" s="1" t="str">
        <f>TEXT(Table4_2[[#This Row],[Date]],"dddd")</f>
        <v>Wednesday</v>
      </c>
      <c r="D1155" s="21">
        <v>30.4</v>
      </c>
      <c r="E1155" s="21">
        <v>54</v>
      </c>
      <c r="F1155" s="21">
        <v>579</v>
      </c>
      <c r="G1155" s="21">
        <v>6.2</v>
      </c>
      <c r="H1155">
        <v>42</v>
      </c>
      <c r="I1155">
        <v>86.72</v>
      </c>
      <c r="J1155">
        <v>0.54</v>
      </c>
      <c r="K1155" t="str" cm="1">
        <f t="array" ref="K1155">_xlfn.IFS(Table4_2[[#This Row],[Growth Days]]&lt;=14,"Seedling",Table4_2[[#This Row],[Growth Days]]&lt;=35, "Vegetative",Table4_2[[#This Row],[Growth Days]]&lt;=50, "Maturity")</f>
        <v>Maturity</v>
      </c>
      <c r="L1155" t="str">
        <f>IF(Table4_2[[#This Row],[TDS Value (ppm)]]&lt;560, "Low", IF(Table4_2[[#This Row],[TDS Value (ppm)]]&lt;=800,"Optimal","High"))</f>
        <v>Optimal</v>
      </c>
    </row>
    <row r="1156" spans="1:12" x14ac:dyDescent="0.25">
      <c r="A1156">
        <v>52</v>
      </c>
      <c r="B1156" s="1">
        <v>45147</v>
      </c>
      <c r="C1156" s="1" t="str">
        <f>TEXT(Table4_2[[#This Row],[Date]],"dddd")</f>
        <v>Wednesday</v>
      </c>
      <c r="D1156" s="21">
        <v>22.4</v>
      </c>
      <c r="E1156" s="21">
        <v>68</v>
      </c>
      <c r="F1156" s="21">
        <v>452</v>
      </c>
      <c r="G1156" s="21">
        <v>6.4</v>
      </c>
      <c r="H1156">
        <v>7</v>
      </c>
      <c r="I1156">
        <v>72.319999999999993</v>
      </c>
      <c r="J1156">
        <v>0.68</v>
      </c>
      <c r="K1156" t="str" cm="1">
        <f t="array" ref="K1156">_xlfn.IFS(Table4_2[[#This Row],[Growth Days]]&lt;=14,"Seedling",Table4_2[[#This Row],[Growth Days]]&lt;=35, "Vegetative",Table4_2[[#This Row],[Growth Days]]&lt;=50, "Maturity")</f>
        <v>Seedling</v>
      </c>
      <c r="L1156" t="str">
        <f>IF(Table4_2[[#This Row],[TDS Value (ppm)]]&lt;560, "Low", IF(Table4_2[[#This Row],[TDS Value (ppm)]]&lt;=800,"Optimal","High"))</f>
        <v>Low</v>
      </c>
    </row>
    <row r="1157" spans="1:12" x14ac:dyDescent="0.25">
      <c r="A1157">
        <v>52</v>
      </c>
      <c r="B1157" s="1">
        <v>45154</v>
      </c>
      <c r="C1157" s="1" t="str">
        <f>TEXT(Table4_2[[#This Row],[Date]],"dddd")</f>
        <v>Wednesday</v>
      </c>
      <c r="D1157" s="21">
        <v>18.399999999999999</v>
      </c>
      <c r="E1157" s="21">
        <v>78</v>
      </c>
      <c r="F1157" s="21">
        <v>710</v>
      </c>
      <c r="G1157" s="21">
        <v>6.3</v>
      </c>
      <c r="H1157">
        <v>14</v>
      </c>
      <c r="I1157">
        <v>65.12</v>
      </c>
      <c r="J1157">
        <v>0.78</v>
      </c>
      <c r="K1157" t="str" cm="1">
        <f t="array" ref="K1157">_xlfn.IFS(Table4_2[[#This Row],[Growth Days]]&lt;=14,"Seedling",Table4_2[[#This Row],[Growth Days]]&lt;=35, "Vegetative",Table4_2[[#This Row],[Growth Days]]&lt;=50, "Maturity")</f>
        <v>Seedling</v>
      </c>
      <c r="L1157" t="str">
        <f>IF(Table4_2[[#This Row],[TDS Value (ppm)]]&lt;560, "Low", IF(Table4_2[[#This Row],[TDS Value (ppm)]]&lt;=800,"Optimal","High"))</f>
        <v>Optimal</v>
      </c>
    </row>
    <row r="1158" spans="1:12" x14ac:dyDescent="0.25">
      <c r="A1158">
        <v>52</v>
      </c>
      <c r="B1158" s="1">
        <v>45161</v>
      </c>
      <c r="C1158" s="1" t="str">
        <f>TEXT(Table4_2[[#This Row],[Date]],"dddd")</f>
        <v>Wednesday</v>
      </c>
      <c r="D1158" s="21">
        <v>20.8</v>
      </c>
      <c r="E1158" s="21">
        <v>73</v>
      </c>
      <c r="F1158" s="21">
        <v>662</v>
      </c>
      <c r="G1158" s="21">
        <v>6.4</v>
      </c>
      <c r="H1158">
        <v>21</v>
      </c>
      <c r="I1158">
        <v>69.44</v>
      </c>
      <c r="J1158">
        <v>0.73</v>
      </c>
      <c r="K1158" t="str" cm="1">
        <f t="array" ref="K1158">_xlfn.IFS(Table4_2[[#This Row],[Growth Days]]&lt;=14,"Seedling",Table4_2[[#This Row],[Growth Days]]&lt;=35, "Vegetative",Table4_2[[#This Row],[Growth Days]]&lt;=50, "Maturity")</f>
        <v>Vegetative</v>
      </c>
      <c r="L1158" t="str">
        <f>IF(Table4_2[[#This Row],[TDS Value (ppm)]]&lt;560, "Low", IF(Table4_2[[#This Row],[TDS Value (ppm)]]&lt;=800,"Optimal","High"))</f>
        <v>Optimal</v>
      </c>
    </row>
    <row r="1159" spans="1:12" x14ac:dyDescent="0.25">
      <c r="A1159">
        <v>52</v>
      </c>
      <c r="B1159" s="1">
        <v>45168</v>
      </c>
      <c r="C1159" s="1" t="str">
        <f>TEXT(Table4_2[[#This Row],[Date]],"dddd")</f>
        <v>Wednesday</v>
      </c>
      <c r="D1159" s="21">
        <v>21.5</v>
      </c>
      <c r="E1159" s="21">
        <v>63</v>
      </c>
      <c r="F1159" s="21">
        <v>585</v>
      </c>
      <c r="G1159" s="21">
        <v>6.6</v>
      </c>
      <c r="H1159">
        <v>28</v>
      </c>
      <c r="I1159">
        <v>70.7</v>
      </c>
      <c r="J1159">
        <v>0.63</v>
      </c>
      <c r="K1159" t="str" cm="1">
        <f t="array" ref="K1159">_xlfn.IFS(Table4_2[[#This Row],[Growth Days]]&lt;=14,"Seedling",Table4_2[[#This Row],[Growth Days]]&lt;=35, "Vegetative",Table4_2[[#This Row],[Growth Days]]&lt;=50, "Maturity")</f>
        <v>Vegetative</v>
      </c>
      <c r="L1159" t="str">
        <f>IF(Table4_2[[#This Row],[TDS Value (ppm)]]&lt;560, "Low", IF(Table4_2[[#This Row],[TDS Value (ppm)]]&lt;=800,"Optimal","High"))</f>
        <v>Optimal</v>
      </c>
    </row>
    <row r="1160" spans="1:12" x14ac:dyDescent="0.25">
      <c r="A1160">
        <v>52</v>
      </c>
      <c r="B1160" s="1">
        <v>45175</v>
      </c>
      <c r="C1160" s="1" t="str">
        <f>TEXT(Table4_2[[#This Row],[Date]],"dddd")</f>
        <v>Wednesday</v>
      </c>
      <c r="D1160" s="21">
        <v>23.3</v>
      </c>
      <c r="E1160" s="21">
        <v>51</v>
      </c>
      <c r="F1160" s="21">
        <v>495</v>
      </c>
      <c r="G1160" s="21">
        <v>6.1</v>
      </c>
      <c r="H1160">
        <v>35</v>
      </c>
      <c r="I1160">
        <v>73.94</v>
      </c>
      <c r="J1160">
        <v>0.51</v>
      </c>
      <c r="K1160" t="str" cm="1">
        <f t="array" ref="K1160">_xlfn.IFS(Table4_2[[#This Row],[Growth Days]]&lt;=14,"Seedling",Table4_2[[#This Row],[Growth Days]]&lt;=35, "Vegetative",Table4_2[[#This Row],[Growth Days]]&lt;=50, "Maturity")</f>
        <v>Vegetative</v>
      </c>
      <c r="L1160" t="str">
        <f>IF(Table4_2[[#This Row],[TDS Value (ppm)]]&lt;560, "Low", IF(Table4_2[[#This Row],[TDS Value (ppm)]]&lt;=800,"Optimal","High"))</f>
        <v>Low</v>
      </c>
    </row>
    <row r="1161" spans="1:12" x14ac:dyDescent="0.25">
      <c r="A1161">
        <v>52</v>
      </c>
      <c r="B1161" s="1">
        <v>45182</v>
      </c>
      <c r="C1161" s="1" t="str">
        <f>TEXT(Table4_2[[#This Row],[Date]],"dddd")</f>
        <v>Wednesday</v>
      </c>
      <c r="D1161" s="21">
        <v>21.2</v>
      </c>
      <c r="E1161" s="21">
        <v>63</v>
      </c>
      <c r="F1161" s="21">
        <v>779</v>
      </c>
      <c r="G1161" s="21">
        <v>6.5</v>
      </c>
      <c r="H1161">
        <v>42</v>
      </c>
      <c r="I1161">
        <v>70.16</v>
      </c>
      <c r="J1161">
        <v>0.63</v>
      </c>
      <c r="K1161" t="str" cm="1">
        <f t="array" ref="K1161">_xlfn.IFS(Table4_2[[#This Row],[Growth Days]]&lt;=14,"Seedling",Table4_2[[#This Row],[Growth Days]]&lt;=35, "Vegetative",Table4_2[[#This Row],[Growth Days]]&lt;=50, "Maturity")</f>
        <v>Maturity</v>
      </c>
      <c r="L1161" t="str">
        <f>IF(Table4_2[[#This Row],[TDS Value (ppm)]]&lt;560, "Low", IF(Table4_2[[#This Row],[TDS Value (ppm)]]&lt;=800,"Optimal","High"))</f>
        <v>Optimal</v>
      </c>
    </row>
    <row r="1162" spans="1:12" x14ac:dyDescent="0.25">
      <c r="A1162">
        <v>53</v>
      </c>
      <c r="B1162" s="1">
        <v>45147</v>
      </c>
      <c r="C1162" s="1" t="str">
        <f>TEXT(Table4_2[[#This Row],[Date]],"dddd")</f>
        <v>Wednesday</v>
      </c>
      <c r="D1162" s="21">
        <v>21.6</v>
      </c>
      <c r="E1162" s="21">
        <v>50</v>
      </c>
      <c r="F1162" s="21">
        <v>670</v>
      </c>
      <c r="G1162" s="21">
        <v>6.6</v>
      </c>
      <c r="H1162">
        <v>7</v>
      </c>
      <c r="I1162">
        <v>70.88</v>
      </c>
      <c r="J1162">
        <v>0.5</v>
      </c>
      <c r="K1162" t="str" cm="1">
        <f t="array" ref="K1162">_xlfn.IFS(Table4_2[[#This Row],[Growth Days]]&lt;=14,"Seedling",Table4_2[[#This Row],[Growth Days]]&lt;=35, "Vegetative",Table4_2[[#This Row],[Growth Days]]&lt;=50, "Maturity")</f>
        <v>Seedling</v>
      </c>
      <c r="L1162" t="str">
        <f>IF(Table4_2[[#This Row],[TDS Value (ppm)]]&lt;560, "Low", IF(Table4_2[[#This Row],[TDS Value (ppm)]]&lt;=800,"Optimal","High"))</f>
        <v>Optimal</v>
      </c>
    </row>
    <row r="1163" spans="1:12" x14ac:dyDescent="0.25">
      <c r="A1163">
        <v>53</v>
      </c>
      <c r="B1163" s="1">
        <v>45154</v>
      </c>
      <c r="C1163" s="1" t="str">
        <f>TEXT(Table4_2[[#This Row],[Date]],"dddd")</f>
        <v>Wednesday</v>
      </c>
      <c r="D1163" s="21">
        <v>20</v>
      </c>
      <c r="E1163" s="21">
        <v>52</v>
      </c>
      <c r="F1163" s="21">
        <v>483</v>
      </c>
      <c r="G1163" s="21">
        <v>6.7</v>
      </c>
      <c r="H1163">
        <v>14</v>
      </c>
      <c r="I1163">
        <v>68</v>
      </c>
      <c r="J1163">
        <v>0.52</v>
      </c>
      <c r="K1163" t="str" cm="1">
        <f t="array" ref="K1163">_xlfn.IFS(Table4_2[[#This Row],[Growth Days]]&lt;=14,"Seedling",Table4_2[[#This Row],[Growth Days]]&lt;=35, "Vegetative",Table4_2[[#This Row],[Growth Days]]&lt;=50, "Maturity")</f>
        <v>Seedling</v>
      </c>
      <c r="L1163" t="str">
        <f>IF(Table4_2[[#This Row],[TDS Value (ppm)]]&lt;560, "Low", IF(Table4_2[[#This Row],[TDS Value (ppm)]]&lt;=800,"Optimal","High"))</f>
        <v>Low</v>
      </c>
    </row>
    <row r="1164" spans="1:12" x14ac:dyDescent="0.25">
      <c r="A1164">
        <v>53</v>
      </c>
      <c r="B1164" s="1">
        <v>45161</v>
      </c>
      <c r="C1164" s="1" t="str">
        <f>TEXT(Table4_2[[#This Row],[Date]],"dddd")</f>
        <v>Wednesday</v>
      </c>
      <c r="D1164" s="21">
        <v>20.8</v>
      </c>
      <c r="E1164" s="21">
        <v>50</v>
      </c>
      <c r="F1164" s="21">
        <v>697</v>
      </c>
      <c r="G1164" s="21">
        <v>6.7</v>
      </c>
      <c r="H1164">
        <v>21</v>
      </c>
      <c r="I1164">
        <v>69.44</v>
      </c>
      <c r="J1164">
        <v>0.5</v>
      </c>
      <c r="K1164" t="str" cm="1">
        <f t="array" ref="K1164">_xlfn.IFS(Table4_2[[#This Row],[Growth Days]]&lt;=14,"Seedling",Table4_2[[#This Row],[Growth Days]]&lt;=35, "Vegetative",Table4_2[[#This Row],[Growth Days]]&lt;=50, "Maturity")</f>
        <v>Vegetative</v>
      </c>
      <c r="L1164" t="str">
        <f>IF(Table4_2[[#This Row],[TDS Value (ppm)]]&lt;560, "Low", IF(Table4_2[[#This Row],[TDS Value (ppm)]]&lt;=800,"Optimal","High"))</f>
        <v>Optimal</v>
      </c>
    </row>
    <row r="1165" spans="1:12" x14ac:dyDescent="0.25">
      <c r="A1165">
        <v>53</v>
      </c>
      <c r="B1165" s="1">
        <v>45168</v>
      </c>
      <c r="C1165" s="1" t="str">
        <f>TEXT(Table4_2[[#This Row],[Date]],"dddd")</f>
        <v>Wednesday</v>
      </c>
      <c r="D1165" s="21">
        <v>22.4</v>
      </c>
      <c r="E1165" s="21">
        <v>54</v>
      </c>
      <c r="F1165" s="21">
        <v>466</v>
      </c>
      <c r="G1165" s="21">
        <v>6.2</v>
      </c>
      <c r="H1165">
        <v>28</v>
      </c>
      <c r="I1165">
        <v>72.319999999999993</v>
      </c>
      <c r="J1165">
        <v>0.54</v>
      </c>
      <c r="K1165" t="str" cm="1">
        <f t="array" ref="K1165">_xlfn.IFS(Table4_2[[#This Row],[Growth Days]]&lt;=14,"Seedling",Table4_2[[#This Row],[Growth Days]]&lt;=35, "Vegetative",Table4_2[[#This Row],[Growth Days]]&lt;=50, "Maturity")</f>
        <v>Vegetative</v>
      </c>
      <c r="L1165" t="str">
        <f>IF(Table4_2[[#This Row],[TDS Value (ppm)]]&lt;560, "Low", IF(Table4_2[[#This Row],[TDS Value (ppm)]]&lt;=800,"Optimal","High"))</f>
        <v>Low</v>
      </c>
    </row>
    <row r="1166" spans="1:12" x14ac:dyDescent="0.25">
      <c r="A1166">
        <v>53</v>
      </c>
      <c r="B1166" s="1">
        <v>45175</v>
      </c>
      <c r="C1166" s="1" t="str">
        <f>TEXT(Table4_2[[#This Row],[Date]],"dddd")</f>
        <v>Wednesday</v>
      </c>
      <c r="D1166" s="21">
        <v>20.100000000000001</v>
      </c>
      <c r="E1166" s="21">
        <v>79</v>
      </c>
      <c r="F1166" s="21">
        <v>573</v>
      </c>
      <c r="G1166" s="21">
        <v>6.7</v>
      </c>
      <c r="H1166">
        <v>35</v>
      </c>
      <c r="I1166">
        <v>68.180000000000007</v>
      </c>
      <c r="J1166">
        <v>0.79</v>
      </c>
      <c r="K1166" t="str" cm="1">
        <f t="array" ref="K1166">_xlfn.IFS(Table4_2[[#This Row],[Growth Days]]&lt;=14,"Seedling",Table4_2[[#This Row],[Growth Days]]&lt;=35, "Vegetative",Table4_2[[#This Row],[Growth Days]]&lt;=50, "Maturity")</f>
        <v>Vegetative</v>
      </c>
      <c r="L1166" t="str">
        <f>IF(Table4_2[[#This Row],[TDS Value (ppm)]]&lt;560, "Low", IF(Table4_2[[#This Row],[TDS Value (ppm)]]&lt;=800,"Optimal","High"))</f>
        <v>Optimal</v>
      </c>
    </row>
    <row r="1167" spans="1:12" x14ac:dyDescent="0.25">
      <c r="A1167">
        <v>53</v>
      </c>
      <c r="B1167" s="1">
        <v>45182</v>
      </c>
      <c r="C1167" s="1" t="str">
        <f>TEXT(Table4_2[[#This Row],[Date]],"dddd")</f>
        <v>Wednesday</v>
      </c>
      <c r="D1167" s="21">
        <v>20.399999999999999</v>
      </c>
      <c r="E1167" s="21">
        <v>56</v>
      </c>
      <c r="F1167" s="21">
        <v>787</v>
      </c>
      <c r="G1167" s="21">
        <v>6.1</v>
      </c>
      <c r="H1167">
        <v>42</v>
      </c>
      <c r="I1167">
        <v>68.72</v>
      </c>
      <c r="J1167">
        <v>0.56000000000000005</v>
      </c>
      <c r="K1167" t="str" cm="1">
        <f t="array" ref="K1167">_xlfn.IFS(Table4_2[[#This Row],[Growth Days]]&lt;=14,"Seedling",Table4_2[[#This Row],[Growth Days]]&lt;=35, "Vegetative",Table4_2[[#This Row],[Growth Days]]&lt;=50, "Maturity")</f>
        <v>Maturity</v>
      </c>
      <c r="L1167" t="str">
        <f>IF(Table4_2[[#This Row],[TDS Value (ppm)]]&lt;560, "Low", IF(Table4_2[[#This Row],[TDS Value (ppm)]]&lt;=800,"Optimal","High"))</f>
        <v>Optimal</v>
      </c>
    </row>
    <row r="1168" spans="1:12" x14ac:dyDescent="0.25">
      <c r="A1168">
        <v>54</v>
      </c>
      <c r="B1168" s="1">
        <v>45147</v>
      </c>
      <c r="C1168" s="1" t="str">
        <f>TEXT(Table4_2[[#This Row],[Date]],"dddd")</f>
        <v>Wednesday</v>
      </c>
      <c r="D1168" s="21">
        <v>21</v>
      </c>
      <c r="E1168" s="21">
        <v>53</v>
      </c>
      <c r="F1168" s="21">
        <v>478</v>
      </c>
      <c r="G1168" s="21">
        <v>6.5</v>
      </c>
      <c r="H1168">
        <v>7</v>
      </c>
      <c r="I1168">
        <v>69.8</v>
      </c>
      <c r="J1168">
        <v>0.53</v>
      </c>
      <c r="K1168" t="str" cm="1">
        <f t="array" ref="K1168">_xlfn.IFS(Table4_2[[#This Row],[Growth Days]]&lt;=14,"Seedling",Table4_2[[#This Row],[Growth Days]]&lt;=35, "Vegetative",Table4_2[[#This Row],[Growth Days]]&lt;=50, "Maturity")</f>
        <v>Seedling</v>
      </c>
      <c r="L1168" t="str">
        <f>IF(Table4_2[[#This Row],[TDS Value (ppm)]]&lt;560, "Low", IF(Table4_2[[#This Row],[TDS Value (ppm)]]&lt;=800,"Optimal","High"))</f>
        <v>Low</v>
      </c>
    </row>
    <row r="1169" spans="1:12" x14ac:dyDescent="0.25">
      <c r="A1169">
        <v>54</v>
      </c>
      <c r="B1169" s="1">
        <v>45154</v>
      </c>
      <c r="C1169" s="1" t="str">
        <f>TEXT(Table4_2[[#This Row],[Date]],"dddd")</f>
        <v>Wednesday</v>
      </c>
      <c r="D1169" s="21">
        <v>22.4</v>
      </c>
      <c r="E1169" s="21">
        <v>61</v>
      </c>
      <c r="F1169" s="21">
        <v>525</v>
      </c>
      <c r="G1169" s="21">
        <v>6.7</v>
      </c>
      <c r="H1169">
        <v>14</v>
      </c>
      <c r="I1169">
        <v>72.319999999999993</v>
      </c>
      <c r="J1169">
        <v>0.61</v>
      </c>
      <c r="K1169" t="str" cm="1">
        <f t="array" ref="K1169">_xlfn.IFS(Table4_2[[#This Row],[Growth Days]]&lt;=14,"Seedling",Table4_2[[#This Row],[Growth Days]]&lt;=35, "Vegetative",Table4_2[[#This Row],[Growth Days]]&lt;=50, "Maturity")</f>
        <v>Seedling</v>
      </c>
      <c r="L1169" t="str">
        <f>IF(Table4_2[[#This Row],[TDS Value (ppm)]]&lt;560, "Low", IF(Table4_2[[#This Row],[TDS Value (ppm)]]&lt;=800,"Optimal","High"))</f>
        <v>Low</v>
      </c>
    </row>
    <row r="1170" spans="1:12" x14ac:dyDescent="0.25">
      <c r="A1170">
        <v>54</v>
      </c>
      <c r="B1170" s="1">
        <v>45161</v>
      </c>
      <c r="C1170" s="1" t="str">
        <f>TEXT(Table4_2[[#This Row],[Date]],"dddd")</f>
        <v>Wednesday</v>
      </c>
      <c r="D1170" s="21">
        <v>21.4</v>
      </c>
      <c r="E1170" s="21">
        <v>57</v>
      </c>
      <c r="F1170" s="21">
        <v>679</v>
      </c>
      <c r="G1170" s="21">
        <v>6.1</v>
      </c>
      <c r="H1170">
        <v>21</v>
      </c>
      <c r="I1170">
        <v>70.52</v>
      </c>
      <c r="J1170">
        <v>0.56999999999999995</v>
      </c>
      <c r="K1170" t="str" cm="1">
        <f t="array" ref="K1170">_xlfn.IFS(Table4_2[[#This Row],[Growth Days]]&lt;=14,"Seedling",Table4_2[[#This Row],[Growth Days]]&lt;=35, "Vegetative",Table4_2[[#This Row],[Growth Days]]&lt;=50, "Maturity")</f>
        <v>Vegetative</v>
      </c>
      <c r="L1170" t="str">
        <f>IF(Table4_2[[#This Row],[TDS Value (ppm)]]&lt;560, "Low", IF(Table4_2[[#This Row],[TDS Value (ppm)]]&lt;=800,"Optimal","High"))</f>
        <v>Optimal</v>
      </c>
    </row>
    <row r="1171" spans="1:12" x14ac:dyDescent="0.25">
      <c r="A1171">
        <v>54</v>
      </c>
      <c r="B1171" s="1">
        <v>45168</v>
      </c>
      <c r="C1171" s="1" t="str">
        <f>TEXT(Table4_2[[#This Row],[Date]],"dddd")</f>
        <v>Wednesday</v>
      </c>
      <c r="D1171" s="21">
        <v>24.6</v>
      </c>
      <c r="E1171" s="21">
        <v>65</v>
      </c>
      <c r="F1171" s="21">
        <v>776</v>
      </c>
      <c r="G1171" s="21">
        <v>6.5</v>
      </c>
      <c r="H1171">
        <v>28</v>
      </c>
      <c r="I1171">
        <v>76.28</v>
      </c>
      <c r="J1171">
        <v>0.65</v>
      </c>
      <c r="K1171" t="str" cm="1">
        <f t="array" ref="K1171">_xlfn.IFS(Table4_2[[#This Row],[Growth Days]]&lt;=14,"Seedling",Table4_2[[#This Row],[Growth Days]]&lt;=35, "Vegetative",Table4_2[[#This Row],[Growth Days]]&lt;=50, "Maturity")</f>
        <v>Vegetative</v>
      </c>
      <c r="L1171" t="str">
        <f>IF(Table4_2[[#This Row],[TDS Value (ppm)]]&lt;560, "Low", IF(Table4_2[[#This Row],[TDS Value (ppm)]]&lt;=800,"Optimal","High"))</f>
        <v>Optimal</v>
      </c>
    </row>
    <row r="1172" spans="1:12" x14ac:dyDescent="0.25">
      <c r="A1172">
        <v>54</v>
      </c>
      <c r="B1172" s="1">
        <v>45175</v>
      </c>
      <c r="C1172" s="1" t="str">
        <f>TEXT(Table4_2[[#This Row],[Date]],"dddd")</f>
        <v>Wednesday</v>
      </c>
      <c r="D1172" s="21">
        <v>21.7</v>
      </c>
      <c r="E1172" s="21">
        <v>64</v>
      </c>
      <c r="F1172" s="21">
        <v>679</v>
      </c>
      <c r="G1172" s="21">
        <v>6.4</v>
      </c>
      <c r="H1172">
        <v>35</v>
      </c>
      <c r="I1172">
        <v>71.06</v>
      </c>
      <c r="J1172">
        <v>0.64</v>
      </c>
      <c r="K1172" t="str" cm="1">
        <f t="array" ref="K1172">_xlfn.IFS(Table4_2[[#This Row],[Growth Days]]&lt;=14,"Seedling",Table4_2[[#This Row],[Growth Days]]&lt;=35, "Vegetative",Table4_2[[#This Row],[Growth Days]]&lt;=50, "Maturity")</f>
        <v>Vegetative</v>
      </c>
      <c r="L1172" t="str">
        <f>IF(Table4_2[[#This Row],[TDS Value (ppm)]]&lt;560, "Low", IF(Table4_2[[#This Row],[TDS Value (ppm)]]&lt;=800,"Optimal","High"))</f>
        <v>Optimal</v>
      </c>
    </row>
    <row r="1173" spans="1:12" x14ac:dyDescent="0.25">
      <c r="A1173">
        <v>54</v>
      </c>
      <c r="B1173" s="1">
        <v>45182</v>
      </c>
      <c r="C1173" s="1" t="str">
        <f>TEXT(Table4_2[[#This Row],[Date]],"dddd")</f>
        <v>Wednesday</v>
      </c>
      <c r="D1173" s="21">
        <v>18.600000000000001</v>
      </c>
      <c r="E1173" s="21">
        <v>57</v>
      </c>
      <c r="F1173" s="21">
        <v>443</v>
      </c>
      <c r="G1173" s="21">
        <v>6.3</v>
      </c>
      <c r="H1173">
        <v>42</v>
      </c>
      <c r="I1173">
        <v>65.48</v>
      </c>
      <c r="J1173">
        <v>0.56999999999999995</v>
      </c>
      <c r="K1173" t="str" cm="1">
        <f t="array" ref="K1173">_xlfn.IFS(Table4_2[[#This Row],[Growth Days]]&lt;=14,"Seedling",Table4_2[[#This Row],[Growth Days]]&lt;=35, "Vegetative",Table4_2[[#This Row],[Growth Days]]&lt;=50, "Maturity")</f>
        <v>Maturity</v>
      </c>
      <c r="L1173" t="str">
        <f>IF(Table4_2[[#This Row],[TDS Value (ppm)]]&lt;560, "Low", IF(Table4_2[[#This Row],[TDS Value (ppm)]]&lt;=800,"Optimal","High"))</f>
        <v>Low</v>
      </c>
    </row>
    <row r="1174" spans="1:12" x14ac:dyDescent="0.25">
      <c r="A1174">
        <v>55</v>
      </c>
      <c r="B1174" s="1">
        <v>45147</v>
      </c>
      <c r="C1174" s="1" t="str">
        <f>TEXT(Table4_2[[#This Row],[Date]],"dddd")</f>
        <v>Wednesday</v>
      </c>
      <c r="D1174" s="21">
        <v>24.2</v>
      </c>
      <c r="E1174" s="21">
        <v>56</v>
      </c>
      <c r="F1174" s="21">
        <v>424</v>
      </c>
      <c r="G1174" s="21">
        <v>6.8</v>
      </c>
      <c r="H1174">
        <v>7</v>
      </c>
      <c r="I1174">
        <v>75.56</v>
      </c>
      <c r="J1174">
        <v>0.56000000000000005</v>
      </c>
      <c r="K1174" t="str" cm="1">
        <f t="array" ref="K1174">_xlfn.IFS(Table4_2[[#This Row],[Growth Days]]&lt;=14,"Seedling",Table4_2[[#This Row],[Growth Days]]&lt;=35, "Vegetative",Table4_2[[#This Row],[Growth Days]]&lt;=50, "Maturity")</f>
        <v>Seedling</v>
      </c>
      <c r="L1174" t="str">
        <f>IF(Table4_2[[#This Row],[TDS Value (ppm)]]&lt;560, "Low", IF(Table4_2[[#This Row],[TDS Value (ppm)]]&lt;=800,"Optimal","High"))</f>
        <v>Low</v>
      </c>
    </row>
    <row r="1175" spans="1:12" x14ac:dyDescent="0.25">
      <c r="A1175">
        <v>55</v>
      </c>
      <c r="B1175" s="1">
        <v>45154</v>
      </c>
      <c r="C1175" s="1" t="str">
        <f>TEXT(Table4_2[[#This Row],[Date]],"dddd")</f>
        <v>Wednesday</v>
      </c>
      <c r="D1175" s="21">
        <v>21.2</v>
      </c>
      <c r="E1175" s="21">
        <v>76</v>
      </c>
      <c r="F1175" s="21">
        <v>728</v>
      </c>
      <c r="G1175" s="21">
        <v>6.5</v>
      </c>
      <c r="H1175">
        <v>14</v>
      </c>
      <c r="I1175">
        <v>70.16</v>
      </c>
      <c r="J1175">
        <v>0.76</v>
      </c>
      <c r="K1175" t="str" cm="1">
        <f t="array" ref="K1175">_xlfn.IFS(Table4_2[[#This Row],[Growth Days]]&lt;=14,"Seedling",Table4_2[[#This Row],[Growth Days]]&lt;=35, "Vegetative",Table4_2[[#This Row],[Growth Days]]&lt;=50, "Maturity")</f>
        <v>Seedling</v>
      </c>
      <c r="L1175" t="str">
        <f>IF(Table4_2[[#This Row],[TDS Value (ppm)]]&lt;560, "Low", IF(Table4_2[[#This Row],[TDS Value (ppm)]]&lt;=800,"Optimal","High"))</f>
        <v>Optimal</v>
      </c>
    </row>
    <row r="1176" spans="1:12" x14ac:dyDescent="0.25">
      <c r="A1176">
        <v>55</v>
      </c>
      <c r="B1176" s="1">
        <v>45161</v>
      </c>
      <c r="C1176" s="1" t="str">
        <f>TEXT(Table4_2[[#This Row],[Date]],"dddd")</f>
        <v>Wednesday</v>
      </c>
      <c r="D1176" s="21">
        <v>19</v>
      </c>
      <c r="E1176" s="21">
        <v>66</v>
      </c>
      <c r="F1176" s="21">
        <v>665</v>
      </c>
      <c r="G1176" s="21">
        <v>6.2</v>
      </c>
      <c r="H1176">
        <v>21</v>
      </c>
      <c r="I1176">
        <v>66.2</v>
      </c>
      <c r="J1176">
        <v>0.66</v>
      </c>
      <c r="K1176" t="str" cm="1">
        <f t="array" ref="K1176">_xlfn.IFS(Table4_2[[#This Row],[Growth Days]]&lt;=14,"Seedling",Table4_2[[#This Row],[Growth Days]]&lt;=35, "Vegetative",Table4_2[[#This Row],[Growth Days]]&lt;=50, "Maturity")</f>
        <v>Vegetative</v>
      </c>
      <c r="L1176" t="str">
        <f>IF(Table4_2[[#This Row],[TDS Value (ppm)]]&lt;560, "Low", IF(Table4_2[[#This Row],[TDS Value (ppm)]]&lt;=800,"Optimal","High"))</f>
        <v>Optimal</v>
      </c>
    </row>
    <row r="1177" spans="1:12" x14ac:dyDescent="0.25">
      <c r="A1177">
        <v>55</v>
      </c>
      <c r="B1177" s="1">
        <v>45168</v>
      </c>
      <c r="C1177" s="1" t="str">
        <f>TEXT(Table4_2[[#This Row],[Date]],"dddd")</f>
        <v>Wednesday</v>
      </c>
      <c r="D1177" s="21">
        <v>20.8</v>
      </c>
      <c r="E1177" s="21">
        <v>59</v>
      </c>
      <c r="F1177" s="21">
        <v>447</v>
      </c>
      <c r="G1177" s="21">
        <v>6.3</v>
      </c>
      <c r="H1177">
        <v>28</v>
      </c>
      <c r="I1177">
        <v>69.44</v>
      </c>
      <c r="J1177">
        <v>0.59</v>
      </c>
      <c r="K1177" t="str" cm="1">
        <f t="array" ref="K1177">_xlfn.IFS(Table4_2[[#This Row],[Growth Days]]&lt;=14,"Seedling",Table4_2[[#This Row],[Growth Days]]&lt;=35, "Vegetative",Table4_2[[#This Row],[Growth Days]]&lt;=50, "Maturity")</f>
        <v>Vegetative</v>
      </c>
      <c r="L1177" t="str">
        <f>IF(Table4_2[[#This Row],[TDS Value (ppm)]]&lt;560, "Low", IF(Table4_2[[#This Row],[TDS Value (ppm)]]&lt;=800,"Optimal","High"))</f>
        <v>Low</v>
      </c>
    </row>
    <row r="1178" spans="1:12" x14ac:dyDescent="0.25">
      <c r="A1178">
        <v>55</v>
      </c>
      <c r="B1178" s="1">
        <v>45175</v>
      </c>
      <c r="C1178" s="1" t="str">
        <f>TEXT(Table4_2[[#This Row],[Date]],"dddd")</f>
        <v>Wednesday</v>
      </c>
      <c r="D1178" s="21">
        <v>21.3</v>
      </c>
      <c r="E1178" s="21">
        <v>53</v>
      </c>
      <c r="F1178" s="21">
        <v>686</v>
      </c>
      <c r="G1178" s="21">
        <v>6</v>
      </c>
      <c r="H1178">
        <v>35</v>
      </c>
      <c r="I1178">
        <v>70.34</v>
      </c>
      <c r="J1178">
        <v>0.53</v>
      </c>
      <c r="K1178" t="str" cm="1">
        <f t="array" ref="K1178">_xlfn.IFS(Table4_2[[#This Row],[Growth Days]]&lt;=14,"Seedling",Table4_2[[#This Row],[Growth Days]]&lt;=35, "Vegetative",Table4_2[[#This Row],[Growth Days]]&lt;=50, "Maturity")</f>
        <v>Vegetative</v>
      </c>
      <c r="L1178" t="str">
        <f>IF(Table4_2[[#This Row],[TDS Value (ppm)]]&lt;560, "Low", IF(Table4_2[[#This Row],[TDS Value (ppm)]]&lt;=800,"Optimal","High"))</f>
        <v>Optimal</v>
      </c>
    </row>
    <row r="1179" spans="1:12" x14ac:dyDescent="0.25">
      <c r="A1179">
        <v>55</v>
      </c>
      <c r="B1179" s="1">
        <v>45182</v>
      </c>
      <c r="C1179" s="1" t="str">
        <f>TEXT(Table4_2[[#This Row],[Date]],"dddd")</f>
        <v>Wednesday</v>
      </c>
      <c r="D1179" s="21">
        <v>19.399999999999999</v>
      </c>
      <c r="E1179" s="21">
        <v>57</v>
      </c>
      <c r="F1179" s="21">
        <v>724</v>
      </c>
      <c r="G1179" s="21">
        <v>6.5</v>
      </c>
      <c r="H1179">
        <v>42</v>
      </c>
      <c r="I1179">
        <v>66.92</v>
      </c>
      <c r="J1179">
        <v>0.56999999999999995</v>
      </c>
      <c r="K1179" t="str" cm="1">
        <f t="array" ref="K1179">_xlfn.IFS(Table4_2[[#This Row],[Growth Days]]&lt;=14,"Seedling",Table4_2[[#This Row],[Growth Days]]&lt;=35, "Vegetative",Table4_2[[#This Row],[Growth Days]]&lt;=50, "Maturity")</f>
        <v>Maturity</v>
      </c>
      <c r="L1179" t="str">
        <f>IF(Table4_2[[#This Row],[TDS Value (ppm)]]&lt;560, "Low", IF(Table4_2[[#This Row],[TDS Value (ppm)]]&lt;=800,"Optimal","High"))</f>
        <v>Optimal</v>
      </c>
    </row>
    <row r="1180" spans="1:12" x14ac:dyDescent="0.25">
      <c r="A1180">
        <v>56</v>
      </c>
      <c r="B1180" s="1">
        <v>45147</v>
      </c>
      <c r="C1180" s="1" t="str">
        <f>TEXT(Table4_2[[#This Row],[Date]],"dddd")</f>
        <v>Wednesday</v>
      </c>
      <c r="D1180" s="21">
        <v>23.8</v>
      </c>
      <c r="E1180" s="21">
        <v>65</v>
      </c>
      <c r="F1180" s="21">
        <v>538</v>
      </c>
      <c r="G1180" s="21">
        <v>6.5</v>
      </c>
      <c r="H1180">
        <v>7</v>
      </c>
      <c r="I1180">
        <v>74.84</v>
      </c>
      <c r="J1180">
        <v>0.65</v>
      </c>
      <c r="K1180" t="str" cm="1">
        <f t="array" ref="K1180">_xlfn.IFS(Table4_2[[#This Row],[Growth Days]]&lt;=14,"Seedling",Table4_2[[#This Row],[Growth Days]]&lt;=35, "Vegetative",Table4_2[[#This Row],[Growth Days]]&lt;=50, "Maturity")</f>
        <v>Seedling</v>
      </c>
      <c r="L1180" t="str">
        <f>IF(Table4_2[[#This Row],[TDS Value (ppm)]]&lt;560, "Low", IF(Table4_2[[#This Row],[TDS Value (ppm)]]&lt;=800,"Optimal","High"))</f>
        <v>Low</v>
      </c>
    </row>
    <row r="1181" spans="1:12" x14ac:dyDescent="0.25">
      <c r="A1181">
        <v>56</v>
      </c>
      <c r="B1181" s="1">
        <v>45154</v>
      </c>
      <c r="C1181" s="1" t="str">
        <f>TEXT(Table4_2[[#This Row],[Date]],"dddd")</f>
        <v>Wednesday</v>
      </c>
      <c r="D1181" s="21">
        <v>19.399999999999999</v>
      </c>
      <c r="E1181" s="21">
        <v>65</v>
      </c>
      <c r="F1181" s="21">
        <v>739</v>
      </c>
      <c r="G1181" s="21">
        <v>6.7</v>
      </c>
      <c r="H1181">
        <v>14</v>
      </c>
      <c r="I1181">
        <v>66.92</v>
      </c>
      <c r="J1181">
        <v>0.65</v>
      </c>
      <c r="K1181" t="str" cm="1">
        <f t="array" ref="K1181">_xlfn.IFS(Table4_2[[#This Row],[Growth Days]]&lt;=14,"Seedling",Table4_2[[#This Row],[Growth Days]]&lt;=35, "Vegetative",Table4_2[[#This Row],[Growth Days]]&lt;=50, "Maturity")</f>
        <v>Seedling</v>
      </c>
      <c r="L1181" t="str">
        <f>IF(Table4_2[[#This Row],[TDS Value (ppm)]]&lt;560, "Low", IF(Table4_2[[#This Row],[TDS Value (ppm)]]&lt;=800,"Optimal","High"))</f>
        <v>Optimal</v>
      </c>
    </row>
    <row r="1182" spans="1:12" x14ac:dyDescent="0.25">
      <c r="A1182">
        <v>56</v>
      </c>
      <c r="B1182" s="1">
        <v>45161</v>
      </c>
      <c r="C1182" s="1" t="str">
        <f>TEXT(Table4_2[[#This Row],[Date]],"dddd")</f>
        <v>Wednesday</v>
      </c>
      <c r="D1182" s="21">
        <v>19.899999999999999</v>
      </c>
      <c r="E1182" s="21">
        <v>70</v>
      </c>
      <c r="F1182" s="21">
        <v>741</v>
      </c>
      <c r="G1182" s="21">
        <v>6.5</v>
      </c>
      <c r="H1182">
        <v>21</v>
      </c>
      <c r="I1182">
        <v>67.819999999999993</v>
      </c>
      <c r="J1182">
        <v>0.7</v>
      </c>
      <c r="K1182" t="str" cm="1">
        <f t="array" ref="K1182">_xlfn.IFS(Table4_2[[#This Row],[Growth Days]]&lt;=14,"Seedling",Table4_2[[#This Row],[Growth Days]]&lt;=35, "Vegetative",Table4_2[[#This Row],[Growth Days]]&lt;=50, "Maturity")</f>
        <v>Vegetative</v>
      </c>
      <c r="L1182" t="str">
        <f>IF(Table4_2[[#This Row],[TDS Value (ppm)]]&lt;560, "Low", IF(Table4_2[[#This Row],[TDS Value (ppm)]]&lt;=800,"Optimal","High"))</f>
        <v>Optimal</v>
      </c>
    </row>
    <row r="1183" spans="1:12" x14ac:dyDescent="0.25">
      <c r="A1183">
        <v>56</v>
      </c>
      <c r="B1183" s="1">
        <v>45168</v>
      </c>
      <c r="C1183" s="1" t="str">
        <f>TEXT(Table4_2[[#This Row],[Date]],"dddd")</f>
        <v>Wednesday</v>
      </c>
      <c r="D1183" s="21">
        <v>19.2</v>
      </c>
      <c r="E1183" s="21">
        <v>72</v>
      </c>
      <c r="F1183" s="21">
        <v>509</v>
      </c>
      <c r="G1183" s="21">
        <v>6.4</v>
      </c>
      <c r="H1183">
        <v>28</v>
      </c>
      <c r="I1183">
        <v>66.56</v>
      </c>
      <c r="J1183">
        <v>0.72</v>
      </c>
      <c r="K1183" t="str" cm="1">
        <f t="array" ref="K1183">_xlfn.IFS(Table4_2[[#This Row],[Growth Days]]&lt;=14,"Seedling",Table4_2[[#This Row],[Growth Days]]&lt;=35, "Vegetative",Table4_2[[#This Row],[Growth Days]]&lt;=50, "Maturity")</f>
        <v>Vegetative</v>
      </c>
      <c r="L1183" t="str">
        <f>IF(Table4_2[[#This Row],[TDS Value (ppm)]]&lt;560, "Low", IF(Table4_2[[#This Row],[TDS Value (ppm)]]&lt;=800,"Optimal","High"))</f>
        <v>Low</v>
      </c>
    </row>
    <row r="1184" spans="1:12" x14ac:dyDescent="0.25">
      <c r="A1184">
        <v>56</v>
      </c>
      <c r="B1184" s="1">
        <v>45175</v>
      </c>
      <c r="C1184" s="1" t="str">
        <f>TEXT(Table4_2[[#This Row],[Date]],"dddd")</f>
        <v>Wednesday</v>
      </c>
      <c r="D1184" s="21">
        <v>22.8</v>
      </c>
      <c r="E1184" s="21">
        <v>79</v>
      </c>
      <c r="F1184" s="21">
        <v>503</v>
      </c>
      <c r="G1184" s="21">
        <v>6.4</v>
      </c>
      <c r="H1184">
        <v>35</v>
      </c>
      <c r="I1184">
        <v>73.040000000000006</v>
      </c>
      <c r="J1184">
        <v>0.79</v>
      </c>
      <c r="K1184" t="str" cm="1">
        <f t="array" ref="K1184">_xlfn.IFS(Table4_2[[#This Row],[Growth Days]]&lt;=14,"Seedling",Table4_2[[#This Row],[Growth Days]]&lt;=35, "Vegetative",Table4_2[[#This Row],[Growth Days]]&lt;=50, "Maturity")</f>
        <v>Vegetative</v>
      </c>
      <c r="L1184" t="str">
        <f>IF(Table4_2[[#This Row],[TDS Value (ppm)]]&lt;560, "Low", IF(Table4_2[[#This Row],[TDS Value (ppm)]]&lt;=800,"Optimal","High"))</f>
        <v>Low</v>
      </c>
    </row>
    <row r="1185" spans="1:12" x14ac:dyDescent="0.25">
      <c r="A1185">
        <v>56</v>
      </c>
      <c r="B1185" s="1">
        <v>45182</v>
      </c>
      <c r="C1185" s="1" t="str">
        <f>TEXT(Table4_2[[#This Row],[Date]],"dddd")</f>
        <v>Wednesday</v>
      </c>
      <c r="D1185" s="21">
        <v>21.5</v>
      </c>
      <c r="E1185" s="21">
        <v>61</v>
      </c>
      <c r="F1185" s="21">
        <v>407</v>
      </c>
      <c r="G1185" s="21">
        <v>6.2</v>
      </c>
      <c r="H1185">
        <v>42</v>
      </c>
      <c r="I1185">
        <v>70.7</v>
      </c>
      <c r="J1185">
        <v>0.61</v>
      </c>
      <c r="K1185" t="str" cm="1">
        <f t="array" ref="K1185">_xlfn.IFS(Table4_2[[#This Row],[Growth Days]]&lt;=14,"Seedling",Table4_2[[#This Row],[Growth Days]]&lt;=35, "Vegetative",Table4_2[[#This Row],[Growth Days]]&lt;=50, "Maturity")</f>
        <v>Maturity</v>
      </c>
      <c r="L1185" t="str">
        <f>IF(Table4_2[[#This Row],[TDS Value (ppm)]]&lt;560, "Low", IF(Table4_2[[#This Row],[TDS Value (ppm)]]&lt;=800,"Optimal","High"))</f>
        <v>Low</v>
      </c>
    </row>
    <row r="1186" spans="1:12" x14ac:dyDescent="0.25">
      <c r="A1186">
        <v>57</v>
      </c>
      <c r="B1186" s="1">
        <v>45147</v>
      </c>
      <c r="C1186" s="1" t="str">
        <f>TEXT(Table4_2[[#This Row],[Date]],"dddd")</f>
        <v>Wednesday</v>
      </c>
      <c r="D1186" s="21">
        <v>20.8</v>
      </c>
      <c r="E1186" s="21">
        <v>56</v>
      </c>
      <c r="F1186" s="21">
        <v>626</v>
      </c>
      <c r="G1186" s="21">
        <v>6.2</v>
      </c>
      <c r="H1186">
        <v>7</v>
      </c>
      <c r="I1186">
        <v>69.44</v>
      </c>
      <c r="J1186">
        <v>0.56000000000000005</v>
      </c>
      <c r="K1186" t="str" cm="1">
        <f t="array" ref="K1186">_xlfn.IFS(Table4_2[[#This Row],[Growth Days]]&lt;=14,"Seedling",Table4_2[[#This Row],[Growth Days]]&lt;=35, "Vegetative",Table4_2[[#This Row],[Growth Days]]&lt;=50, "Maturity")</f>
        <v>Seedling</v>
      </c>
      <c r="L1186" t="str">
        <f>IF(Table4_2[[#This Row],[TDS Value (ppm)]]&lt;560, "Low", IF(Table4_2[[#This Row],[TDS Value (ppm)]]&lt;=800,"Optimal","High"))</f>
        <v>Optimal</v>
      </c>
    </row>
    <row r="1187" spans="1:12" x14ac:dyDescent="0.25">
      <c r="A1187">
        <v>57</v>
      </c>
      <c r="B1187" s="1">
        <v>45154</v>
      </c>
      <c r="C1187" s="1" t="str">
        <f>TEXT(Table4_2[[#This Row],[Date]],"dddd")</f>
        <v>Wednesday</v>
      </c>
      <c r="D1187" s="21">
        <v>20.399999999999999</v>
      </c>
      <c r="E1187" s="21">
        <v>71</v>
      </c>
      <c r="F1187" s="21">
        <v>674</v>
      </c>
      <c r="G1187" s="21">
        <v>6.7</v>
      </c>
      <c r="H1187">
        <v>14</v>
      </c>
      <c r="I1187">
        <v>68.72</v>
      </c>
      <c r="J1187">
        <v>0.71</v>
      </c>
      <c r="K1187" t="str" cm="1">
        <f t="array" ref="K1187">_xlfn.IFS(Table4_2[[#This Row],[Growth Days]]&lt;=14,"Seedling",Table4_2[[#This Row],[Growth Days]]&lt;=35, "Vegetative",Table4_2[[#This Row],[Growth Days]]&lt;=50, "Maturity")</f>
        <v>Seedling</v>
      </c>
      <c r="L1187" t="str">
        <f>IF(Table4_2[[#This Row],[TDS Value (ppm)]]&lt;560, "Low", IF(Table4_2[[#This Row],[TDS Value (ppm)]]&lt;=800,"Optimal","High"))</f>
        <v>Optimal</v>
      </c>
    </row>
    <row r="1188" spans="1:12" x14ac:dyDescent="0.25">
      <c r="A1188">
        <v>57</v>
      </c>
      <c r="B1188" s="1">
        <v>45161</v>
      </c>
      <c r="C1188" s="1" t="str">
        <f>TEXT(Table4_2[[#This Row],[Date]],"dddd")</f>
        <v>Wednesday</v>
      </c>
      <c r="D1188" s="21">
        <v>23.2</v>
      </c>
      <c r="E1188" s="21">
        <v>68</v>
      </c>
      <c r="F1188" s="21">
        <v>688</v>
      </c>
      <c r="G1188" s="21">
        <v>6.7</v>
      </c>
      <c r="H1188">
        <v>21</v>
      </c>
      <c r="I1188">
        <v>73.760000000000005</v>
      </c>
      <c r="J1188">
        <v>0.68</v>
      </c>
      <c r="K1188" t="str" cm="1">
        <f t="array" ref="K1188">_xlfn.IFS(Table4_2[[#This Row],[Growth Days]]&lt;=14,"Seedling",Table4_2[[#This Row],[Growth Days]]&lt;=35, "Vegetative",Table4_2[[#This Row],[Growth Days]]&lt;=50, "Maturity")</f>
        <v>Vegetative</v>
      </c>
      <c r="L1188" t="str">
        <f>IF(Table4_2[[#This Row],[TDS Value (ppm)]]&lt;560, "Low", IF(Table4_2[[#This Row],[TDS Value (ppm)]]&lt;=800,"Optimal","High"))</f>
        <v>Optimal</v>
      </c>
    </row>
    <row r="1189" spans="1:12" x14ac:dyDescent="0.25">
      <c r="A1189">
        <v>57</v>
      </c>
      <c r="B1189" s="1">
        <v>45168</v>
      </c>
      <c r="C1189" s="1" t="str">
        <f>TEXT(Table4_2[[#This Row],[Date]],"dddd")</f>
        <v>Wednesday</v>
      </c>
      <c r="D1189" s="21">
        <v>20.6</v>
      </c>
      <c r="E1189" s="21">
        <v>64</v>
      </c>
      <c r="F1189" s="21">
        <v>674</v>
      </c>
      <c r="G1189" s="21">
        <v>6.4</v>
      </c>
      <c r="H1189">
        <v>28</v>
      </c>
      <c r="I1189">
        <v>69.08</v>
      </c>
      <c r="J1189">
        <v>0.64</v>
      </c>
      <c r="K1189" t="str" cm="1">
        <f t="array" ref="K1189">_xlfn.IFS(Table4_2[[#This Row],[Growth Days]]&lt;=14,"Seedling",Table4_2[[#This Row],[Growth Days]]&lt;=35, "Vegetative",Table4_2[[#This Row],[Growth Days]]&lt;=50, "Maturity")</f>
        <v>Vegetative</v>
      </c>
      <c r="L1189" t="str">
        <f>IF(Table4_2[[#This Row],[TDS Value (ppm)]]&lt;560, "Low", IF(Table4_2[[#This Row],[TDS Value (ppm)]]&lt;=800,"Optimal","High"))</f>
        <v>Optimal</v>
      </c>
    </row>
    <row r="1190" spans="1:12" x14ac:dyDescent="0.25">
      <c r="A1190">
        <v>57</v>
      </c>
      <c r="B1190" s="1">
        <v>45175</v>
      </c>
      <c r="C1190" s="1" t="str">
        <f>TEXT(Table4_2[[#This Row],[Date]],"dddd")</f>
        <v>Wednesday</v>
      </c>
      <c r="D1190" s="21">
        <v>19.899999999999999</v>
      </c>
      <c r="E1190" s="21">
        <v>80</v>
      </c>
      <c r="F1190" s="21">
        <v>660</v>
      </c>
      <c r="G1190" s="21">
        <v>6.7</v>
      </c>
      <c r="H1190">
        <v>35</v>
      </c>
      <c r="I1190">
        <v>67.819999999999993</v>
      </c>
      <c r="J1190">
        <v>0.8</v>
      </c>
      <c r="K1190" t="str" cm="1">
        <f t="array" ref="K1190">_xlfn.IFS(Table4_2[[#This Row],[Growth Days]]&lt;=14,"Seedling",Table4_2[[#This Row],[Growth Days]]&lt;=35, "Vegetative",Table4_2[[#This Row],[Growth Days]]&lt;=50, "Maturity")</f>
        <v>Vegetative</v>
      </c>
      <c r="L1190" t="str">
        <f>IF(Table4_2[[#This Row],[TDS Value (ppm)]]&lt;560, "Low", IF(Table4_2[[#This Row],[TDS Value (ppm)]]&lt;=800,"Optimal","High"))</f>
        <v>Optimal</v>
      </c>
    </row>
    <row r="1191" spans="1:12" x14ac:dyDescent="0.25">
      <c r="A1191">
        <v>57</v>
      </c>
      <c r="B1191" s="1">
        <v>45182</v>
      </c>
      <c r="C1191" s="1" t="str">
        <f>TEXT(Table4_2[[#This Row],[Date]],"dddd")</f>
        <v>Wednesday</v>
      </c>
      <c r="D1191" s="21">
        <v>20.6</v>
      </c>
      <c r="E1191" s="21">
        <v>65</v>
      </c>
      <c r="F1191" s="21">
        <v>800</v>
      </c>
      <c r="G1191" s="21">
        <v>6.7</v>
      </c>
      <c r="H1191">
        <v>42</v>
      </c>
      <c r="I1191">
        <v>69.08</v>
      </c>
      <c r="J1191">
        <v>0.65</v>
      </c>
      <c r="K1191" t="str" cm="1">
        <f t="array" ref="K1191">_xlfn.IFS(Table4_2[[#This Row],[Growth Days]]&lt;=14,"Seedling",Table4_2[[#This Row],[Growth Days]]&lt;=35, "Vegetative",Table4_2[[#This Row],[Growth Days]]&lt;=50, "Maturity")</f>
        <v>Maturity</v>
      </c>
      <c r="L1191" t="str">
        <f>IF(Table4_2[[#This Row],[TDS Value (ppm)]]&lt;560, "Low", IF(Table4_2[[#This Row],[TDS Value (ppm)]]&lt;=800,"Optimal","High"))</f>
        <v>Optimal</v>
      </c>
    </row>
    <row r="1192" spans="1:12" x14ac:dyDescent="0.25">
      <c r="A1192">
        <v>58</v>
      </c>
      <c r="B1192" s="1">
        <v>45147</v>
      </c>
      <c r="C1192" s="1" t="str">
        <f>TEXT(Table4_2[[#This Row],[Date]],"dddd")</f>
        <v>Wednesday</v>
      </c>
      <c r="D1192" s="21">
        <v>19.5</v>
      </c>
      <c r="E1192" s="21">
        <v>63</v>
      </c>
      <c r="F1192" s="21">
        <v>704</v>
      </c>
      <c r="G1192" s="21">
        <v>6.7</v>
      </c>
      <c r="H1192">
        <v>7</v>
      </c>
      <c r="I1192">
        <v>67.099999999999994</v>
      </c>
      <c r="J1192">
        <v>0.63</v>
      </c>
      <c r="K1192" t="str" cm="1">
        <f t="array" ref="K1192">_xlfn.IFS(Table4_2[[#This Row],[Growth Days]]&lt;=14,"Seedling",Table4_2[[#This Row],[Growth Days]]&lt;=35, "Vegetative",Table4_2[[#This Row],[Growth Days]]&lt;=50, "Maturity")</f>
        <v>Seedling</v>
      </c>
      <c r="L1192" t="str">
        <f>IF(Table4_2[[#This Row],[TDS Value (ppm)]]&lt;560, "Low", IF(Table4_2[[#This Row],[TDS Value (ppm)]]&lt;=800,"Optimal","High"))</f>
        <v>Optimal</v>
      </c>
    </row>
    <row r="1193" spans="1:12" x14ac:dyDescent="0.25">
      <c r="A1193">
        <v>58</v>
      </c>
      <c r="B1193" s="1">
        <v>45154</v>
      </c>
      <c r="C1193" s="1" t="str">
        <f>TEXT(Table4_2[[#This Row],[Date]],"dddd")</f>
        <v>Wednesday</v>
      </c>
      <c r="D1193" s="21">
        <v>24.6</v>
      </c>
      <c r="E1193" s="21">
        <v>58</v>
      </c>
      <c r="F1193" s="21">
        <v>494</v>
      </c>
      <c r="G1193" s="21">
        <v>6</v>
      </c>
      <c r="H1193">
        <v>14</v>
      </c>
      <c r="I1193">
        <v>76.28</v>
      </c>
      <c r="J1193">
        <v>0.57999999999999996</v>
      </c>
      <c r="K1193" t="str" cm="1">
        <f t="array" ref="K1193">_xlfn.IFS(Table4_2[[#This Row],[Growth Days]]&lt;=14,"Seedling",Table4_2[[#This Row],[Growth Days]]&lt;=35, "Vegetative",Table4_2[[#This Row],[Growth Days]]&lt;=50, "Maturity")</f>
        <v>Seedling</v>
      </c>
      <c r="L1193" t="str">
        <f>IF(Table4_2[[#This Row],[TDS Value (ppm)]]&lt;560, "Low", IF(Table4_2[[#This Row],[TDS Value (ppm)]]&lt;=800,"Optimal","High"))</f>
        <v>Low</v>
      </c>
    </row>
    <row r="1194" spans="1:12" x14ac:dyDescent="0.25">
      <c r="A1194">
        <v>58</v>
      </c>
      <c r="B1194" s="1">
        <v>45161</v>
      </c>
      <c r="C1194" s="1" t="str">
        <f>TEXT(Table4_2[[#This Row],[Date]],"dddd")</f>
        <v>Wednesday</v>
      </c>
      <c r="D1194" s="21">
        <v>20.399999999999999</v>
      </c>
      <c r="E1194" s="21">
        <v>70</v>
      </c>
      <c r="F1194" s="21">
        <v>547</v>
      </c>
      <c r="G1194" s="21">
        <v>6.3</v>
      </c>
      <c r="H1194">
        <v>21</v>
      </c>
      <c r="I1194">
        <v>68.72</v>
      </c>
      <c r="J1194">
        <v>0.7</v>
      </c>
      <c r="K1194" t="str" cm="1">
        <f t="array" ref="K1194">_xlfn.IFS(Table4_2[[#This Row],[Growth Days]]&lt;=14,"Seedling",Table4_2[[#This Row],[Growth Days]]&lt;=35, "Vegetative",Table4_2[[#This Row],[Growth Days]]&lt;=50, "Maturity")</f>
        <v>Vegetative</v>
      </c>
      <c r="L1194" t="str">
        <f>IF(Table4_2[[#This Row],[TDS Value (ppm)]]&lt;560, "Low", IF(Table4_2[[#This Row],[TDS Value (ppm)]]&lt;=800,"Optimal","High"))</f>
        <v>Low</v>
      </c>
    </row>
    <row r="1195" spans="1:12" x14ac:dyDescent="0.25">
      <c r="A1195">
        <v>58</v>
      </c>
      <c r="B1195" s="1">
        <v>45168</v>
      </c>
      <c r="C1195" s="1" t="str">
        <f>TEXT(Table4_2[[#This Row],[Date]],"dddd")</f>
        <v>Wednesday</v>
      </c>
      <c r="D1195" s="21">
        <v>24.7</v>
      </c>
      <c r="E1195" s="21">
        <v>52</v>
      </c>
      <c r="F1195" s="21">
        <v>584</v>
      </c>
      <c r="G1195" s="21">
        <v>6.1</v>
      </c>
      <c r="H1195">
        <v>28</v>
      </c>
      <c r="I1195">
        <v>76.459999999999994</v>
      </c>
      <c r="J1195">
        <v>0.52</v>
      </c>
      <c r="K1195" t="str" cm="1">
        <f t="array" ref="K1195">_xlfn.IFS(Table4_2[[#This Row],[Growth Days]]&lt;=14,"Seedling",Table4_2[[#This Row],[Growth Days]]&lt;=35, "Vegetative",Table4_2[[#This Row],[Growth Days]]&lt;=50, "Maturity")</f>
        <v>Vegetative</v>
      </c>
      <c r="L1195" t="str">
        <f>IF(Table4_2[[#This Row],[TDS Value (ppm)]]&lt;560, "Low", IF(Table4_2[[#This Row],[TDS Value (ppm)]]&lt;=800,"Optimal","High"))</f>
        <v>Optimal</v>
      </c>
    </row>
    <row r="1196" spans="1:12" x14ac:dyDescent="0.25">
      <c r="A1196">
        <v>58</v>
      </c>
      <c r="B1196" s="1">
        <v>45175</v>
      </c>
      <c r="C1196" s="1" t="str">
        <f>TEXT(Table4_2[[#This Row],[Date]],"dddd")</f>
        <v>Wednesday</v>
      </c>
      <c r="D1196" s="21">
        <v>19.600000000000001</v>
      </c>
      <c r="E1196" s="21">
        <v>63</v>
      </c>
      <c r="F1196" s="21">
        <v>679</v>
      </c>
      <c r="G1196" s="21">
        <v>6.4</v>
      </c>
      <c r="H1196">
        <v>35</v>
      </c>
      <c r="I1196">
        <v>67.28</v>
      </c>
      <c r="J1196">
        <v>0.63</v>
      </c>
      <c r="K1196" t="str" cm="1">
        <f t="array" ref="K1196">_xlfn.IFS(Table4_2[[#This Row],[Growth Days]]&lt;=14,"Seedling",Table4_2[[#This Row],[Growth Days]]&lt;=35, "Vegetative",Table4_2[[#This Row],[Growth Days]]&lt;=50, "Maturity")</f>
        <v>Vegetative</v>
      </c>
      <c r="L1196" t="str">
        <f>IF(Table4_2[[#This Row],[TDS Value (ppm)]]&lt;560, "Low", IF(Table4_2[[#This Row],[TDS Value (ppm)]]&lt;=800,"Optimal","High"))</f>
        <v>Optimal</v>
      </c>
    </row>
    <row r="1197" spans="1:12" x14ac:dyDescent="0.25">
      <c r="A1197">
        <v>58</v>
      </c>
      <c r="B1197" s="1">
        <v>45182</v>
      </c>
      <c r="C1197" s="1" t="str">
        <f>TEXT(Table4_2[[#This Row],[Date]],"dddd")</f>
        <v>Wednesday</v>
      </c>
      <c r="D1197" s="21">
        <v>23.4</v>
      </c>
      <c r="E1197" s="21">
        <v>70</v>
      </c>
      <c r="F1197" s="21">
        <v>403</v>
      </c>
      <c r="G1197" s="21">
        <v>6.2</v>
      </c>
      <c r="H1197">
        <v>42</v>
      </c>
      <c r="I1197">
        <v>74.12</v>
      </c>
      <c r="J1197">
        <v>0.7</v>
      </c>
      <c r="K1197" t="str" cm="1">
        <f t="array" ref="K1197">_xlfn.IFS(Table4_2[[#This Row],[Growth Days]]&lt;=14,"Seedling",Table4_2[[#This Row],[Growth Days]]&lt;=35, "Vegetative",Table4_2[[#This Row],[Growth Days]]&lt;=50, "Maturity")</f>
        <v>Maturity</v>
      </c>
      <c r="L1197" t="str">
        <f>IF(Table4_2[[#This Row],[TDS Value (ppm)]]&lt;560, "Low", IF(Table4_2[[#This Row],[TDS Value (ppm)]]&lt;=800,"Optimal","High"))</f>
        <v>Low</v>
      </c>
    </row>
    <row r="1198" spans="1:12" x14ac:dyDescent="0.25">
      <c r="A1198">
        <v>59</v>
      </c>
      <c r="B1198" s="1">
        <v>45147</v>
      </c>
      <c r="C1198" s="1" t="str">
        <f>TEXT(Table4_2[[#This Row],[Date]],"dddd")</f>
        <v>Wednesday</v>
      </c>
      <c r="D1198" s="21">
        <v>18.3</v>
      </c>
      <c r="E1198" s="21">
        <v>61</v>
      </c>
      <c r="F1198" s="21">
        <v>512</v>
      </c>
      <c r="G1198" s="21">
        <v>6.3</v>
      </c>
      <c r="H1198">
        <v>7</v>
      </c>
      <c r="I1198">
        <v>64.94</v>
      </c>
      <c r="J1198">
        <v>0.61</v>
      </c>
      <c r="K1198" t="str" cm="1">
        <f t="array" ref="K1198">_xlfn.IFS(Table4_2[[#This Row],[Growth Days]]&lt;=14,"Seedling",Table4_2[[#This Row],[Growth Days]]&lt;=35, "Vegetative",Table4_2[[#This Row],[Growth Days]]&lt;=50, "Maturity")</f>
        <v>Seedling</v>
      </c>
      <c r="L1198" t="str">
        <f>IF(Table4_2[[#This Row],[TDS Value (ppm)]]&lt;560, "Low", IF(Table4_2[[#This Row],[TDS Value (ppm)]]&lt;=800,"Optimal","High"))</f>
        <v>Low</v>
      </c>
    </row>
    <row r="1199" spans="1:12" x14ac:dyDescent="0.25">
      <c r="A1199">
        <v>59</v>
      </c>
      <c r="B1199" s="1">
        <v>45154</v>
      </c>
      <c r="C1199" s="1" t="str">
        <f>TEXT(Table4_2[[#This Row],[Date]],"dddd")</f>
        <v>Wednesday</v>
      </c>
      <c r="D1199" s="21">
        <v>23.3</v>
      </c>
      <c r="E1199" s="21">
        <v>56</v>
      </c>
      <c r="F1199" s="21">
        <v>759</v>
      </c>
      <c r="G1199" s="21">
        <v>6.1</v>
      </c>
      <c r="H1199">
        <v>14</v>
      </c>
      <c r="I1199">
        <v>73.94</v>
      </c>
      <c r="J1199">
        <v>0.56000000000000005</v>
      </c>
      <c r="K1199" t="str" cm="1">
        <f t="array" ref="K1199">_xlfn.IFS(Table4_2[[#This Row],[Growth Days]]&lt;=14,"Seedling",Table4_2[[#This Row],[Growth Days]]&lt;=35, "Vegetative",Table4_2[[#This Row],[Growth Days]]&lt;=50, "Maturity")</f>
        <v>Seedling</v>
      </c>
      <c r="L1199" t="str">
        <f>IF(Table4_2[[#This Row],[TDS Value (ppm)]]&lt;560, "Low", IF(Table4_2[[#This Row],[TDS Value (ppm)]]&lt;=800,"Optimal","High"))</f>
        <v>Optimal</v>
      </c>
    </row>
    <row r="1200" spans="1:12" x14ac:dyDescent="0.25">
      <c r="A1200">
        <v>59</v>
      </c>
      <c r="B1200" s="1">
        <v>45161</v>
      </c>
      <c r="C1200" s="1" t="str">
        <f>TEXT(Table4_2[[#This Row],[Date]],"dddd")</f>
        <v>Wednesday</v>
      </c>
      <c r="D1200" s="21">
        <v>22.8</v>
      </c>
      <c r="E1200" s="21">
        <v>73</v>
      </c>
      <c r="F1200" s="21">
        <v>500</v>
      </c>
      <c r="G1200" s="21">
        <v>6.2</v>
      </c>
      <c r="H1200">
        <v>21</v>
      </c>
      <c r="I1200">
        <v>73.040000000000006</v>
      </c>
      <c r="J1200">
        <v>0.73</v>
      </c>
      <c r="K1200" t="str" cm="1">
        <f t="array" ref="K1200">_xlfn.IFS(Table4_2[[#This Row],[Growth Days]]&lt;=14,"Seedling",Table4_2[[#This Row],[Growth Days]]&lt;=35, "Vegetative",Table4_2[[#This Row],[Growth Days]]&lt;=50, "Maturity")</f>
        <v>Vegetative</v>
      </c>
      <c r="L1200" t="str">
        <f>IF(Table4_2[[#This Row],[TDS Value (ppm)]]&lt;560, "Low", IF(Table4_2[[#This Row],[TDS Value (ppm)]]&lt;=800,"Optimal","High"))</f>
        <v>Low</v>
      </c>
    </row>
    <row r="1201" spans="1:12" x14ac:dyDescent="0.25">
      <c r="A1201">
        <v>59</v>
      </c>
      <c r="B1201" s="1">
        <v>45168</v>
      </c>
      <c r="C1201" s="1" t="str">
        <f>TEXT(Table4_2[[#This Row],[Date]],"dddd")</f>
        <v>Wednesday</v>
      </c>
      <c r="D1201" s="21">
        <v>23.8</v>
      </c>
      <c r="E1201" s="21">
        <v>53</v>
      </c>
      <c r="F1201" s="21">
        <v>688</v>
      </c>
      <c r="G1201" s="21">
        <v>6.1</v>
      </c>
      <c r="H1201">
        <v>28</v>
      </c>
      <c r="I1201">
        <v>74.84</v>
      </c>
      <c r="J1201">
        <v>0.53</v>
      </c>
      <c r="K1201" t="str" cm="1">
        <f t="array" ref="K1201">_xlfn.IFS(Table4_2[[#This Row],[Growth Days]]&lt;=14,"Seedling",Table4_2[[#This Row],[Growth Days]]&lt;=35, "Vegetative",Table4_2[[#This Row],[Growth Days]]&lt;=50, "Maturity")</f>
        <v>Vegetative</v>
      </c>
      <c r="L1201" t="str">
        <f>IF(Table4_2[[#This Row],[TDS Value (ppm)]]&lt;560, "Low", IF(Table4_2[[#This Row],[TDS Value (ppm)]]&lt;=800,"Optimal","High"))</f>
        <v>Optimal</v>
      </c>
    </row>
    <row r="1202" spans="1:12" x14ac:dyDescent="0.25">
      <c r="A1202">
        <v>59</v>
      </c>
      <c r="B1202" s="1">
        <v>45175</v>
      </c>
      <c r="C1202" s="1" t="str">
        <f>TEXT(Table4_2[[#This Row],[Date]],"dddd")</f>
        <v>Wednesday</v>
      </c>
      <c r="D1202" s="21">
        <v>23.8</v>
      </c>
      <c r="E1202" s="21">
        <v>80</v>
      </c>
      <c r="F1202" s="21">
        <v>786</v>
      </c>
      <c r="G1202" s="21">
        <v>6.2</v>
      </c>
      <c r="H1202">
        <v>35</v>
      </c>
      <c r="I1202">
        <v>74.84</v>
      </c>
      <c r="J1202">
        <v>0.8</v>
      </c>
      <c r="K1202" t="str" cm="1">
        <f t="array" ref="K1202">_xlfn.IFS(Table4_2[[#This Row],[Growth Days]]&lt;=14,"Seedling",Table4_2[[#This Row],[Growth Days]]&lt;=35, "Vegetative",Table4_2[[#This Row],[Growth Days]]&lt;=50, "Maturity")</f>
        <v>Vegetative</v>
      </c>
      <c r="L1202" t="str">
        <f>IF(Table4_2[[#This Row],[TDS Value (ppm)]]&lt;560, "Low", IF(Table4_2[[#This Row],[TDS Value (ppm)]]&lt;=800,"Optimal","High"))</f>
        <v>Optimal</v>
      </c>
    </row>
    <row r="1203" spans="1:12" x14ac:dyDescent="0.25">
      <c r="A1203">
        <v>59</v>
      </c>
      <c r="B1203" s="1">
        <v>45182</v>
      </c>
      <c r="C1203" s="1" t="str">
        <f>TEXT(Table4_2[[#This Row],[Date]],"dddd")</f>
        <v>Wednesday</v>
      </c>
      <c r="D1203" s="21">
        <v>21</v>
      </c>
      <c r="E1203" s="21">
        <v>80</v>
      </c>
      <c r="F1203" s="21">
        <v>741</v>
      </c>
      <c r="G1203" s="21">
        <v>6.4</v>
      </c>
      <c r="H1203">
        <v>42</v>
      </c>
      <c r="I1203">
        <v>69.8</v>
      </c>
      <c r="J1203">
        <v>0.8</v>
      </c>
      <c r="K1203" t="str" cm="1">
        <f t="array" ref="K1203">_xlfn.IFS(Table4_2[[#This Row],[Growth Days]]&lt;=14,"Seedling",Table4_2[[#This Row],[Growth Days]]&lt;=35, "Vegetative",Table4_2[[#This Row],[Growth Days]]&lt;=50, "Maturity")</f>
        <v>Maturity</v>
      </c>
      <c r="L1203" t="str">
        <f>IF(Table4_2[[#This Row],[TDS Value (ppm)]]&lt;560, "Low", IF(Table4_2[[#This Row],[TDS Value (ppm)]]&lt;=800,"Optimal","High"))</f>
        <v>Optimal</v>
      </c>
    </row>
    <row r="1204" spans="1:12" x14ac:dyDescent="0.25">
      <c r="A1204">
        <v>60</v>
      </c>
      <c r="B1204" s="1">
        <v>45147</v>
      </c>
      <c r="C1204" s="1" t="str">
        <f>TEXT(Table4_2[[#This Row],[Date]],"dddd")</f>
        <v>Wednesday</v>
      </c>
      <c r="D1204" s="21">
        <v>19</v>
      </c>
      <c r="E1204" s="21">
        <v>74</v>
      </c>
      <c r="F1204" s="21">
        <v>425</v>
      </c>
      <c r="G1204" s="21">
        <v>6.4</v>
      </c>
      <c r="H1204">
        <v>7</v>
      </c>
      <c r="I1204">
        <v>66.2</v>
      </c>
      <c r="J1204">
        <v>0.74</v>
      </c>
      <c r="K1204" t="str" cm="1">
        <f t="array" ref="K1204">_xlfn.IFS(Table4_2[[#This Row],[Growth Days]]&lt;=14,"Seedling",Table4_2[[#This Row],[Growth Days]]&lt;=35, "Vegetative",Table4_2[[#This Row],[Growth Days]]&lt;=50, "Maturity")</f>
        <v>Seedling</v>
      </c>
      <c r="L1204" t="str">
        <f>IF(Table4_2[[#This Row],[TDS Value (ppm)]]&lt;560, "Low", IF(Table4_2[[#This Row],[TDS Value (ppm)]]&lt;=800,"Optimal","High"))</f>
        <v>Low</v>
      </c>
    </row>
    <row r="1205" spans="1:12" x14ac:dyDescent="0.25">
      <c r="A1205">
        <v>60</v>
      </c>
      <c r="B1205" s="1">
        <v>45154</v>
      </c>
      <c r="C1205" s="1" t="str">
        <f>TEXT(Table4_2[[#This Row],[Date]],"dddd")</f>
        <v>Wednesday</v>
      </c>
      <c r="D1205" s="21">
        <v>18.399999999999999</v>
      </c>
      <c r="E1205" s="21">
        <v>63</v>
      </c>
      <c r="F1205" s="21">
        <v>468</v>
      </c>
      <c r="G1205" s="21">
        <v>6.5</v>
      </c>
      <c r="H1205">
        <v>14</v>
      </c>
      <c r="I1205">
        <v>65.12</v>
      </c>
      <c r="J1205">
        <v>0.63</v>
      </c>
      <c r="K1205" t="str" cm="1">
        <f t="array" ref="K1205">_xlfn.IFS(Table4_2[[#This Row],[Growth Days]]&lt;=14,"Seedling",Table4_2[[#This Row],[Growth Days]]&lt;=35, "Vegetative",Table4_2[[#This Row],[Growth Days]]&lt;=50, "Maturity")</f>
        <v>Seedling</v>
      </c>
      <c r="L1205" t="str">
        <f>IF(Table4_2[[#This Row],[TDS Value (ppm)]]&lt;560, "Low", IF(Table4_2[[#This Row],[TDS Value (ppm)]]&lt;=800,"Optimal","High"))</f>
        <v>Low</v>
      </c>
    </row>
    <row r="1206" spans="1:12" x14ac:dyDescent="0.25">
      <c r="A1206">
        <v>60</v>
      </c>
      <c r="B1206" s="1">
        <v>45161</v>
      </c>
      <c r="C1206" s="1" t="str">
        <f>TEXT(Table4_2[[#This Row],[Date]],"dddd")</f>
        <v>Wednesday</v>
      </c>
      <c r="D1206" s="21">
        <v>24.2</v>
      </c>
      <c r="E1206" s="21">
        <v>66</v>
      </c>
      <c r="F1206" s="21">
        <v>684</v>
      </c>
      <c r="G1206" s="21">
        <v>6.2</v>
      </c>
      <c r="H1206">
        <v>21</v>
      </c>
      <c r="I1206">
        <v>75.56</v>
      </c>
      <c r="J1206">
        <v>0.66</v>
      </c>
      <c r="K1206" t="str" cm="1">
        <f t="array" ref="K1206">_xlfn.IFS(Table4_2[[#This Row],[Growth Days]]&lt;=14,"Seedling",Table4_2[[#This Row],[Growth Days]]&lt;=35, "Vegetative",Table4_2[[#This Row],[Growth Days]]&lt;=50, "Maturity")</f>
        <v>Vegetative</v>
      </c>
      <c r="L1206" t="str">
        <f>IF(Table4_2[[#This Row],[TDS Value (ppm)]]&lt;560, "Low", IF(Table4_2[[#This Row],[TDS Value (ppm)]]&lt;=800,"Optimal","High"))</f>
        <v>Optimal</v>
      </c>
    </row>
    <row r="1207" spans="1:12" x14ac:dyDescent="0.25">
      <c r="A1207">
        <v>60</v>
      </c>
      <c r="B1207" s="1">
        <v>45168</v>
      </c>
      <c r="C1207" s="1" t="str">
        <f>TEXT(Table4_2[[#This Row],[Date]],"dddd")</f>
        <v>Wednesday</v>
      </c>
      <c r="D1207" s="21">
        <v>23.8</v>
      </c>
      <c r="E1207" s="21">
        <v>73</v>
      </c>
      <c r="F1207" s="21">
        <v>489</v>
      </c>
      <c r="G1207" s="21">
        <v>6.1</v>
      </c>
      <c r="H1207">
        <v>28</v>
      </c>
      <c r="I1207">
        <v>74.84</v>
      </c>
      <c r="J1207">
        <v>0.73</v>
      </c>
      <c r="K1207" t="str" cm="1">
        <f t="array" ref="K1207">_xlfn.IFS(Table4_2[[#This Row],[Growth Days]]&lt;=14,"Seedling",Table4_2[[#This Row],[Growth Days]]&lt;=35, "Vegetative",Table4_2[[#This Row],[Growth Days]]&lt;=50, "Maturity")</f>
        <v>Vegetative</v>
      </c>
      <c r="L1207" t="str">
        <f>IF(Table4_2[[#This Row],[TDS Value (ppm)]]&lt;560, "Low", IF(Table4_2[[#This Row],[TDS Value (ppm)]]&lt;=800,"Optimal","High"))</f>
        <v>Low</v>
      </c>
    </row>
    <row r="1208" spans="1:12" x14ac:dyDescent="0.25">
      <c r="A1208">
        <v>60</v>
      </c>
      <c r="B1208" s="1">
        <v>45175</v>
      </c>
      <c r="C1208" s="1" t="str">
        <f>TEXT(Table4_2[[#This Row],[Date]],"dddd")</f>
        <v>Wednesday</v>
      </c>
      <c r="D1208" s="21">
        <v>20.6</v>
      </c>
      <c r="E1208" s="21">
        <v>70</v>
      </c>
      <c r="F1208" s="21">
        <v>439</v>
      </c>
      <c r="G1208" s="21">
        <v>6.4</v>
      </c>
      <c r="H1208">
        <v>35</v>
      </c>
      <c r="I1208">
        <v>69.08</v>
      </c>
      <c r="J1208">
        <v>0.7</v>
      </c>
      <c r="K1208" t="str" cm="1">
        <f t="array" ref="K1208">_xlfn.IFS(Table4_2[[#This Row],[Growth Days]]&lt;=14,"Seedling",Table4_2[[#This Row],[Growth Days]]&lt;=35, "Vegetative",Table4_2[[#This Row],[Growth Days]]&lt;=50, "Maturity")</f>
        <v>Vegetative</v>
      </c>
      <c r="L1208" t="str">
        <f>IF(Table4_2[[#This Row],[TDS Value (ppm)]]&lt;560, "Low", IF(Table4_2[[#This Row],[TDS Value (ppm)]]&lt;=800,"Optimal","High"))</f>
        <v>Low</v>
      </c>
    </row>
    <row r="1209" spans="1:12" x14ac:dyDescent="0.25">
      <c r="A1209">
        <v>60</v>
      </c>
      <c r="B1209" s="1">
        <v>45182</v>
      </c>
      <c r="C1209" s="1" t="str">
        <f>TEXT(Table4_2[[#This Row],[Date]],"dddd")</f>
        <v>Wednesday</v>
      </c>
      <c r="D1209" s="21">
        <v>25</v>
      </c>
      <c r="E1209" s="21">
        <v>79</v>
      </c>
      <c r="F1209" s="21">
        <v>693</v>
      </c>
      <c r="G1209" s="21">
        <v>6.2</v>
      </c>
      <c r="H1209">
        <v>42</v>
      </c>
      <c r="I1209">
        <v>77</v>
      </c>
      <c r="J1209">
        <v>0.79</v>
      </c>
      <c r="K1209" t="str" cm="1">
        <f t="array" ref="K1209">_xlfn.IFS(Table4_2[[#This Row],[Growth Days]]&lt;=14,"Seedling",Table4_2[[#This Row],[Growth Days]]&lt;=35, "Vegetative",Table4_2[[#This Row],[Growth Days]]&lt;=50, "Maturity")</f>
        <v>Maturity</v>
      </c>
      <c r="L1209" t="str">
        <f>IF(Table4_2[[#This Row],[TDS Value (ppm)]]&lt;560, "Low", IF(Table4_2[[#This Row],[TDS Value (ppm)]]&lt;=800,"Optimal","High"))</f>
        <v>Optimal</v>
      </c>
    </row>
    <row r="1210" spans="1:12" x14ac:dyDescent="0.25">
      <c r="A1210">
        <v>61</v>
      </c>
      <c r="B1210" s="1">
        <v>45147</v>
      </c>
      <c r="C1210" s="1" t="str">
        <f>TEXT(Table4_2[[#This Row],[Date]],"dddd")</f>
        <v>Wednesday</v>
      </c>
      <c r="D1210" s="21">
        <v>22.5</v>
      </c>
      <c r="E1210" s="21">
        <v>61</v>
      </c>
      <c r="F1210" s="21">
        <v>556</v>
      </c>
      <c r="G1210" s="21">
        <v>6.4</v>
      </c>
      <c r="H1210">
        <v>7</v>
      </c>
      <c r="I1210">
        <v>72.5</v>
      </c>
      <c r="J1210">
        <v>0.61</v>
      </c>
      <c r="K1210" t="str" cm="1">
        <f t="array" ref="K1210">_xlfn.IFS(Table4_2[[#This Row],[Growth Days]]&lt;=14,"Seedling",Table4_2[[#This Row],[Growth Days]]&lt;=35, "Vegetative",Table4_2[[#This Row],[Growth Days]]&lt;=50, "Maturity")</f>
        <v>Seedling</v>
      </c>
      <c r="L1210" t="str">
        <f>IF(Table4_2[[#This Row],[TDS Value (ppm)]]&lt;560, "Low", IF(Table4_2[[#This Row],[TDS Value (ppm)]]&lt;=800,"Optimal","High"))</f>
        <v>Low</v>
      </c>
    </row>
    <row r="1211" spans="1:12" x14ac:dyDescent="0.25">
      <c r="A1211">
        <v>61</v>
      </c>
      <c r="B1211" s="1">
        <v>45154</v>
      </c>
      <c r="C1211" s="1" t="str">
        <f>TEXT(Table4_2[[#This Row],[Date]],"dddd")</f>
        <v>Wednesday</v>
      </c>
      <c r="D1211" s="21">
        <v>24.3</v>
      </c>
      <c r="E1211" s="21">
        <v>61</v>
      </c>
      <c r="F1211" s="21">
        <v>670</v>
      </c>
      <c r="G1211" s="21">
        <v>6.1</v>
      </c>
      <c r="H1211">
        <v>14</v>
      </c>
      <c r="I1211">
        <v>75.739999999999995</v>
      </c>
      <c r="J1211">
        <v>0.61</v>
      </c>
      <c r="K1211" t="str" cm="1">
        <f t="array" ref="K1211">_xlfn.IFS(Table4_2[[#This Row],[Growth Days]]&lt;=14,"Seedling",Table4_2[[#This Row],[Growth Days]]&lt;=35, "Vegetative",Table4_2[[#This Row],[Growth Days]]&lt;=50, "Maturity")</f>
        <v>Seedling</v>
      </c>
      <c r="L1211" t="str">
        <f>IF(Table4_2[[#This Row],[TDS Value (ppm)]]&lt;560, "Low", IF(Table4_2[[#This Row],[TDS Value (ppm)]]&lt;=800,"Optimal","High"))</f>
        <v>Optimal</v>
      </c>
    </row>
    <row r="1212" spans="1:12" x14ac:dyDescent="0.25">
      <c r="A1212">
        <v>61</v>
      </c>
      <c r="B1212" s="1">
        <v>45161</v>
      </c>
      <c r="C1212" s="1" t="str">
        <f>TEXT(Table4_2[[#This Row],[Date]],"dddd")</f>
        <v>Wednesday</v>
      </c>
      <c r="D1212" s="21">
        <v>23</v>
      </c>
      <c r="E1212" s="21">
        <v>66</v>
      </c>
      <c r="F1212" s="21">
        <v>541</v>
      </c>
      <c r="G1212" s="21">
        <v>6.3</v>
      </c>
      <c r="H1212">
        <v>21</v>
      </c>
      <c r="I1212">
        <v>73.400000000000006</v>
      </c>
      <c r="J1212">
        <v>0.66</v>
      </c>
      <c r="K1212" t="str" cm="1">
        <f t="array" ref="K1212">_xlfn.IFS(Table4_2[[#This Row],[Growth Days]]&lt;=14,"Seedling",Table4_2[[#This Row],[Growth Days]]&lt;=35, "Vegetative",Table4_2[[#This Row],[Growth Days]]&lt;=50, "Maturity")</f>
        <v>Vegetative</v>
      </c>
      <c r="L1212" t="str">
        <f>IF(Table4_2[[#This Row],[TDS Value (ppm)]]&lt;560, "Low", IF(Table4_2[[#This Row],[TDS Value (ppm)]]&lt;=800,"Optimal","High"))</f>
        <v>Low</v>
      </c>
    </row>
    <row r="1213" spans="1:12" x14ac:dyDescent="0.25">
      <c r="A1213">
        <v>61</v>
      </c>
      <c r="B1213" s="1">
        <v>45168</v>
      </c>
      <c r="C1213" s="1" t="str">
        <f>TEXT(Table4_2[[#This Row],[Date]],"dddd")</f>
        <v>Wednesday</v>
      </c>
      <c r="D1213" s="21">
        <v>23.1</v>
      </c>
      <c r="E1213" s="21">
        <v>77</v>
      </c>
      <c r="F1213" s="21">
        <v>450</v>
      </c>
      <c r="G1213" s="21">
        <v>6.4</v>
      </c>
      <c r="H1213">
        <v>28</v>
      </c>
      <c r="I1213">
        <v>73.58</v>
      </c>
      <c r="J1213">
        <v>0.77</v>
      </c>
      <c r="K1213" t="str" cm="1">
        <f t="array" ref="K1213">_xlfn.IFS(Table4_2[[#This Row],[Growth Days]]&lt;=14,"Seedling",Table4_2[[#This Row],[Growth Days]]&lt;=35, "Vegetative",Table4_2[[#This Row],[Growth Days]]&lt;=50, "Maturity")</f>
        <v>Vegetative</v>
      </c>
      <c r="L1213" t="str">
        <f>IF(Table4_2[[#This Row],[TDS Value (ppm)]]&lt;560, "Low", IF(Table4_2[[#This Row],[TDS Value (ppm)]]&lt;=800,"Optimal","High"))</f>
        <v>Low</v>
      </c>
    </row>
    <row r="1214" spans="1:12" x14ac:dyDescent="0.25">
      <c r="A1214">
        <v>61</v>
      </c>
      <c r="B1214" s="1">
        <v>45175</v>
      </c>
      <c r="C1214" s="1" t="str">
        <f>TEXT(Table4_2[[#This Row],[Date]],"dddd")</f>
        <v>Wednesday</v>
      </c>
      <c r="D1214" s="21">
        <v>21.3</v>
      </c>
      <c r="E1214" s="21">
        <v>75</v>
      </c>
      <c r="F1214" s="21">
        <v>525</v>
      </c>
      <c r="G1214" s="21">
        <v>6.7</v>
      </c>
      <c r="H1214">
        <v>35</v>
      </c>
      <c r="I1214">
        <v>70.34</v>
      </c>
      <c r="J1214">
        <v>0.75</v>
      </c>
      <c r="K1214" t="str" cm="1">
        <f t="array" ref="K1214">_xlfn.IFS(Table4_2[[#This Row],[Growth Days]]&lt;=14,"Seedling",Table4_2[[#This Row],[Growth Days]]&lt;=35, "Vegetative",Table4_2[[#This Row],[Growth Days]]&lt;=50, "Maturity")</f>
        <v>Vegetative</v>
      </c>
      <c r="L1214" t="str">
        <f>IF(Table4_2[[#This Row],[TDS Value (ppm)]]&lt;560, "Low", IF(Table4_2[[#This Row],[TDS Value (ppm)]]&lt;=800,"Optimal","High"))</f>
        <v>Low</v>
      </c>
    </row>
    <row r="1215" spans="1:12" x14ac:dyDescent="0.25">
      <c r="A1215">
        <v>61</v>
      </c>
      <c r="B1215" s="1">
        <v>45182</v>
      </c>
      <c r="C1215" s="1" t="str">
        <f>TEXT(Table4_2[[#This Row],[Date]],"dddd")</f>
        <v>Wednesday</v>
      </c>
      <c r="D1215" s="21">
        <v>21.9</v>
      </c>
      <c r="E1215" s="21">
        <v>64</v>
      </c>
      <c r="F1215" s="21">
        <v>719</v>
      </c>
      <c r="G1215" s="21">
        <v>6.1</v>
      </c>
      <c r="H1215">
        <v>42</v>
      </c>
      <c r="I1215">
        <v>71.42</v>
      </c>
      <c r="J1215">
        <v>0.64</v>
      </c>
      <c r="K1215" t="str" cm="1">
        <f t="array" ref="K1215">_xlfn.IFS(Table4_2[[#This Row],[Growth Days]]&lt;=14,"Seedling",Table4_2[[#This Row],[Growth Days]]&lt;=35, "Vegetative",Table4_2[[#This Row],[Growth Days]]&lt;=50, "Maturity")</f>
        <v>Maturity</v>
      </c>
      <c r="L1215" t="str">
        <f>IF(Table4_2[[#This Row],[TDS Value (ppm)]]&lt;560, "Low", IF(Table4_2[[#This Row],[TDS Value (ppm)]]&lt;=800,"Optimal","High"))</f>
        <v>Optimal</v>
      </c>
    </row>
    <row r="1216" spans="1:12" x14ac:dyDescent="0.25">
      <c r="A1216">
        <v>62</v>
      </c>
      <c r="B1216" s="1">
        <v>45147</v>
      </c>
      <c r="C1216" s="1" t="str">
        <f>TEXT(Table4_2[[#This Row],[Date]],"dddd")</f>
        <v>Wednesday</v>
      </c>
      <c r="D1216" s="21">
        <v>19</v>
      </c>
      <c r="E1216" s="21">
        <v>72</v>
      </c>
      <c r="F1216" s="21">
        <v>751</v>
      </c>
      <c r="G1216" s="21">
        <v>6.2</v>
      </c>
      <c r="H1216">
        <v>7</v>
      </c>
      <c r="I1216">
        <v>66.2</v>
      </c>
      <c r="J1216">
        <v>0.72</v>
      </c>
      <c r="K1216" t="str" cm="1">
        <f t="array" ref="K1216">_xlfn.IFS(Table4_2[[#This Row],[Growth Days]]&lt;=14,"Seedling",Table4_2[[#This Row],[Growth Days]]&lt;=35, "Vegetative",Table4_2[[#This Row],[Growth Days]]&lt;=50, "Maturity")</f>
        <v>Seedling</v>
      </c>
      <c r="L1216" t="str">
        <f>IF(Table4_2[[#This Row],[TDS Value (ppm)]]&lt;560, "Low", IF(Table4_2[[#This Row],[TDS Value (ppm)]]&lt;=800,"Optimal","High"))</f>
        <v>Optimal</v>
      </c>
    </row>
    <row r="1217" spans="1:12" x14ac:dyDescent="0.25">
      <c r="A1217">
        <v>62</v>
      </c>
      <c r="B1217" s="1">
        <v>45154</v>
      </c>
      <c r="C1217" s="1" t="str">
        <f>TEXT(Table4_2[[#This Row],[Date]],"dddd")</f>
        <v>Wednesday</v>
      </c>
      <c r="D1217" s="21">
        <v>20.3</v>
      </c>
      <c r="E1217" s="21">
        <v>52</v>
      </c>
      <c r="F1217" s="21">
        <v>797</v>
      </c>
      <c r="G1217" s="21">
        <v>6.6</v>
      </c>
      <c r="H1217">
        <v>14</v>
      </c>
      <c r="I1217">
        <v>68.540000000000006</v>
      </c>
      <c r="J1217">
        <v>0.52</v>
      </c>
      <c r="K1217" t="str" cm="1">
        <f t="array" ref="K1217">_xlfn.IFS(Table4_2[[#This Row],[Growth Days]]&lt;=14,"Seedling",Table4_2[[#This Row],[Growth Days]]&lt;=35, "Vegetative",Table4_2[[#This Row],[Growth Days]]&lt;=50, "Maturity")</f>
        <v>Seedling</v>
      </c>
      <c r="L1217" t="str">
        <f>IF(Table4_2[[#This Row],[TDS Value (ppm)]]&lt;560, "Low", IF(Table4_2[[#This Row],[TDS Value (ppm)]]&lt;=800,"Optimal","High"))</f>
        <v>Optimal</v>
      </c>
    </row>
    <row r="1218" spans="1:12" x14ac:dyDescent="0.25">
      <c r="A1218">
        <v>62</v>
      </c>
      <c r="B1218" s="1">
        <v>45161</v>
      </c>
      <c r="C1218" s="1" t="str">
        <f>TEXT(Table4_2[[#This Row],[Date]],"dddd")</f>
        <v>Wednesday</v>
      </c>
      <c r="D1218" s="21">
        <v>20.3</v>
      </c>
      <c r="E1218" s="21">
        <v>60</v>
      </c>
      <c r="F1218" s="21">
        <v>431</v>
      </c>
      <c r="G1218" s="21">
        <v>6.3</v>
      </c>
      <c r="H1218">
        <v>21</v>
      </c>
      <c r="I1218">
        <v>68.540000000000006</v>
      </c>
      <c r="J1218">
        <v>0.6</v>
      </c>
      <c r="K1218" t="str" cm="1">
        <f t="array" ref="K1218">_xlfn.IFS(Table4_2[[#This Row],[Growth Days]]&lt;=14,"Seedling",Table4_2[[#This Row],[Growth Days]]&lt;=35, "Vegetative",Table4_2[[#This Row],[Growth Days]]&lt;=50, "Maturity")</f>
        <v>Vegetative</v>
      </c>
      <c r="L1218" t="str">
        <f>IF(Table4_2[[#This Row],[TDS Value (ppm)]]&lt;560, "Low", IF(Table4_2[[#This Row],[TDS Value (ppm)]]&lt;=800,"Optimal","High"))</f>
        <v>Low</v>
      </c>
    </row>
    <row r="1219" spans="1:12" x14ac:dyDescent="0.25">
      <c r="A1219">
        <v>62</v>
      </c>
      <c r="B1219" s="1">
        <v>45168</v>
      </c>
      <c r="C1219" s="1" t="str">
        <f>TEXT(Table4_2[[#This Row],[Date]],"dddd")</f>
        <v>Wednesday</v>
      </c>
      <c r="D1219" s="21">
        <v>21.3</v>
      </c>
      <c r="E1219" s="21">
        <v>73</v>
      </c>
      <c r="F1219" s="21">
        <v>434</v>
      </c>
      <c r="G1219" s="21">
        <v>6</v>
      </c>
      <c r="H1219">
        <v>28</v>
      </c>
      <c r="I1219">
        <v>70.34</v>
      </c>
      <c r="J1219">
        <v>0.73</v>
      </c>
      <c r="K1219" t="str" cm="1">
        <f t="array" ref="K1219">_xlfn.IFS(Table4_2[[#This Row],[Growth Days]]&lt;=14,"Seedling",Table4_2[[#This Row],[Growth Days]]&lt;=35, "Vegetative",Table4_2[[#This Row],[Growth Days]]&lt;=50, "Maturity")</f>
        <v>Vegetative</v>
      </c>
      <c r="L1219" t="str">
        <f>IF(Table4_2[[#This Row],[TDS Value (ppm)]]&lt;560, "Low", IF(Table4_2[[#This Row],[TDS Value (ppm)]]&lt;=800,"Optimal","High"))</f>
        <v>Low</v>
      </c>
    </row>
    <row r="1220" spans="1:12" x14ac:dyDescent="0.25">
      <c r="A1220">
        <v>62</v>
      </c>
      <c r="B1220" s="1">
        <v>45175</v>
      </c>
      <c r="C1220" s="1" t="str">
        <f>TEXT(Table4_2[[#This Row],[Date]],"dddd")</f>
        <v>Wednesday</v>
      </c>
      <c r="D1220" s="21">
        <v>20.9</v>
      </c>
      <c r="E1220" s="21">
        <v>74</v>
      </c>
      <c r="F1220" s="21">
        <v>523</v>
      </c>
      <c r="G1220" s="21">
        <v>6.8</v>
      </c>
      <c r="H1220">
        <v>35</v>
      </c>
      <c r="I1220">
        <v>69.62</v>
      </c>
      <c r="J1220">
        <v>0.74</v>
      </c>
      <c r="K1220" t="str" cm="1">
        <f t="array" ref="K1220">_xlfn.IFS(Table4_2[[#This Row],[Growth Days]]&lt;=14,"Seedling",Table4_2[[#This Row],[Growth Days]]&lt;=35, "Vegetative",Table4_2[[#This Row],[Growth Days]]&lt;=50, "Maturity")</f>
        <v>Vegetative</v>
      </c>
      <c r="L1220" t="str">
        <f>IF(Table4_2[[#This Row],[TDS Value (ppm)]]&lt;560, "Low", IF(Table4_2[[#This Row],[TDS Value (ppm)]]&lt;=800,"Optimal","High"))</f>
        <v>Low</v>
      </c>
    </row>
    <row r="1221" spans="1:12" x14ac:dyDescent="0.25">
      <c r="A1221">
        <v>62</v>
      </c>
      <c r="B1221" s="1">
        <v>45182</v>
      </c>
      <c r="C1221" s="1" t="str">
        <f>TEXT(Table4_2[[#This Row],[Date]],"dddd")</f>
        <v>Wednesday</v>
      </c>
      <c r="D1221" s="21">
        <v>20.399999999999999</v>
      </c>
      <c r="E1221" s="21">
        <v>66</v>
      </c>
      <c r="F1221" s="21">
        <v>690</v>
      </c>
      <c r="G1221" s="21">
        <v>6.7</v>
      </c>
      <c r="H1221">
        <v>42</v>
      </c>
      <c r="I1221">
        <v>68.72</v>
      </c>
      <c r="J1221">
        <v>0.66</v>
      </c>
      <c r="K1221" t="str" cm="1">
        <f t="array" ref="K1221">_xlfn.IFS(Table4_2[[#This Row],[Growth Days]]&lt;=14,"Seedling",Table4_2[[#This Row],[Growth Days]]&lt;=35, "Vegetative",Table4_2[[#This Row],[Growth Days]]&lt;=50, "Maturity")</f>
        <v>Maturity</v>
      </c>
      <c r="L1221" t="str">
        <f>IF(Table4_2[[#This Row],[TDS Value (ppm)]]&lt;560, "Low", IF(Table4_2[[#This Row],[TDS Value (ppm)]]&lt;=800,"Optimal","High"))</f>
        <v>Optimal</v>
      </c>
    </row>
    <row r="1222" spans="1:12" x14ac:dyDescent="0.25">
      <c r="A1222">
        <v>63</v>
      </c>
      <c r="B1222" s="1">
        <v>45147</v>
      </c>
      <c r="C1222" s="1" t="str">
        <f>TEXT(Table4_2[[#This Row],[Date]],"dddd")</f>
        <v>Wednesday</v>
      </c>
      <c r="D1222" s="21">
        <v>18.399999999999999</v>
      </c>
      <c r="E1222" s="21">
        <v>68</v>
      </c>
      <c r="F1222" s="21">
        <v>638</v>
      </c>
      <c r="G1222" s="21">
        <v>6.1</v>
      </c>
      <c r="H1222">
        <v>7</v>
      </c>
      <c r="I1222">
        <v>65.12</v>
      </c>
      <c r="J1222">
        <v>0.68</v>
      </c>
      <c r="K1222" t="str" cm="1">
        <f t="array" ref="K1222">_xlfn.IFS(Table4_2[[#This Row],[Growth Days]]&lt;=14,"Seedling",Table4_2[[#This Row],[Growth Days]]&lt;=35, "Vegetative",Table4_2[[#This Row],[Growth Days]]&lt;=50, "Maturity")</f>
        <v>Seedling</v>
      </c>
      <c r="L1222" t="str">
        <f>IF(Table4_2[[#This Row],[TDS Value (ppm)]]&lt;560, "Low", IF(Table4_2[[#This Row],[TDS Value (ppm)]]&lt;=800,"Optimal","High"))</f>
        <v>Optimal</v>
      </c>
    </row>
    <row r="1223" spans="1:12" x14ac:dyDescent="0.25">
      <c r="A1223">
        <v>63</v>
      </c>
      <c r="B1223" s="1">
        <v>45154</v>
      </c>
      <c r="C1223" s="1" t="str">
        <f>TEXT(Table4_2[[#This Row],[Date]],"dddd")</f>
        <v>Wednesday</v>
      </c>
      <c r="D1223" s="21">
        <v>19.899999999999999</v>
      </c>
      <c r="E1223" s="21">
        <v>62</v>
      </c>
      <c r="F1223" s="21">
        <v>410</v>
      </c>
      <c r="G1223" s="21">
        <v>6.7</v>
      </c>
      <c r="H1223">
        <v>14</v>
      </c>
      <c r="I1223">
        <v>67.819999999999993</v>
      </c>
      <c r="J1223">
        <v>0.62</v>
      </c>
      <c r="K1223" t="str" cm="1">
        <f t="array" ref="K1223">_xlfn.IFS(Table4_2[[#This Row],[Growth Days]]&lt;=14,"Seedling",Table4_2[[#This Row],[Growth Days]]&lt;=35, "Vegetative",Table4_2[[#This Row],[Growth Days]]&lt;=50, "Maturity")</f>
        <v>Seedling</v>
      </c>
      <c r="L1223" t="str">
        <f>IF(Table4_2[[#This Row],[TDS Value (ppm)]]&lt;560, "Low", IF(Table4_2[[#This Row],[TDS Value (ppm)]]&lt;=800,"Optimal","High"))</f>
        <v>Low</v>
      </c>
    </row>
    <row r="1224" spans="1:12" x14ac:dyDescent="0.25">
      <c r="A1224">
        <v>63</v>
      </c>
      <c r="B1224" s="1">
        <v>45161</v>
      </c>
      <c r="C1224" s="1" t="str">
        <f>TEXT(Table4_2[[#This Row],[Date]],"dddd")</f>
        <v>Wednesday</v>
      </c>
      <c r="D1224" s="21">
        <v>19.899999999999999</v>
      </c>
      <c r="E1224" s="21">
        <v>80</v>
      </c>
      <c r="F1224" s="21">
        <v>784</v>
      </c>
      <c r="G1224" s="21">
        <v>6.2</v>
      </c>
      <c r="H1224">
        <v>21</v>
      </c>
      <c r="I1224">
        <v>67.819999999999993</v>
      </c>
      <c r="J1224">
        <v>0.8</v>
      </c>
      <c r="K1224" t="str" cm="1">
        <f t="array" ref="K1224">_xlfn.IFS(Table4_2[[#This Row],[Growth Days]]&lt;=14,"Seedling",Table4_2[[#This Row],[Growth Days]]&lt;=35, "Vegetative",Table4_2[[#This Row],[Growth Days]]&lt;=50, "Maturity")</f>
        <v>Vegetative</v>
      </c>
      <c r="L1224" t="str">
        <f>IF(Table4_2[[#This Row],[TDS Value (ppm)]]&lt;560, "Low", IF(Table4_2[[#This Row],[TDS Value (ppm)]]&lt;=800,"Optimal","High"))</f>
        <v>Optimal</v>
      </c>
    </row>
    <row r="1225" spans="1:12" x14ac:dyDescent="0.25">
      <c r="A1225">
        <v>63</v>
      </c>
      <c r="B1225" s="1">
        <v>45168</v>
      </c>
      <c r="C1225" s="1" t="str">
        <f>TEXT(Table4_2[[#This Row],[Date]],"dddd")</f>
        <v>Wednesday</v>
      </c>
      <c r="D1225" s="21">
        <v>19.2</v>
      </c>
      <c r="E1225" s="21">
        <v>65</v>
      </c>
      <c r="F1225" s="21">
        <v>739</v>
      </c>
      <c r="G1225" s="21">
        <v>6.2</v>
      </c>
      <c r="H1225">
        <v>28</v>
      </c>
      <c r="I1225">
        <v>66.56</v>
      </c>
      <c r="J1225">
        <v>0.65</v>
      </c>
      <c r="K1225" t="str" cm="1">
        <f t="array" ref="K1225">_xlfn.IFS(Table4_2[[#This Row],[Growth Days]]&lt;=14,"Seedling",Table4_2[[#This Row],[Growth Days]]&lt;=35, "Vegetative",Table4_2[[#This Row],[Growth Days]]&lt;=50, "Maturity")</f>
        <v>Vegetative</v>
      </c>
      <c r="L1225" t="str">
        <f>IF(Table4_2[[#This Row],[TDS Value (ppm)]]&lt;560, "Low", IF(Table4_2[[#This Row],[TDS Value (ppm)]]&lt;=800,"Optimal","High"))</f>
        <v>Optimal</v>
      </c>
    </row>
    <row r="1226" spans="1:12" x14ac:dyDescent="0.25">
      <c r="A1226">
        <v>63</v>
      </c>
      <c r="B1226" s="1">
        <v>45175</v>
      </c>
      <c r="C1226" s="1" t="str">
        <f>TEXT(Table4_2[[#This Row],[Date]],"dddd")</f>
        <v>Wednesday</v>
      </c>
      <c r="D1226" s="21">
        <v>22</v>
      </c>
      <c r="E1226" s="21">
        <v>71</v>
      </c>
      <c r="F1226" s="21">
        <v>780</v>
      </c>
      <c r="G1226" s="21">
        <v>6.5</v>
      </c>
      <c r="H1226">
        <v>35</v>
      </c>
      <c r="I1226">
        <v>71.599999999999994</v>
      </c>
      <c r="J1226">
        <v>0.71</v>
      </c>
      <c r="K1226" t="str" cm="1">
        <f t="array" ref="K1226">_xlfn.IFS(Table4_2[[#This Row],[Growth Days]]&lt;=14,"Seedling",Table4_2[[#This Row],[Growth Days]]&lt;=35, "Vegetative",Table4_2[[#This Row],[Growth Days]]&lt;=50, "Maturity")</f>
        <v>Vegetative</v>
      </c>
      <c r="L1226" t="str">
        <f>IF(Table4_2[[#This Row],[TDS Value (ppm)]]&lt;560, "Low", IF(Table4_2[[#This Row],[TDS Value (ppm)]]&lt;=800,"Optimal","High"))</f>
        <v>Optimal</v>
      </c>
    </row>
    <row r="1227" spans="1:12" x14ac:dyDescent="0.25">
      <c r="A1227">
        <v>63</v>
      </c>
      <c r="B1227" s="1">
        <v>45182</v>
      </c>
      <c r="C1227" s="1" t="str">
        <f>TEXT(Table4_2[[#This Row],[Date]],"dddd")</f>
        <v>Wednesday</v>
      </c>
      <c r="D1227" s="21">
        <v>21.2</v>
      </c>
      <c r="E1227" s="21">
        <v>79</v>
      </c>
      <c r="F1227" s="21">
        <v>496</v>
      </c>
      <c r="G1227" s="21">
        <v>6.4</v>
      </c>
      <c r="H1227">
        <v>42</v>
      </c>
      <c r="I1227">
        <v>70.16</v>
      </c>
      <c r="J1227">
        <v>0.79</v>
      </c>
      <c r="K1227" t="str" cm="1">
        <f t="array" ref="K1227">_xlfn.IFS(Table4_2[[#This Row],[Growth Days]]&lt;=14,"Seedling",Table4_2[[#This Row],[Growth Days]]&lt;=35, "Vegetative",Table4_2[[#This Row],[Growth Days]]&lt;=50, "Maturity")</f>
        <v>Maturity</v>
      </c>
      <c r="L1227" t="str">
        <f>IF(Table4_2[[#This Row],[TDS Value (ppm)]]&lt;560, "Low", IF(Table4_2[[#This Row],[TDS Value (ppm)]]&lt;=800,"Optimal","High"))</f>
        <v>Low</v>
      </c>
    </row>
    <row r="1228" spans="1:12" x14ac:dyDescent="0.25">
      <c r="A1228">
        <v>64</v>
      </c>
      <c r="B1228" s="1">
        <v>45147</v>
      </c>
      <c r="C1228" s="1" t="str">
        <f>TEXT(Table4_2[[#This Row],[Date]],"dddd")</f>
        <v>Wednesday</v>
      </c>
      <c r="D1228" s="21">
        <v>22.5</v>
      </c>
      <c r="E1228" s="21">
        <v>58</v>
      </c>
      <c r="F1228" s="21">
        <v>766</v>
      </c>
      <c r="G1228" s="21">
        <v>6.2</v>
      </c>
      <c r="H1228">
        <v>7</v>
      </c>
      <c r="I1228">
        <v>72.5</v>
      </c>
      <c r="J1228">
        <v>0.57999999999999996</v>
      </c>
      <c r="K1228" t="str" cm="1">
        <f t="array" ref="K1228">_xlfn.IFS(Table4_2[[#This Row],[Growth Days]]&lt;=14,"Seedling",Table4_2[[#This Row],[Growth Days]]&lt;=35, "Vegetative",Table4_2[[#This Row],[Growth Days]]&lt;=50, "Maturity")</f>
        <v>Seedling</v>
      </c>
      <c r="L1228" t="str">
        <f>IF(Table4_2[[#This Row],[TDS Value (ppm)]]&lt;560, "Low", IF(Table4_2[[#This Row],[TDS Value (ppm)]]&lt;=800,"Optimal","High"))</f>
        <v>Optimal</v>
      </c>
    </row>
    <row r="1229" spans="1:12" x14ac:dyDescent="0.25">
      <c r="A1229">
        <v>64</v>
      </c>
      <c r="B1229" s="1">
        <v>45154</v>
      </c>
      <c r="C1229" s="1" t="str">
        <f>TEXT(Table4_2[[#This Row],[Date]],"dddd")</f>
        <v>Wednesday</v>
      </c>
      <c r="D1229" s="21">
        <v>20.399999999999999</v>
      </c>
      <c r="E1229" s="21">
        <v>62</v>
      </c>
      <c r="F1229" s="21">
        <v>616</v>
      </c>
      <c r="G1229" s="21">
        <v>6.2</v>
      </c>
      <c r="H1229">
        <v>14</v>
      </c>
      <c r="I1229">
        <v>68.72</v>
      </c>
      <c r="J1229">
        <v>0.62</v>
      </c>
      <c r="K1229" t="str" cm="1">
        <f t="array" ref="K1229">_xlfn.IFS(Table4_2[[#This Row],[Growth Days]]&lt;=14,"Seedling",Table4_2[[#This Row],[Growth Days]]&lt;=35, "Vegetative",Table4_2[[#This Row],[Growth Days]]&lt;=50, "Maturity")</f>
        <v>Seedling</v>
      </c>
      <c r="L1229" t="str">
        <f>IF(Table4_2[[#This Row],[TDS Value (ppm)]]&lt;560, "Low", IF(Table4_2[[#This Row],[TDS Value (ppm)]]&lt;=800,"Optimal","High"))</f>
        <v>Optimal</v>
      </c>
    </row>
    <row r="1230" spans="1:12" x14ac:dyDescent="0.25">
      <c r="A1230">
        <v>64</v>
      </c>
      <c r="B1230" s="1">
        <v>45161</v>
      </c>
      <c r="C1230" s="1" t="str">
        <f>TEXT(Table4_2[[#This Row],[Date]],"dddd")</f>
        <v>Wednesday</v>
      </c>
      <c r="D1230" s="21">
        <v>23.9</v>
      </c>
      <c r="E1230" s="21">
        <v>50</v>
      </c>
      <c r="F1230" s="21">
        <v>595</v>
      </c>
      <c r="G1230" s="21">
        <v>6.2</v>
      </c>
      <c r="H1230">
        <v>21</v>
      </c>
      <c r="I1230">
        <v>75.02</v>
      </c>
      <c r="J1230">
        <v>0.5</v>
      </c>
      <c r="K1230" t="str" cm="1">
        <f t="array" ref="K1230">_xlfn.IFS(Table4_2[[#This Row],[Growth Days]]&lt;=14,"Seedling",Table4_2[[#This Row],[Growth Days]]&lt;=35, "Vegetative",Table4_2[[#This Row],[Growth Days]]&lt;=50, "Maturity")</f>
        <v>Vegetative</v>
      </c>
      <c r="L1230" t="str">
        <f>IF(Table4_2[[#This Row],[TDS Value (ppm)]]&lt;560, "Low", IF(Table4_2[[#This Row],[TDS Value (ppm)]]&lt;=800,"Optimal","High"))</f>
        <v>Optimal</v>
      </c>
    </row>
    <row r="1231" spans="1:12" x14ac:dyDescent="0.25">
      <c r="A1231">
        <v>64</v>
      </c>
      <c r="B1231" s="1">
        <v>45168</v>
      </c>
      <c r="C1231" s="1" t="str">
        <f>TEXT(Table4_2[[#This Row],[Date]],"dddd")</f>
        <v>Wednesday</v>
      </c>
      <c r="D1231" s="21">
        <v>24.8</v>
      </c>
      <c r="E1231" s="21">
        <v>78</v>
      </c>
      <c r="F1231" s="21">
        <v>753</v>
      </c>
      <c r="G1231" s="21">
        <v>6.4</v>
      </c>
      <c r="H1231">
        <v>28</v>
      </c>
      <c r="I1231">
        <v>76.64</v>
      </c>
      <c r="J1231">
        <v>0.78</v>
      </c>
      <c r="K1231" t="str" cm="1">
        <f t="array" ref="K1231">_xlfn.IFS(Table4_2[[#This Row],[Growth Days]]&lt;=14,"Seedling",Table4_2[[#This Row],[Growth Days]]&lt;=35, "Vegetative",Table4_2[[#This Row],[Growth Days]]&lt;=50, "Maturity")</f>
        <v>Vegetative</v>
      </c>
      <c r="L1231" t="str">
        <f>IF(Table4_2[[#This Row],[TDS Value (ppm)]]&lt;560, "Low", IF(Table4_2[[#This Row],[TDS Value (ppm)]]&lt;=800,"Optimal","High"))</f>
        <v>Optimal</v>
      </c>
    </row>
    <row r="1232" spans="1:12" x14ac:dyDescent="0.25">
      <c r="A1232">
        <v>64</v>
      </c>
      <c r="B1232" s="1">
        <v>45175</v>
      </c>
      <c r="C1232" s="1" t="str">
        <f>TEXT(Table4_2[[#This Row],[Date]],"dddd")</f>
        <v>Wednesday</v>
      </c>
      <c r="D1232" s="21">
        <v>23.5</v>
      </c>
      <c r="E1232" s="21">
        <v>58</v>
      </c>
      <c r="F1232" s="21">
        <v>655</v>
      </c>
      <c r="G1232" s="21">
        <v>6.1</v>
      </c>
      <c r="H1232">
        <v>35</v>
      </c>
      <c r="I1232">
        <v>74.3</v>
      </c>
      <c r="J1232">
        <v>0.57999999999999996</v>
      </c>
      <c r="K1232" t="str" cm="1">
        <f t="array" ref="K1232">_xlfn.IFS(Table4_2[[#This Row],[Growth Days]]&lt;=14,"Seedling",Table4_2[[#This Row],[Growth Days]]&lt;=35, "Vegetative",Table4_2[[#This Row],[Growth Days]]&lt;=50, "Maturity")</f>
        <v>Vegetative</v>
      </c>
      <c r="L1232" t="str">
        <f>IF(Table4_2[[#This Row],[TDS Value (ppm)]]&lt;560, "Low", IF(Table4_2[[#This Row],[TDS Value (ppm)]]&lt;=800,"Optimal","High"))</f>
        <v>Optimal</v>
      </c>
    </row>
    <row r="1233" spans="1:12" x14ac:dyDescent="0.25">
      <c r="A1233">
        <v>64</v>
      </c>
      <c r="B1233" s="1">
        <v>45182</v>
      </c>
      <c r="C1233" s="1" t="str">
        <f>TEXT(Table4_2[[#This Row],[Date]],"dddd")</f>
        <v>Wednesday</v>
      </c>
      <c r="D1233" s="21">
        <v>18.2</v>
      </c>
      <c r="E1233" s="21">
        <v>73</v>
      </c>
      <c r="F1233" s="21">
        <v>471</v>
      </c>
      <c r="G1233" s="21">
        <v>6.6</v>
      </c>
      <c r="H1233">
        <v>42</v>
      </c>
      <c r="I1233">
        <v>64.760000000000005</v>
      </c>
      <c r="J1233">
        <v>0.73</v>
      </c>
      <c r="K1233" t="str" cm="1">
        <f t="array" ref="K1233">_xlfn.IFS(Table4_2[[#This Row],[Growth Days]]&lt;=14,"Seedling",Table4_2[[#This Row],[Growth Days]]&lt;=35, "Vegetative",Table4_2[[#This Row],[Growth Days]]&lt;=50, "Maturity")</f>
        <v>Maturity</v>
      </c>
      <c r="L1233" t="str">
        <f>IF(Table4_2[[#This Row],[TDS Value (ppm)]]&lt;560, "Low", IF(Table4_2[[#This Row],[TDS Value (ppm)]]&lt;=800,"Optimal","High"))</f>
        <v>Low</v>
      </c>
    </row>
    <row r="1234" spans="1:12" x14ac:dyDescent="0.25">
      <c r="A1234">
        <v>65</v>
      </c>
      <c r="B1234" s="1">
        <v>45147</v>
      </c>
      <c r="C1234" s="1" t="str">
        <f>TEXT(Table4_2[[#This Row],[Date]],"dddd")</f>
        <v>Wednesday</v>
      </c>
      <c r="D1234" s="21">
        <v>19.3</v>
      </c>
      <c r="E1234" s="21">
        <v>66</v>
      </c>
      <c r="F1234" s="21">
        <v>661</v>
      </c>
      <c r="G1234" s="21">
        <v>6</v>
      </c>
      <c r="H1234">
        <v>7</v>
      </c>
      <c r="I1234">
        <v>66.739999999999995</v>
      </c>
      <c r="J1234">
        <v>0.66</v>
      </c>
      <c r="K1234" t="str" cm="1">
        <f t="array" ref="K1234">_xlfn.IFS(Table4_2[[#This Row],[Growth Days]]&lt;=14,"Seedling",Table4_2[[#This Row],[Growth Days]]&lt;=35, "Vegetative",Table4_2[[#This Row],[Growth Days]]&lt;=50, "Maturity")</f>
        <v>Seedling</v>
      </c>
      <c r="L1234" t="str">
        <f>IF(Table4_2[[#This Row],[TDS Value (ppm)]]&lt;560, "Low", IF(Table4_2[[#This Row],[TDS Value (ppm)]]&lt;=800,"Optimal","High"))</f>
        <v>Optimal</v>
      </c>
    </row>
    <row r="1235" spans="1:12" x14ac:dyDescent="0.25">
      <c r="A1235">
        <v>65</v>
      </c>
      <c r="B1235" s="1">
        <v>45154</v>
      </c>
      <c r="C1235" s="1" t="str">
        <f>TEXT(Table4_2[[#This Row],[Date]],"dddd")</f>
        <v>Wednesday</v>
      </c>
      <c r="D1235" s="21">
        <v>18.8</v>
      </c>
      <c r="E1235" s="21">
        <v>61</v>
      </c>
      <c r="F1235" s="21">
        <v>745</v>
      </c>
      <c r="G1235" s="21">
        <v>6.8</v>
      </c>
      <c r="H1235">
        <v>14</v>
      </c>
      <c r="I1235">
        <v>65.84</v>
      </c>
      <c r="J1235">
        <v>0.61</v>
      </c>
      <c r="K1235" t="str" cm="1">
        <f t="array" ref="K1235">_xlfn.IFS(Table4_2[[#This Row],[Growth Days]]&lt;=14,"Seedling",Table4_2[[#This Row],[Growth Days]]&lt;=35, "Vegetative",Table4_2[[#This Row],[Growth Days]]&lt;=50, "Maturity")</f>
        <v>Seedling</v>
      </c>
      <c r="L1235" t="str">
        <f>IF(Table4_2[[#This Row],[TDS Value (ppm)]]&lt;560, "Low", IF(Table4_2[[#This Row],[TDS Value (ppm)]]&lt;=800,"Optimal","High"))</f>
        <v>Optimal</v>
      </c>
    </row>
    <row r="1236" spans="1:12" x14ac:dyDescent="0.25">
      <c r="A1236">
        <v>65</v>
      </c>
      <c r="B1236" s="1">
        <v>45161</v>
      </c>
      <c r="C1236" s="1" t="str">
        <f>TEXT(Table4_2[[#This Row],[Date]],"dddd")</f>
        <v>Wednesday</v>
      </c>
      <c r="D1236" s="21">
        <v>24.1</v>
      </c>
      <c r="E1236" s="21">
        <v>74</v>
      </c>
      <c r="F1236" s="21">
        <v>554</v>
      </c>
      <c r="G1236" s="21">
        <v>6.2</v>
      </c>
      <c r="H1236">
        <v>21</v>
      </c>
      <c r="I1236">
        <v>75.38</v>
      </c>
      <c r="J1236">
        <v>0.74</v>
      </c>
      <c r="K1236" t="str" cm="1">
        <f t="array" ref="K1236">_xlfn.IFS(Table4_2[[#This Row],[Growth Days]]&lt;=14,"Seedling",Table4_2[[#This Row],[Growth Days]]&lt;=35, "Vegetative",Table4_2[[#This Row],[Growth Days]]&lt;=50, "Maturity")</f>
        <v>Vegetative</v>
      </c>
      <c r="L1236" t="str">
        <f>IF(Table4_2[[#This Row],[TDS Value (ppm)]]&lt;560, "Low", IF(Table4_2[[#This Row],[TDS Value (ppm)]]&lt;=800,"Optimal","High"))</f>
        <v>Low</v>
      </c>
    </row>
    <row r="1237" spans="1:12" x14ac:dyDescent="0.25">
      <c r="A1237">
        <v>65</v>
      </c>
      <c r="B1237" s="1">
        <v>45168</v>
      </c>
      <c r="C1237" s="1" t="str">
        <f>TEXT(Table4_2[[#This Row],[Date]],"dddd")</f>
        <v>Wednesday</v>
      </c>
      <c r="D1237" s="21">
        <v>24.9</v>
      </c>
      <c r="E1237" s="21">
        <v>54</v>
      </c>
      <c r="F1237" s="21">
        <v>463</v>
      </c>
      <c r="G1237" s="21">
        <v>6.3</v>
      </c>
      <c r="H1237">
        <v>28</v>
      </c>
      <c r="I1237">
        <v>76.819999999999993</v>
      </c>
      <c r="J1237">
        <v>0.54</v>
      </c>
      <c r="K1237" t="str" cm="1">
        <f t="array" ref="K1237">_xlfn.IFS(Table4_2[[#This Row],[Growth Days]]&lt;=14,"Seedling",Table4_2[[#This Row],[Growth Days]]&lt;=35, "Vegetative",Table4_2[[#This Row],[Growth Days]]&lt;=50, "Maturity")</f>
        <v>Vegetative</v>
      </c>
      <c r="L1237" t="str">
        <f>IF(Table4_2[[#This Row],[TDS Value (ppm)]]&lt;560, "Low", IF(Table4_2[[#This Row],[TDS Value (ppm)]]&lt;=800,"Optimal","High"))</f>
        <v>Low</v>
      </c>
    </row>
    <row r="1238" spans="1:12" x14ac:dyDescent="0.25">
      <c r="A1238">
        <v>65</v>
      </c>
      <c r="B1238" s="1">
        <v>45175</v>
      </c>
      <c r="C1238" s="1" t="str">
        <f>TEXT(Table4_2[[#This Row],[Date]],"dddd")</f>
        <v>Wednesday</v>
      </c>
      <c r="D1238" s="21">
        <v>21.6</v>
      </c>
      <c r="E1238" s="21">
        <v>58</v>
      </c>
      <c r="F1238" s="21">
        <v>613</v>
      </c>
      <c r="G1238" s="21">
        <v>6.2</v>
      </c>
      <c r="H1238">
        <v>35</v>
      </c>
      <c r="I1238">
        <v>70.88</v>
      </c>
      <c r="J1238">
        <v>0.57999999999999996</v>
      </c>
      <c r="K1238" t="str" cm="1">
        <f t="array" ref="K1238">_xlfn.IFS(Table4_2[[#This Row],[Growth Days]]&lt;=14,"Seedling",Table4_2[[#This Row],[Growth Days]]&lt;=35, "Vegetative",Table4_2[[#This Row],[Growth Days]]&lt;=50, "Maturity")</f>
        <v>Vegetative</v>
      </c>
      <c r="L1238" t="str">
        <f>IF(Table4_2[[#This Row],[TDS Value (ppm)]]&lt;560, "Low", IF(Table4_2[[#This Row],[TDS Value (ppm)]]&lt;=800,"Optimal","High"))</f>
        <v>Optimal</v>
      </c>
    </row>
    <row r="1239" spans="1:12" x14ac:dyDescent="0.25">
      <c r="A1239">
        <v>65</v>
      </c>
      <c r="B1239" s="1">
        <v>45182</v>
      </c>
      <c r="C1239" s="1" t="str">
        <f>TEXT(Table4_2[[#This Row],[Date]],"dddd")</f>
        <v>Wednesday</v>
      </c>
      <c r="D1239" s="21">
        <v>21.6</v>
      </c>
      <c r="E1239" s="21">
        <v>50</v>
      </c>
      <c r="F1239" s="21">
        <v>417</v>
      </c>
      <c r="G1239" s="21">
        <v>6.1</v>
      </c>
      <c r="H1239">
        <v>42</v>
      </c>
      <c r="I1239">
        <v>70.88</v>
      </c>
      <c r="J1239">
        <v>0.5</v>
      </c>
      <c r="K1239" t="str" cm="1">
        <f t="array" ref="K1239">_xlfn.IFS(Table4_2[[#This Row],[Growth Days]]&lt;=14,"Seedling",Table4_2[[#This Row],[Growth Days]]&lt;=35, "Vegetative",Table4_2[[#This Row],[Growth Days]]&lt;=50, "Maturity")</f>
        <v>Maturity</v>
      </c>
      <c r="L1239" t="str">
        <f>IF(Table4_2[[#This Row],[TDS Value (ppm)]]&lt;560, "Low", IF(Table4_2[[#This Row],[TDS Value (ppm)]]&lt;=800,"Optimal","High"))</f>
        <v>Low</v>
      </c>
    </row>
    <row r="1240" spans="1:12" x14ac:dyDescent="0.25">
      <c r="A1240">
        <v>66</v>
      </c>
      <c r="B1240" s="1">
        <v>45147</v>
      </c>
      <c r="C1240" s="1" t="str">
        <f>TEXT(Table4_2[[#This Row],[Date]],"dddd")</f>
        <v>Wednesday</v>
      </c>
      <c r="D1240" s="21">
        <v>23.8</v>
      </c>
      <c r="E1240" s="21">
        <v>80</v>
      </c>
      <c r="F1240" s="21">
        <v>434</v>
      </c>
      <c r="G1240" s="21">
        <v>6.7</v>
      </c>
      <c r="H1240">
        <v>7</v>
      </c>
      <c r="I1240">
        <v>74.84</v>
      </c>
      <c r="J1240">
        <v>0.8</v>
      </c>
      <c r="K1240" t="str" cm="1">
        <f t="array" ref="K1240">_xlfn.IFS(Table4_2[[#This Row],[Growth Days]]&lt;=14,"Seedling",Table4_2[[#This Row],[Growth Days]]&lt;=35, "Vegetative",Table4_2[[#This Row],[Growth Days]]&lt;=50, "Maturity")</f>
        <v>Seedling</v>
      </c>
      <c r="L1240" t="str">
        <f>IF(Table4_2[[#This Row],[TDS Value (ppm)]]&lt;560, "Low", IF(Table4_2[[#This Row],[TDS Value (ppm)]]&lt;=800,"Optimal","High"))</f>
        <v>Low</v>
      </c>
    </row>
    <row r="1241" spans="1:12" x14ac:dyDescent="0.25">
      <c r="A1241">
        <v>66</v>
      </c>
      <c r="B1241" s="1">
        <v>45154</v>
      </c>
      <c r="C1241" s="1" t="str">
        <f>TEXT(Table4_2[[#This Row],[Date]],"dddd")</f>
        <v>Wednesday</v>
      </c>
      <c r="D1241" s="21">
        <v>18.899999999999999</v>
      </c>
      <c r="E1241" s="21">
        <v>66</v>
      </c>
      <c r="F1241" s="21">
        <v>494</v>
      </c>
      <c r="G1241" s="21">
        <v>6.6</v>
      </c>
      <c r="H1241">
        <v>14</v>
      </c>
      <c r="I1241">
        <v>66.02</v>
      </c>
      <c r="J1241">
        <v>0.66</v>
      </c>
      <c r="K1241" t="str" cm="1">
        <f t="array" ref="K1241">_xlfn.IFS(Table4_2[[#This Row],[Growth Days]]&lt;=14,"Seedling",Table4_2[[#This Row],[Growth Days]]&lt;=35, "Vegetative",Table4_2[[#This Row],[Growth Days]]&lt;=50, "Maturity")</f>
        <v>Seedling</v>
      </c>
      <c r="L1241" t="str">
        <f>IF(Table4_2[[#This Row],[TDS Value (ppm)]]&lt;560, "Low", IF(Table4_2[[#This Row],[TDS Value (ppm)]]&lt;=800,"Optimal","High"))</f>
        <v>Low</v>
      </c>
    </row>
    <row r="1242" spans="1:12" x14ac:dyDescent="0.25">
      <c r="A1242">
        <v>66</v>
      </c>
      <c r="B1242" s="1">
        <v>45161</v>
      </c>
      <c r="C1242" s="1" t="str">
        <f>TEXT(Table4_2[[#This Row],[Date]],"dddd")</f>
        <v>Wednesday</v>
      </c>
      <c r="D1242" s="21">
        <v>21.3</v>
      </c>
      <c r="E1242" s="21">
        <v>65</v>
      </c>
      <c r="F1242" s="21">
        <v>642</v>
      </c>
      <c r="G1242" s="21">
        <v>6.6</v>
      </c>
      <c r="H1242">
        <v>21</v>
      </c>
      <c r="I1242">
        <v>70.34</v>
      </c>
      <c r="J1242">
        <v>0.65</v>
      </c>
      <c r="K1242" t="str" cm="1">
        <f t="array" ref="K1242">_xlfn.IFS(Table4_2[[#This Row],[Growth Days]]&lt;=14,"Seedling",Table4_2[[#This Row],[Growth Days]]&lt;=35, "Vegetative",Table4_2[[#This Row],[Growth Days]]&lt;=50, "Maturity")</f>
        <v>Vegetative</v>
      </c>
      <c r="L1242" t="str">
        <f>IF(Table4_2[[#This Row],[TDS Value (ppm)]]&lt;560, "Low", IF(Table4_2[[#This Row],[TDS Value (ppm)]]&lt;=800,"Optimal","High"))</f>
        <v>Optimal</v>
      </c>
    </row>
    <row r="1243" spans="1:12" x14ac:dyDescent="0.25">
      <c r="A1243">
        <v>66</v>
      </c>
      <c r="B1243" s="1">
        <v>45168</v>
      </c>
      <c r="C1243" s="1" t="str">
        <f>TEXT(Table4_2[[#This Row],[Date]],"dddd")</f>
        <v>Wednesday</v>
      </c>
      <c r="D1243" s="21">
        <v>19.8</v>
      </c>
      <c r="E1243" s="21">
        <v>56</v>
      </c>
      <c r="F1243" s="21">
        <v>703</v>
      </c>
      <c r="G1243" s="21">
        <v>6</v>
      </c>
      <c r="H1243">
        <v>28</v>
      </c>
      <c r="I1243">
        <v>67.64</v>
      </c>
      <c r="J1243">
        <v>0.56000000000000005</v>
      </c>
      <c r="K1243" t="str" cm="1">
        <f t="array" ref="K1243">_xlfn.IFS(Table4_2[[#This Row],[Growth Days]]&lt;=14,"Seedling",Table4_2[[#This Row],[Growth Days]]&lt;=35, "Vegetative",Table4_2[[#This Row],[Growth Days]]&lt;=50, "Maturity")</f>
        <v>Vegetative</v>
      </c>
      <c r="L1243" t="str">
        <f>IF(Table4_2[[#This Row],[TDS Value (ppm)]]&lt;560, "Low", IF(Table4_2[[#This Row],[TDS Value (ppm)]]&lt;=800,"Optimal","High"))</f>
        <v>Optimal</v>
      </c>
    </row>
    <row r="1244" spans="1:12" x14ac:dyDescent="0.25">
      <c r="A1244">
        <v>66</v>
      </c>
      <c r="B1244" s="1">
        <v>45175</v>
      </c>
      <c r="C1244" s="1" t="str">
        <f>TEXT(Table4_2[[#This Row],[Date]],"dddd")</f>
        <v>Wednesday</v>
      </c>
      <c r="D1244" s="21">
        <v>21.1</v>
      </c>
      <c r="E1244" s="21">
        <v>76</v>
      </c>
      <c r="F1244" s="21">
        <v>653</v>
      </c>
      <c r="G1244" s="21">
        <v>6.5</v>
      </c>
      <c r="H1244">
        <v>35</v>
      </c>
      <c r="I1244">
        <v>69.98</v>
      </c>
      <c r="J1244">
        <v>0.76</v>
      </c>
      <c r="K1244" t="str" cm="1">
        <f t="array" ref="K1244">_xlfn.IFS(Table4_2[[#This Row],[Growth Days]]&lt;=14,"Seedling",Table4_2[[#This Row],[Growth Days]]&lt;=35, "Vegetative",Table4_2[[#This Row],[Growth Days]]&lt;=50, "Maturity")</f>
        <v>Vegetative</v>
      </c>
      <c r="L1244" t="str">
        <f>IF(Table4_2[[#This Row],[TDS Value (ppm)]]&lt;560, "Low", IF(Table4_2[[#This Row],[TDS Value (ppm)]]&lt;=800,"Optimal","High"))</f>
        <v>Optimal</v>
      </c>
    </row>
    <row r="1245" spans="1:12" x14ac:dyDescent="0.25">
      <c r="A1245">
        <v>66</v>
      </c>
      <c r="B1245" s="1">
        <v>45182</v>
      </c>
      <c r="C1245" s="1" t="str">
        <f>TEXT(Table4_2[[#This Row],[Date]],"dddd")</f>
        <v>Wednesday</v>
      </c>
      <c r="D1245" s="21">
        <v>21.8</v>
      </c>
      <c r="E1245" s="21">
        <v>77</v>
      </c>
      <c r="F1245" s="21">
        <v>601</v>
      </c>
      <c r="G1245" s="21">
        <v>6.3</v>
      </c>
      <c r="H1245">
        <v>42</v>
      </c>
      <c r="I1245">
        <v>71.239999999999995</v>
      </c>
      <c r="J1245">
        <v>0.77</v>
      </c>
      <c r="K1245" t="str" cm="1">
        <f t="array" ref="K1245">_xlfn.IFS(Table4_2[[#This Row],[Growth Days]]&lt;=14,"Seedling",Table4_2[[#This Row],[Growth Days]]&lt;=35, "Vegetative",Table4_2[[#This Row],[Growth Days]]&lt;=50, "Maturity")</f>
        <v>Maturity</v>
      </c>
      <c r="L1245" t="str">
        <f>IF(Table4_2[[#This Row],[TDS Value (ppm)]]&lt;560, "Low", IF(Table4_2[[#This Row],[TDS Value (ppm)]]&lt;=800,"Optimal","High"))</f>
        <v>Optimal</v>
      </c>
    </row>
    <row r="1246" spans="1:12" x14ac:dyDescent="0.25">
      <c r="A1246">
        <v>67</v>
      </c>
      <c r="B1246" s="1">
        <v>45147</v>
      </c>
      <c r="C1246" s="1" t="str">
        <f>TEXT(Table4_2[[#This Row],[Date]],"dddd")</f>
        <v>Wednesday</v>
      </c>
      <c r="D1246" s="21">
        <v>23.8</v>
      </c>
      <c r="E1246" s="21">
        <v>51</v>
      </c>
      <c r="F1246" s="21">
        <v>745</v>
      </c>
      <c r="G1246" s="21">
        <v>6.6</v>
      </c>
      <c r="H1246">
        <v>7</v>
      </c>
      <c r="I1246">
        <v>74.84</v>
      </c>
      <c r="J1246">
        <v>0.51</v>
      </c>
      <c r="K1246" t="str" cm="1">
        <f t="array" ref="K1246">_xlfn.IFS(Table4_2[[#This Row],[Growth Days]]&lt;=14,"Seedling",Table4_2[[#This Row],[Growth Days]]&lt;=35, "Vegetative",Table4_2[[#This Row],[Growth Days]]&lt;=50, "Maturity")</f>
        <v>Seedling</v>
      </c>
      <c r="L1246" t="str">
        <f>IF(Table4_2[[#This Row],[TDS Value (ppm)]]&lt;560, "Low", IF(Table4_2[[#This Row],[TDS Value (ppm)]]&lt;=800,"Optimal","High"))</f>
        <v>Optimal</v>
      </c>
    </row>
    <row r="1247" spans="1:12" x14ac:dyDescent="0.25">
      <c r="A1247">
        <v>67</v>
      </c>
      <c r="B1247" s="1">
        <v>45154</v>
      </c>
      <c r="C1247" s="1" t="str">
        <f>TEXT(Table4_2[[#This Row],[Date]],"dddd")</f>
        <v>Wednesday</v>
      </c>
      <c r="D1247" s="21">
        <v>20.3</v>
      </c>
      <c r="E1247" s="21">
        <v>58</v>
      </c>
      <c r="F1247" s="21">
        <v>572</v>
      </c>
      <c r="G1247" s="21">
        <v>6.3</v>
      </c>
      <c r="H1247">
        <v>14</v>
      </c>
      <c r="I1247">
        <v>68.540000000000006</v>
      </c>
      <c r="J1247">
        <v>0.57999999999999996</v>
      </c>
      <c r="K1247" t="str" cm="1">
        <f t="array" ref="K1247">_xlfn.IFS(Table4_2[[#This Row],[Growth Days]]&lt;=14,"Seedling",Table4_2[[#This Row],[Growth Days]]&lt;=35, "Vegetative",Table4_2[[#This Row],[Growth Days]]&lt;=50, "Maturity")</f>
        <v>Seedling</v>
      </c>
      <c r="L1247" t="str">
        <f>IF(Table4_2[[#This Row],[TDS Value (ppm)]]&lt;560, "Low", IF(Table4_2[[#This Row],[TDS Value (ppm)]]&lt;=800,"Optimal","High"))</f>
        <v>Optimal</v>
      </c>
    </row>
    <row r="1248" spans="1:12" x14ac:dyDescent="0.25">
      <c r="A1248">
        <v>67</v>
      </c>
      <c r="B1248" s="1">
        <v>45161</v>
      </c>
      <c r="C1248" s="1" t="str">
        <f>TEXT(Table4_2[[#This Row],[Date]],"dddd")</f>
        <v>Wednesday</v>
      </c>
      <c r="D1248" s="21">
        <v>22.3</v>
      </c>
      <c r="E1248" s="21">
        <v>70</v>
      </c>
      <c r="F1248" s="21">
        <v>426</v>
      </c>
      <c r="G1248" s="21">
        <v>6.6</v>
      </c>
      <c r="H1248">
        <v>21</v>
      </c>
      <c r="I1248">
        <v>72.14</v>
      </c>
      <c r="J1248">
        <v>0.7</v>
      </c>
      <c r="K1248" t="str" cm="1">
        <f t="array" ref="K1248">_xlfn.IFS(Table4_2[[#This Row],[Growth Days]]&lt;=14,"Seedling",Table4_2[[#This Row],[Growth Days]]&lt;=35, "Vegetative",Table4_2[[#This Row],[Growth Days]]&lt;=50, "Maturity")</f>
        <v>Vegetative</v>
      </c>
      <c r="L1248" t="str">
        <f>IF(Table4_2[[#This Row],[TDS Value (ppm)]]&lt;560, "Low", IF(Table4_2[[#This Row],[TDS Value (ppm)]]&lt;=800,"Optimal","High"))</f>
        <v>Low</v>
      </c>
    </row>
    <row r="1249" spans="1:12" x14ac:dyDescent="0.25">
      <c r="A1249">
        <v>67</v>
      </c>
      <c r="B1249" s="1">
        <v>45168</v>
      </c>
      <c r="C1249" s="1" t="str">
        <f>TEXT(Table4_2[[#This Row],[Date]],"dddd")</f>
        <v>Wednesday</v>
      </c>
      <c r="D1249" s="21">
        <v>23.4</v>
      </c>
      <c r="E1249" s="21">
        <v>56</v>
      </c>
      <c r="F1249" s="21">
        <v>453</v>
      </c>
      <c r="G1249" s="21">
        <v>6.7</v>
      </c>
      <c r="H1249">
        <v>28</v>
      </c>
      <c r="I1249">
        <v>74.12</v>
      </c>
      <c r="J1249">
        <v>0.56000000000000005</v>
      </c>
      <c r="K1249" t="str" cm="1">
        <f t="array" ref="K1249">_xlfn.IFS(Table4_2[[#This Row],[Growth Days]]&lt;=14,"Seedling",Table4_2[[#This Row],[Growth Days]]&lt;=35, "Vegetative",Table4_2[[#This Row],[Growth Days]]&lt;=50, "Maturity")</f>
        <v>Vegetative</v>
      </c>
      <c r="L1249" t="str">
        <f>IF(Table4_2[[#This Row],[TDS Value (ppm)]]&lt;560, "Low", IF(Table4_2[[#This Row],[TDS Value (ppm)]]&lt;=800,"Optimal","High"))</f>
        <v>Low</v>
      </c>
    </row>
    <row r="1250" spans="1:12" x14ac:dyDescent="0.25">
      <c r="A1250">
        <v>67</v>
      </c>
      <c r="B1250" s="1">
        <v>45175</v>
      </c>
      <c r="C1250" s="1" t="str">
        <f>TEXT(Table4_2[[#This Row],[Date]],"dddd")</f>
        <v>Wednesday</v>
      </c>
      <c r="D1250" s="21">
        <v>21.4</v>
      </c>
      <c r="E1250" s="21">
        <v>70</v>
      </c>
      <c r="F1250" s="21">
        <v>442</v>
      </c>
      <c r="G1250" s="21">
        <v>6.7</v>
      </c>
      <c r="H1250">
        <v>35</v>
      </c>
      <c r="I1250">
        <v>70.52</v>
      </c>
      <c r="J1250">
        <v>0.7</v>
      </c>
      <c r="K1250" t="str" cm="1">
        <f t="array" ref="K1250">_xlfn.IFS(Table4_2[[#This Row],[Growth Days]]&lt;=14,"Seedling",Table4_2[[#This Row],[Growth Days]]&lt;=35, "Vegetative",Table4_2[[#This Row],[Growth Days]]&lt;=50, "Maturity")</f>
        <v>Vegetative</v>
      </c>
      <c r="L1250" t="str">
        <f>IF(Table4_2[[#This Row],[TDS Value (ppm)]]&lt;560, "Low", IF(Table4_2[[#This Row],[TDS Value (ppm)]]&lt;=800,"Optimal","High"))</f>
        <v>Low</v>
      </c>
    </row>
    <row r="1251" spans="1:12" x14ac:dyDescent="0.25">
      <c r="A1251">
        <v>67</v>
      </c>
      <c r="B1251" s="1">
        <v>45182</v>
      </c>
      <c r="C1251" s="1" t="str">
        <f>TEXT(Table4_2[[#This Row],[Date]],"dddd")</f>
        <v>Wednesday</v>
      </c>
      <c r="D1251" s="21">
        <v>23.6</v>
      </c>
      <c r="E1251" s="21">
        <v>66</v>
      </c>
      <c r="F1251" s="21">
        <v>608</v>
      </c>
      <c r="G1251" s="21">
        <v>6.3</v>
      </c>
      <c r="H1251">
        <v>42</v>
      </c>
      <c r="I1251">
        <v>74.48</v>
      </c>
      <c r="J1251">
        <v>0.66</v>
      </c>
      <c r="K1251" t="str" cm="1">
        <f t="array" ref="K1251">_xlfn.IFS(Table4_2[[#This Row],[Growth Days]]&lt;=14,"Seedling",Table4_2[[#This Row],[Growth Days]]&lt;=35, "Vegetative",Table4_2[[#This Row],[Growth Days]]&lt;=50, "Maturity")</f>
        <v>Maturity</v>
      </c>
      <c r="L1251" t="str">
        <f>IF(Table4_2[[#This Row],[TDS Value (ppm)]]&lt;560, "Low", IF(Table4_2[[#This Row],[TDS Value (ppm)]]&lt;=800,"Optimal","High"))</f>
        <v>Optimal</v>
      </c>
    </row>
    <row r="1252" spans="1:12" x14ac:dyDescent="0.25">
      <c r="A1252">
        <v>68</v>
      </c>
      <c r="B1252" s="1">
        <v>45147</v>
      </c>
      <c r="C1252" s="1" t="str">
        <f>TEXT(Table4_2[[#This Row],[Date]],"dddd")</f>
        <v>Wednesday</v>
      </c>
      <c r="D1252" s="21">
        <v>23.3</v>
      </c>
      <c r="E1252" s="21">
        <v>65</v>
      </c>
      <c r="F1252" s="21">
        <v>417</v>
      </c>
      <c r="G1252" s="21">
        <v>6.3</v>
      </c>
      <c r="H1252">
        <v>7</v>
      </c>
      <c r="I1252">
        <v>73.94</v>
      </c>
      <c r="J1252">
        <v>0.65</v>
      </c>
      <c r="K1252" t="str" cm="1">
        <f t="array" ref="K1252">_xlfn.IFS(Table4_2[[#This Row],[Growth Days]]&lt;=14,"Seedling",Table4_2[[#This Row],[Growth Days]]&lt;=35, "Vegetative",Table4_2[[#This Row],[Growth Days]]&lt;=50, "Maturity")</f>
        <v>Seedling</v>
      </c>
      <c r="L1252" t="str">
        <f>IF(Table4_2[[#This Row],[TDS Value (ppm)]]&lt;560, "Low", IF(Table4_2[[#This Row],[TDS Value (ppm)]]&lt;=800,"Optimal","High"))</f>
        <v>Low</v>
      </c>
    </row>
    <row r="1253" spans="1:12" x14ac:dyDescent="0.25">
      <c r="A1253">
        <v>68</v>
      </c>
      <c r="B1253" s="1">
        <v>45154</v>
      </c>
      <c r="C1253" s="1" t="str">
        <f>TEXT(Table4_2[[#This Row],[Date]],"dddd")</f>
        <v>Wednesday</v>
      </c>
      <c r="D1253" s="21">
        <v>19.600000000000001</v>
      </c>
      <c r="E1253" s="21">
        <v>68</v>
      </c>
      <c r="F1253" s="21">
        <v>533</v>
      </c>
      <c r="G1253" s="21">
        <v>6.3</v>
      </c>
      <c r="H1253">
        <v>14</v>
      </c>
      <c r="I1253">
        <v>67.28</v>
      </c>
      <c r="J1253">
        <v>0.68</v>
      </c>
      <c r="K1253" t="str" cm="1">
        <f t="array" ref="K1253">_xlfn.IFS(Table4_2[[#This Row],[Growth Days]]&lt;=14,"Seedling",Table4_2[[#This Row],[Growth Days]]&lt;=35, "Vegetative",Table4_2[[#This Row],[Growth Days]]&lt;=50, "Maturity")</f>
        <v>Seedling</v>
      </c>
      <c r="L1253" t="str">
        <f>IF(Table4_2[[#This Row],[TDS Value (ppm)]]&lt;560, "Low", IF(Table4_2[[#This Row],[TDS Value (ppm)]]&lt;=800,"Optimal","High"))</f>
        <v>Low</v>
      </c>
    </row>
    <row r="1254" spans="1:12" x14ac:dyDescent="0.25">
      <c r="A1254">
        <v>68</v>
      </c>
      <c r="B1254" s="1">
        <v>45161</v>
      </c>
      <c r="C1254" s="1" t="str">
        <f>TEXT(Table4_2[[#This Row],[Date]],"dddd")</f>
        <v>Wednesday</v>
      </c>
      <c r="D1254" s="21">
        <v>24.1</v>
      </c>
      <c r="E1254" s="21">
        <v>79</v>
      </c>
      <c r="F1254" s="21">
        <v>751</v>
      </c>
      <c r="G1254" s="21">
        <v>6.7</v>
      </c>
      <c r="H1254">
        <v>21</v>
      </c>
      <c r="I1254">
        <v>75.38</v>
      </c>
      <c r="J1254">
        <v>0.79</v>
      </c>
      <c r="K1254" t="str" cm="1">
        <f t="array" ref="K1254">_xlfn.IFS(Table4_2[[#This Row],[Growth Days]]&lt;=14,"Seedling",Table4_2[[#This Row],[Growth Days]]&lt;=35, "Vegetative",Table4_2[[#This Row],[Growth Days]]&lt;=50, "Maturity")</f>
        <v>Vegetative</v>
      </c>
      <c r="L1254" t="str">
        <f>IF(Table4_2[[#This Row],[TDS Value (ppm)]]&lt;560, "Low", IF(Table4_2[[#This Row],[TDS Value (ppm)]]&lt;=800,"Optimal","High"))</f>
        <v>Optimal</v>
      </c>
    </row>
    <row r="1255" spans="1:12" x14ac:dyDescent="0.25">
      <c r="A1255">
        <v>68</v>
      </c>
      <c r="B1255" s="1">
        <v>45168</v>
      </c>
      <c r="C1255" s="1" t="str">
        <f>TEXT(Table4_2[[#This Row],[Date]],"dddd")</f>
        <v>Wednesday</v>
      </c>
      <c r="D1255" s="21">
        <v>19</v>
      </c>
      <c r="E1255" s="21">
        <v>76</v>
      </c>
      <c r="F1255" s="21">
        <v>710</v>
      </c>
      <c r="G1255" s="21">
        <v>6.6</v>
      </c>
      <c r="H1255">
        <v>28</v>
      </c>
      <c r="I1255">
        <v>66.2</v>
      </c>
      <c r="J1255">
        <v>0.76</v>
      </c>
      <c r="K1255" t="str" cm="1">
        <f t="array" ref="K1255">_xlfn.IFS(Table4_2[[#This Row],[Growth Days]]&lt;=14,"Seedling",Table4_2[[#This Row],[Growth Days]]&lt;=35, "Vegetative",Table4_2[[#This Row],[Growth Days]]&lt;=50, "Maturity")</f>
        <v>Vegetative</v>
      </c>
      <c r="L1255" t="str">
        <f>IF(Table4_2[[#This Row],[TDS Value (ppm)]]&lt;560, "Low", IF(Table4_2[[#This Row],[TDS Value (ppm)]]&lt;=800,"Optimal","High"))</f>
        <v>Optimal</v>
      </c>
    </row>
    <row r="1256" spans="1:12" x14ac:dyDescent="0.25">
      <c r="A1256">
        <v>68</v>
      </c>
      <c r="B1256" s="1">
        <v>45175</v>
      </c>
      <c r="C1256" s="1" t="str">
        <f>TEXT(Table4_2[[#This Row],[Date]],"dddd")</f>
        <v>Wednesday</v>
      </c>
      <c r="D1256" s="21">
        <v>19.5</v>
      </c>
      <c r="E1256" s="21">
        <v>77</v>
      </c>
      <c r="F1256" s="21">
        <v>468</v>
      </c>
      <c r="G1256" s="21">
        <v>6.6</v>
      </c>
      <c r="H1256">
        <v>35</v>
      </c>
      <c r="I1256">
        <v>67.099999999999994</v>
      </c>
      <c r="J1256">
        <v>0.77</v>
      </c>
      <c r="K1256" t="str" cm="1">
        <f t="array" ref="K1256">_xlfn.IFS(Table4_2[[#This Row],[Growth Days]]&lt;=14,"Seedling",Table4_2[[#This Row],[Growth Days]]&lt;=35, "Vegetative",Table4_2[[#This Row],[Growth Days]]&lt;=50, "Maturity")</f>
        <v>Vegetative</v>
      </c>
      <c r="L1256" t="str">
        <f>IF(Table4_2[[#This Row],[TDS Value (ppm)]]&lt;560, "Low", IF(Table4_2[[#This Row],[TDS Value (ppm)]]&lt;=800,"Optimal","High"))</f>
        <v>Low</v>
      </c>
    </row>
    <row r="1257" spans="1:12" x14ac:dyDescent="0.25">
      <c r="A1257">
        <v>68</v>
      </c>
      <c r="B1257" s="1">
        <v>45182</v>
      </c>
      <c r="C1257" s="1" t="str">
        <f>TEXT(Table4_2[[#This Row],[Date]],"dddd")</f>
        <v>Wednesday</v>
      </c>
      <c r="D1257" s="21">
        <v>22.5</v>
      </c>
      <c r="E1257" s="21">
        <v>69</v>
      </c>
      <c r="F1257" s="21">
        <v>551</v>
      </c>
      <c r="G1257" s="21">
        <v>6.1</v>
      </c>
      <c r="H1257">
        <v>42</v>
      </c>
      <c r="I1257">
        <v>72.5</v>
      </c>
      <c r="J1257">
        <v>0.69</v>
      </c>
      <c r="K1257" t="str" cm="1">
        <f t="array" ref="K1257">_xlfn.IFS(Table4_2[[#This Row],[Growth Days]]&lt;=14,"Seedling",Table4_2[[#This Row],[Growth Days]]&lt;=35, "Vegetative",Table4_2[[#This Row],[Growth Days]]&lt;=50, "Maturity")</f>
        <v>Maturity</v>
      </c>
      <c r="L1257" t="str">
        <f>IF(Table4_2[[#This Row],[TDS Value (ppm)]]&lt;560, "Low", IF(Table4_2[[#This Row],[TDS Value (ppm)]]&lt;=800,"Optimal","High"))</f>
        <v>Low</v>
      </c>
    </row>
    <row r="1258" spans="1:12" x14ac:dyDescent="0.25">
      <c r="A1258">
        <v>69</v>
      </c>
      <c r="B1258" s="1">
        <v>45147</v>
      </c>
      <c r="C1258" s="1" t="str">
        <f>TEXT(Table4_2[[#This Row],[Date]],"dddd")</f>
        <v>Wednesday</v>
      </c>
      <c r="D1258" s="21">
        <v>24.2</v>
      </c>
      <c r="E1258" s="21">
        <v>80</v>
      </c>
      <c r="F1258" s="21">
        <v>658</v>
      </c>
      <c r="G1258" s="21">
        <v>6.1</v>
      </c>
      <c r="H1258">
        <v>7</v>
      </c>
      <c r="I1258">
        <v>75.56</v>
      </c>
      <c r="J1258">
        <v>0.8</v>
      </c>
      <c r="K1258" t="str" cm="1">
        <f t="array" ref="K1258">_xlfn.IFS(Table4_2[[#This Row],[Growth Days]]&lt;=14,"Seedling",Table4_2[[#This Row],[Growth Days]]&lt;=35, "Vegetative",Table4_2[[#This Row],[Growth Days]]&lt;=50, "Maturity")</f>
        <v>Seedling</v>
      </c>
      <c r="L1258" t="str">
        <f>IF(Table4_2[[#This Row],[TDS Value (ppm)]]&lt;560, "Low", IF(Table4_2[[#This Row],[TDS Value (ppm)]]&lt;=800,"Optimal","High"))</f>
        <v>Optimal</v>
      </c>
    </row>
    <row r="1259" spans="1:12" x14ac:dyDescent="0.25">
      <c r="A1259">
        <v>69</v>
      </c>
      <c r="B1259" s="1">
        <v>45154</v>
      </c>
      <c r="C1259" s="1" t="str">
        <f>TEXT(Table4_2[[#This Row],[Date]],"dddd")</f>
        <v>Wednesday</v>
      </c>
      <c r="D1259" s="21">
        <v>21.9</v>
      </c>
      <c r="E1259" s="21">
        <v>66</v>
      </c>
      <c r="F1259" s="21">
        <v>547</v>
      </c>
      <c r="G1259" s="21">
        <v>6.5</v>
      </c>
      <c r="H1259">
        <v>14</v>
      </c>
      <c r="I1259">
        <v>71.42</v>
      </c>
      <c r="J1259">
        <v>0.66</v>
      </c>
      <c r="K1259" t="str" cm="1">
        <f t="array" ref="K1259">_xlfn.IFS(Table4_2[[#This Row],[Growth Days]]&lt;=14,"Seedling",Table4_2[[#This Row],[Growth Days]]&lt;=35, "Vegetative",Table4_2[[#This Row],[Growth Days]]&lt;=50, "Maturity")</f>
        <v>Seedling</v>
      </c>
      <c r="L1259" t="str">
        <f>IF(Table4_2[[#This Row],[TDS Value (ppm)]]&lt;560, "Low", IF(Table4_2[[#This Row],[TDS Value (ppm)]]&lt;=800,"Optimal","High"))</f>
        <v>Low</v>
      </c>
    </row>
    <row r="1260" spans="1:12" x14ac:dyDescent="0.25">
      <c r="A1260">
        <v>69</v>
      </c>
      <c r="B1260" s="1">
        <v>45161</v>
      </c>
      <c r="C1260" s="1" t="str">
        <f>TEXT(Table4_2[[#This Row],[Date]],"dddd")</f>
        <v>Wednesday</v>
      </c>
      <c r="D1260" s="21">
        <v>19.7</v>
      </c>
      <c r="E1260" s="21">
        <v>50</v>
      </c>
      <c r="F1260" s="21">
        <v>613</v>
      </c>
      <c r="G1260" s="21">
        <v>6.4</v>
      </c>
      <c r="H1260">
        <v>21</v>
      </c>
      <c r="I1260">
        <v>67.459999999999994</v>
      </c>
      <c r="J1260">
        <v>0.5</v>
      </c>
      <c r="K1260" t="str" cm="1">
        <f t="array" ref="K1260">_xlfn.IFS(Table4_2[[#This Row],[Growth Days]]&lt;=14,"Seedling",Table4_2[[#This Row],[Growth Days]]&lt;=35, "Vegetative",Table4_2[[#This Row],[Growth Days]]&lt;=50, "Maturity")</f>
        <v>Vegetative</v>
      </c>
      <c r="L1260" t="str">
        <f>IF(Table4_2[[#This Row],[TDS Value (ppm)]]&lt;560, "Low", IF(Table4_2[[#This Row],[TDS Value (ppm)]]&lt;=800,"Optimal","High"))</f>
        <v>Optimal</v>
      </c>
    </row>
    <row r="1261" spans="1:12" x14ac:dyDescent="0.25">
      <c r="A1261">
        <v>69</v>
      </c>
      <c r="B1261" s="1">
        <v>45168</v>
      </c>
      <c r="C1261" s="1" t="str">
        <f>TEXT(Table4_2[[#This Row],[Date]],"dddd")</f>
        <v>Wednesday</v>
      </c>
      <c r="D1261" s="21">
        <v>21.1</v>
      </c>
      <c r="E1261" s="21">
        <v>78</v>
      </c>
      <c r="F1261" s="21">
        <v>508</v>
      </c>
      <c r="G1261" s="21">
        <v>6.2</v>
      </c>
      <c r="H1261">
        <v>28</v>
      </c>
      <c r="I1261">
        <v>69.98</v>
      </c>
      <c r="J1261">
        <v>0.78</v>
      </c>
      <c r="K1261" t="str" cm="1">
        <f t="array" ref="K1261">_xlfn.IFS(Table4_2[[#This Row],[Growth Days]]&lt;=14,"Seedling",Table4_2[[#This Row],[Growth Days]]&lt;=35, "Vegetative",Table4_2[[#This Row],[Growth Days]]&lt;=50, "Maturity")</f>
        <v>Vegetative</v>
      </c>
      <c r="L1261" t="str">
        <f>IF(Table4_2[[#This Row],[TDS Value (ppm)]]&lt;560, "Low", IF(Table4_2[[#This Row],[TDS Value (ppm)]]&lt;=800,"Optimal","High"))</f>
        <v>Low</v>
      </c>
    </row>
    <row r="1262" spans="1:12" x14ac:dyDescent="0.25">
      <c r="A1262">
        <v>69</v>
      </c>
      <c r="B1262" s="1">
        <v>45175</v>
      </c>
      <c r="C1262" s="1" t="str">
        <f>TEXT(Table4_2[[#This Row],[Date]],"dddd")</f>
        <v>Wednesday</v>
      </c>
      <c r="D1262" s="21">
        <v>19.7</v>
      </c>
      <c r="E1262" s="21">
        <v>50</v>
      </c>
      <c r="F1262" s="21">
        <v>773</v>
      </c>
      <c r="G1262" s="21">
        <v>6.5</v>
      </c>
      <c r="H1262">
        <v>35</v>
      </c>
      <c r="I1262">
        <v>67.459999999999994</v>
      </c>
      <c r="J1262">
        <v>0.5</v>
      </c>
      <c r="K1262" t="str" cm="1">
        <f t="array" ref="K1262">_xlfn.IFS(Table4_2[[#This Row],[Growth Days]]&lt;=14,"Seedling",Table4_2[[#This Row],[Growth Days]]&lt;=35, "Vegetative",Table4_2[[#This Row],[Growth Days]]&lt;=50, "Maturity")</f>
        <v>Vegetative</v>
      </c>
      <c r="L1262" t="str">
        <f>IF(Table4_2[[#This Row],[TDS Value (ppm)]]&lt;560, "Low", IF(Table4_2[[#This Row],[TDS Value (ppm)]]&lt;=800,"Optimal","High"))</f>
        <v>Optimal</v>
      </c>
    </row>
    <row r="1263" spans="1:12" x14ac:dyDescent="0.25">
      <c r="A1263">
        <v>69</v>
      </c>
      <c r="B1263" s="1">
        <v>45182</v>
      </c>
      <c r="C1263" s="1" t="str">
        <f>TEXT(Table4_2[[#This Row],[Date]],"dddd")</f>
        <v>Wednesday</v>
      </c>
      <c r="D1263" s="21">
        <v>23.3</v>
      </c>
      <c r="E1263" s="21">
        <v>61</v>
      </c>
      <c r="F1263" s="21">
        <v>687</v>
      </c>
      <c r="G1263" s="21">
        <v>6.3</v>
      </c>
      <c r="H1263">
        <v>42</v>
      </c>
      <c r="I1263">
        <v>73.94</v>
      </c>
      <c r="J1263">
        <v>0.61</v>
      </c>
      <c r="K1263" t="str" cm="1">
        <f t="array" ref="K1263">_xlfn.IFS(Table4_2[[#This Row],[Growth Days]]&lt;=14,"Seedling",Table4_2[[#This Row],[Growth Days]]&lt;=35, "Vegetative",Table4_2[[#This Row],[Growth Days]]&lt;=50, "Maturity")</f>
        <v>Maturity</v>
      </c>
      <c r="L1263" t="str">
        <f>IF(Table4_2[[#This Row],[TDS Value (ppm)]]&lt;560, "Low", IF(Table4_2[[#This Row],[TDS Value (ppm)]]&lt;=800,"Optimal","High"))</f>
        <v>Optimal</v>
      </c>
    </row>
    <row r="1264" spans="1:12" x14ac:dyDescent="0.25">
      <c r="A1264">
        <v>70</v>
      </c>
      <c r="B1264" s="1">
        <v>45147</v>
      </c>
      <c r="C1264" s="1" t="str">
        <f>TEXT(Table4_2[[#This Row],[Date]],"dddd")</f>
        <v>Wednesday</v>
      </c>
      <c r="D1264" s="21">
        <v>23.8</v>
      </c>
      <c r="E1264" s="21">
        <v>50</v>
      </c>
      <c r="F1264" s="21">
        <v>599</v>
      </c>
      <c r="G1264" s="21">
        <v>6.4</v>
      </c>
      <c r="H1264">
        <v>7</v>
      </c>
      <c r="I1264">
        <v>74.84</v>
      </c>
      <c r="J1264">
        <v>0.5</v>
      </c>
      <c r="K1264" t="str" cm="1">
        <f t="array" ref="K1264">_xlfn.IFS(Table4_2[[#This Row],[Growth Days]]&lt;=14,"Seedling",Table4_2[[#This Row],[Growth Days]]&lt;=35, "Vegetative",Table4_2[[#This Row],[Growth Days]]&lt;=50, "Maturity")</f>
        <v>Seedling</v>
      </c>
      <c r="L1264" t="str">
        <f>IF(Table4_2[[#This Row],[TDS Value (ppm)]]&lt;560, "Low", IF(Table4_2[[#This Row],[TDS Value (ppm)]]&lt;=800,"Optimal","High"))</f>
        <v>Optimal</v>
      </c>
    </row>
    <row r="1265" spans="1:12" x14ac:dyDescent="0.25">
      <c r="A1265">
        <v>70</v>
      </c>
      <c r="B1265" s="1">
        <v>45154</v>
      </c>
      <c r="C1265" s="1" t="str">
        <f>TEXT(Table4_2[[#This Row],[Date]],"dddd")</f>
        <v>Wednesday</v>
      </c>
      <c r="D1265" s="21">
        <v>19.899999999999999</v>
      </c>
      <c r="E1265" s="21">
        <v>75</v>
      </c>
      <c r="F1265" s="21">
        <v>517</v>
      </c>
      <c r="G1265" s="21">
        <v>6.6</v>
      </c>
      <c r="H1265">
        <v>14</v>
      </c>
      <c r="I1265">
        <v>67.819999999999993</v>
      </c>
      <c r="J1265">
        <v>0.75</v>
      </c>
      <c r="K1265" t="str" cm="1">
        <f t="array" ref="K1265">_xlfn.IFS(Table4_2[[#This Row],[Growth Days]]&lt;=14,"Seedling",Table4_2[[#This Row],[Growth Days]]&lt;=35, "Vegetative",Table4_2[[#This Row],[Growth Days]]&lt;=50, "Maturity")</f>
        <v>Seedling</v>
      </c>
      <c r="L1265" t="str">
        <f>IF(Table4_2[[#This Row],[TDS Value (ppm)]]&lt;560, "Low", IF(Table4_2[[#This Row],[TDS Value (ppm)]]&lt;=800,"Optimal","High"))</f>
        <v>Low</v>
      </c>
    </row>
    <row r="1266" spans="1:12" x14ac:dyDescent="0.25">
      <c r="A1266">
        <v>70</v>
      </c>
      <c r="B1266" s="1">
        <v>45161</v>
      </c>
      <c r="C1266" s="1" t="str">
        <f>TEXT(Table4_2[[#This Row],[Date]],"dddd")</f>
        <v>Wednesday</v>
      </c>
      <c r="D1266" s="21">
        <v>24.9</v>
      </c>
      <c r="E1266" s="21">
        <v>54</v>
      </c>
      <c r="F1266" s="21">
        <v>407</v>
      </c>
      <c r="G1266" s="21">
        <v>6.7</v>
      </c>
      <c r="H1266">
        <v>21</v>
      </c>
      <c r="I1266">
        <v>76.819999999999993</v>
      </c>
      <c r="J1266">
        <v>0.54</v>
      </c>
      <c r="K1266" t="str" cm="1">
        <f t="array" ref="K1266">_xlfn.IFS(Table4_2[[#This Row],[Growth Days]]&lt;=14,"Seedling",Table4_2[[#This Row],[Growth Days]]&lt;=35, "Vegetative",Table4_2[[#This Row],[Growth Days]]&lt;=50, "Maturity")</f>
        <v>Vegetative</v>
      </c>
      <c r="L1266" t="str">
        <f>IF(Table4_2[[#This Row],[TDS Value (ppm)]]&lt;560, "Low", IF(Table4_2[[#This Row],[TDS Value (ppm)]]&lt;=800,"Optimal","High"))</f>
        <v>Low</v>
      </c>
    </row>
    <row r="1267" spans="1:12" x14ac:dyDescent="0.25">
      <c r="A1267">
        <v>70</v>
      </c>
      <c r="B1267" s="1">
        <v>45168</v>
      </c>
      <c r="C1267" s="1" t="str">
        <f>TEXT(Table4_2[[#This Row],[Date]],"dddd")</f>
        <v>Wednesday</v>
      </c>
      <c r="D1267" s="21">
        <v>21.1</v>
      </c>
      <c r="E1267" s="21">
        <v>80</v>
      </c>
      <c r="F1267" s="21">
        <v>589</v>
      </c>
      <c r="G1267" s="21">
        <v>6.3</v>
      </c>
      <c r="H1267">
        <v>28</v>
      </c>
      <c r="I1267">
        <v>69.98</v>
      </c>
      <c r="J1267">
        <v>0.8</v>
      </c>
      <c r="K1267" t="str" cm="1">
        <f t="array" ref="K1267">_xlfn.IFS(Table4_2[[#This Row],[Growth Days]]&lt;=14,"Seedling",Table4_2[[#This Row],[Growth Days]]&lt;=35, "Vegetative",Table4_2[[#This Row],[Growth Days]]&lt;=50, "Maturity")</f>
        <v>Vegetative</v>
      </c>
      <c r="L1267" t="str">
        <f>IF(Table4_2[[#This Row],[TDS Value (ppm)]]&lt;560, "Low", IF(Table4_2[[#This Row],[TDS Value (ppm)]]&lt;=800,"Optimal","High"))</f>
        <v>Optimal</v>
      </c>
    </row>
    <row r="1268" spans="1:12" x14ac:dyDescent="0.25">
      <c r="A1268">
        <v>70</v>
      </c>
      <c r="B1268" s="1">
        <v>45175</v>
      </c>
      <c r="C1268" s="1" t="str">
        <f>TEXT(Table4_2[[#This Row],[Date]],"dddd")</f>
        <v>Wednesday</v>
      </c>
      <c r="D1268" s="21">
        <v>20.3</v>
      </c>
      <c r="E1268" s="21">
        <v>62</v>
      </c>
      <c r="F1268" s="21">
        <v>525</v>
      </c>
      <c r="G1268" s="21">
        <v>6.8</v>
      </c>
      <c r="H1268">
        <v>35</v>
      </c>
      <c r="I1268">
        <v>68.540000000000006</v>
      </c>
      <c r="J1268">
        <v>0.62</v>
      </c>
      <c r="K1268" t="str" cm="1">
        <f t="array" ref="K1268">_xlfn.IFS(Table4_2[[#This Row],[Growth Days]]&lt;=14,"Seedling",Table4_2[[#This Row],[Growth Days]]&lt;=35, "Vegetative",Table4_2[[#This Row],[Growth Days]]&lt;=50, "Maturity")</f>
        <v>Vegetative</v>
      </c>
      <c r="L1268" t="str">
        <f>IF(Table4_2[[#This Row],[TDS Value (ppm)]]&lt;560, "Low", IF(Table4_2[[#This Row],[TDS Value (ppm)]]&lt;=800,"Optimal","High"))</f>
        <v>Low</v>
      </c>
    </row>
    <row r="1269" spans="1:12" x14ac:dyDescent="0.25">
      <c r="A1269">
        <v>70</v>
      </c>
      <c r="B1269" s="1">
        <v>45182</v>
      </c>
      <c r="C1269" s="1" t="str">
        <f>TEXT(Table4_2[[#This Row],[Date]],"dddd")</f>
        <v>Wednesday</v>
      </c>
      <c r="D1269" s="21">
        <v>19.399999999999999</v>
      </c>
      <c r="E1269" s="21">
        <v>72</v>
      </c>
      <c r="F1269" s="21">
        <v>475</v>
      </c>
      <c r="G1269" s="21">
        <v>6.1</v>
      </c>
      <c r="H1269">
        <v>42</v>
      </c>
      <c r="I1269">
        <v>66.92</v>
      </c>
      <c r="J1269">
        <v>0.72</v>
      </c>
      <c r="K1269" t="str" cm="1">
        <f t="array" ref="K1269">_xlfn.IFS(Table4_2[[#This Row],[Growth Days]]&lt;=14,"Seedling",Table4_2[[#This Row],[Growth Days]]&lt;=35, "Vegetative",Table4_2[[#This Row],[Growth Days]]&lt;=50, "Maturity")</f>
        <v>Maturity</v>
      </c>
      <c r="L1269" t="str">
        <f>IF(Table4_2[[#This Row],[TDS Value (ppm)]]&lt;560, "Low", IF(Table4_2[[#This Row],[TDS Value (ppm)]]&lt;=800,"Optimal","High"))</f>
        <v>Low</v>
      </c>
    </row>
    <row r="1270" spans="1:12" x14ac:dyDescent="0.25">
      <c r="A1270">
        <v>1</v>
      </c>
      <c r="B1270" s="1">
        <v>45141</v>
      </c>
      <c r="C1270" s="1" t="str">
        <f>TEXT(Table4_2[[#This Row],[Date]],"dddd")</f>
        <v>Thursday</v>
      </c>
      <c r="D1270" s="21">
        <v>33.4</v>
      </c>
      <c r="E1270" s="21">
        <v>53</v>
      </c>
      <c r="F1270" s="21">
        <v>582</v>
      </c>
      <c r="G1270" s="21">
        <v>6.4</v>
      </c>
      <c r="H1270">
        <v>1</v>
      </c>
      <c r="I1270">
        <v>92.12</v>
      </c>
      <c r="J1270">
        <v>0.53</v>
      </c>
      <c r="K1270" t="str" cm="1">
        <f t="array" ref="K1270">_xlfn.IFS(Table4_2[[#This Row],[Growth Days]]&lt;=14,"Seedling",Table4_2[[#This Row],[Growth Days]]&lt;=35, "Vegetative",Table4_2[[#This Row],[Growth Days]]&lt;=50, "Maturity")</f>
        <v>Seedling</v>
      </c>
      <c r="L1270" t="str">
        <f>IF(Table4_2[[#This Row],[TDS Value (ppm)]]&lt;560, "Low", IF(Table4_2[[#This Row],[TDS Value (ppm)]]&lt;=800,"Optimal","High"))</f>
        <v>Optimal</v>
      </c>
    </row>
    <row r="1271" spans="1:12" x14ac:dyDescent="0.25">
      <c r="A1271">
        <v>1</v>
      </c>
      <c r="B1271" s="1">
        <v>45148</v>
      </c>
      <c r="C1271" s="1" t="str">
        <f>TEXT(Table4_2[[#This Row],[Date]],"dddd")</f>
        <v>Thursday</v>
      </c>
      <c r="D1271" s="21">
        <v>22.7</v>
      </c>
      <c r="E1271" s="21">
        <v>63</v>
      </c>
      <c r="F1271" s="21">
        <v>576</v>
      </c>
      <c r="G1271" s="21">
        <v>6.3</v>
      </c>
      <c r="H1271">
        <v>8</v>
      </c>
      <c r="I1271">
        <v>72.86</v>
      </c>
      <c r="J1271">
        <v>0.63</v>
      </c>
      <c r="K1271" t="str" cm="1">
        <f t="array" ref="K1271">_xlfn.IFS(Table4_2[[#This Row],[Growth Days]]&lt;=14,"Seedling",Table4_2[[#This Row],[Growth Days]]&lt;=35, "Vegetative",Table4_2[[#This Row],[Growth Days]]&lt;=50, "Maturity")</f>
        <v>Seedling</v>
      </c>
      <c r="L1271" t="str">
        <f>IF(Table4_2[[#This Row],[TDS Value (ppm)]]&lt;560, "Low", IF(Table4_2[[#This Row],[TDS Value (ppm)]]&lt;=800,"Optimal","High"))</f>
        <v>Optimal</v>
      </c>
    </row>
    <row r="1272" spans="1:12" x14ac:dyDescent="0.25">
      <c r="A1272">
        <v>1</v>
      </c>
      <c r="B1272" s="1">
        <v>45155</v>
      </c>
      <c r="C1272" s="1" t="str">
        <f>TEXT(Table4_2[[#This Row],[Date]],"dddd")</f>
        <v>Thursday</v>
      </c>
      <c r="D1272" s="21">
        <v>29.6</v>
      </c>
      <c r="E1272" s="21">
        <v>62</v>
      </c>
      <c r="F1272" s="21">
        <v>653</v>
      </c>
      <c r="G1272" s="21">
        <v>6.6</v>
      </c>
      <c r="H1272">
        <v>15</v>
      </c>
      <c r="I1272">
        <v>85.28</v>
      </c>
      <c r="J1272">
        <v>0.62</v>
      </c>
      <c r="K1272" t="str" cm="1">
        <f t="array" ref="K1272">_xlfn.IFS(Table4_2[[#This Row],[Growth Days]]&lt;=14,"Seedling",Table4_2[[#This Row],[Growth Days]]&lt;=35, "Vegetative",Table4_2[[#This Row],[Growth Days]]&lt;=50, "Maturity")</f>
        <v>Vegetative</v>
      </c>
      <c r="L1272" t="str">
        <f>IF(Table4_2[[#This Row],[TDS Value (ppm)]]&lt;560, "Low", IF(Table4_2[[#This Row],[TDS Value (ppm)]]&lt;=800,"Optimal","High"))</f>
        <v>Optimal</v>
      </c>
    </row>
    <row r="1273" spans="1:12" x14ac:dyDescent="0.25">
      <c r="A1273">
        <v>1</v>
      </c>
      <c r="B1273" s="1">
        <v>45162</v>
      </c>
      <c r="C1273" s="1" t="str">
        <f>TEXT(Table4_2[[#This Row],[Date]],"dddd")</f>
        <v>Thursday</v>
      </c>
      <c r="D1273" s="21">
        <v>31.3</v>
      </c>
      <c r="E1273" s="21">
        <v>73</v>
      </c>
      <c r="F1273" s="21">
        <v>645</v>
      </c>
      <c r="G1273" s="21">
        <v>6.6</v>
      </c>
      <c r="H1273">
        <v>22</v>
      </c>
      <c r="I1273">
        <v>88.34</v>
      </c>
      <c r="J1273">
        <v>0.73</v>
      </c>
      <c r="K1273" t="str" cm="1">
        <f t="array" ref="K1273">_xlfn.IFS(Table4_2[[#This Row],[Growth Days]]&lt;=14,"Seedling",Table4_2[[#This Row],[Growth Days]]&lt;=35, "Vegetative",Table4_2[[#This Row],[Growth Days]]&lt;=50, "Maturity")</f>
        <v>Vegetative</v>
      </c>
      <c r="L1273" t="str">
        <f>IF(Table4_2[[#This Row],[TDS Value (ppm)]]&lt;560, "Low", IF(Table4_2[[#This Row],[TDS Value (ppm)]]&lt;=800,"Optimal","High"))</f>
        <v>Optimal</v>
      </c>
    </row>
    <row r="1274" spans="1:12" x14ac:dyDescent="0.25">
      <c r="A1274">
        <v>1</v>
      </c>
      <c r="B1274" s="1">
        <v>45169</v>
      </c>
      <c r="C1274" s="1" t="str">
        <f>TEXT(Table4_2[[#This Row],[Date]],"dddd")</f>
        <v>Thursday</v>
      </c>
      <c r="D1274" s="21">
        <v>29.2</v>
      </c>
      <c r="E1274" s="21">
        <v>55</v>
      </c>
      <c r="F1274" s="21">
        <v>680</v>
      </c>
      <c r="G1274" s="21">
        <v>6.7</v>
      </c>
      <c r="H1274">
        <v>29</v>
      </c>
      <c r="I1274">
        <v>84.56</v>
      </c>
      <c r="J1274">
        <v>0.55000000000000004</v>
      </c>
      <c r="K1274" t="str" cm="1">
        <f t="array" ref="K1274">_xlfn.IFS(Table4_2[[#This Row],[Growth Days]]&lt;=14,"Seedling",Table4_2[[#This Row],[Growth Days]]&lt;=35, "Vegetative",Table4_2[[#This Row],[Growth Days]]&lt;=50, "Maturity")</f>
        <v>Vegetative</v>
      </c>
      <c r="L1274" t="str">
        <f>IF(Table4_2[[#This Row],[TDS Value (ppm)]]&lt;560, "Low", IF(Table4_2[[#This Row],[TDS Value (ppm)]]&lt;=800,"Optimal","High"))</f>
        <v>Optimal</v>
      </c>
    </row>
    <row r="1275" spans="1:12" x14ac:dyDescent="0.25">
      <c r="A1275">
        <v>1</v>
      </c>
      <c r="B1275" s="1">
        <v>45176</v>
      </c>
      <c r="C1275" s="1" t="str">
        <f>TEXT(Table4_2[[#This Row],[Date]],"dddd")</f>
        <v>Thursday</v>
      </c>
      <c r="D1275" s="21">
        <v>31.5</v>
      </c>
      <c r="E1275" s="21">
        <v>68</v>
      </c>
      <c r="F1275" s="21">
        <v>416</v>
      </c>
      <c r="G1275" s="21">
        <v>6.2</v>
      </c>
      <c r="H1275">
        <v>36</v>
      </c>
      <c r="I1275">
        <v>88.7</v>
      </c>
      <c r="J1275">
        <v>0.68</v>
      </c>
      <c r="K1275" t="str" cm="1">
        <f t="array" ref="K1275">_xlfn.IFS(Table4_2[[#This Row],[Growth Days]]&lt;=14,"Seedling",Table4_2[[#This Row],[Growth Days]]&lt;=35, "Vegetative",Table4_2[[#This Row],[Growth Days]]&lt;=50, "Maturity")</f>
        <v>Maturity</v>
      </c>
      <c r="L1275" t="str">
        <f>IF(Table4_2[[#This Row],[TDS Value (ppm)]]&lt;560, "Low", IF(Table4_2[[#This Row],[TDS Value (ppm)]]&lt;=800,"Optimal","High"))</f>
        <v>Low</v>
      </c>
    </row>
    <row r="1276" spans="1:12" x14ac:dyDescent="0.25">
      <c r="A1276">
        <v>1</v>
      </c>
      <c r="B1276" s="1">
        <v>45183</v>
      </c>
      <c r="C1276" s="1" t="str">
        <f>TEXT(Table4_2[[#This Row],[Date]],"dddd")</f>
        <v>Thursday</v>
      </c>
      <c r="D1276" s="21">
        <v>29.1</v>
      </c>
      <c r="E1276" s="21">
        <v>75</v>
      </c>
      <c r="F1276" s="21">
        <v>636</v>
      </c>
      <c r="G1276" s="21">
        <v>6.8</v>
      </c>
      <c r="H1276">
        <v>43</v>
      </c>
      <c r="I1276">
        <v>84.38</v>
      </c>
      <c r="J1276">
        <v>0.75</v>
      </c>
      <c r="K1276" t="str" cm="1">
        <f t="array" ref="K1276">_xlfn.IFS(Table4_2[[#This Row],[Growth Days]]&lt;=14,"Seedling",Table4_2[[#This Row],[Growth Days]]&lt;=35, "Vegetative",Table4_2[[#This Row],[Growth Days]]&lt;=50, "Maturity")</f>
        <v>Maturity</v>
      </c>
      <c r="L1276" t="str">
        <f>IF(Table4_2[[#This Row],[TDS Value (ppm)]]&lt;560, "Low", IF(Table4_2[[#This Row],[TDS Value (ppm)]]&lt;=800,"Optimal","High"))</f>
        <v>Optimal</v>
      </c>
    </row>
    <row r="1277" spans="1:12" x14ac:dyDescent="0.25">
      <c r="A1277">
        <v>2</v>
      </c>
      <c r="B1277" s="1">
        <v>45141</v>
      </c>
      <c r="C1277" s="1" t="str">
        <f>TEXT(Table4_2[[#This Row],[Date]],"dddd")</f>
        <v>Thursday</v>
      </c>
      <c r="D1277" s="21">
        <v>33.4</v>
      </c>
      <c r="E1277" s="21">
        <v>74</v>
      </c>
      <c r="F1277" s="21">
        <v>586</v>
      </c>
      <c r="G1277" s="21">
        <v>6.1</v>
      </c>
      <c r="H1277">
        <v>1</v>
      </c>
      <c r="I1277">
        <v>92.12</v>
      </c>
      <c r="J1277">
        <v>0.74</v>
      </c>
      <c r="K1277" t="str" cm="1">
        <f t="array" ref="K1277">_xlfn.IFS(Table4_2[[#This Row],[Growth Days]]&lt;=14,"Seedling",Table4_2[[#This Row],[Growth Days]]&lt;=35, "Vegetative",Table4_2[[#This Row],[Growth Days]]&lt;=50, "Maturity")</f>
        <v>Seedling</v>
      </c>
      <c r="L1277" t="str">
        <f>IF(Table4_2[[#This Row],[TDS Value (ppm)]]&lt;560, "Low", IF(Table4_2[[#This Row],[TDS Value (ppm)]]&lt;=800,"Optimal","High"))</f>
        <v>Optimal</v>
      </c>
    </row>
    <row r="1278" spans="1:12" x14ac:dyDescent="0.25">
      <c r="A1278">
        <v>2</v>
      </c>
      <c r="B1278" s="1">
        <v>45148</v>
      </c>
      <c r="C1278" s="1" t="str">
        <f>TEXT(Table4_2[[#This Row],[Date]],"dddd")</f>
        <v>Thursday</v>
      </c>
      <c r="D1278" s="21">
        <v>22.7</v>
      </c>
      <c r="E1278" s="21">
        <v>57</v>
      </c>
      <c r="F1278" s="21">
        <v>593</v>
      </c>
      <c r="G1278" s="21">
        <v>6.5</v>
      </c>
      <c r="H1278">
        <v>8</v>
      </c>
      <c r="I1278">
        <v>72.86</v>
      </c>
      <c r="J1278">
        <v>0.56999999999999995</v>
      </c>
      <c r="K1278" t="str" cm="1">
        <f t="array" ref="K1278">_xlfn.IFS(Table4_2[[#This Row],[Growth Days]]&lt;=14,"Seedling",Table4_2[[#This Row],[Growth Days]]&lt;=35, "Vegetative",Table4_2[[#This Row],[Growth Days]]&lt;=50, "Maturity")</f>
        <v>Seedling</v>
      </c>
      <c r="L1278" t="str">
        <f>IF(Table4_2[[#This Row],[TDS Value (ppm)]]&lt;560, "Low", IF(Table4_2[[#This Row],[TDS Value (ppm)]]&lt;=800,"Optimal","High"))</f>
        <v>Optimal</v>
      </c>
    </row>
    <row r="1279" spans="1:12" x14ac:dyDescent="0.25">
      <c r="A1279">
        <v>2</v>
      </c>
      <c r="B1279" s="1">
        <v>45155</v>
      </c>
      <c r="C1279" s="1" t="str">
        <f>TEXT(Table4_2[[#This Row],[Date]],"dddd")</f>
        <v>Thursday</v>
      </c>
      <c r="D1279" s="21">
        <v>29.6</v>
      </c>
      <c r="E1279" s="21">
        <v>50</v>
      </c>
      <c r="F1279" s="21">
        <v>487</v>
      </c>
      <c r="G1279" s="21">
        <v>6.7</v>
      </c>
      <c r="H1279">
        <v>15</v>
      </c>
      <c r="I1279">
        <v>85.28</v>
      </c>
      <c r="J1279">
        <v>0.5</v>
      </c>
      <c r="K1279" t="str" cm="1">
        <f t="array" ref="K1279">_xlfn.IFS(Table4_2[[#This Row],[Growth Days]]&lt;=14,"Seedling",Table4_2[[#This Row],[Growth Days]]&lt;=35, "Vegetative",Table4_2[[#This Row],[Growth Days]]&lt;=50, "Maturity")</f>
        <v>Vegetative</v>
      </c>
      <c r="L1279" t="str">
        <f>IF(Table4_2[[#This Row],[TDS Value (ppm)]]&lt;560, "Low", IF(Table4_2[[#This Row],[TDS Value (ppm)]]&lt;=800,"Optimal","High"))</f>
        <v>Low</v>
      </c>
    </row>
    <row r="1280" spans="1:12" x14ac:dyDescent="0.25">
      <c r="A1280">
        <v>2</v>
      </c>
      <c r="B1280" s="1">
        <v>45162</v>
      </c>
      <c r="C1280" s="1" t="str">
        <f>TEXT(Table4_2[[#This Row],[Date]],"dddd")</f>
        <v>Thursday</v>
      </c>
      <c r="D1280" s="21">
        <v>31.3</v>
      </c>
      <c r="E1280" s="21">
        <v>54</v>
      </c>
      <c r="F1280" s="21">
        <v>608</v>
      </c>
      <c r="G1280" s="21">
        <v>6.3</v>
      </c>
      <c r="H1280">
        <v>22</v>
      </c>
      <c r="I1280">
        <v>88.34</v>
      </c>
      <c r="J1280">
        <v>0.54</v>
      </c>
      <c r="K1280" t="str" cm="1">
        <f t="array" ref="K1280">_xlfn.IFS(Table4_2[[#This Row],[Growth Days]]&lt;=14,"Seedling",Table4_2[[#This Row],[Growth Days]]&lt;=35, "Vegetative",Table4_2[[#This Row],[Growth Days]]&lt;=50, "Maturity")</f>
        <v>Vegetative</v>
      </c>
      <c r="L1280" t="str">
        <f>IF(Table4_2[[#This Row],[TDS Value (ppm)]]&lt;560, "Low", IF(Table4_2[[#This Row],[TDS Value (ppm)]]&lt;=800,"Optimal","High"))</f>
        <v>Optimal</v>
      </c>
    </row>
    <row r="1281" spans="1:12" x14ac:dyDescent="0.25">
      <c r="A1281">
        <v>2</v>
      </c>
      <c r="B1281" s="1">
        <v>45169</v>
      </c>
      <c r="C1281" s="1" t="str">
        <f>TEXT(Table4_2[[#This Row],[Date]],"dddd")</f>
        <v>Thursday</v>
      </c>
      <c r="D1281" s="21">
        <v>29.2</v>
      </c>
      <c r="E1281" s="21">
        <v>56</v>
      </c>
      <c r="F1281" s="21">
        <v>581</v>
      </c>
      <c r="G1281" s="21">
        <v>6.7</v>
      </c>
      <c r="H1281">
        <v>29</v>
      </c>
      <c r="I1281">
        <v>84.56</v>
      </c>
      <c r="J1281">
        <v>0.56000000000000005</v>
      </c>
      <c r="K1281" t="str" cm="1">
        <f t="array" ref="K1281">_xlfn.IFS(Table4_2[[#This Row],[Growth Days]]&lt;=14,"Seedling",Table4_2[[#This Row],[Growth Days]]&lt;=35, "Vegetative",Table4_2[[#This Row],[Growth Days]]&lt;=50, "Maturity")</f>
        <v>Vegetative</v>
      </c>
      <c r="L1281" t="str">
        <f>IF(Table4_2[[#This Row],[TDS Value (ppm)]]&lt;560, "Low", IF(Table4_2[[#This Row],[TDS Value (ppm)]]&lt;=800,"Optimal","High"))</f>
        <v>Optimal</v>
      </c>
    </row>
    <row r="1282" spans="1:12" x14ac:dyDescent="0.25">
      <c r="A1282">
        <v>2</v>
      </c>
      <c r="B1282" s="1">
        <v>45176</v>
      </c>
      <c r="C1282" s="1" t="str">
        <f>TEXT(Table4_2[[#This Row],[Date]],"dddd")</f>
        <v>Thursday</v>
      </c>
      <c r="D1282" s="21">
        <v>31.5</v>
      </c>
      <c r="E1282" s="21">
        <v>77</v>
      </c>
      <c r="F1282" s="21">
        <v>627</v>
      </c>
      <c r="G1282" s="21">
        <v>6.6</v>
      </c>
      <c r="H1282">
        <v>36</v>
      </c>
      <c r="I1282">
        <v>88.7</v>
      </c>
      <c r="J1282">
        <v>0.77</v>
      </c>
      <c r="K1282" t="str" cm="1">
        <f t="array" ref="K1282">_xlfn.IFS(Table4_2[[#This Row],[Growth Days]]&lt;=14,"Seedling",Table4_2[[#This Row],[Growth Days]]&lt;=35, "Vegetative",Table4_2[[#This Row],[Growth Days]]&lt;=50, "Maturity")</f>
        <v>Maturity</v>
      </c>
      <c r="L1282" t="str">
        <f>IF(Table4_2[[#This Row],[TDS Value (ppm)]]&lt;560, "Low", IF(Table4_2[[#This Row],[TDS Value (ppm)]]&lt;=800,"Optimal","High"))</f>
        <v>Optimal</v>
      </c>
    </row>
    <row r="1283" spans="1:12" x14ac:dyDescent="0.25">
      <c r="A1283">
        <v>2</v>
      </c>
      <c r="B1283" s="1">
        <v>45183</v>
      </c>
      <c r="C1283" s="1" t="str">
        <f>TEXT(Table4_2[[#This Row],[Date]],"dddd")</f>
        <v>Thursday</v>
      </c>
      <c r="D1283" s="21">
        <v>29.1</v>
      </c>
      <c r="E1283" s="21">
        <v>72</v>
      </c>
      <c r="F1283" s="21">
        <v>689</v>
      </c>
      <c r="G1283" s="21">
        <v>6.3</v>
      </c>
      <c r="H1283">
        <v>43</v>
      </c>
      <c r="I1283">
        <v>84.38</v>
      </c>
      <c r="J1283">
        <v>0.72</v>
      </c>
      <c r="K1283" t="str" cm="1">
        <f t="array" ref="K1283">_xlfn.IFS(Table4_2[[#This Row],[Growth Days]]&lt;=14,"Seedling",Table4_2[[#This Row],[Growth Days]]&lt;=35, "Vegetative",Table4_2[[#This Row],[Growth Days]]&lt;=50, "Maturity")</f>
        <v>Maturity</v>
      </c>
      <c r="L1283" t="str">
        <f>IF(Table4_2[[#This Row],[TDS Value (ppm)]]&lt;560, "Low", IF(Table4_2[[#This Row],[TDS Value (ppm)]]&lt;=800,"Optimal","High"))</f>
        <v>Optimal</v>
      </c>
    </row>
    <row r="1284" spans="1:12" x14ac:dyDescent="0.25">
      <c r="A1284">
        <v>3</v>
      </c>
      <c r="B1284" s="1">
        <v>45141</v>
      </c>
      <c r="C1284" s="1" t="str">
        <f>TEXT(Table4_2[[#This Row],[Date]],"dddd")</f>
        <v>Thursday</v>
      </c>
      <c r="D1284" s="21">
        <v>33.4</v>
      </c>
      <c r="E1284" s="21">
        <v>51</v>
      </c>
      <c r="F1284" s="21">
        <v>667</v>
      </c>
      <c r="G1284" s="21">
        <v>6.2</v>
      </c>
      <c r="H1284">
        <v>1</v>
      </c>
      <c r="I1284">
        <v>92.12</v>
      </c>
      <c r="J1284">
        <v>0.51</v>
      </c>
      <c r="K1284" t="str" cm="1">
        <f t="array" ref="K1284">_xlfn.IFS(Table4_2[[#This Row],[Growth Days]]&lt;=14,"Seedling",Table4_2[[#This Row],[Growth Days]]&lt;=35, "Vegetative",Table4_2[[#This Row],[Growth Days]]&lt;=50, "Maturity")</f>
        <v>Seedling</v>
      </c>
      <c r="L1284" t="str">
        <f>IF(Table4_2[[#This Row],[TDS Value (ppm)]]&lt;560, "Low", IF(Table4_2[[#This Row],[TDS Value (ppm)]]&lt;=800,"Optimal","High"))</f>
        <v>Optimal</v>
      </c>
    </row>
    <row r="1285" spans="1:12" x14ac:dyDescent="0.25">
      <c r="A1285">
        <v>3</v>
      </c>
      <c r="B1285" s="1">
        <v>45148</v>
      </c>
      <c r="C1285" s="1" t="str">
        <f>TEXT(Table4_2[[#This Row],[Date]],"dddd")</f>
        <v>Thursday</v>
      </c>
      <c r="D1285" s="21">
        <v>22.7</v>
      </c>
      <c r="E1285" s="21">
        <v>65</v>
      </c>
      <c r="F1285" s="21">
        <v>783</v>
      </c>
      <c r="G1285" s="21">
        <v>6.6</v>
      </c>
      <c r="H1285">
        <v>8</v>
      </c>
      <c r="I1285">
        <v>72.86</v>
      </c>
      <c r="J1285">
        <v>0.65</v>
      </c>
      <c r="K1285" t="str" cm="1">
        <f t="array" ref="K1285">_xlfn.IFS(Table4_2[[#This Row],[Growth Days]]&lt;=14,"Seedling",Table4_2[[#This Row],[Growth Days]]&lt;=35, "Vegetative",Table4_2[[#This Row],[Growth Days]]&lt;=50, "Maturity")</f>
        <v>Seedling</v>
      </c>
      <c r="L1285" t="str">
        <f>IF(Table4_2[[#This Row],[TDS Value (ppm)]]&lt;560, "Low", IF(Table4_2[[#This Row],[TDS Value (ppm)]]&lt;=800,"Optimal","High"))</f>
        <v>Optimal</v>
      </c>
    </row>
    <row r="1286" spans="1:12" x14ac:dyDescent="0.25">
      <c r="A1286">
        <v>3</v>
      </c>
      <c r="B1286" s="1">
        <v>45155</v>
      </c>
      <c r="C1286" s="1" t="str">
        <f>TEXT(Table4_2[[#This Row],[Date]],"dddd")</f>
        <v>Thursday</v>
      </c>
      <c r="D1286" s="21">
        <v>29.6</v>
      </c>
      <c r="E1286" s="21">
        <v>53</v>
      </c>
      <c r="F1286" s="21">
        <v>671</v>
      </c>
      <c r="G1286" s="21">
        <v>6.6</v>
      </c>
      <c r="H1286">
        <v>15</v>
      </c>
      <c r="I1286">
        <v>85.28</v>
      </c>
      <c r="J1286">
        <v>0.53</v>
      </c>
      <c r="K1286" t="str" cm="1">
        <f t="array" ref="K1286">_xlfn.IFS(Table4_2[[#This Row],[Growth Days]]&lt;=14,"Seedling",Table4_2[[#This Row],[Growth Days]]&lt;=35, "Vegetative",Table4_2[[#This Row],[Growth Days]]&lt;=50, "Maturity")</f>
        <v>Vegetative</v>
      </c>
      <c r="L1286" t="str">
        <f>IF(Table4_2[[#This Row],[TDS Value (ppm)]]&lt;560, "Low", IF(Table4_2[[#This Row],[TDS Value (ppm)]]&lt;=800,"Optimal","High"))</f>
        <v>Optimal</v>
      </c>
    </row>
    <row r="1287" spans="1:12" x14ac:dyDescent="0.25">
      <c r="A1287">
        <v>3</v>
      </c>
      <c r="B1287" s="1">
        <v>45162</v>
      </c>
      <c r="C1287" s="1" t="str">
        <f>TEXT(Table4_2[[#This Row],[Date]],"dddd")</f>
        <v>Thursday</v>
      </c>
      <c r="D1287" s="21">
        <v>31.3</v>
      </c>
      <c r="E1287" s="21">
        <v>55</v>
      </c>
      <c r="F1287" s="21">
        <v>545</v>
      </c>
      <c r="G1287" s="21">
        <v>6.4</v>
      </c>
      <c r="H1287">
        <v>22</v>
      </c>
      <c r="I1287">
        <v>88.34</v>
      </c>
      <c r="J1287">
        <v>0.55000000000000004</v>
      </c>
      <c r="K1287" t="str" cm="1">
        <f t="array" ref="K1287">_xlfn.IFS(Table4_2[[#This Row],[Growth Days]]&lt;=14,"Seedling",Table4_2[[#This Row],[Growth Days]]&lt;=35, "Vegetative",Table4_2[[#This Row],[Growth Days]]&lt;=50, "Maturity")</f>
        <v>Vegetative</v>
      </c>
      <c r="L1287" t="str">
        <f>IF(Table4_2[[#This Row],[TDS Value (ppm)]]&lt;560, "Low", IF(Table4_2[[#This Row],[TDS Value (ppm)]]&lt;=800,"Optimal","High"))</f>
        <v>Low</v>
      </c>
    </row>
    <row r="1288" spans="1:12" x14ac:dyDescent="0.25">
      <c r="A1288">
        <v>3</v>
      </c>
      <c r="B1288" s="1">
        <v>45169</v>
      </c>
      <c r="C1288" s="1" t="str">
        <f>TEXT(Table4_2[[#This Row],[Date]],"dddd")</f>
        <v>Thursday</v>
      </c>
      <c r="D1288" s="21">
        <v>29.2</v>
      </c>
      <c r="E1288" s="21">
        <v>69</v>
      </c>
      <c r="F1288" s="21">
        <v>758</v>
      </c>
      <c r="G1288" s="21">
        <v>6.2</v>
      </c>
      <c r="H1288">
        <v>29</v>
      </c>
      <c r="I1288">
        <v>84.56</v>
      </c>
      <c r="J1288">
        <v>0.69</v>
      </c>
      <c r="K1288" t="str" cm="1">
        <f t="array" ref="K1288">_xlfn.IFS(Table4_2[[#This Row],[Growth Days]]&lt;=14,"Seedling",Table4_2[[#This Row],[Growth Days]]&lt;=35, "Vegetative",Table4_2[[#This Row],[Growth Days]]&lt;=50, "Maturity")</f>
        <v>Vegetative</v>
      </c>
      <c r="L1288" t="str">
        <f>IF(Table4_2[[#This Row],[TDS Value (ppm)]]&lt;560, "Low", IF(Table4_2[[#This Row],[TDS Value (ppm)]]&lt;=800,"Optimal","High"))</f>
        <v>Optimal</v>
      </c>
    </row>
    <row r="1289" spans="1:12" x14ac:dyDescent="0.25">
      <c r="A1289">
        <v>3</v>
      </c>
      <c r="B1289" s="1">
        <v>45176</v>
      </c>
      <c r="C1289" s="1" t="str">
        <f>TEXT(Table4_2[[#This Row],[Date]],"dddd")</f>
        <v>Thursday</v>
      </c>
      <c r="D1289" s="21">
        <v>31.5</v>
      </c>
      <c r="E1289" s="21">
        <v>75</v>
      </c>
      <c r="F1289" s="21">
        <v>762</v>
      </c>
      <c r="G1289" s="21">
        <v>6.2</v>
      </c>
      <c r="H1289">
        <v>36</v>
      </c>
      <c r="I1289">
        <v>88.7</v>
      </c>
      <c r="J1289">
        <v>0.75</v>
      </c>
      <c r="K1289" t="str" cm="1">
        <f t="array" ref="K1289">_xlfn.IFS(Table4_2[[#This Row],[Growth Days]]&lt;=14,"Seedling",Table4_2[[#This Row],[Growth Days]]&lt;=35, "Vegetative",Table4_2[[#This Row],[Growth Days]]&lt;=50, "Maturity")</f>
        <v>Maturity</v>
      </c>
      <c r="L1289" t="str">
        <f>IF(Table4_2[[#This Row],[TDS Value (ppm)]]&lt;560, "Low", IF(Table4_2[[#This Row],[TDS Value (ppm)]]&lt;=800,"Optimal","High"))</f>
        <v>Optimal</v>
      </c>
    </row>
    <row r="1290" spans="1:12" x14ac:dyDescent="0.25">
      <c r="A1290">
        <v>3</v>
      </c>
      <c r="B1290" s="1">
        <v>45183</v>
      </c>
      <c r="C1290" s="1" t="str">
        <f>TEXT(Table4_2[[#This Row],[Date]],"dddd")</f>
        <v>Thursday</v>
      </c>
      <c r="D1290" s="21">
        <v>29.1</v>
      </c>
      <c r="E1290" s="21">
        <v>73</v>
      </c>
      <c r="F1290" s="21">
        <v>747</v>
      </c>
      <c r="G1290" s="21">
        <v>6.1</v>
      </c>
      <c r="H1290">
        <v>43</v>
      </c>
      <c r="I1290">
        <v>84.38</v>
      </c>
      <c r="J1290">
        <v>0.73</v>
      </c>
      <c r="K1290" t="str" cm="1">
        <f t="array" ref="K1290">_xlfn.IFS(Table4_2[[#This Row],[Growth Days]]&lt;=14,"Seedling",Table4_2[[#This Row],[Growth Days]]&lt;=35, "Vegetative",Table4_2[[#This Row],[Growth Days]]&lt;=50, "Maturity")</f>
        <v>Maturity</v>
      </c>
      <c r="L1290" t="str">
        <f>IF(Table4_2[[#This Row],[TDS Value (ppm)]]&lt;560, "Low", IF(Table4_2[[#This Row],[TDS Value (ppm)]]&lt;=800,"Optimal","High"))</f>
        <v>Optimal</v>
      </c>
    </row>
    <row r="1291" spans="1:12" x14ac:dyDescent="0.25">
      <c r="A1291">
        <v>4</v>
      </c>
      <c r="B1291" s="1">
        <v>45141</v>
      </c>
      <c r="C1291" s="1" t="str">
        <f>TEXT(Table4_2[[#This Row],[Date]],"dddd")</f>
        <v>Thursday</v>
      </c>
      <c r="D1291" s="21">
        <v>33.4</v>
      </c>
      <c r="E1291" s="21">
        <v>62</v>
      </c>
      <c r="F1291" s="21">
        <v>547</v>
      </c>
      <c r="G1291" s="21">
        <v>6.7</v>
      </c>
      <c r="H1291">
        <v>1</v>
      </c>
      <c r="I1291">
        <v>92.12</v>
      </c>
      <c r="J1291">
        <v>0.62</v>
      </c>
      <c r="K1291" t="str" cm="1">
        <f t="array" ref="K1291">_xlfn.IFS(Table4_2[[#This Row],[Growth Days]]&lt;=14,"Seedling",Table4_2[[#This Row],[Growth Days]]&lt;=35, "Vegetative",Table4_2[[#This Row],[Growth Days]]&lt;=50, "Maturity")</f>
        <v>Seedling</v>
      </c>
      <c r="L1291" t="str">
        <f>IF(Table4_2[[#This Row],[TDS Value (ppm)]]&lt;560, "Low", IF(Table4_2[[#This Row],[TDS Value (ppm)]]&lt;=800,"Optimal","High"))</f>
        <v>Low</v>
      </c>
    </row>
    <row r="1292" spans="1:12" x14ac:dyDescent="0.25">
      <c r="A1292">
        <v>4</v>
      </c>
      <c r="B1292" s="1">
        <v>45148</v>
      </c>
      <c r="C1292" s="1" t="str">
        <f>TEXT(Table4_2[[#This Row],[Date]],"dddd")</f>
        <v>Thursday</v>
      </c>
      <c r="D1292" s="21">
        <v>22.7</v>
      </c>
      <c r="E1292" s="21">
        <v>57</v>
      </c>
      <c r="F1292" s="21">
        <v>549</v>
      </c>
      <c r="G1292" s="21">
        <v>6.5</v>
      </c>
      <c r="H1292">
        <v>8</v>
      </c>
      <c r="I1292">
        <v>72.86</v>
      </c>
      <c r="J1292">
        <v>0.56999999999999995</v>
      </c>
      <c r="K1292" t="str" cm="1">
        <f t="array" ref="K1292">_xlfn.IFS(Table4_2[[#This Row],[Growth Days]]&lt;=14,"Seedling",Table4_2[[#This Row],[Growth Days]]&lt;=35, "Vegetative",Table4_2[[#This Row],[Growth Days]]&lt;=50, "Maturity")</f>
        <v>Seedling</v>
      </c>
      <c r="L1292" t="str">
        <f>IF(Table4_2[[#This Row],[TDS Value (ppm)]]&lt;560, "Low", IF(Table4_2[[#This Row],[TDS Value (ppm)]]&lt;=800,"Optimal","High"))</f>
        <v>Low</v>
      </c>
    </row>
    <row r="1293" spans="1:12" x14ac:dyDescent="0.25">
      <c r="A1293">
        <v>4</v>
      </c>
      <c r="B1293" s="1">
        <v>45155</v>
      </c>
      <c r="C1293" s="1" t="str">
        <f>TEXT(Table4_2[[#This Row],[Date]],"dddd")</f>
        <v>Thursday</v>
      </c>
      <c r="D1293" s="21">
        <v>29.6</v>
      </c>
      <c r="E1293" s="21">
        <v>59</v>
      </c>
      <c r="F1293" s="21">
        <v>571</v>
      </c>
      <c r="G1293" s="21">
        <v>6</v>
      </c>
      <c r="H1293">
        <v>15</v>
      </c>
      <c r="I1293">
        <v>85.28</v>
      </c>
      <c r="J1293">
        <v>0.59</v>
      </c>
      <c r="K1293" t="str" cm="1">
        <f t="array" ref="K1293">_xlfn.IFS(Table4_2[[#This Row],[Growth Days]]&lt;=14,"Seedling",Table4_2[[#This Row],[Growth Days]]&lt;=35, "Vegetative",Table4_2[[#This Row],[Growth Days]]&lt;=50, "Maturity")</f>
        <v>Vegetative</v>
      </c>
      <c r="L1293" t="str">
        <f>IF(Table4_2[[#This Row],[TDS Value (ppm)]]&lt;560, "Low", IF(Table4_2[[#This Row],[TDS Value (ppm)]]&lt;=800,"Optimal","High"))</f>
        <v>Optimal</v>
      </c>
    </row>
    <row r="1294" spans="1:12" x14ac:dyDescent="0.25">
      <c r="A1294">
        <v>4</v>
      </c>
      <c r="B1294" s="1">
        <v>45162</v>
      </c>
      <c r="C1294" s="1" t="str">
        <f>TEXT(Table4_2[[#This Row],[Date]],"dddd")</f>
        <v>Thursday</v>
      </c>
      <c r="D1294" s="21">
        <v>31.3</v>
      </c>
      <c r="E1294" s="21">
        <v>73</v>
      </c>
      <c r="F1294" s="21">
        <v>418</v>
      </c>
      <c r="G1294" s="21">
        <v>6.7</v>
      </c>
      <c r="H1294">
        <v>22</v>
      </c>
      <c r="I1294">
        <v>88.34</v>
      </c>
      <c r="J1294">
        <v>0.73</v>
      </c>
      <c r="K1294" t="str" cm="1">
        <f t="array" ref="K1294">_xlfn.IFS(Table4_2[[#This Row],[Growth Days]]&lt;=14,"Seedling",Table4_2[[#This Row],[Growth Days]]&lt;=35, "Vegetative",Table4_2[[#This Row],[Growth Days]]&lt;=50, "Maturity")</f>
        <v>Vegetative</v>
      </c>
      <c r="L1294" t="str">
        <f>IF(Table4_2[[#This Row],[TDS Value (ppm)]]&lt;560, "Low", IF(Table4_2[[#This Row],[TDS Value (ppm)]]&lt;=800,"Optimal","High"))</f>
        <v>Low</v>
      </c>
    </row>
    <row r="1295" spans="1:12" x14ac:dyDescent="0.25">
      <c r="A1295">
        <v>4</v>
      </c>
      <c r="B1295" s="1">
        <v>45169</v>
      </c>
      <c r="C1295" s="1" t="str">
        <f>TEXT(Table4_2[[#This Row],[Date]],"dddd")</f>
        <v>Thursday</v>
      </c>
      <c r="D1295" s="21">
        <v>29.2</v>
      </c>
      <c r="E1295" s="21">
        <v>63</v>
      </c>
      <c r="F1295" s="21">
        <v>604</v>
      </c>
      <c r="G1295" s="21">
        <v>6.5</v>
      </c>
      <c r="H1295">
        <v>29</v>
      </c>
      <c r="I1295">
        <v>84.56</v>
      </c>
      <c r="J1295">
        <v>0.63</v>
      </c>
      <c r="K1295" t="str" cm="1">
        <f t="array" ref="K1295">_xlfn.IFS(Table4_2[[#This Row],[Growth Days]]&lt;=14,"Seedling",Table4_2[[#This Row],[Growth Days]]&lt;=35, "Vegetative",Table4_2[[#This Row],[Growth Days]]&lt;=50, "Maturity")</f>
        <v>Vegetative</v>
      </c>
      <c r="L1295" t="str">
        <f>IF(Table4_2[[#This Row],[TDS Value (ppm)]]&lt;560, "Low", IF(Table4_2[[#This Row],[TDS Value (ppm)]]&lt;=800,"Optimal","High"))</f>
        <v>Optimal</v>
      </c>
    </row>
    <row r="1296" spans="1:12" x14ac:dyDescent="0.25">
      <c r="A1296">
        <v>4</v>
      </c>
      <c r="B1296" s="1">
        <v>45176</v>
      </c>
      <c r="C1296" s="1" t="str">
        <f>TEXT(Table4_2[[#This Row],[Date]],"dddd")</f>
        <v>Thursday</v>
      </c>
      <c r="D1296" s="21">
        <v>31.5</v>
      </c>
      <c r="E1296" s="21">
        <v>60</v>
      </c>
      <c r="F1296" s="21">
        <v>647</v>
      </c>
      <c r="G1296" s="21">
        <v>6.5</v>
      </c>
      <c r="H1296">
        <v>36</v>
      </c>
      <c r="I1296">
        <v>88.7</v>
      </c>
      <c r="J1296">
        <v>0.6</v>
      </c>
      <c r="K1296" t="str" cm="1">
        <f t="array" ref="K1296">_xlfn.IFS(Table4_2[[#This Row],[Growth Days]]&lt;=14,"Seedling",Table4_2[[#This Row],[Growth Days]]&lt;=35, "Vegetative",Table4_2[[#This Row],[Growth Days]]&lt;=50, "Maturity")</f>
        <v>Maturity</v>
      </c>
      <c r="L1296" t="str">
        <f>IF(Table4_2[[#This Row],[TDS Value (ppm)]]&lt;560, "Low", IF(Table4_2[[#This Row],[TDS Value (ppm)]]&lt;=800,"Optimal","High"))</f>
        <v>Optimal</v>
      </c>
    </row>
    <row r="1297" spans="1:12" x14ac:dyDescent="0.25">
      <c r="A1297">
        <v>4</v>
      </c>
      <c r="B1297" s="1">
        <v>45183</v>
      </c>
      <c r="C1297" s="1" t="str">
        <f>TEXT(Table4_2[[#This Row],[Date]],"dddd")</f>
        <v>Thursday</v>
      </c>
      <c r="D1297" s="21">
        <v>29.1</v>
      </c>
      <c r="E1297" s="21">
        <v>62</v>
      </c>
      <c r="F1297" s="21">
        <v>530</v>
      </c>
      <c r="G1297" s="21">
        <v>6.8</v>
      </c>
      <c r="H1297">
        <v>43</v>
      </c>
      <c r="I1297">
        <v>84.38</v>
      </c>
      <c r="J1297">
        <v>0.62</v>
      </c>
      <c r="K1297" t="str" cm="1">
        <f t="array" ref="K1297">_xlfn.IFS(Table4_2[[#This Row],[Growth Days]]&lt;=14,"Seedling",Table4_2[[#This Row],[Growth Days]]&lt;=35, "Vegetative",Table4_2[[#This Row],[Growth Days]]&lt;=50, "Maturity")</f>
        <v>Maturity</v>
      </c>
      <c r="L1297" t="str">
        <f>IF(Table4_2[[#This Row],[TDS Value (ppm)]]&lt;560, "Low", IF(Table4_2[[#This Row],[TDS Value (ppm)]]&lt;=800,"Optimal","High"))</f>
        <v>Low</v>
      </c>
    </row>
    <row r="1298" spans="1:12" x14ac:dyDescent="0.25">
      <c r="A1298">
        <v>5</v>
      </c>
      <c r="B1298" s="1">
        <v>45141</v>
      </c>
      <c r="C1298" s="1" t="str">
        <f>TEXT(Table4_2[[#This Row],[Date]],"dddd")</f>
        <v>Thursday</v>
      </c>
      <c r="D1298" s="21">
        <v>33.4</v>
      </c>
      <c r="E1298" s="21">
        <v>67</v>
      </c>
      <c r="F1298" s="21">
        <v>651</v>
      </c>
      <c r="G1298" s="21">
        <v>6.3</v>
      </c>
      <c r="H1298">
        <v>1</v>
      </c>
      <c r="I1298">
        <v>92.12</v>
      </c>
      <c r="J1298">
        <v>0.67</v>
      </c>
      <c r="K1298" t="str" cm="1">
        <f t="array" ref="K1298">_xlfn.IFS(Table4_2[[#This Row],[Growth Days]]&lt;=14,"Seedling",Table4_2[[#This Row],[Growth Days]]&lt;=35, "Vegetative",Table4_2[[#This Row],[Growth Days]]&lt;=50, "Maturity")</f>
        <v>Seedling</v>
      </c>
      <c r="L1298" t="str">
        <f>IF(Table4_2[[#This Row],[TDS Value (ppm)]]&lt;560, "Low", IF(Table4_2[[#This Row],[TDS Value (ppm)]]&lt;=800,"Optimal","High"))</f>
        <v>Optimal</v>
      </c>
    </row>
    <row r="1299" spans="1:12" x14ac:dyDescent="0.25">
      <c r="A1299">
        <v>5</v>
      </c>
      <c r="B1299" s="1">
        <v>45148</v>
      </c>
      <c r="C1299" s="1" t="str">
        <f>TEXT(Table4_2[[#This Row],[Date]],"dddd")</f>
        <v>Thursday</v>
      </c>
      <c r="D1299" s="21">
        <v>22.7</v>
      </c>
      <c r="E1299" s="21">
        <v>59</v>
      </c>
      <c r="F1299" s="21">
        <v>652</v>
      </c>
      <c r="G1299" s="21">
        <v>6.5</v>
      </c>
      <c r="H1299">
        <v>8</v>
      </c>
      <c r="I1299">
        <v>72.86</v>
      </c>
      <c r="J1299">
        <v>0.59</v>
      </c>
      <c r="K1299" t="str" cm="1">
        <f t="array" ref="K1299">_xlfn.IFS(Table4_2[[#This Row],[Growth Days]]&lt;=14,"Seedling",Table4_2[[#This Row],[Growth Days]]&lt;=35, "Vegetative",Table4_2[[#This Row],[Growth Days]]&lt;=50, "Maturity")</f>
        <v>Seedling</v>
      </c>
      <c r="L1299" t="str">
        <f>IF(Table4_2[[#This Row],[TDS Value (ppm)]]&lt;560, "Low", IF(Table4_2[[#This Row],[TDS Value (ppm)]]&lt;=800,"Optimal","High"))</f>
        <v>Optimal</v>
      </c>
    </row>
    <row r="1300" spans="1:12" x14ac:dyDescent="0.25">
      <c r="A1300">
        <v>5</v>
      </c>
      <c r="B1300" s="1">
        <v>45155</v>
      </c>
      <c r="C1300" s="1" t="str">
        <f>TEXT(Table4_2[[#This Row],[Date]],"dddd")</f>
        <v>Thursday</v>
      </c>
      <c r="D1300" s="21">
        <v>29.6</v>
      </c>
      <c r="E1300" s="21">
        <v>65</v>
      </c>
      <c r="F1300" s="21">
        <v>525</v>
      </c>
      <c r="G1300" s="21">
        <v>6.3</v>
      </c>
      <c r="H1300">
        <v>15</v>
      </c>
      <c r="I1300">
        <v>85.28</v>
      </c>
      <c r="J1300">
        <v>0.65</v>
      </c>
      <c r="K1300" t="str" cm="1">
        <f t="array" ref="K1300">_xlfn.IFS(Table4_2[[#This Row],[Growth Days]]&lt;=14,"Seedling",Table4_2[[#This Row],[Growth Days]]&lt;=35, "Vegetative",Table4_2[[#This Row],[Growth Days]]&lt;=50, "Maturity")</f>
        <v>Vegetative</v>
      </c>
      <c r="L1300" t="str">
        <f>IF(Table4_2[[#This Row],[TDS Value (ppm)]]&lt;560, "Low", IF(Table4_2[[#This Row],[TDS Value (ppm)]]&lt;=800,"Optimal","High"))</f>
        <v>Low</v>
      </c>
    </row>
    <row r="1301" spans="1:12" x14ac:dyDescent="0.25">
      <c r="A1301">
        <v>5</v>
      </c>
      <c r="B1301" s="1">
        <v>45162</v>
      </c>
      <c r="C1301" s="1" t="str">
        <f>TEXT(Table4_2[[#This Row],[Date]],"dddd")</f>
        <v>Thursday</v>
      </c>
      <c r="D1301" s="21">
        <v>31.3</v>
      </c>
      <c r="E1301" s="21">
        <v>57</v>
      </c>
      <c r="F1301" s="21">
        <v>587</v>
      </c>
      <c r="G1301" s="21">
        <v>6.5</v>
      </c>
      <c r="H1301">
        <v>22</v>
      </c>
      <c r="I1301">
        <v>88.34</v>
      </c>
      <c r="J1301">
        <v>0.56999999999999995</v>
      </c>
      <c r="K1301" t="str" cm="1">
        <f t="array" ref="K1301">_xlfn.IFS(Table4_2[[#This Row],[Growth Days]]&lt;=14,"Seedling",Table4_2[[#This Row],[Growth Days]]&lt;=35, "Vegetative",Table4_2[[#This Row],[Growth Days]]&lt;=50, "Maturity")</f>
        <v>Vegetative</v>
      </c>
      <c r="L1301" t="str">
        <f>IF(Table4_2[[#This Row],[TDS Value (ppm)]]&lt;560, "Low", IF(Table4_2[[#This Row],[TDS Value (ppm)]]&lt;=800,"Optimal","High"))</f>
        <v>Optimal</v>
      </c>
    </row>
    <row r="1302" spans="1:12" x14ac:dyDescent="0.25">
      <c r="A1302">
        <v>5</v>
      </c>
      <c r="B1302" s="1">
        <v>45169</v>
      </c>
      <c r="C1302" s="1" t="str">
        <f>TEXT(Table4_2[[#This Row],[Date]],"dddd")</f>
        <v>Thursday</v>
      </c>
      <c r="D1302" s="21">
        <v>29.2</v>
      </c>
      <c r="E1302" s="21">
        <v>54</v>
      </c>
      <c r="F1302" s="21">
        <v>410</v>
      </c>
      <c r="G1302" s="21">
        <v>6.6</v>
      </c>
      <c r="H1302">
        <v>29</v>
      </c>
      <c r="I1302">
        <v>84.56</v>
      </c>
      <c r="J1302">
        <v>0.54</v>
      </c>
      <c r="K1302" t="str" cm="1">
        <f t="array" ref="K1302">_xlfn.IFS(Table4_2[[#This Row],[Growth Days]]&lt;=14,"Seedling",Table4_2[[#This Row],[Growth Days]]&lt;=35, "Vegetative",Table4_2[[#This Row],[Growth Days]]&lt;=50, "Maturity")</f>
        <v>Vegetative</v>
      </c>
      <c r="L1302" t="str">
        <f>IF(Table4_2[[#This Row],[TDS Value (ppm)]]&lt;560, "Low", IF(Table4_2[[#This Row],[TDS Value (ppm)]]&lt;=800,"Optimal","High"))</f>
        <v>Low</v>
      </c>
    </row>
    <row r="1303" spans="1:12" x14ac:dyDescent="0.25">
      <c r="A1303">
        <v>5</v>
      </c>
      <c r="B1303" s="1">
        <v>45176</v>
      </c>
      <c r="C1303" s="1" t="str">
        <f>TEXT(Table4_2[[#This Row],[Date]],"dddd")</f>
        <v>Thursday</v>
      </c>
      <c r="D1303" s="21">
        <v>31.5</v>
      </c>
      <c r="E1303" s="21">
        <v>70</v>
      </c>
      <c r="F1303" s="21">
        <v>768</v>
      </c>
      <c r="G1303" s="21">
        <v>6.8</v>
      </c>
      <c r="H1303">
        <v>36</v>
      </c>
      <c r="I1303">
        <v>88.7</v>
      </c>
      <c r="J1303">
        <v>0.7</v>
      </c>
      <c r="K1303" t="str" cm="1">
        <f t="array" ref="K1303">_xlfn.IFS(Table4_2[[#This Row],[Growth Days]]&lt;=14,"Seedling",Table4_2[[#This Row],[Growth Days]]&lt;=35, "Vegetative",Table4_2[[#This Row],[Growth Days]]&lt;=50, "Maturity")</f>
        <v>Maturity</v>
      </c>
      <c r="L1303" t="str">
        <f>IF(Table4_2[[#This Row],[TDS Value (ppm)]]&lt;560, "Low", IF(Table4_2[[#This Row],[TDS Value (ppm)]]&lt;=800,"Optimal","High"))</f>
        <v>Optimal</v>
      </c>
    </row>
    <row r="1304" spans="1:12" x14ac:dyDescent="0.25">
      <c r="A1304">
        <v>5</v>
      </c>
      <c r="B1304" s="1">
        <v>45183</v>
      </c>
      <c r="C1304" s="1" t="str">
        <f>TEXT(Table4_2[[#This Row],[Date]],"dddd")</f>
        <v>Thursday</v>
      </c>
      <c r="D1304" s="21">
        <v>29.1</v>
      </c>
      <c r="E1304" s="21">
        <v>58</v>
      </c>
      <c r="F1304" s="21">
        <v>576</v>
      </c>
      <c r="G1304" s="21">
        <v>6.2</v>
      </c>
      <c r="H1304">
        <v>43</v>
      </c>
      <c r="I1304">
        <v>84.38</v>
      </c>
      <c r="J1304">
        <v>0.57999999999999996</v>
      </c>
      <c r="K1304" t="str" cm="1">
        <f t="array" ref="K1304">_xlfn.IFS(Table4_2[[#This Row],[Growth Days]]&lt;=14,"Seedling",Table4_2[[#This Row],[Growth Days]]&lt;=35, "Vegetative",Table4_2[[#This Row],[Growth Days]]&lt;=50, "Maturity")</f>
        <v>Maturity</v>
      </c>
      <c r="L1304" t="str">
        <f>IF(Table4_2[[#This Row],[TDS Value (ppm)]]&lt;560, "Low", IF(Table4_2[[#This Row],[TDS Value (ppm)]]&lt;=800,"Optimal","High"))</f>
        <v>Optimal</v>
      </c>
    </row>
    <row r="1305" spans="1:12" x14ac:dyDescent="0.25">
      <c r="A1305">
        <v>6</v>
      </c>
      <c r="B1305" s="1">
        <v>45141</v>
      </c>
      <c r="C1305" s="1" t="str">
        <f>TEXT(Table4_2[[#This Row],[Date]],"dddd")</f>
        <v>Thursday</v>
      </c>
      <c r="D1305" s="21">
        <v>33.4</v>
      </c>
      <c r="E1305" s="21">
        <v>66</v>
      </c>
      <c r="F1305" s="21">
        <v>795</v>
      </c>
      <c r="G1305" s="21">
        <v>6.1</v>
      </c>
      <c r="H1305">
        <v>1</v>
      </c>
      <c r="I1305">
        <v>92.12</v>
      </c>
      <c r="J1305">
        <v>0.66</v>
      </c>
      <c r="K1305" t="str" cm="1">
        <f t="array" ref="K1305">_xlfn.IFS(Table4_2[[#This Row],[Growth Days]]&lt;=14,"Seedling",Table4_2[[#This Row],[Growth Days]]&lt;=35, "Vegetative",Table4_2[[#This Row],[Growth Days]]&lt;=50, "Maturity")</f>
        <v>Seedling</v>
      </c>
      <c r="L1305" t="str">
        <f>IF(Table4_2[[#This Row],[TDS Value (ppm)]]&lt;560, "Low", IF(Table4_2[[#This Row],[TDS Value (ppm)]]&lt;=800,"Optimal","High"))</f>
        <v>Optimal</v>
      </c>
    </row>
    <row r="1306" spans="1:12" x14ac:dyDescent="0.25">
      <c r="A1306">
        <v>6</v>
      </c>
      <c r="B1306" s="1">
        <v>45148</v>
      </c>
      <c r="C1306" s="1" t="str">
        <f>TEXT(Table4_2[[#This Row],[Date]],"dddd")</f>
        <v>Thursday</v>
      </c>
      <c r="D1306" s="21">
        <v>22.7</v>
      </c>
      <c r="E1306" s="21">
        <v>74</v>
      </c>
      <c r="F1306" s="21">
        <v>740</v>
      </c>
      <c r="G1306" s="21">
        <v>6.6</v>
      </c>
      <c r="H1306">
        <v>8</v>
      </c>
      <c r="I1306">
        <v>72.86</v>
      </c>
      <c r="J1306">
        <v>0.74</v>
      </c>
      <c r="K1306" t="str" cm="1">
        <f t="array" ref="K1306">_xlfn.IFS(Table4_2[[#This Row],[Growth Days]]&lt;=14,"Seedling",Table4_2[[#This Row],[Growth Days]]&lt;=35, "Vegetative",Table4_2[[#This Row],[Growth Days]]&lt;=50, "Maturity")</f>
        <v>Seedling</v>
      </c>
      <c r="L1306" t="str">
        <f>IF(Table4_2[[#This Row],[TDS Value (ppm)]]&lt;560, "Low", IF(Table4_2[[#This Row],[TDS Value (ppm)]]&lt;=800,"Optimal","High"))</f>
        <v>Optimal</v>
      </c>
    </row>
    <row r="1307" spans="1:12" x14ac:dyDescent="0.25">
      <c r="A1307">
        <v>6</v>
      </c>
      <c r="B1307" s="1">
        <v>45155</v>
      </c>
      <c r="C1307" s="1" t="str">
        <f>TEXT(Table4_2[[#This Row],[Date]],"dddd")</f>
        <v>Thursday</v>
      </c>
      <c r="D1307" s="21">
        <v>29.6</v>
      </c>
      <c r="E1307" s="21">
        <v>50</v>
      </c>
      <c r="F1307" s="21">
        <v>437</v>
      </c>
      <c r="G1307" s="21">
        <v>6.6</v>
      </c>
      <c r="H1307">
        <v>15</v>
      </c>
      <c r="I1307">
        <v>85.28</v>
      </c>
      <c r="J1307">
        <v>0.5</v>
      </c>
      <c r="K1307" t="str" cm="1">
        <f t="array" ref="K1307">_xlfn.IFS(Table4_2[[#This Row],[Growth Days]]&lt;=14,"Seedling",Table4_2[[#This Row],[Growth Days]]&lt;=35, "Vegetative",Table4_2[[#This Row],[Growth Days]]&lt;=50, "Maturity")</f>
        <v>Vegetative</v>
      </c>
      <c r="L1307" t="str">
        <f>IF(Table4_2[[#This Row],[TDS Value (ppm)]]&lt;560, "Low", IF(Table4_2[[#This Row],[TDS Value (ppm)]]&lt;=800,"Optimal","High"))</f>
        <v>Low</v>
      </c>
    </row>
    <row r="1308" spans="1:12" x14ac:dyDescent="0.25">
      <c r="A1308">
        <v>6</v>
      </c>
      <c r="B1308" s="1">
        <v>45162</v>
      </c>
      <c r="C1308" s="1" t="str">
        <f>TEXT(Table4_2[[#This Row],[Date]],"dddd")</f>
        <v>Thursday</v>
      </c>
      <c r="D1308" s="21">
        <v>31.3</v>
      </c>
      <c r="E1308" s="21">
        <v>51</v>
      </c>
      <c r="F1308" s="21">
        <v>596</v>
      </c>
      <c r="G1308" s="21">
        <v>6.5</v>
      </c>
      <c r="H1308">
        <v>22</v>
      </c>
      <c r="I1308">
        <v>88.34</v>
      </c>
      <c r="J1308">
        <v>0.51</v>
      </c>
      <c r="K1308" t="str" cm="1">
        <f t="array" ref="K1308">_xlfn.IFS(Table4_2[[#This Row],[Growth Days]]&lt;=14,"Seedling",Table4_2[[#This Row],[Growth Days]]&lt;=35, "Vegetative",Table4_2[[#This Row],[Growth Days]]&lt;=50, "Maturity")</f>
        <v>Vegetative</v>
      </c>
      <c r="L1308" t="str">
        <f>IF(Table4_2[[#This Row],[TDS Value (ppm)]]&lt;560, "Low", IF(Table4_2[[#This Row],[TDS Value (ppm)]]&lt;=800,"Optimal","High"))</f>
        <v>Optimal</v>
      </c>
    </row>
    <row r="1309" spans="1:12" x14ac:dyDescent="0.25">
      <c r="A1309">
        <v>6</v>
      </c>
      <c r="B1309" s="1">
        <v>45169</v>
      </c>
      <c r="C1309" s="1" t="str">
        <f>TEXT(Table4_2[[#This Row],[Date]],"dddd")</f>
        <v>Thursday</v>
      </c>
      <c r="D1309" s="21">
        <v>29.2</v>
      </c>
      <c r="E1309" s="21">
        <v>59</v>
      </c>
      <c r="F1309" s="21">
        <v>626</v>
      </c>
      <c r="G1309" s="21">
        <v>6.6</v>
      </c>
      <c r="H1309">
        <v>29</v>
      </c>
      <c r="I1309">
        <v>84.56</v>
      </c>
      <c r="J1309">
        <v>0.59</v>
      </c>
      <c r="K1309" t="str" cm="1">
        <f t="array" ref="K1309">_xlfn.IFS(Table4_2[[#This Row],[Growth Days]]&lt;=14,"Seedling",Table4_2[[#This Row],[Growth Days]]&lt;=35, "Vegetative",Table4_2[[#This Row],[Growth Days]]&lt;=50, "Maturity")</f>
        <v>Vegetative</v>
      </c>
      <c r="L1309" t="str">
        <f>IF(Table4_2[[#This Row],[TDS Value (ppm)]]&lt;560, "Low", IF(Table4_2[[#This Row],[TDS Value (ppm)]]&lt;=800,"Optimal","High"))</f>
        <v>Optimal</v>
      </c>
    </row>
    <row r="1310" spans="1:12" x14ac:dyDescent="0.25">
      <c r="A1310">
        <v>6</v>
      </c>
      <c r="B1310" s="1">
        <v>45176</v>
      </c>
      <c r="C1310" s="1" t="str">
        <f>TEXT(Table4_2[[#This Row],[Date]],"dddd")</f>
        <v>Thursday</v>
      </c>
      <c r="D1310" s="21">
        <v>31.5</v>
      </c>
      <c r="E1310" s="21">
        <v>56</v>
      </c>
      <c r="F1310" s="21">
        <v>701</v>
      </c>
      <c r="G1310" s="21">
        <v>6</v>
      </c>
      <c r="H1310">
        <v>36</v>
      </c>
      <c r="I1310">
        <v>88.7</v>
      </c>
      <c r="J1310">
        <v>0.56000000000000005</v>
      </c>
      <c r="K1310" t="str" cm="1">
        <f t="array" ref="K1310">_xlfn.IFS(Table4_2[[#This Row],[Growth Days]]&lt;=14,"Seedling",Table4_2[[#This Row],[Growth Days]]&lt;=35, "Vegetative",Table4_2[[#This Row],[Growth Days]]&lt;=50, "Maturity")</f>
        <v>Maturity</v>
      </c>
      <c r="L1310" t="str">
        <f>IF(Table4_2[[#This Row],[TDS Value (ppm)]]&lt;560, "Low", IF(Table4_2[[#This Row],[TDS Value (ppm)]]&lt;=800,"Optimal","High"))</f>
        <v>Optimal</v>
      </c>
    </row>
    <row r="1311" spans="1:12" x14ac:dyDescent="0.25">
      <c r="A1311">
        <v>6</v>
      </c>
      <c r="B1311" s="1">
        <v>45183</v>
      </c>
      <c r="C1311" s="1" t="str">
        <f>TEXT(Table4_2[[#This Row],[Date]],"dddd")</f>
        <v>Thursday</v>
      </c>
      <c r="D1311" s="21">
        <v>29.1</v>
      </c>
      <c r="E1311" s="21">
        <v>68</v>
      </c>
      <c r="F1311" s="21">
        <v>789</v>
      </c>
      <c r="G1311" s="21">
        <v>6.2</v>
      </c>
      <c r="H1311">
        <v>43</v>
      </c>
      <c r="I1311">
        <v>84.38</v>
      </c>
      <c r="J1311">
        <v>0.68</v>
      </c>
      <c r="K1311" t="str" cm="1">
        <f t="array" ref="K1311">_xlfn.IFS(Table4_2[[#This Row],[Growth Days]]&lt;=14,"Seedling",Table4_2[[#This Row],[Growth Days]]&lt;=35, "Vegetative",Table4_2[[#This Row],[Growth Days]]&lt;=50, "Maturity")</f>
        <v>Maturity</v>
      </c>
      <c r="L1311" t="str">
        <f>IF(Table4_2[[#This Row],[TDS Value (ppm)]]&lt;560, "Low", IF(Table4_2[[#This Row],[TDS Value (ppm)]]&lt;=800,"Optimal","High"))</f>
        <v>Optimal</v>
      </c>
    </row>
    <row r="1312" spans="1:12" x14ac:dyDescent="0.25">
      <c r="A1312">
        <v>7</v>
      </c>
      <c r="B1312" s="1">
        <v>45141</v>
      </c>
      <c r="C1312" s="1" t="str">
        <f>TEXT(Table4_2[[#This Row],[Date]],"dddd")</f>
        <v>Thursday</v>
      </c>
      <c r="D1312" s="21">
        <v>33.4</v>
      </c>
      <c r="E1312" s="21">
        <v>74</v>
      </c>
      <c r="F1312" s="21">
        <v>459</v>
      </c>
      <c r="G1312" s="21">
        <v>6.5</v>
      </c>
      <c r="H1312">
        <v>1</v>
      </c>
      <c r="I1312">
        <v>92.12</v>
      </c>
      <c r="J1312">
        <v>0.74</v>
      </c>
      <c r="K1312" t="str" cm="1">
        <f t="array" ref="K1312">_xlfn.IFS(Table4_2[[#This Row],[Growth Days]]&lt;=14,"Seedling",Table4_2[[#This Row],[Growth Days]]&lt;=35, "Vegetative",Table4_2[[#This Row],[Growth Days]]&lt;=50, "Maturity")</f>
        <v>Seedling</v>
      </c>
      <c r="L1312" t="str">
        <f>IF(Table4_2[[#This Row],[TDS Value (ppm)]]&lt;560, "Low", IF(Table4_2[[#This Row],[TDS Value (ppm)]]&lt;=800,"Optimal","High"))</f>
        <v>Low</v>
      </c>
    </row>
    <row r="1313" spans="1:12" x14ac:dyDescent="0.25">
      <c r="A1313">
        <v>7</v>
      </c>
      <c r="B1313" s="1">
        <v>45148</v>
      </c>
      <c r="C1313" s="1" t="str">
        <f>TEXT(Table4_2[[#This Row],[Date]],"dddd")</f>
        <v>Thursday</v>
      </c>
      <c r="D1313" s="21">
        <v>22.7</v>
      </c>
      <c r="E1313" s="21">
        <v>70</v>
      </c>
      <c r="F1313" s="21">
        <v>566</v>
      </c>
      <c r="G1313" s="21">
        <v>6</v>
      </c>
      <c r="H1313">
        <v>8</v>
      </c>
      <c r="I1313">
        <v>72.86</v>
      </c>
      <c r="J1313">
        <v>0.7</v>
      </c>
      <c r="K1313" t="str" cm="1">
        <f t="array" ref="K1313">_xlfn.IFS(Table4_2[[#This Row],[Growth Days]]&lt;=14,"Seedling",Table4_2[[#This Row],[Growth Days]]&lt;=35, "Vegetative",Table4_2[[#This Row],[Growth Days]]&lt;=50, "Maturity")</f>
        <v>Seedling</v>
      </c>
      <c r="L1313" t="str">
        <f>IF(Table4_2[[#This Row],[TDS Value (ppm)]]&lt;560, "Low", IF(Table4_2[[#This Row],[TDS Value (ppm)]]&lt;=800,"Optimal","High"))</f>
        <v>Optimal</v>
      </c>
    </row>
    <row r="1314" spans="1:12" x14ac:dyDescent="0.25">
      <c r="A1314">
        <v>7</v>
      </c>
      <c r="B1314" s="1">
        <v>45155</v>
      </c>
      <c r="C1314" s="1" t="str">
        <f>TEXT(Table4_2[[#This Row],[Date]],"dddd")</f>
        <v>Thursday</v>
      </c>
      <c r="D1314" s="21">
        <v>29.6</v>
      </c>
      <c r="E1314" s="21">
        <v>58</v>
      </c>
      <c r="F1314" s="21">
        <v>491</v>
      </c>
      <c r="G1314" s="21">
        <v>6.6</v>
      </c>
      <c r="H1314">
        <v>15</v>
      </c>
      <c r="I1314">
        <v>85.28</v>
      </c>
      <c r="J1314">
        <v>0.57999999999999996</v>
      </c>
      <c r="K1314" t="str" cm="1">
        <f t="array" ref="K1314">_xlfn.IFS(Table4_2[[#This Row],[Growth Days]]&lt;=14,"Seedling",Table4_2[[#This Row],[Growth Days]]&lt;=35, "Vegetative",Table4_2[[#This Row],[Growth Days]]&lt;=50, "Maturity")</f>
        <v>Vegetative</v>
      </c>
      <c r="L1314" t="str">
        <f>IF(Table4_2[[#This Row],[TDS Value (ppm)]]&lt;560, "Low", IF(Table4_2[[#This Row],[TDS Value (ppm)]]&lt;=800,"Optimal","High"))</f>
        <v>Low</v>
      </c>
    </row>
    <row r="1315" spans="1:12" x14ac:dyDescent="0.25">
      <c r="A1315">
        <v>7</v>
      </c>
      <c r="B1315" s="1">
        <v>45162</v>
      </c>
      <c r="C1315" s="1" t="str">
        <f>TEXT(Table4_2[[#This Row],[Date]],"dddd")</f>
        <v>Thursday</v>
      </c>
      <c r="D1315" s="21">
        <v>31.3</v>
      </c>
      <c r="E1315" s="21">
        <v>57</v>
      </c>
      <c r="F1315" s="21">
        <v>552</v>
      </c>
      <c r="G1315" s="21">
        <v>6.1</v>
      </c>
      <c r="H1315">
        <v>22</v>
      </c>
      <c r="I1315">
        <v>88.34</v>
      </c>
      <c r="J1315">
        <v>0.56999999999999995</v>
      </c>
      <c r="K1315" t="str" cm="1">
        <f t="array" ref="K1315">_xlfn.IFS(Table4_2[[#This Row],[Growth Days]]&lt;=14,"Seedling",Table4_2[[#This Row],[Growth Days]]&lt;=35, "Vegetative",Table4_2[[#This Row],[Growth Days]]&lt;=50, "Maturity")</f>
        <v>Vegetative</v>
      </c>
      <c r="L1315" t="str">
        <f>IF(Table4_2[[#This Row],[TDS Value (ppm)]]&lt;560, "Low", IF(Table4_2[[#This Row],[TDS Value (ppm)]]&lt;=800,"Optimal","High"))</f>
        <v>Low</v>
      </c>
    </row>
    <row r="1316" spans="1:12" x14ac:dyDescent="0.25">
      <c r="A1316">
        <v>7</v>
      </c>
      <c r="B1316" s="1">
        <v>45169</v>
      </c>
      <c r="C1316" s="1" t="str">
        <f>TEXT(Table4_2[[#This Row],[Date]],"dddd")</f>
        <v>Thursday</v>
      </c>
      <c r="D1316" s="21">
        <v>29.2</v>
      </c>
      <c r="E1316" s="21">
        <v>80</v>
      </c>
      <c r="F1316" s="21">
        <v>426</v>
      </c>
      <c r="G1316" s="21">
        <v>6.6</v>
      </c>
      <c r="H1316">
        <v>29</v>
      </c>
      <c r="I1316">
        <v>84.56</v>
      </c>
      <c r="J1316">
        <v>0.8</v>
      </c>
      <c r="K1316" t="str" cm="1">
        <f t="array" ref="K1316">_xlfn.IFS(Table4_2[[#This Row],[Growth Days]]&lt;=14,"Seedling",Table4_2[[#This Row],[Growth Days]]&lt;=35, "Vegetative",Table4_2[[#This Row],[Growth Days]]&lt;=50, "Maturity")</f>
        <v>Vegetative</v>
      </c>
      <c r="L1316" t="str">
        <f>IF(Table4_2[[#This Row],[TDS Value (ppm)]]&lt;560, "Low", IF(Table4_2[[#This Row],[TDS Value (ppm)]]&lt;=800,"Optimal","High"))</f>
        <v>Low</v>
      </c>
    </row>
    <row r="1317" spans="1:12" x14ac:dyDescent="0.25">
      <c r="A1317">
        <v>7</v>
      </c>
      <c r="B1317" s="1">
        <v>45176</v>
      </c>
      <c r="C1317" s="1" t="str">
        <f>TEXT(Table4_2[[#This Row],[Date]],"dddd")</f>
        <v>Thursday</v>
      </c>
      <c r="D1317" s="21">
        <v>31.5</v>
      </c>
      <c r="E1317" s="21">
        <v>54</v>
      </c>
      <c r="F1317" s="21">
        <v>749</v>
      </c>
      <c r="G1317" s="21">
        <v>6.8</v>
      </c>
      <c r="H1317">
        <v>36</v>
      </c>
      <c r="I1317">
        <v>88.7</v>
      </c>
      <c r="J1317">
        <v>0.54</v>
      </c>
      <c r="K1317" t="str" cm="1">
        <f t="array" ref="K1317">_xlfn.IFS(Table4_2[[#This Row],[Growth Days]]&lt;=14,"Seedling",Table4_2[[#This Row],[Growth Days]]&lt;=35, "Vegetative",Table4_2[[#This Row],[Growth Days]]&lt;=50, "Maturity")</f>
        <v>Maturity</v>
      </c>
      <c r="L1317" t="str">
        <f>IF(Table4_2[[#This Row],[TDS Value (ppm)]]&lt;560, "Low", IF(Table4_2[[#This Row],[TDS Value (ppm)]]&lt;=800,"Optimal","High"))</f>
        <v>Optimal</v>
      </c>
    </row>
    <row r="1318" spans="1:12" x14ac:dyDescent="0.25">
      <c r="A1318">
        <v>7</v>
      </c>
      <c r="B1318" s="1">
        <v>45183</v>
      </c>
      <c r="C1318" s="1" t="str">
        <f>TEXT(Table4_2[[#This Row],[Date]],"dddd")</f>
        <v>Thursday</v>
      </c>
      <c r="D1318" s="21">
        <v>29.1</v>
      </c>
      <c r="E1318" s="21">
        <v>60</v>
      </c>
      <c r="F1318" s="21">
        <v>459</v>
      </c>
      <c r="G1318" s="21">
        <v>6.6</v>
      </c>
      <c r="H1318">
        <v>43</v>
      </c>
      <c r="I1318">
        <v>84.38</v>
      </c>
      <c r="J1318">
        <v>0.6</v>
      </c>
      <c r="K1318" t="str" cm="1">
        <f t="array" ref="K1318">_xlfn.IFS(Table4_2[[#This Row],[Growth Days]]&lt;=14,"Seedling",Table4_2[[#This Row],[Growth Days]]&lt;=35, "Vegetative",Table4_2[[#This Row],[Growth Days]]&lt;=50, "Maturity")</f>
        <v>Maturity</v>
      </c>
      <c r="L1318" t="str">
        <f>IF(Table4_2[[#This Row],[TDS Value (ppm)]]&lt;560, "Low", IF(Table4_2[[#This Row],[TDS Value (ppm)]]&lt;=800,"Optimal","High"))</f>
        <v>Low</v>
      </c>
    </row>
    <row r="1319" spans="1:12" x14ac:dyDescent="0.25">
      <c r="A1319">
        <v>8</v>
      </c>
      <c r="B1319" s="1">
        <v>45141</v>
      </c>
      <c r="C1319" s="1" t="str">
        <f>TEXT(Table4_2[[#This Row],[Date]],"dddd")</f>
        <v>Thursday</v>
      </c>
      <c r="D1319" s="21">
        <v>33.4</v>
      </c>
      <c r="E1319" s="21">
        <v>76</v>
      </c>
      <c r="F1319" s="21">
        <v>650</v>
      </c>
      <c r="G1319" s="21">
        <v>6</v>
      </c>
      <c r="H1319">
        <v>1</v>
      </c>
      <c r="I1319">
        <v>92.12</v>
      </c>
      <c r="J1319">
        <v>0.76</v>
      </c>
      <c r="K1319" t="str" cm="1">
        <f t="array" ref="K1319">_xlfn.IFS(Table4_2[[#This Row],[Growth Days]]&lt;=14,"Seedling",Table4_2[[#This Row],[Growth Days]]&lt;=35, "Vegetative",Table4_2[[#This Row],[Growth Days]]&lt;=50, "Maturity")</f>
        <v>Seedling</v>
      </c>
      <c r="L1319" t="str">
        <f>IF(Table4_2[[#This Row],[TDS Value (ppm)]]&lt;560, "Low", IF(Table4_2[[#This Row],[TDS Value (ppm)]]&lt;=800,"Optimal","High"))</f>
        <v>Optimal</v>
      </c>
    </row>
    <row r="1320" spans="1:12" x14ac:dyDescent="0.25">
      <c r="A1320">
        <v>8</v>
      </c>
      <c r="B1320" s="1">
        <v>45148</v>
      </c>
      <c r="C1320" s="1" t="str">
        <f>TEXT(Table4_2[[#This Row],[Date]],"dddd")</f>
        <v>Thursday</v>
      </c>
      <c r="D1320" s="21">
        <v>22.7</v>
      </c>
      <c r="E1320" s="21">
        <v>60</v>
      </c>
      <c r="F1320" s="21">
        <v>708</v>
      </c>
      <c r="G1320" s="21">
        <v>6.6</v>
      </c>
      <c r="H1320">
        <v>8</v>
      </c>
      <c r="I1320">
        <v>72.86</v>
      </c>
      <c r="J1320">
        <v>0.6</v>
      </c>
      <c r="K1320" t="str" cm="1">
        <f t="array" ref="K1320">_xlfn.IFS(Table4_2[[#This Row],[Growth Days]]&lt;=14,"Seedling",Table4_2[[#This Row],[Growth Days]]&lt;=35, "Vegetative",Table4_2[[#This Row],[Growth Days]]&lt;=50, "Maturity")</f>
        <v>Seedling</v>
      </c>
      <c r="L1320" t="str">
        <f>IF(Table4_2[[#This Row],[TDS Value (ppm)]]&lt;560, "Low", IF(Table4_2[[#This Row],[TDS Value (ppm)]]&lt;=800,"Optimal","High"))</f>
        <v>Optimal</v>
      </c>
    </row>
    <row r="1321" spans="1:12" x14ac:dyDescent="0.25">
      <c r="A1321">
        <v>8</v>
      </c>
      <c r="B1321" s="1">
        <v>45155</v>
      </c>
      <c r="C1321" s="1" t="str">
        <f>TEXT(Table4_2[[#This Row],[Date]],"dddd")</f>
        <v>Thursday</v>
      </c>
      <c r="D1321" s="21">
        <v>29.6</v>
      </c>
      <c r="E1321" s="21">
        <v>74</v>
      </c>
      <c r="F1321" s="21">
        <v>586</v>
      </c>
      <c r="G1321" s="21">
        <v>6.5</v>
      </c>
      <c r="H1321">
        <v>15</v>
      </c>
      <c r="I1321">
        <v>85.28</v>
      </c>
      <c r="J1321">
        <v>0.74</v>
      </c>
      <c r="K1321" t="str" cm="1">
        <f t="array" ref="K1321">_xlfn.IFS(Table4_2[[#This Row],[Growth Days]]&lt;=14,"Seedling",Table4_2[[#This Row],[Growth Days]]&lt;=35, "Vegetative",Table4_2[[#This Row],[Growth Days]]&lt;=50, "Maturity")</f>
        <v>Vegetative</v>
      </c>
      <c r="L1321" t="str">
        <f>IF(Table4_2[[#This Row],[TDS Value (ppm)]]&lt;560, "Low", IF(Table4_2[[#This Row],[TDS Value (ppm)]]&lt;=800,"Optimal","High"))</f>
        <v>Optimal</v>
      </c>
    </row>
    <row r="1322" spans="1:12" x14ac:dyDescent="0.25">
      <c r="A1322">
        <v>8</v>
      </c>
      <c r="B1322" s="1">
        <v>45162</v>
      </c>
      <c r="C1322" s="1" t="str">
        <f>TEXT(Table4_2[[#This Row],[Date]],"dddd")</f>
        <v>Thursday</v>
      </c>
      <c r="D1322" s="21">
        <v>31.3</v>
      </c>
      <c r="E1322" s="21">
        <v>67</v>
      </c>
      <c r="F1322" s="21">
        <v>553</v>
      </c>
      <c r="G1322" s="21">
        <v>6.1</v>
      </c>
      <c r="H1322">
        <v>22</v>
      </c>
      <c r="I1322">
        <v>88.34</v>
      </c>
      <c r="J1322">
        <v>0.67</v>
      </c>
      <c r="K1322" t="str" cm="1">
        <f t="array" ref="K1322">_xlfn.IFS(Table4_2[[#This Row],[Growth Days]]&lt;=14,"Seedling",Table4_2[[#This Row],[Growth Days]]&lt;=35, "Vegetative",Table4_2[[#This Row],[Growth Days]]&lt;=50, "Maturity")</f>
        <v>Vegetative</v>
      </c>
      <c r="L1322" t="str">
        <f>IF(Table4_2[[#This Row],[TDS Value (ppm)]]&lt;560, "Low", IF(Table4_2[[#This Row],[TDS Value (ppm)]]&lt;=800,"Optimal","High"))</f>
        <v>Low</v>
      </c>
    </row>
    <row r="1323" spans="1:12" x14ac:dyDescent="0.25">
      <c r="A1323">
        <v>8</v>
      </c>
      <c r="B1323" s="1">
        <v>45169</v>
      </c>
      <c r="C1323" s="1" t="str">
        <f>TEXT(Table4_2[[#This Row],[Date]],"dddd")</f>
        <v>Thursday</v>
      </c>
      <c r="D1323" s="21">
        <v>29.2</v>
      </c>
      <c r="E1323" s="21">
        <v>55</v>
      </c>
      <c r="F1323" s="21">
        <v>483</v>
      </c>
      <c r="G1323" s="21">
        <v>6.4</v>
      </c>
      <c r="H1323">
        <v>29</v>
      </c>
      <c r="I1323">
        <v>84.56</v>
      </c>
      <c r="J1323">
        <v>0.55000000000000004</v>
      </c>
      <c r="K1323" t="str" cm="1">
        <f t="array" ref="K1323">_xlfn.IFS(Table4_2[[#This Row],[Growth Days]]&lt;=14,"Seedling",Table4_2[[#This Row],[Growth Days]]&lt;=35, "Vegetative",Table4_2[[#This Row],[Growth Days]]&lt;=50, "Maturity")</f>
        <v>Vegetative</v>
      </c>
      <c r="L1323" t="str">
        <f>IF(Table4_2[[#This Row],[TDS Value (ppm)]]&lt;560, "Low", IF(Table4_2[[#This Row],[TDS Value (ppm)]]&lt;=800,"Optimal","High"))</f>
        <v>Low</v>
      </c>
    </row>
    <row r="1324" spans="1:12" x14ac:dyDescent="0.25">
      <c r="A1324">
        <v>8</v>
      </c>
      <c r="B1324" s="1">
        <v>45176</v>
      </c>
      <c r="C1324" s="1" t="str">
        <f>TEXT(Table4_2[[#This Row],[Date]],"dddd")</f>
        <v>Thursday</v>
      </c>
      <c r="D1324" s="21">
        <v>31.5</v>
      </c>
      <c r="E1324" s="21">
        <v>75</v>
      </c>
      <c r="F1324" s="21">
        <v>555</v>
      </c>
      <c r="G1324" s="21">
        <v>6.6</v>
      </c>
      <c r="H1324">
        <v>36</v>
      </c>
      <c r="I1324">
        <v>88.7</v>
      </c>
      <c r="J1324">
        <v>0.75</v>
      </c>
      <c r="K1324" t="str" cm="1">
        <f t="array" ref="K1324">_xlfn.IFS(Table4_2[[#This Row],[Growth Days]]&lt;=14,"Seedling",Table4_2[[#This Row],[Growth Days]]&lt;=35, "Vegetative",Table4_2[[#This Row],[Growth Days]]&lt;=50, "Maturity")</f>
        <v>Maturity</v>
      </c>
      <c r="L1324" t="str">
        <f>IF(Table4_2[[#This Row],[TDS Value (ppm)]]&lt;560, "Low", IF(Table4_2[[#This Row],[TDS Value (ppm)]]&lt;=800,"Optimal","High"))</f>
        <v>Low</v>
      </c>
    </row>
    <row r="1325" spans="1:12" x14ac:dyDescent="0.25">
      <c r="A1325">
        <v>8</v>
      </c>
      <c r="B1325" s="1">
        <v>45183</v>
      </c>
      <c r="C1325" s="1" t="str">
        <f>TEXT(Table4_2[[#This Row],[Date]],"dddd")</f>
        <v>Thursday</v>
      </c>
      <c r="D1325" s="21">
        <v>29.1</v>
      </c>
      <c r="E1325" s="21">
        <v>51</v>
      </c>
      <c r="F1325" s="21">
        <v>458</v>
      </c>
      <c r="G1325" s="21">
        <v>6.2</v>
      </c>
      <c r="H1325">
        <v>43</v>
      </c>
      <c r="I1325">
        <v>84.38</v>
      </c>
      <c r="J1325">
        <v>0.51</v>
      </c>
      <c r="K1325" t="str" cm="1">
        <f t="array" ref="K1325">_xlfn.IFS(Table4_2[[#This Row],[Growth Days]]&lt;=14,"Seedling",Table4_2[[#This Row],[Growth Days]]&lt;=35, "Vegetative",Table4_2[[#This Row],[Growth Days]]&lt;=50, "Maturity")</f>
        <v>Maturity</v>
      </c>
      <c r="L1325" t="str">
        <f>IF(Table4_2[[#This Row],[TDS Value (ppm)]]&lt;560, "Low", IF(Table4_2[[#This Row],[TDS Value (ppm)]]&lt;=800,"Optimal","High"))</f>
        <v>Low</v>
      </c>
    </row>
    <row r="1326" spans="1:12" x14ac:dyDescent="0.25">
      <c r="A1326">
        <v>9</v>
      </c>
      <c r="B1326" s="1">
        <v>45141</v>
      </c>
      <c r="C1326" s="1" t="str">
        <f>TEXT(Table4_2[[#This Row],[Date]],"dddd")</f>
        <v>Thursday</v>
      </c>
      <c r="D1326" s="21">
        <v>33.4</v>
      </c>
      <c r="E1326" s="21">
        <v>72</v>
      </c>
      <c r="F1326" s="21">
        <v>693</v>
      </c>
      <c r="G1326" s="21">
        <v>6.4</v>
      </c>
      <c r="H1326">
        <v>1</v>
      </c>
      <c r="I1326">
        <v>92.12</v>
      </c>
      <c r="J1326">
        <v>0.72</v>
      </c>
      <c r="K1326" t="str" cm="1">
        <f t="array" ref="K1326">_xlfn.IFS(Table4_2[[#This Row],[Growth Days]]&lt;=14,"Seedling",Table4_2[[#This Row],[Growth Days]]&lt;=35, "Vegetative",Table4_2[[#This Row],[Growth Days]]&lt;=50, "Maturity")</f>
        <v>Seedling</v>
      </c>
      <c r="L1326" t="str">
        <f>IF(Table4_2[[#This Row],[TDS Value (ppm)]]&lt;560, "Low", IF(Table4_2[[#This Row],[TDS Value (ppm)]]&lt;=800,"Optimal","High"))</f>
        <v>Optimal</v>
      </c>
    </row>
    <row r="1327" spans="1:12" x14ac:dyDescent="0.25">
      <c r="A1327">
        <v>9</v>
      </c>
      <c r="B1327" s="1">
        <v>45148</v>
      </c>
      <c r="C1327" s="1" t="str">
        <f>TEXT(Table4_2[[#This Row],[Date]],"dddd")</f>
        <v>Thursday</v>
      </c>
      <c r="D1327" s="21">
        <v>22.7</v>
      </c>
      <c r="E1327" s="21">
        <v>72</v>
      </c>
      <c r="F1327" s="21">
        <v>455</v>
      </c>
      <c r="G1327" s="21">
        <v>6.2</v>
      </c>
      <c r="H1327">
        <v>8</v>
      </c>
      <c r="I1327">
        <v>72.86</v>
      </c>
      <c r="J1327">
        <v>0.72</v>
      </c>
      <c r="K1327" t="str" cm="1">
        <f t="array" ref="K1327">_xlfn.IFS(Table4_2[[#This Row],[Growth Days]]&lt;=14,"Seedling",Table4_2[[#This Row],[Growth Days]]&lt;=35, "Vegetative",Table4_2[[#This Row],[Growth Days]]&lt;=50, "Maturity")</f>
        <v>Seedling</v>
      </c>
      <c r="L1327" t="str">
        <f>IF(Table4_2[[#This Row],[TDS Value (ppm)]]&lt;560, "Low", IF(Table4_2[[#This Row],[TDS Value (ppm)]]&lt;=800,"Optimal","High"))</f>
        <v>Low</v>
      </c>
    </row>
    <row r="1328" spans="1:12" x14ac:dyDescent="0.25">
      <c r="A1328">
        <v>9</v>
      </c>
      <c r="B1328" s="1">
        <v>45155</v>
      </c>
      <c r="C1328" s="1" t="str">
        <f>TEXT(Table4_2[[#This Row],[Date]],"dddd")</f>
        <v>Thursday</v>
      </c>
      <c r="D1328" s="21">
        <v>29.6</v>
      </c>
      <c r="E1328" s="21">
        <v>63</v>
      </c>
      <c r="F1328" s="21">
        <v>613</v>
      </c>
      <c r="G1328" s="21">
        <v>6.7</v>
      </c>
      <c r="H1328">
        <v>15</v>
      </c>
      <c r="I1328">
        <v>85.28</v>
      </c>
      <c r="J1328">
        <v>0.63</v>
      </c>
      <c r="K1328" t="str" cm="1">
        <f t="array" ref="K1328">_xlfn.IFS(Table4_2[[#This Row],[Growth Days]]&lt;=14,"Seedling",Table4_2[[#This Row],[Growth Days]]&lt;=35, "Vegetative",Table4_2[[#This Row],[Growth Days]]&lt;=50, "Maturity")</f>
        <v>Vegetative</v>
      </c>
      <c r="L1328" t="str">
        <f>IF(Table4_2[[#This Row],[TDS Value (ppm)]]&lt;560, "Low", IF(Table4_2[[#This Row],[TDS Value (ppm)]]&lt;=800,"Optimal","High"))</f>
        <v>Optimal</v>
      </c>
    </row>
    <row r="1329" spans="1:12" x14ac:dyDescent="0.25">
      <c r="A1329">
        <v>9</v>
      </c>
      <c r="B1329" s="1">
        <v>45162</v>
      </c>
      <c r="C1329" s="1" t="str">
        <f>TEXT(Table4_2[[#This Row],[Date]],"dddd")</f>
        <v>Thursday</v>
      </c>
      <c r="D1329" s="21">
        <v>31.3</v>
      </c>
      <c r="E1329" s="21">
        <v>59</v>
      </c>
      <c r="F1329" s="21">
        <v>461</v>
      </c>
      <c r="G1329" s="21">
        <v>6.1</v>
      </c>
      <c r="H1329">
        <v>22</v>
      </c>
      <c r="I1329">
        <v>88.34</v>
      </c>
      <c r="J1329">
        <v>0.59</v>
      </c>
      <c r="K1329" t="str" cm="1">
        <f t="array" ref="K1329">_xlfn.IFS(Table4_2[[#This Row],[Growth Days]]&lt;=14,"Seedling",Table4_2[[#This Row],[Growth Days]]&lt;=35, "Vegetative",Table4_2[[#This Row],[Growth Days]]&lt;=50, "Maturity")</f>
        <v>Vegetative</v>
      </c>
      <c r="L1329" t="str">
        <f>IF(Table4_2[[#This Row],[TDS Value (ppm)]]&lt;560, "Low", IF(Table4_2[[#This Row],[TDS Value (ppm)]]&lt;=800,"Optimal","High"))</f>
        <v>Low</v>
      </c>
    </row>
    <row r="1330" spans="1:12" x14ac:dyDescent="0.25">
      <c r="A1330">
        <v>9</v>
      </c>
      <c r="B1330" s="1">
        <v>45169</v>
      </c>
      <c r="C1330" s="1" t="str">
        <f>TEXT(Table4_2[[#This Row],[Date]],"dddd")</f>
        <v>Thursday</v>
      </c>
      <c r="D1330" s="21">
        <v>29.2</v>
      </c>
      <c r="E1330" s="21">
        <v>54</v>
      </c>
      <c r="F1330" s="21">
        <v>784</v>
      </c>
      <c r="G1330" s="21">
        <v>6</v>
      </c>
      <c r="H1330">
        <v>29</v>
      </c>
      <c r="I1330">
        <v>84.56</v>
      </c>
      <c r="J1330">
        <v>0.54</v>
      </c>
      <c r="K1330" t="str" cm="1">
        <f t="array" ref="K1330">_xlfn.IFS(Table4_2[[#This Row],[Growth Days]]&lt;=14,"Seedling",Table4_2[[#This Row],[Growth Days]]&lt;=35, "Vegetative",Table4_2[[#This Row],[Growth Days]]&lt;=50, "Maturity")</f>
        <v>Vegetative</v>
      </c>
      <c r="L1330" t="str">
        <f>IF(Table4_2[[#This Row],[TDS Value (ppm)]]&lt;560, "Low", IF(Table4_2[[#This Row],[TDS Value (ppm)]]&lt;=800,"Optimal","High"))</f>
        <v>Optimal</v>
      </c>
    </row>
    <row r="1331" spans="1:12" x14ac:dyDescent="0.25">
      <c r="A1331">
        <v>9</v>
      </c>
      <c r="B1331" s="1">
        <v>45176</v>
      </c>
      <c r="C1331" s="1" t="str">
        <f>TEXT(Table4_2[[#This Row],[Date]],"dddd")</f>
        <v>Thursday</v>
      </c>
      <c r="D1331" s="21">
        <v>31.5</v>
      </c>
      <c r="E1331" s="21">
        <v>54</v>
      </c>
      <c r="F1331" s="21">
        <v>697</v>
      </c>
      <c r="G1331" s="21">
        <v>6</v>
      </c>
      <c r="H1331">
        <v>36</v>
      </c>
      <c r="I1331">
        <v>88.7</v>
      </c>
      <c r="J1331">
        <v>0.54</v>
      </c>
      <c r="K1331" t="str" cm="1">
        <f t="array" ref="K1331">_xlfn.IFS(Table4_2[[#This Row],[Growth Days]]&lt;=14,"Seedling",Table4_2[[#This Row],[Growth Days]]&lt;=35, "Vegetative",Table4_2[[#This Row],[Growth Days]]&lt;=50, "Maturity")</f>
        <v>Maturity</v>
      </c>
      <c r="L1331" t="str">
        <f>IF(Table4_2[[#This Row],[TDS Value (ppm)]]&lt;560, "Low", IF(Table4_2[[#This Row],[TDS Value (ppm)]]&lt;=800,"Optimal","High"))</f>
        <v>Optimal</v>
      </c>
    </row>
    <row r="1332" spans="1:12" x14ac:dyDescent="0.25">
      <c r="A1332">
        <v>9</v>
      </c>
      <c r="B1332" s="1">
        <v>45183</v>
      </c>
      <c r="C1332" s="1" t="str">
        <f>TEXT(Table4_2[[#This Row],[Date]],"dddd")</f>
        <v>Thursday</v>
      </c>
      <c r="D1332" s="21">
        <v>29.1</v>
      </c>
      <c r="E1332" s="21">
        <v>67</v>
      </c>
      <c r="F1332" s="21">
        <v>516</v>
      </c>
      <c r="G1332" s="21">
        <v>6.3</v>
      </c>
      <c r="H1332">
        <v>43</v>
      </c>
      <c r="I1332">
        <v>84.38</v>
      </c>
      <c r="J1332">
        <v>0.67</v>
      </c>
      <c r="K1332" t="str" cm="1">
        <f t="array" ref="K1332">_xlfn.IFS(Table4_2[[#This Row],[Growth Days]]&lt;=14,"Seedling",Table4_2[[#This Row],[Growth Days]]&lt;=35, "Vegetative",Table4_2[[#This Row],[Growth Days]]&lt;=50, "Maturity")</f>
        <v>Maturity</v>
      </c>
      <c r="L1332" t="str">
        <f>IF(Table4_2[[#This Row],[TDS Value (ppm)]]&lt;560, "Low", IF(Table4_2[[#This Row],[TDS Value (ppm)]]&lt;=800,"Optimal","High"))</f>
        <v>Low</v>
      </c>
    </row>
    <row r="1333" spans="1:12" x14ac:dyDescent="0.25">
      <c r="A1333">
        <v>10</v>
      </c>
      <c r="B1333" s="1">
        <v>45141</v>
      </c>
      <c r="C1333" s="1" t="str">
        <f>TEXT(Table4_2[[#This Row],[Date]],"dddd")</f>
        <v>Thursday</v>
      </c>
      <c r="D1333" s="21">
        <v>33.4</v>
      </c>
      <c r="E1333" s="21">
        <v>66</v>
      </c>
      <c r="F1333" s="21">
        <v>503</v>
      </c>
      <c r="G1333" s="21">
        <v>6.5</v>
      </c>
      <c r="H1333">
        <v>1</v>
      </c>
      <c r="I1333">
        <v>92.12</v>
      </c>
      <c r="J1333">
        <v>0.66</v>
      </c>
      <c r="K1333" t="str" cm="1">
        <f t="array" ref="K1333">_xlfn.IFS(Table4_2[[#This Row],[Growth Days]]&lt;=14,"Seedling",Table4_2[[#This Row],[Growth Days]]&lt;=35, "Vegetative",Table4_2[[#This Row],[Growth Days]]&lt;=50, "Maturity")</f>
        <v>Seedling</v>
      </c>
      <c r="L1333" t="str">
        <f>IF(Table4_2[[#This Row],[TDS Value (ppm)]]&lt;560, "Low", IF(Table4_2[[#This Row],[TDS Value (ppm)]]&lt;=800,"Optimal","High"))</f>
        <v>Low</v>
      </c>
    </row>
    <row r="1334" spans="1:12" x14ac:dyDescent="0.25">
      <c r="A1334">
        <v>10</v>
      </c>
      <c r="B1334" s="1">
        <v>45148</v>
      </c>
      <c r="C1334" s="1" t="str">
        <f>TEXT(Table4_2[[#This Row],[Date]],"dddd")</f>
        <v>Thursday</v>
      </c>
      <c r="D1334" s="21">
        <v>22.7</v>
      </c>
      <c r="E1334" s="21">
        <v>74</v>
      </c>
      <c r="F1334" s="21">
        <v>778</v>
      </c>
      <c r="G1334" s="21">
        <v>6.6</v>
      </c>
      <c r="H1334">
        <v>8</v>
      </c>
      <c r="I1334">
        <v>72.86</v>
      </c>
      <c r="J1334">
        <v>0.74</v>
      </c>
      <c r="K1334" t="str" cm="1">
        <f t="array" ref="K1334">_xlfn.IFS(Table4_2[[#This Row],[Growth Days]]&lt;=14,"Seedling",Table4_2[[#This Row],[Growth Days]]&lt;=35, "Vegetative",Table4_2[[#This Row],[Growth Days]]&lt;=50, "Maturity")</f>
        <v>Seedling</v>
      </c>
      <c r="L1334" t="str">
        <f>IF(Table4_2[[#This Row],[TDS Value (ppm)]]&lt;560, "Low", IF(Table4_2[[#This Row],[TDS Value (ppm)]]&lt;=800,"Optimal","High"))</f>
        <v>Optimal</v>
      </c>
    </row>
    <row r="1335" spans="1:12" x14ac:dyDescent="0.25">
      <c r="A1335">
        <v>10</v>
      </c>
      <c r="B1335" s="1">
        <v>45155</v>
      </c>
      <c r="C1335" s="1" t="str">
        <f>TEXT(Table4_2[[#This Row],[Date]],"dddd")</f>
        <v>Thursday</v>
      </c>
      <c r="D1335" s="21">
        <v>29.6</v>
      </c>
      <c r="E1335" s="21">
        <v>73</v>
      </c>
      <c r="F1335" s="21">
        <v>419</v>
      </c>
      <c r="G1335" s="21">
        <v>6.2</v>
      </c>
      <c r="H1335">
        <v>15</v>
      </c>
      <c r="I1335">
        <v>85.28</v>
      </c>
      <c r="J1335">
        <v>0.73</v>
      </c>
      <c r="K1335" t="str" cm="1">
        <f t="array" ref="K1335">_xlfn.IFS(Table4_2[[#This Row],[Growth Days]]&lt;=14,"Seedling",Table4_2[[#This Row],[Growth Days]]&lt;=35, "Vegetative",Table4_2[[#This Row],[Growth Days]]&lt;=50, "Maturity")</f>
        <v>Vegetative</v>
      </c>
      <c r="L1335" t="str">
        <f>IF(Table4_2[[#This Row],[TDS Value (ppm)]]&lt;560, "Low", IF(Table4_2[[#This Row],[TDS Value (ppm)]]&lt;=800,"Optimal","High"))</f>
        <v>Low</v>
      </c>
    </row>
    <row r="1336" spans="1:12" x14ac:dyDescent="0.25">
      <c r="A1336">
        <v>10</v>
      </c>
      <c r="B1336" s="1">
        <v>45162</v>
      </c>
      <c r="C1336" s="1" t="str">
        <f>TEXT(Table4_2[[#This Row],[Date]],"dddd")</f>
        <v>Thursday</v>
      </c>
      <c r="D1336" s="21">
        <v>31.3</v>
      </c>
      <c r="E1336" s="21">
        <v>64</v>
      </c>
      <c r="F1336" s="21">
        <v>746</v>
      </c>
      <c r="G1336" s="21">
        <v>6.3</v>
      </c>
      <c r="H1336">
        <v>22</v>
      </c>
      <c r="I1336">
        <v>88.34</v>
      </c>
      <c r="J1336">
        <v>0.64</v>
      </c>
      <c r="K1336" t="str" cm="1">
        <f t="array" ref="K1336">_xlfn.IFS(Table4_2[[#This Row],[Growth Days]]&lt;=14,"Seedling",Table4_2[[#This Row],[Growth Days]]&lt;=35, "Vegetative",Table4_2[[#This Row],[Growth Days]]&lt;=50, "Maturity")</f>
        <v>Vegetative</v>
      </c>
      <c r="L1336" t="str">
        <f>IF(Table4_2[[#This Row],[TDS Value (ppm)]]&lt;560, "Low", IF(Table4_2[[#This Row],[TDS Value (ppm)]]&lt;=800,"Optimal","High"))</f>
        <v>Optimal</v>
      </c>
    </row>
    <row r="1337" spans="1:12" x14ac:dyDescent="0.25">
      <c r="A1337">
        <v>10</v>
      </c>
      <c r="B1337" s="1">
        <v>45169</v>
      </c>
      <c r="C1337" s="1" t="str">
        <f>TEXT(Table4_2[[#This Row],[Date]],"dddd")</f>
        <v>Thursday</v>
      </c>
      <c r="D1337" s="21">
        <v>29.2</v>
      </c>
      <c r="E1337" s="21">
        <v>54</v>
      </c>
      <c r="F1337" s="21">
        <v>585</v>
      </c>
      <c r="G1337" s="21">
        <v>6.5</v>
      </c>
      <c r="H1337">
        <v>29</v>
      </c>
      <c r="I1337">
        <v>84.56</v>
      </c>
      <c r="J1337">
        <v>0.54</v>
      </c>
      <c r="K1337" t="str" cm="1">
        <f t="array" ref="K1337">_xlfn.IFS(Table4_2[[#This Row],[Growth Days]]&lt;=14,"Seedling",Table4_2[[#This Row],[Growth Days]]&lt;=35, "Vegetative",Table4_2[[#This Row],[Growth Days]]&lt;=50, "Maturity")</f>
        <v>Vegetative</v>
      </c>
      <c r="L1337" t="str">
        <f>IF(Table4_2[[#This Row],[TDS Value (ppm)]]&lt;560, "Low", IF(Table4_2[[#This Row],[TDS Value (ppm)]]&lt;=800,"Optimal","High"))</f>
        <v>Optimal</v>
      </c>
    </row>
    <row r="1338" spans="1:12" x14ac:dyDescent="0.25">
      <c r="A1338">
        <v>10</v>
      </c>
      <c r="B1338" s="1">
        <v>45176</v>
      </c>
      <c r="C1338" s="1" t="str">
        <f>TEXT(Table4_2[[#This Row],[Date]],"dddd")</f>
        <v>Thursday</v>
      </c>
      <c r="D1338" s="21">
        <v>31.5</v>
      </c>
      <c r="E1338" s="21">
        <v>72</v>
      </c>
      <c r="F1338" s="21">
        <v>603</v>
      </c>
      <c r="G1338" s="21">
        <v>6.4</v>
      </c>
      <c r="H1338">
        <v>36</v>
      </c>
      <c r="I1338">
        <v>88.7</v>
      </c>
      <c r="J1338">
        <v>0.72</v>
      </c>
      <c r="K1338" t="str" cm="1">
        <f t="array" ref="K1338">_xlfn.IFS(Table4_2[[#This Row],[Growth Days]]&lt;=14,"Seedling",Table4_2[[#This Row],[Growth Days]]&lt;=35, "Vegetative",Table4_2[[#This Row],[Growth Days]]&lt;=50, "Maturity")</f>
        <v>Maturity</v>
      </c>
      <c r="L1338" t="str">
        <f>IF(Table4_2[[#This Row],[TDS Value (ppm)]]&lt;560, "Low", IF(Table4_2[[#This Row],[TDS Value (ppm)]]&lt;=800,"Optimal","High"))</f>
        <v>Optimal</v>
      </c>
    </row>
    <row r="1339" spans="1:12" x14ac:dyDescent="0.25">
      <c r="A1339">
        <v>10</v>
      </c>
      <c r="B1339" s="1">
        <v>45183</v>
      </c>
      <c r="C1339" s="1" t="str">
        <f>TEXT(Table4_2[[#This Row],[Date]],"dddd")</f>
        <v>Thursday</v>
      </c>
      <c r="D1339" s="21">
        <v>29.1</v>
      </c>
      <c r="E1339" s="21">
        <v>63</v>
      </c>
      <c r="F1339" s="21">
        <v>782</v>
      </c>
      <c r="G1339" s="21">
        <v>6.5</v>
      </c>
      <c r="H1339">
        <v>43</v>
      </c>
      <c r="I1339">
        <v>84.38</v>
      </c>
      <c r="J1339">
        <v>0.63</v>
      </c>
      <c r="K1339" t="str" cm="1">
        <f t="array" ref="K1339">_xlfn.IFS(Table4_2[[#This Row],[Growth Days]]&lt;=14,"Seedling",Table4_2[[#This Row],[Growth Days]]&lt;=35, "Vegetative",Table4_2[[#This Row],[Growth Days]]&lt;=50, "Maturity")</f>
        <v>Maturity</v>
      </c>
      <c r="L1339" t="str">
        <f>IF(Table4_2[[#This Row],[TDS Value (ppm)]]&lt;560, "Low", IF(Table4_2[[#This Row],[TDS Value (ppm)]]&lt;=800,"Optimal","High"))</f>
        <v>Optimal</v>
      </c>
    </row>
    <row r="1340" spans="1:12" x14ac:dyDescent="0.25">
      <c r="A1340">
        <v>11</v>
      </c>
      <c r="B1340" s="1">
        <v>45141</v>
      </c>
      <c r="C1340" s="1" t="str">
        <f>TEXT(Table4_2[[#This Row],[Date]],"dddd")</f>
        <v>Thursday</v>
      </c>
      <c r="D1340" s="21">
        <v>33.4</v>
      </c>
      <c r="E1340" s="21">
        <v>57</v>
      </c>
      <c r="F1340" s="21">
        <v>695</v>
      </c>
      <c r="G1340" s="21">
        <v>6.1</v>
      </c>
      <c r="H1340">
        <v>1</v>
      </c>
      <c r="I1340">
        <v>92.12</v>
      </c>
      <c r="J1340">
        <v>0.56999999999999995</v>
      </c>
      <c r="K1340" t="str" cm="1">
        <f t="array" ref="K1340">_xlfn.IFS(Table4_2[[#This Row],[Growth Days]]&lt;=14,"Seedling",Table4_2[[#This Row],[Growth Days]]&lt;=35, "Vegetative",Table4_2[[#This Row],[Growth Days]]&lt;=50, "Maturity")</f>
        <v>Seedling</v>
      </c>
      <c r="L1340" t="str">
        <f>IF(Table4_2[[#This Row],[TDS Value (ppm)]]&lt;560, "Low", IF(Table4_2[[#This Row],[TDS Value (ppm)]]&lt;=800,"Optimal","High"))</f>
        <v>Optimal</v>
      </c>
    </row>
    <row r="1341" spans="1:12" x14ac:dyDescent="0.25">
      <c r="A1341">
        <v>11</v>
      </c>
      <c r="B1341" s="1">
        <v>45148</v>
      </c>
      <c r="C1341" s="1" t="str">
        <f>TEXT(Table4_2[[#This Row],[Date]],"dddd")</f>
        <v>Thursday</v>
      </c>
      <c r="D1341" s="21">
        <v>22.7</v>
      </c>
      <c r="E1341" s="21">
        <v>56</v>
      </c>
      <c r="F1341" s="21">
        <v>489</v>
      </c>
      <c r="G1341" s="21">
        <v>6.4</v>
      </c>
      <c r="H1341">
        <v>8</v>
      </c>
      <c r="I1341">
        <v>72.86</v>
      </c>
      <c r="J1341">
        <v>0.56000000000000005</v>
      </c>
      <c r="K1341" t="str" cm="1">
        <f t="array" ref="K1341">_xlfn.IFS(Table4_2[[#This Row],[Growth Days]]&lt;=14,"Seedling",Table4_2[[#This Row],[Growth Days]]&lt;=35, "Vegetative",Table4_2[[#This Row],[Growth Days]]&lt;=50, "Maturity")</f>
        <v>Seedling</v>
      </c>
      <c r="L1341" t="str">
        <f>IF(Table4_2[[#This Row],[TDS Value (ppm)]]&lt;560, "Low", IF(Table4_2[[#This Row],[TDS Value (ppm)]]&lt;=800,"Optimal","High"))</f>
        <v>Low</v>
      </c>
    </row>
    <row r="1342" spans="1:12" x14ac:dyDescent="0.25">
      <c r="A1342">
        <v>11</v>
      </c>
      <c r="B1342" s="1">
        <v>45155</v>
      </c>
      <c r="C1342" s="1" t="str">
        <f>TEXT(Table4_2[[#This Row],[Date]],"dddd")</f>
        <v>Thursday</v>
      </c>
      <c r="D1342" s="21">
        <v>29.6</v>
      </c>
      <c r="E1342" s="21">
        <v>75</v>
      </c>
      <c r="F1342" s="21">
        <v>760</v>
      </c>
      <c r="G1342" s="21">
        <v>6.4</v>
      </c>
      <c r="H1342">
        <v>15</v>
      </c>
      <c r="I1342">
        <v>85.28</v>
      </c>
      <c r="J1342">
        <v>0.75</v>
      </c>
      <c r="K1342" t="str" cm="1">
        <f t="array" ref="K1342">_xlfn.IFS(Table4_2[[#This Row],[Growth Days]]&lt;=14,"Seedling",Table4_2[[#This Row],[Growth Days]]&lt;=35, "Vegetative",Table4_2[[#This Row],[Growth Days]]&lt;=50, "Maturity")</f>
        <v>Vegetative</v>
      </c>
      <c r="L1342" t="str">
        <f>IF(Table4_2[[#This Row],[TDS Value (ppm)]]&lt;560, "Low", IF(Table4_2[[#This Row],[TDS Value (ppm)]]&lt;=800,"Optimal","High"))</f>
        <v>Optimal</v>
      </c>
    </row>
    <row r="1343" spans="1:12" x14ac:dyDescent="0.25">
      <c r="A1343">
        <v>11</v>
      </c>
      <c r="B1343" s="1">
        <v>45162</v>
      </c>
      <c r="C1343" s="1" t="str">
        <f>TEXT(Table4_2[[#This Row],[Date]],"dddd")</f>
        <v>Thursday</v>
      </c>
      <c r="D1343" s="21">
        <v>31.3</v>
      </c>
      <c r="E1343" s="21">
        <v>76</v>
      </c>
      <c r="F1343" s="21">
        <v>620</v>
      </c>
      <c r="G1343" s="21">
        <v>6.6</v>
      </c>
      <c r="H1343">
        <v>22</v>
      </c>
      <c r="I1343">
        <v>88.34</v>
      </c>
      <c r="J1343">
        <v>0.76</v>
      </c>
      <c r="K1343" t="str" cm="1">
        <f t="array" ref="K1343">_xlfn.IFS(Table4_2[[#This Row],[Growth Days]]&lt;=14,"Seedling",Table4_2[[#This Row],[Growth Days]]&lt;=35, "Vegetative",Table4_2[[#This Row],[Growth Days]]&lt;=50, "Maturity")</f>
        <v>Vegetative</v>
      </c>
      <c r="L1343" t="str">
        <f>IF(Table4_2[[#This Row],[TDS Value (ppm)]]&lt;560, "Low", IF(Table4_2[[#This Row],[TDS Value (ppm)]]&lt;=800,"Optimal","High"))</f>
        <v>Optimal</v>
      </c>
    </row>
    <row r="1344" spans="1:12" x14ac:dyDescent="0.25">
      <c r="A1344">
        <v>11</v>
      </c>
      <c r="B1344" s="1">
        <v>45169</v>
      </c>
      <c r="C1344" s="1" t="str">
        <f>TEXT(Table4_2[[#This Row],[Date]],"dddd")</f>
        <v>Thursday</v>
      </c>
      <c r="D1344" s="21">
        <v>29.2</v>
      </c>
      <c r="E1344" s="21">
        <v>62</v>
      </c>
      <c r="F1344" s="21">
        <v>402</v>
      </c>
      <c r="G1344" s="21">
        <v>6.7</v>
      </c>
      <c r="H1344">
        <v>29</v>
      </c>
      <c r="I1344">
        <v>84.56</v>
      </c>
      <c r="J1344">
        <v>0.62</v>
      </c>
      <c r="K1344" t="str" cm="1">
        <f t="array" ref="K1344">_xlfn.IFS(Table4_2[[#This Row],[Growth Days]]&lt;=14,"Seedling",Table4_2[[#This Row],[Growth Days]]&lt;=35, "Vegetative",Table4_2[[#This Row],[Growth Days]]&lt;=50, "Maturity")</f>
        <v>Vegetative</v>
      </c>
      <c r="L1344" t="str">
        <f>IF(Table4_2[[#This Row],[TDS Value (ppm)]]&lt;560, "Low", IF(Table4_2[[#This Row],[TDS Value (ppm)]]&lt;=800,"Optimal","High"))</f>
        <v>Low</v>
      </c>
    </row>
    <row r="1345" spans="1:12" x14ac:dyDescent="0.25">
      <c r="A1345">
        <v>11</v>
      </c>
      <c r="B1345" s="1">
        <v>45176</v>
      </c>
      <c r="C1345" s="1" t="str">
        <f>TEXT(Table4_2[[#This Row],[Date]],"dddd")</f>
        <v>Thursday</v>
      </c>
      <c r="D1345" s="21">
        <v>31.5</v>
      </c>
      <c r="E1345" s="21">
        <v>80</v>
      </c>
      <c r="F1345" s="21">
        <v>424</v>
      </c>
      <c r="G1345" s="21">
        <v>6.6</v>
      </c>
      <c r="H1345">
        <v>36</v>
      </c>
      <c r="I1345">
        <v>88.7</v>
      </c>
      <c r="J1345">
        <v>0.8</v>
      </c>
      <c r="K1345" t="str" cm="1">
        <f t="array" ref="K1345">_xlfn.IFS(Table4_2[[#This Row],[Growth Days]]&lt;=14,"Seedling",Table4_2[[#This Row],[Growth Days]]&lt;=35, "Vegetative",Table4_2[[#This Row],[Growth Days]]&lt;=50, "Maturity")</f>
        <v>Maturity</v>
      </c>
      <c r="L1345" t="str">
        <f>IF(Table4_2[[#This Row],[TDS Value (ppm)]]&lt;560, "Low", IF(Table4_2[[#This Row],[TDS Value (ppm)]]&lt;=800,"Optimal","High"))</f>
        <v>Low</v>
      </c>
    </row>
    <row r="1346" spans="1:12" x14ac:dyDescent="0.25">
      <c r="A1346">
        <v>11</v>
      </c>
      <c r="B1346" s="1">
        <v>45183</v>
      </c>
      <c r="C1346" s="1" t="str">
        <f>TEXT(Table4_2[[#This Row],[Date]],"dddd")</f>
        <v>Thursday</v>
      </c>
      <c r="D1346" s="21">
        <v>29.1</v>
      </c>
      <c r="E1346" s="21">
        <v>55</v>
      </c>
      <c r="F1346" s="21">
        <v>660</v>
      </c>
      <c r="G1346" s="21">
        <v>6.3</v>
      </c>
      <c r="H1346">
        <v>43</v>
      </c>
      <c r="I1346">
        <v>84.38</v>
      </c>
      <c r="J1346">
        <v>0.55000000000000004</v>
      </c>
      <c r="K1346" t="str" cm="1">
        <f t="array" ref="K1346">_xlfn.IFS(Table4_2[[#This Row],[Growth Days]]&lt;=14,"Seedling",Table4_2[[#This Row],[Growth Days]]&lt;=35, "Vegetative",Table4_2[[#This Row],[Growth Days]]&lt;=50, "Maturity")</f>
        <v>Maturity</v>
      </c>
      <c r="L1346" t="str">
        <f>IF(Table4_2[[#This Row],[TDS Value (ppm)]]&lt;560, "Low", IF(Table4_2[[#This Row],[TDS Value (ppm)]]&lt;=800,"Optimal","High"))</f>
        <v>Optimal</v>
      </c>
    </row>
    <row r="1347" spans="1:12" x14ac:dyDescent="0.25">
      <c r="A1347">
        <v>12</v>
      </c>
      <c r="B1347" s="1">
        <v>45141</v>
      </c>
      <c r="C1347" s="1" t="str">
        <f>TEXT(Table4_2[[#This Row],[Date]],"dddd")</f>
        <v>Thursday</v>
      </c>
      <c r="D1347" s="21">
        <v>33.4</v>
      </c>
      <c r="E1347" s="21">
        <v>77</v>
      </c>
      <c r="F1347" s="21">
        <v>611</v>
      </c>
      <c r="G1347" s="21">
        <v>6.2</v>
      </c>
      <c r="H1347">
        <v>1</v>
      </c>
      <c r="I1347">
        <v>92.12</v>
      </c>
      <c r="J1347">
        <v>0.77</v>
      </c>
      <c r="K1347" t="str" cm="1">
        <f t="array" ref="K1347">_xlfn.IFS(Table4_2[[#This Row],[Growth Days]]&lt;=14,"Seedling",Table4_2[[#This Row],[Growth Days]]&lt;=35, "Vegetative",Table4_2[[#This Row],[Growth Days]]&lt;=50, "Maturity")</f>
        <v>Seedling</v>
      </c>
      <c r="L1347" t="str">
        <f>IF(Table4_2[[#This Row],[TDS Value (ppm)]]&lt;560, "Low", IF(Table4_2[[#This Row],[TDS Value (ppm)]]&lt;=800,"Optimal","High"))</f>
        <v>Optimal</v>
      </c>
    </row>
    <row r="1348" spans="1:12" x14ac:dyDescent="0.25">
      <c r="A1348">
        <v>12</v>
      </c>
      <c r="B1348" s="1">
        <v>45148</v>
      </c>
      <c r="C1348" s="1" t="str">
        <f>TEXT(Table4_2[[#This Row],[Date]],"dddd")</f>
        <v>Thursday</v>
      </c>
      <c r="D1348" s="21">
        <v>22.7</v>
      </c>
      <c r="E1348" s="21">
        <v>58</v>
      </c>
      <c r="F1348" s="21">
        <v>517</v>
      </c>
      <c r="G1348" s="21">
        <v>6.2</v>
      </c>
      <c r="H1348">
        <v>8</v>
      </c>
      <c r="I1348">
        <v>72.86</v>
      </c>
      <c r="J1348">
        <v>0.57999999999999996</v>
      </c>
      <c r="K1348" t="str" cm="1">
        <f t="array" ref="K1348">_xlfn.IFS(Table4_2[[#This Row],[Growth Days]]&lt;=14,"Seedling",Table4_2[[#This Row],[Growth Days]]&lt;=35, "Vegetative",Table4_2[[#This Row],[Growth Days]]&lt;=50, "Maturity")</f>
        <v>Seedling</v>
      </c>
      <c r="L1348" t="str">
        <f>IF(Table4_2[[#This Row],[TDS Value (ppm)]]&lt;560, "Low", IF(Table4_2[[#This Row],[TDS Value (ppm)]]&lt;=800,"Optimal","High"))</f>
        <v>Low</v>
      </c>
    </row>
    <row r="1349" spans="1:12" x14ac:dyDescent="0.25">
      <c r="A1349">
        <v>12</v>
      </c>
      <c r="B1349" s="1">
        <v>45155</v>
      </c>
      <c r="C1349" s="1" t="str">
        <f>TEXT(Table4_2[[#This Row],[Date]],"dddd")</f>
        <v>Thursday</v>
      </c>
      <c r="D1349" s="21">
        <v>29.6</v>
      </c>
      <c r="E1349" s="21">
        <v>70</v>
      </c>
      <c r="F1349" s="21">
        <v>497</v>
      </c>
      <c r="G1349" s="21">
        <v>6.3</v>
      </c>
      <c r="H1349">
        <v>15</v>
      </c>
      <c r="I1349">
        <v>85.28</v>
      </c>
      <c r="J1349">
        <v>0.7</v>
      </c>
      <c r="K1349" t="str" cm="1">
        <f t="array" ref="K1349">_xlfn.IFS(Table4_2[[#This Row],[Growth Days]]&lt;=14,"Seedling",Table4_2[[#This Row],[Growth Days]]&lt;=35, "Vegetative",Table4_2[[#This Row],[Growth Days]]&lt;=50, "Maturity")</f>
        <v>Vegetative</v>
      </c>
      <c r="L1349" t="str">
        <f>IF(Table4_2[[#This Row],[TDS Value (ppm)]]&lt;560, "Low", IF(Table4_2[[#This Row],[TDS Value (ppm)]]&lt;=800,"Optimal","High"))</f>
        <v>Low</v>
      </c>
    </row>
    <row r="1350" spans="1:12" x14ac:dyDescent="0.25">
      <c r="A1350">
        <v>12</v>
      </c>
      <c r="B1350" s="1">
        <v>45162</v>
      </c>
      <c r="C1350" s="1" t="str">
        <f>TEXT(Table4_2[[#This Row],[Date]],"dddd")</f>
        <v>Thursday</v>
      </c>
      <c r="D1350" s="21">
        <v>31.3</v>
      </c>
      <c r="E1350" s="21">
        <v>71</v>
      </c>
      <c r="F1350" s="21">
        <v>485</v>
      </c>
      <c r="G1350" s="21">
        <v>6</v>
      </c>
      <c r="H1350">
        <v>22</v>
      </c>
      <c r="I1350">
        <v>88.34</v>
      </c>
      <c r="J1350">
        <v>0.71</v>
      </c>
      <c r="K1350" t="str" cm="1">
        <f t="array" ref="K1350">_xlfn.IFS(Table4_2[[#This Row],[Growth Days]]&lt;=14,"Seedling",Table4_2[[#This Row],[Growth Days]]&lt;=35, "Vegetative",Table4_2[[#This Row],[Growth Days]]&lt;=50, "Maturity")</f>
        <v>Vegetative</v>
      </c>
      <c r="L1350" t="str">
        <f>IF(Table4_2[[#This Row],[TDS Value (ppm)]]&lt;560, "Low", IF(Table4_2[[#This Row],[TDS Value (ppm)]]&lt;=800,"Optimal","High"))</f>
        <v>Low</v>
      </c>
    </row>
    <row r="1351" spans="1:12" x14ac:dyDescent="0.25">
      <c r="A1351">
        <v>12</v>
      </c>
      <c r="B1351" s="1">
        <v>45169</v>
      </c>
      <c r="C1351" s="1" t="str">
        <f>TEXT(Table4_2[[#This Row],[Date]],"dddd")</f>
        <v>Thursday</v>
      </c>
      <c r="D1351" s="21">
        <v>29.2</v>
      </c>
      <c r="E1351" s="21">
        <v>78</v>
      </c>
      <c r="F1351" s="21">
        <v>756</v>
      </c>
      <c r="G1351" s="21">
        <v>6.1</v>
      </c>
      <c r="H1351">
        <v>29</v>
      </c>
      <c r="I1351">
        <v>84.56</v>
      </c>
      <c r="J1351">
        <v>0.78</v>
      </c>
      <c r="K1351" t="str" cm="1">
        <f t="array" ref="K1351">_xlfn.IFS(Table4_2[[#This Row],[Growth Days]]&lt;=14,"Seedling",Table4_2[[#This Row],[Growth Days]]&lt;=35, "Vegetative",Table4_2[[#This Row],[Growth Days]]&lt;=50, "Maturity")</f>
        <v>Vegetative</v>
      </c>
      <c r="L1351" t="str">
        <f>IF(Table4_2[[#This Row],[TDS Value (ppm)]]&lt;560, "Low", IF(Table4_2[[#This Row],[TDS Value (ppm)]]&lt;=800,"Optimal","High"))</f>
        <v>Optimal</v>
      </c>
    </row>
    <row r="1352" spans="1:12" x14ac:dyDescent="0.25">
      <c r="A1352">
        <v>12</v>
      </c>
      <c r="B1352" s="1">
        <v>45176</v>
      </c>
      <c r="C1352" s="1" t="str">
        <f>TEXT(Table4_2[[#This Row],[Date]],"dddd")</f>
        <v>Thursday</v>
      </c>
      <c r="D1352" s="21">
        <v>31.5</v>
      </c>
      <c r="E1352" s="21">
        <v>69</v>
      </c>
      <c r="F1352" s="21">
        <v>630</v>
      </c>
      <c r="G1352" s="21">
        <v>6.4</v>
      </c>
      <c r="H1352">
        <v>36</v>
      </c>
      <c r="I1352">
        <v>88.7</v>
      </c>
      <c r="J1352">
        <v>0.69</v>
      </c>
      <c r="K1352" t="str" cm="1">
        <f t="array" ref="K1352">_xlfn.IFS(Table4_2[[#This Row],[Growth Days]]&lt;=14,"Seedling",Table4_2[[#This Row],[Growth Days]]&lt;=35, "Vegetative",Table4_2[[#This Row],[Growth Days]]&lt;=50, "Maturity")</f>
        <v>Maturity</v>
      </c>
      <c r="L1352" t="str">
        <f>IF(Table4_2[[#This Row],[TDS Value (ppm)]]&lt;560, "Low", IF(Table4_2[[#This Row],[TDS Value (ppm)]]&lt;=800,"Optimal","High"))</f>
        <v>Optimal</v>
      </c>
    </row>
    <row r="1353" spans="1:12" x14ac:dyDescent="0.25">
      <c r="A1353">
        <v>12</v>
      </c>
      <c r="B1353" s="1">
        <v>45183</v>
      </c>
      <c r="C1353" s="1" t="str">
        <f>TEXT(Table4_2[[#This Row],[Date]],"dddd")</f>
        <v>Thursday</v>
      </c>
      <c r="D1353" s="21">
        <v>29.1</v>
      </c>
      <c r="E1353" s="21">
        <v>51</v>
      </c>
      <c r="F1353" s="21">
        <v>423</v>
      </c>
      <c r="G1353" s="21">
        <v>6.5</v>
      </c>
      <c r="H1353">
        <v>43</v>
      </c>
      <c r="I1353">
        <v>84.38</v>
      </c>
      <c r="J1353">
        <v>0.51</v>
      </c>
      <c r="K1353" t="str" cm="1">
        <f t="array" ref="K1353">_xlfn.IFS(Table4_2[[#This Row],[Growth Days]]&lt;=14,"Seedling",Table4_2[[#This Row],[Growth Days]]&lt;=35, "Vegetative",Table4_2[[#This Row],[Growth Days]]&lt;=50, "Maturity")</f>
        <v>Maturity</v>
      </c>
      <c r="L1353" t="str">
        <f>IF(Table4_2[[#This Row],[TDS Value (ppm)]]&lt;560, "Low", IF(Table4_2[[#This Row],[TDS Value (ppm)]]&lt;=800,"Optimal","High"))</f>
        <v>Low</v>
      </c>
    </row>
    <row r="1354" spans="1:12" x14ac:dyDescent="0.25">
      <c r="A1354">
        <v>13</v>
      </c>
      <c r="B1354" s="1">
        <v>45141</v>
      </c>
      <c r="C1354" s="1" t="str">
        <f>TEXT(Table4_2[[#This Row],[Date]],"dddd")</f>
        <v>Thursday</v>
      </c>
      <c r="D1354" s="21">
        <v>33.4</v>
      </c>
      <c r="E1354" s="21">
        <v>59</v>
      </c>
      <c r="F1354" s="21">
        <v>544</v>
      </c>
      <c r="G1354" s="21">
        <v>6.8</v>
      </c>
      <c r="H1354">
        <v>1</v>
      </c>
      <c r="I1354">
        <v>92.12</v>
      </c>
      <c r="J1354">
        <v>0.59</v>
      </c>
      <c r="K1354" t="str" cm="1">
        <f t="array" ref="K1354">_xlfn.IFS(Table4_2[[#This Row],[Growth Days]]&lt;=14,"Seedling",Table4_2[[#This Row],[Growth Days]]&lt;=35, "Vegetative",Table4_2[[#This Row],[Growth Days]]&lt;=50, "Maturity")</f>
        <v>Seedling</v>
      </c>
      <c r="L1354" t="str">
        <f>IF(Table4_2[[#This Row],[TDS Value (ppm)]]&lt;560, "Low", IF(Table4_2[[#This Row],[TDS Value (ppm)]]&lt;=800,"Optimal","High"))</f>
        <v>Low</v>
      </c>
    </row>
    <row r="1355" spans="1:12" x14ac:dyDescent="0.25">
      <c r="A1355">
        <v>13</v>
      </c>
      <c r="B1355" s="1">
        <v>45148</v>
      </c>
      <c r="C1355" s="1" t="str">
        <f>TEXT(Table4_2[[#This Row],[Date]],"dddd")</f>
        <v>Thursday</v>
      </c>
      <c r="D1355" s="21">
        <v>22.7</v>
      </c>
      <c r="E1355" s="21">
        <v>54</v>
      </c>
      <c r="F1355" s="21">
        <v>663</v>
      </c>
      <c r="G1355" s="21">
        <v>6.6</v>
      </c>
      <c r="H1355">
        <v>8</v>
      </c>
      <c r="I1355">
        <v>72.86</v>
      </c>
      <c r="J1355">
        <v>0.54</v>
      </c>
      <c r="K1355" t="str" cm="1">
        <f t="array" ref="K1355">_xlfn.IFS(Table4_2[[#This Row],[Growth Days]]&lt;=14,"Seedling",Table4_2[[#This Row],[Growth Days]]&lt;=35, "Vegetative",Table4_2[[#This Row],[Growth Days]]&lt;=50, "Maturity")</f>
        <v>Seedling</v>
      </c>
      <c r="L1355" t="str">
        <f>IF(Table4_2[[#This Row],[TDS Value (ppm)]]&lt;560, "Low", IF(Table4_2[[#This Row],[TDS Value (ppm)]]&lt;=800,"Optimal","High"))</f>
        <v>Optimal</v>
      </c>
    </row>
    <row r="1356" spans="1:12" x14ac:dyDescent="0.25">
      <c r="A1356">
        <v>13</v>
      </c>
      <c r="B1356" s="1">
        <v>45155</v>
      </c>
      <c r="C1356" s="1" t="str">
        <f>TEXT(Table4_2[[#This Row],[Date]],"dddd")</f>
        <v>Thursday</v>
      </c>
      <c r="D1356" s="21">
        <v>29.6</v>
      </c>
      <c r="E1356" s="21">
        <v>71</v>
      </c>
      <c r="F1356" s="21">
        <v>772</v>
      </c>
      <c r="G1356" s="21">
        <v>6.3</v>
      </c>
      <c r="H1356">
        <v>15</v>
      </c>
      <c r="I1356">
        <v>85.28</v>
      </c>
      <c r="J1356">
        <v>0.71</v>
      </c>
      <c r="K1356" t="str" cm="1">
        <f t="array" ref="K1356">_xlfn.IFS(Table4_2[[#This Row],[Growth Days]]&lt;=14,"Seedling",Table4_2[[#This Row],[Growth Days]]&lt;=35, "Vegetative",Table4_2[[#This Row],[Growth Days]]&lt;=50, "Maturity")</f>
        <v>Vegetative</v>
      </c>
      <c r="L1356" t="str">
        <f>IF(Table4_2[[#This Row],[TDS Value (ppm)]]&lt;560, "Low", IF(Table4_2[[#This Row],[TDS Value (ppm)]]&lt;=800,"Optimal","High"))</f>
        <v>Optimal</v>
      </c>
    </row>
    <row r="1357" spans="1:12" x14ac:dyDescent="0.25">
      <c r="A1357">
        <v>13</v>
      </c>
      <c r="B1357" s="1">
        <v>45162</v>
      </c>
      <c r="C1357" s="1" t="str">
        <f>TEXT(Table4_2[[#This Row],[Date]],"dddd")</f>
        <v>Thursday</v>
      </c>
      <c r="D1357" s="21">
        <v>31.3</v>
      </c>
      <c r="E1357" s="21">
        <v>55</v>
      </c>
      <c r="F1357" s="21">
        <v>490</v>
      </c>
      <c r="G1357" s="21">
        <v>6.8</v>
      </c>
      <c r="H1357">
        <v>22</v>
      </c>
      <c r="I1357">
        <v>88.34</v>
      </c>
      <c r="J1357">
        <v>0.55000000000000004</v>
      </c>
      <c r="K1357" t="str" cm="1">
        <f t="array" ref="K1357">_xlfn.IFS(Table4_2[[#This Row],[Growth Days]]&lt;=14,"Seedling",Table4_2[[#This Row],[Growth Days]]&lt;=35, "Vegetative",Table4_2[[#This Row],[Growth Days]]&lt;=50, "Maturity")</f>
        <v>Vegetative</v>
      </c>
      <c r="L1357" t="str">
        <f>IF(Table4_2[[#This Row],[TDS Value (ppm)]]&lt;560, "Low", IF(Table4_2[[#This Row],[TDS Value (ppm)]]&lt;=800,"Optimal","High"))</f>
        <v>Low</v>
      </c>
    </row>
    <row r="1358" spans="1:12" x14ac:dyDescent="0.25">
      <c r="A1358">
        <v>13</v>
      </c>
      <c r="B1358" s="1">
        <v>45169</v>
      </c>
      <c r="C1358" s="1" t="str">
        <f>TEXT(Table4_2[[#This Row],[Date]],"dddd")</f>
        <v>Thursday</v>
      </c>
      <c r="D1358" s="21">
        <v>29.2</v>
      </c>
      <c r="E1358" s="21">
        <v>59</v>
      </c>
      <c r="F1358" s="21">
        <v>492</v>
      </c>
      <c r="G1358" s="21">
        <v>6.7</v>
      </c>
      <c r="H1358">
        <v>29</v>
      </c>
      <c r="I1358">
        <v>84.56</v>
      </c>
      <c r="J1358">
        <v>0.59</v>
      </c>
      <c r="K1358" t="str" cm="1">
        <f t="array" ref="K1358">_xlfn.IFS(Table4_2[[#This Row],[Growth Days]]&lt;=14,"Seedling",Table4_2[[#This Row],[Growth Days]]&lt;=35, "Vegetative",Table4_2[[#This Row],[Growth Days]]&lt;=50, "Maturity")</f>
        <v>Vegetative</v>
      </c>
      <c r="L1358" t="str">
        <f>IF(Table4_2[[#This Row],[TDS Value (ppm)]]&lt;560, "Low", IF(Table4_2[[#This Row],[TDS Value (ppm)]]&lt;=800,"Optimal","High"))</f>
        <v>Low</v>
      </c>
    </row>
    <row r="1359" spans="1:12" x14ac:dyDescent="0.25">
      <c r="A1359">
        <v>13</v>
      </c>
      <c r="B1359" s="1">
        <v>45176</v>
      </c>
      <c r="C1359" s="1" t="str">
        <f>TEXT(Table4_2[[#This Row],[Date]],"dddd")</f>
        <v>Thursday</v>
      </c>
      <c r="D1359" s="21">
        <v>31.5</v>
      </c>
      <c r="E1359" s="21">
        <v>52</v>
      </c>
      <c r="F1359" s="21">
        <v>724</v>
      </c>
      <c r="G1359" s="21">
        <v>6.8</v>
      </c>
      <c r="H1359">
        <v>36</v>
      </c>
      <c r="I1359">
        <v>88.7</v>
      </c>
      <c r="J1359">
        <v>0.52</v>
      </c>
      <c r="K1359" t="str" cm="1">
        <f t="array" ref="K1359">_xlfn.IFS(Table4_2[[#This Row],[Growth Days]]&lt;=14,"Seedling",Table4_2[[#This Row],[Growth Days]]&lt;=35, "Vegetative",Table4_2[[#This Row],[Growth Days]]&lt;=50, "Maturity")</f>
        <v>Maturity</v>
      </c>
      <c r="L1359" t="str">
        <f>IF(Table4_2[[#This Row],[TDS Value (ppm)]]&lt;560, "Low", IF(Table4_2[[#This Row],[TDS Value (ppm)]]&lt;=800,"Optimal","High"))</f>
        <v>Optimal</v>
      </c>
    </row>
    <row r="1360" spans="1:12" x14ac:dyDescent="0.25">
      <c r="A1360">
        <v>13</v>
      </c>
      <c r="B1360" s="1">
        <v>45183</v>
      </c>
      <c r="C1360" s="1" t="str">
        <f>TEXT(Table4_2[[#This Row],[Date]],"dddd")</f>
        <v>Thursday</v>
      </c>
      <c r="D1360" s="21">
        <v>29.1</v>
      </c>
      <c r="E1360" s="21">
        <v>66</v>
      </c>
      <c r="F1360" s="21">
        <v>609</v>
      </c>
      <c r="G1360" s="21">
        <v>6.2</v>
      </c>
      <c r="H1360">
        <v>43</v>
      </c>
      <c r="I1360">
        <v>84.38</v>
      </c>
      <c r="J1360">
        <v>0.66</v>
      </c>
      <c r="K1360" t="str" cm="1">
        <f t="array" ref="K1360">_xlfn.IFS(Table4_2[[#This Row],[Growth Days]]&lt;=14,"Seedling",Table4_2[[#This Row],[Growth Days]]&lt;=35, "Vegetative",Table4_2[[#This Row],[Growth Days]]&lt;=50, "Maturity")</f>
        <v>Maturity</v>
      </c>
      <c r="L1360" t="str">
        <f>IF(Table4_2[[#This Row],[TDS Value (ppm)]]&lt;560, "Low", IF(Table4_2[[#This Row],[TDS Value (ppm)]]&lt;=800,"Optimal","High"))</f>
        <v>Optimal</v>
      </c>
    </row>
    <row r="1361" spans="1:12" x14ac:dyDescent="0.25">
      <c r="A1361">
        <v>14</v>
      </c>
      <c r="B1361" s="1">
        <v>45141</v>
      </c>
      <c r="C1361" s="1" t="str">
        <f>TEXT(Table4_2[[#This Row],[Date]],"dddd")</f>
        <v>Thursday</v>
      </c>
      <c r="D1361" s="21">
        <v>33.4</v>
      </c>
      <c r="E1361" s="21">
        <v>56</v>
      </c>
      <c r="F1361" s="21">
        <v>535</v>
      </c>
      <c r="G1361" s="21">
        <v>6.2</v>
      </c>
      <c r="H1361">
        <v>1</v>
      </c>
      <c r="I1361">
        <v>92.12</v>
      </c>
      <c r="J1361">
        <v>0.56000000000000005</v>
      </c>
      <c r="K1361" t="str" cm="1">
        <f t="array" ref="K1361">_xlfn.IFS(Table4_2[[#This Row],[Growth Days]]&lt;=14,"Seedling",Table4_2[[#This Row],[Growth Days]]&lt;=35, "Vegetative",Table4_2[[#This Row],[Growth Days]]&lt;=50, "Maturity")</f>
        <v>Seedling</v>
      </c>
      <c r="L1361" t="str">
        <f>IF(Table4_2[[#This Row],[TDS Value (ppm)]]&lt;560, "Low", IF(Table4_2[[#This Row],[TDS Value (ppm)]]&lt;=800,"Optimal","High"))</f>
        <v>Low</v>
      </c>
    </row>
    <row r="1362" spans="1:12" x14ac:dyDescent="0.25">
      <c r="A1362">
        <v>14</v>
      </c>
      <c r="B1362" s="1">
        <v>45148</v>
      </c>
      <c r="C1362" s="1" t="str">
        <f>TEXT(Table4_2[[#This Row],[Date]],"dddd")</f>
        <v>Thursday</v>
      </c>
      <c r="D1362" s="21">
        <v>22.7</v>
      </c>
      <c r="E1362" s="21">
        <v>68</v>
      </c>
      <c r="F1362" s="21">
        <v>714</v>
      </c>
      <c r="G1362" s="21">
        <v>6.6</v>
      </c>
      <c r="H1362">
        <v>8</v>
      </c>
      <c r="I1362">
        <v>72.86</v>
      </c>
      <c r="J1362">
        <v>0.68</v>
      </c>
      <c r="K1362" t="str" cm="1">
        <f t="array" ref="K1362">_xlfn.IFS(Table4_2[[#This Row],[Growth Days]]&lt;=14,"Seedling",Table4_2[[#This Row],[Growth Days]]&lt;=35, "Vegetative",Table4_2[[#This Row],[Growth Days]]&lt;=50, "Maturity")</f>
        <v>Seedling</v>
      </c>
      <c r="L1362" t="str">
        <f>IF(Table4_2[[#This Row],[TDS Value (ppm)]]&lt;560, "Low", IF(Table4_2[[#This Row],[TDS Value (ppm)]]&lt;=800,"Optimal","High"))</f>
        <v>Optimal</v>
      </c>
    </row>
    <row r="1363" spans="1:12" x14ac:dyDescent="0.25">
      <c r="A1363">
        <v>14</v>
      </c>
      <c r="B1363" s="1">
        <v>45155</v>
      </c>
      <c r="C1363" s="1" t="str">
        <f>TEXT(Table4_2[[#This Row],[Date]],"dddd")</f>
        <v>Thursday</v>
      </c>
      <c r="D1363" s="21">
        <v>29.6</v>
      </c>
      <c r="E1363" s="21">
        <v>80</v>
      </c>
      <c r="F1363" s="21">
        <v>455</v>
      </c>
      <c r="G1363" s="21">
        <v>6.3</v>
      </c>
      <c r="H1363">
        <v>15</v>
      </c>
      <c r="I1363">
        <v>85.28</v>
      </c>
      <c r="J1363">
        <v>0.8</v>
      </c>
      <c r="K1363" t="str" cm="1">
        <f t="array" ref="K1363">_xlfn.IFS(Table4_2[[#This Row],[Growth Days]]&lt;=14,"Seedling",Table4_2[[#This Row],[Growth Days]]&lt;=35, "Vegetative",Table4_2[[#This Row],[Growth Days]]&lt;=50, "Maturity")</f>
        <v>Vegetative</v>
      </c>
      <c r="L1363" t="str">
        <f>IF(Table4_2[[#This Row],[TDS Value (ppm)]]&lt;560, "Low", IF(Table4_2[[#This Row],[TDS Value (ppm)]]&lt;=800,"Optimal","High"))</f>
        <v>Low</v>
      </c>
    </row>
    <row r="1364" spans="1:12" x14ac:dyDescent="0.25">
      <c r="A1364">
        <v>14</v>
      </c>
      <c r="B1364" s="1">
        <v>45162</v>
      </c>
      <c r="C1364" s="1" t="str">
        <f>TEXT(Table4_2[[#This Row],[Date]],"dddd")</f>
        <v>Thursday</v>
      </c>
      <c r="D1364" s="21">
        <v>31.3</v>
      </c>
      <c r="E1364" s="21">
        <v>66</v>
      </c>
      <c r="F1364" s="21">
        <v>498</v>
      </c>
      <c r="G1364" s="21">
        <v>6.2</v>
      </c>
      <c r="H1364">
        <v>22</v>
      </c>
      <c r="I1364">
        <v>88.34</v>
      </c>
      <c r="J1364">
        <v>0.66</v>
      </c>
      <c r="K1364" t="str" cm="1">
        <f t="array" ref="K1364">_xlfn.IFS(Table4_2[[#This Row],[Growth Days]]&lt;=14,"Seedling",Table4_2[[#This Row],[Growth Days]]&lt;=35, "Vegetative",Table4_2[[#This Row],[Growth Days]]&lt;=50, "Maturity")</f>
        <v>Vegetative</v>
      </c>
      <c r="L1364" t="str">
        <f>IF(Table4_2[[#This Row],[TDS Value (ppm)]]&lt;560, "Low", IF(Table4_2[[#This Row],[TDS Value (ppm)]]&lt;=800,"Optimal","High"))</f>
        <v>Low</v>
      </c>
    </row>
    <row r="1365" spans="1:12" x14ac:dyDescent="0.25">
      <c r="A1365">
        <v>14</v>
      </c>
      <c r="B1365" s="1">
        <v>45169</v>
      </c>
      <c r="C1365" s="1" t="str">
        <f>TEXT(Table4_2[[#This Row],[Date]],"dddd")</f>
        <v>Thursday</v>
      </c>
      <c r="D1365" s="21">
        <v>29.2</v>
      </c>
      <c r="E1365" s="21">
        <v>73</v>
      </c>
      <c r="F1365" s="21">
        <v>505</v>
      </c>
      <c r="G1365" s="21">
        <v>6</v>
      </c>
      <c r="H1365">
        <v>29</v>
      </c>
      <c r="I1365">
        <v>84.56</v>
      </c>
      <c r="J1365">
        <v>0.73</v>
      </c>
      <c r="K1365" t="str" cm="1">
        <f t="array" ref="K1365">_xlfn.IFS(Table4_2[[#This Row],[Growth Days]]&lt;=14,"Seedling",Table4_2[[#This Row],[Growth Days]]&lt;=35, "Vegetative",Table4_2[[#This Row],[Growth Days]]&lt;=50, "Maturity")</f>
        <v>Vegetative</v>
      </c>
      <c r="L1365" t="str">
        <f>IF(Table4_2[[#This Row],[TDS Value (ppm)]]&lt;560, "Low", IF(Table4_2[[#This Row],[TDS Value (ppm)]]&lt;=800,"Optimal","High"))</f>
        <v>Low</v>
      </c>
    </row>
    <row r="1366" spans="1:12" x14ac:dyDescent="0.25">
      <c r="A1366">
        <v>14</v>
      </c>
      <c r="B1366" s="1">
        <v>45176</v>
      </c>
      <c r="C1366" s="1" t="str">
        <f>TEXT(Table4_2[[#This Row],[Date]],"dddd")</f>
        <v>Thursday</v>
      </c>
      <c r="D1366" s="21">
        <v>31.5</v>
      </c>
      <c r="E1366" s="21">
        <v>57</v>
      </c>
      <c r="F1366" s="21">
        <v>642</v>
      </c>
      <c r="G1366" s="21">
        <v>6.4</v>
      </c>
      <c r="H1366">
        <v>36</v>
      </c>
      <c r="I1366">
        <v>88.7</v>
      </c>
      <c r="J1366">
        <v>0.56999999999999995</v>
      </c>
      <c r="K1366" t="str" cm="1">
        <f t="array" ref="K1366">_xlfn.IFS(Table4_2[[#This Row],[Growth Days]]&lt;=14,"Seedling",Table4_2[[#This Row],[Growth Days]]&lt;=35, "Vegetative",Table4_2[[#This Row],[Growth Days]]&lt;=50, "Maturity")</f>
        <v>Maturity</v>
      </c>
      <c r="L1366" t="str">
        <f>IF(Table4_2[[#This Row],[TDS Value (ppm)]]&lt;560, "Low", IF(Table4_2[[#This Row],[TDS Value (ppm)]]&lt;=800,"Optimal","High"))</f>
        <v>Optimal</v>
      </c>
    </row>
    <row r="1367" spans="1:12" x14ac:dyDescent="0.25">
      <c r="A1367">
        <v>14</v>
      </c>
      <c r="B1367" s="1">
        <v>45183</v>
      </c>
      <c r="C1367" s="1" t="str">
        <f>TEXT(Table4_2[[#This Row],[Date]],"dddd")</f>
        <v>Thursday</v>
      </c>
      <c r="D1367" s="21">
        <v>29.1</v>
      </c>
      <c r="E1367" s="21">
        <v>61</v>
      </c>
      <c r="F1367" s="21">
        <v>764</v>
      </c>
      <c r="G1367" s="21">
        <v>6.4</v>
      </c>
      <c r="H1367">
        <v>43</v>
      </c>
      <c r="I1367">
        <v>84.38</v>
      </c>
      <c r="J1367">
        <v>0.61</v>
      </c>
      <c r="K1367" t="str" cm="1">
        <f t="array" ref="K1367">_xlfn.IFS(Table4_2[[#This Row],[Growth Days]]&lt;=14,"Seedling",Table4_2[[#This Row],[Growth Days]]&lt;=35, "Vegetative",Table4_2[[#This Row],[Growth Days]]&lt;=50, "Maturity")</f>
        <v>Maturity</v>
      </c>
      <c r="L1367" t="str">
        <f>IF(Table4_2[[#This Row],[TDS Value (ppm)]]&lt;560, "Low", IF(Table4_2[[#This Row],[TDS Value (ppm)]]&lt;=800,"Optimal","High"))</f>
        <v>Optimal</v>
      </c>
    </row>
    <row r="1368" spans="1:12" x14ac:dyDescent="0.25">
      <c r="A1368">
        <v>15</v>
      </c>
      <c r="B1368" s="1">
        <v>45141</v>
      </c>
      <c r="C1368" s="1" t="str">
        <f>TEXT(Table4_2[[#This Row],[Date]],"dddd")</f>
        <v>Thursday</v>
      </c>
      <c r="D1368" s="21">
        <v>33.4</v>
      </c>
      <c r="E1368" s="21">
        <v>61</v>
      </c>
      <c r="F1368" s="21">
        <v>555</v>
      </c>
      <c r="G1368" s="21">
        <v>6.1</v>
      </c>
      <c r="H1368">
        <v>1</v>
      </c>
      <c r="I1368">
        <v>92.12</v>
      </c>
      <c r="J1368">
        <v>0.61</v>
      </c>
      <c r="K1368" t="str" cm="1">
        <f t="array" ref="K1368">_xlfn.IFS(Table4_2[[#This Row],[Growth Days]]&lt;=14,"Seedling",Table4_2[[#This Row],[Growth Days]]&lt;=35, "Vegetative",Table4_2[[#This Row],[Growth Days]]&lt;=50, "Maturity")</f>
        <v>Seedling</v>
      </c>
      <c r="L1368" t="str">
        <f>IF(Table4_2[[#This Row],[TDS Value (ppm)]]&lt;560, "Low", IF(Table4_2[[#This Row],[TDS Value (ppm)]]&lt;=800,"Optimal","High"))</f>
        <v>Low</v>
      </c>
    </row>
    <row r="1369" spans="1:12" x14ac:dyDescent="0.25">
      <c r="A1369">
        <v>15</v>
      </c>
      <c r="B1369" s="1">
        <v>45148</v>
      </c>
      <c r="C1369" s="1" t="str">
        <f>TEXT(Table4_2[[#This Row],[Date]],"dddd")</f>
        <v>Thursday</v>
      </c>
      <c r="D1369" s="21">
        <v>22.7</v>
      </c>
      <c r="E1369" s="21">
        <v>58</v>
      </c>
      <c r="F1369" s="21">
        <v>724</v>
      </c>
      <c r="G1369" s="21">
        <v>6.5</v>
      </c>
      <c r="H1369">
        <v>8</v>
      </c>
      <c r="I1369">
        <v>72.86</v>
      </c>
      <c r="J1369">
        <v>0.57999999999999996</v>
      </c>
      <c r="K1369" t="str" cm="1">
        <f t="array" ref="K1369">_xlfn.IFS(Table4_2[[#This Row],[Growth Days]]&lt;=14,"Seedling",Table4_2[[#This Row],[Growth Days]]&lt;=35, "Vegetative",Table4_2[[#This Row],[Growth Days]]&lt;=50, "Maturity")</f>
        <v>Seedling</v>
      </c>
      <c r="L1369" t="str">
        <f>IF(Table4_2[[#This Row],[TDS Value (ppm)]]&lt;560, "Low", IF(Table4_2[[#This Row],[TDS Value (ppm)]]&lt;=800,"Optimal","High"))</f>
        <v>Optimal</v>
      </c>
    </row>
    <row r="1370" spans="1:12" x14ac:dyDescent="0.25">
      <c r="A1370">
        <v>15</v>
      </c>
      <c r="B1370" s="1">
        <v>45155</v>
      </c>
      <c r="C1370" s="1" t="str">
        <f>TEXT(Table4_2[[#This Row],[Date]],"dddd")</f>
        <v>Thursday</v>
      </c>
      <c r="D1370" s="21">
        <v>29.6</v>
      </c>
      <c r="E1370" s="21">
        <v>59</v>
      </c>
      <c r="F1370" s="21">
        <v>734</v>
      </c>
      <c r="G1370" s="21">
        <v>6.5</v>
      </c>
      <c r="H1370">
        <v>15</v>
      </c>
      <c r="I1370">
        <v>85.28</v>
      </c>
      <c r="J1370">
        <v>0.59</v>
      </c>
      <c r="K1370" t="str" cm="1">
        <f t="array" ref="K1370">_xlfn.IFS(Table4_2[[#This Row],[Growth Days]]&lt;=14,"Seedling",Table4_2[[#This Row],[Growth Days]]&lt;=35, "Vegetative",Table4_2[[#This Row],[Growth Days]]&lt;=50, "Maturity")</f>
        <v>Vegetative</v>
      </c>
      <c r="L1370" t="str">
        <f>IF(Table4_2[[#This Row],[TDS Value (ppm)]]&lt;560, "Low", IF(Table4_2[[#This Row],[TDS Value (ppm)]]&lt;=800,"Optimal","High"))</f>
        <v>Optimal</v>
      </c>
    </row>
    <row r="1371" spans="1:12" x14ac:dyDescent="0.25">
      <c r="A1371">
        <v>15</v>
      </c>
      <c r="B1371" s="1">
        <v>45162</v>
      </c>
      <c r="C1371" s="1" t="str">
        <f>TEXT(Table4_2[[#This Row],[Date]],"dddd")</f>
        <v>Thursday</v>
      </c>
      <c r="D1371" s="21">
        <v>31.3</v>
      </c>
      <c r="E1371" s="21">
        <v>60</v>
      </c>
      <c r="F1371" s="21">
        <v>590</v>
      </c>
      <c r="G1371" s="21">
        <v>6.2</v>
      </c>
      <c r="H1371">
        <v>22</v>
      </c>
      <c r="I1371">
        <v>88.34</v>
      </c>
      <c r="J1371">
        <v>0.6</v>
      </c>
      <c r="K1371" t="str" cm="1">
        <f t="array" ref="K1371">_xlfn.IFS(Table4_2[[#This Row],[Growth Days]]&lt;=14,"Seedling",Table4_2[[#This Row],[Growth Days]]&lt;=35, "Vegetative",Table4_2[[#This Row],[Growth Days]]&lt;=50, "Maturity")</f>
        <v>Vegetative</v>
      </c>
      <c r="L1371" t="str">
        <f>IF(Table4_2[[#This Row],[TDS Value (ppm)]]&lt;560, "Low", IF(Table4_2[[#This Row],[TDS Value (ppm)]]&lt;=800,"Optimal","High"))</f>
        <v>Optimal</v>
      </c>
    </row>
    <row r="1372" spans="1:12" x14ac:dyDescent="0.25">
      <c r="A1372">
        <v>15</v>
      </c>
      <c r="B1372" s="1">
        <v>45169</v>
      </c>
      <c r="C1372" s="1" t="str">
        <f>TEXT(Table4_2[[#This Row],[Date]],"dddd")</f>
        <v>Thursday</v>
      </c>
      <c r="D1372" s="21">
        <v>29.2</v>
      </c>
      <c r="E1372" s="21">
        <v>78</v>
      </c>
      <c r="F1372" s="21">
        <v>518</v>
      </c>
      <c r="G1372" s="21">
        <v>6.6</v>
      </c>
      <c r="H1372">
        <v>29</v>
      </c>
      <c r="I1372">
        <v>84.56</v>
      </c>
      <c r="J1372">
        <v>0.78</v>
      </c>
      <c r="K1372" t="str" cm="1">
        <f t="array" ref="K1372">_xlfn.IFS(Table4_2[[#This Row],[Growth Days]]&lt;=14,"Seedling",Table4_2[[#This Row],[Growth Days]]&lt;=35, "Vegetative",Table4_2[[#This Row],[Growth Days]]&lt;=50, "Maturity")</f>
        <v>Vegetative</v>
      </c>
      <c r="L1372" t="str">
        <f>IF(Table4_2[[#This Row],[TDS Value (ppm)]]&lt;560, "Low", IF(Table4_2[[#This Row],[TDS Value (ppm)]]&lt;=800,"Optimal","High"))</f>
        <v>Low</v>
      </c>
    </row>
    <row r="1373" spans="1:12" x14ac:dyDescent="0.25">
      <c r="A1373">
        <v>15</v>
      </c>
      <c r="B1373" s="1">
        <v>45176</v>
      </c>
      <c r="C1373" s="1" t="str">
        <f>TEXT(Table4_2[[#This Row],[Date]],"dddd")</f>
        <v>Thursday</v>
      </c>
      <c r="D1373" s="21">
        <v>31.5</v>
      </c>
      <c r="E1373" s="21">
        <v>52</v>
      </c>
      <c r="F1373" s="21">
        <v>501</v>
      </c>
      <c r="G1373" s="21">
        <v>6</v>
      </c>
      <c r="H1373">
        <v>36</v>
      </c>
      <c r="I1373">
        <v>88.7</v>
      </c>
      <c r="J1373">
        <v>0.52</v>
      </c>
      <c r="K1373" t="str" cm="1">
        <f t="array" ref="K1373">_xlfn.IFS(Table4_2[[#This Row],[Growth Days]]&lt;=14,"Seedling",Table4_2[[#This Row],[Growth Days]]&lt;=35, "Vegetative",Table4_2[[#This Row],[Growth Days]]&lt;=50, "Maturity")</f>
        <v>Maturity</v>
      </c>
      <c r="L1373" t="str">
        <f>IF(Table4_2[[#This Row],[TDS Value (ppm)]]&lt;560, "Low", IF(Table4_2[[#This Row],[TDS Value (ppm)]]&lt;=800,"Optimal","High"))</f>
        <v>Low</v>
      </c>
    </row>
    <row r="1374" spans="1:12" x14ac:dyDescent="0.25">
      <c r="A1374">
        <v>15</v>
      </c>
      <c r="B1374" s="1">
        <v>45183</v>
      </c>
      <c r="C1374" s="1" t="str">
        <f>TEXT(Table4_2[[#This Row],[Date]],"dddd")</f>
        <v>Thursday</v>
      </c>
      <c r="D1374" s="21">
        <v>29.1</v>
      </c>
      <c r="E1374" s="21">
        <v>68</v>
      </c>
      <c r="F1374" s="21">
        <v>420</v>
      </c>
      <c r="G1374" s="21">
        <v>6.6</v>
      </c>
      <c r="H1374">
        <v>43</v>
      </c>
      <c r="I1374">
        <v>84.38</v>
      </c>
      <c r="J1374">
        <v>0.68</v>
      </c>
      <c r="K1374" t="str" cm="1">
        <f t="array" ref="K1374">_xlfn.IFS(Table4_2[[#This Row],[Growth Days]]&lt;=14,"Seedling",Table4_2[[#This Row],[Growth Days]]&lt;=35, "Vegetative",Table4_2[[#This Row],[Growth Days]]&lt;=50, "Maturity")</f>
        <v>Maturity</v>
      </c>
      <c r="L1374" t="str">
        <f>IF(Table4_2[[#This Row],[TDS Value (ppm)]]&lt;560, "Low", IF(Table4_2[[#This Row],[TDS Value (ppm)]]&lt;=800,"Optimal","High"))</f>
        <v>Low</v>
      </c>
    </row>
    <row r="1375" spans="1:12" x14ac:dyDescent="0.25">
      <c r="A1375">
        <v>16</v>
      </c>
      <c r="B1375" s="1">
        <v>45141</v>
      </c>
      <c r="C1375" s="1" t="str">
        <f>TEXT(Table4_2[[#This Row],[Date]],"dddd")</f>
        <v>Thursday</v>
      </c>
      <c r="D1375" s="21">
        <v>33.4</v>
      </c>
      <c r="E1375" s="21">
        <v>50</v>
      </c>
      <c r="F1375" s="21">
        <v>769</v>
      </c>
      <c r="G1375" s="21">
        <v>6.7</v>
      </c>
      <c r="H1375">
        <v>1</v>
      </c>
      <c r="I1375">
        <v>92.12</v>
      </c>
      <c r="J1375">
        <v>0.5</v>
      </c>
      <c r="K1375" t="str" cm="1">
        <f t="array" ref="K1375">_xlfn.IFS(Table4_2[[#This Row],[Growth Days]]&lt;=14,"Seedling",Table4_2[[#This Row],[Growth Days]]&lt;=35, "Vegetative",Table4_2[[#This Row],[Growth Days]]&lt;=50, "Maturity")</f>
        <v>Seedling</v>
      </c>
      <c r="L1375" t="str">
        <f>IF(Table4_2[[#This Row],[TDS Value (ppm)]]&lt;560, "Low", IF(Table4_2[[#This Row],[TDS Value (ppm)]]&lt;=800,"Optimal","High"))</f>
        <v>Optimal</v>
      </c>
    </row>
    <row r="1376" spans="1:12" x14ac:dyDescent="0.25">
      <c r="A1376">
        <v>16</v>
      </c>
      <c r="B1376" s="1">
        <v>45148</v>
      </c>
      <c r="C1376" s="1" t="str">
        <f>TEXT(Table4_2[[#This Row],[Date]],"dddd")</f>
        <v>Thursday</v>
      </c>
      <c r="D1376" s="21">
        <v>22.7</v>
      </c>
      <c r="E1376" s="21">
        <v>80</v>
      </c>
      <c r="F1376" s="21">
        <v>503</v>
      </c>
      <c r="G1376" s="21">
        <v>6.1</v>
      </c>
      <c r="H1376">
        <v>8</v>
      </c>
      <c r="I1376">
        <v>72.86</v>
      </c>
      <c r="J1376">
        <v>0.8</v>
      </c>
      <c r="K1376" t="str" cm="1">
        <f t="array" ref="K1376">_xlfn.IFS(Table4_2[[#This Row],[Growth Days]]&lt;=14,"Seedling",Table4_2[[#This Row],[Growth Days]]&lt;=35, "Vegetative",Table4_2[[#This Row],[Growth Days]]&lt;=50, "Maturity")</f>
        <v>Seedling</v>
      </c>
      <c r="L1376" t="str">
        <f>IF(Table4_2[[#This Row],[TDS Value (ppm)]]&lt;560, "Low", IF(Table4_2[[#This Row],[TDS Value (ppm)]]&lt;=800,"Optimal","High"))</f>
        <v>Low</v>
      </c>
    </row>
    <row r="1377" spans="1:12" x14ac:dyDescent="0.25">
      <c r="A1377">
        <v>16</v>
      </c>
      <c r="B1377" s="1">
        <v>45155</v>
      </c>
      <c r="C1377" s="1" t="str">
        <f>TEXT(Table4_2[[#This Row],[Date]],"dddd")</f>
        <v>Thursday</v>
      </c>
      <c r="D1377" s="21">
        <v>29.6</v>
      </c>
      <c r="E1377" s="21">
        <v>64</v>
      </c>
      <c r="F1377" s="21">
        <v>439</v>
      </c>
      <c r="G1377" s="21">
        <v>6.1</v>
      </c>
      <c r="H1377">
        <v>15</v>
      </c>
      <c r="I1377">
        <v>85.28</v>
      </c>
      <c r="J1377">
        <v>0.64</v>
      </c>
      <c r="K1377" t="str" cm="1">
        <f t="array" ref="K1377">_xlfn.IFS(Table4_2[[#This Row],[Growth Days]]&lt;=14,"Seedling",Table4_2[[#This Row],[Growth Days]]&lt;=35, "Vegetative",Table4_2[[#This Row],[Growth Days]]&lt;=50, "Maturity")</f>
        <v>Vegetative</v>
      </c>
      <c r="L1377" t="str">
        <f>IF(Table4_2[[#This Row],[TDS Value (ppm)]]&lt;560, "Low", IF(Table4_2[[#This Row],[TDS Value (ppm)]]&lt;=800,"Optimal","High"))</f>
        <v>Low</v>
      </c>
    </row>
    <row r="1378" spans="1:12" x14ac:dyDescent="0.25">
      <c r="A1378">
        <v>16</v>
      </c>
      <c r="B1378" s="1">
        <v>45162</v>
      </c>
      <c r="C1378" s="1" t="str">
        <f>TEXT(Table4_2[[#This Row],[Date]],"dddd")</f>
        <v>Thursday</v>
      </c>
      <c r="D1378" s="21">
        <v>31.3</v>
      </c>
      <c r="E1378" s="21">
        <v>54</v>
      </c>
      <c r="F1378" s="21">
        <v>738</v>
      </c>
      <c r="G1378" s="21">
        <v>6.8</v>
      </c>
      <c r="H1378">
        <v>22</v>
      </c>
      <c r="I1378">
        <v>88.34</v>
      </c>
      <c r="J1378">
        <v>0.54</v>
      </c>
      <c r="K1378" t="str" cm="1">
        <f t="array" ref="K1378">_xlfn.IFS(Table4_2[[#This Row],[Growth Days]]&lt;=14,"Seedling",Table4_2[[#This Row],[Growth Days]]&lt;=35, "Vegetative",Table4_2[[#This Row],[Growth Days]]&lt;=50, "Maturity")</f>
        <v>Vegetative</v>
      </c>
      <c r="L1378" t="str">
        <f>IF(Table4_2[[#This Row],[TDS Value (ppm)]]&lt;560, "Low", IF(Table4_2[[#This Row],[TDS Value (ppm)]]&lt;=800,"Optimal","High"))</f>
        <v>Optimal</v>
      </c>
    </row>
    <row r="1379" spans="1:12" x14ac:dyDescent="0.25">
      <c r="A1379">
        <v>16</v>
      </c>
      <c r="B1379" s="1">
        <v>45169</v>
      </c>
      <c r="C1379" s="1" t="str">
        <f>TEXT(Table4_2[[#This Row],[Date]],"dddd")</f>
        <v>Thursday</v>
      </c>
      <c r="D1379" s="21">
        <v>29.2</v>
      </c>
      <c r="E1379" s="21">
        <v>64</v>
      </c>
      <c r="F1379" s="21">
        <v>662</v>
      </c>
      <c r="G1379" s="21">
        <v>6.4</v>
      </c>
      <c r="H1379">
        <v>29</v>
      </c>
      <c r="I1379">
        <v>84.56</v>
      </c>
      <c r="J1379">
        <v>0.64</v>
      </c>
      <c r="K1379" t="str" cm="1">
        <f t="array" ref="K1379">_xlfn.IFS(Table4_2[[#This Row],[Growth Days]]&lt;=14,"Seedling",Table4_2[[#This Row],[Growth Days]]&lt;=35, "Vegetative",Table4_2[[#This Row],[Growth Days]]&lt;=50, "Maturity")</f>
        <v>Vegetative</v>
      </c>
      <c r="L1379" t="str">
        <f>IF(Table4_2[[#This Row],[TDS Value (ppm)]]&lt;560, "Low", IF(Table4_2[[#This Row],[TDS Value (ppm)]]&lt;=800,"Optimal","High"))</f>
        <v>Optimal</v>
      </c>
    </row>
    <row r="1380" spans="1:12" x14ac:dyDescent="0.25">
      <c r="A1380">
        <v>16</v>
      </c>
      <c r="B1380" s="1">
        <v>45176</v>
      </c>
      <c r="C1380" s="1" t="str">
        <f>TEXT(Table4_2[[#This Row],[Date]],"dddd")</f>
        <v>Thursday</v>
      </c>
      <c r="D1380" s="21">
        <v>31.5</v>
      </c>
      <c r="E1380" s="21">
        <v>55</v>
      </c>
      <c r="F1380" s="21">
        <v>423</v>
      </c>
      <c r="G1380" s="21">
        <v>6.4</v>
      </c>
      <c r="H1380">
        <v>36</v>
      </c>
      <c r="I1380">
        <v>88.7</v>
      </c>
      <c r="J1380">
        <v>0.55000000000000004</v>
      </c>
      <c r="K1380" t="str" cm="1">
        <f t="array" ref="K1380">_xlfn.IFS(Table4_2[[#This Row],[Growth Days]]&lt;=14,"Seedling",Table4_2[[#This Row],[Growth Days]]&lt;=35, "Vegetative",Table4_2[[#This Row],[Growth Days]]&lt;=50, "Maturity")</f>
        <v>Maturity</v>
      </c>
      <c r="L1380" t="str">
        <f>IF(Table4_2[[#This Row],[TDS Value (ppm)]]&lt;560, "Low", IF(Table4_2[[#This Row],[TDS Value (ppm)]]&lt;=800,"Optimal","High"))</f>
        <v>Low</v>
      </c>
    </row>
    <row r="1381" spans="1:12" x14ac:dyDescent="0.25">
      <c r="A1381">
        <v>16</v>
      </c>
      <c r="B1381" s="1">
        <v>45183</v>
      </c>
      <c r="C1381" s="1" t="str">
        <f>TEXT(Table4_2[[#This Row],[Date]],"dddd")</f>
        <v>Thursday</v>
      </c>
      <c r="D1381" s="21">
        <v>29.1</v>
      </c>
      <c r="E1381" s="21">
        <v>75</v>
      </c>
      <c r="F1381" s="21">
        <v>564</v>
      </c>
      <c r="G1381" s="21">
        <v>6.1</v>
      </c>
      <c r="H1381">
        <v>43</v>
      </c>
      <c r="I1381">
        <v>84.38</v>
      </c>
      <c r="J1381">
        <v>0.75</v>
      </c>
      <c r="K1381" t="str" cm="1">
        <f t="array" ref="K1381">_xlfn.IFS(Table4_2[[#This Row],[Growth Days]]&lt;=14,"Seedling",Table4_2[[#This Row],[Growth Days]]&lt;=35, "Vegetative",Table4_2[[#This Row],[Growth Days]]&lt;=50, "Maturity")</f>
        <v>Maturity</v>
      </c>
      <c r="L1381" t="str">
        <f>IF(Table4_2[[#This Row],[TDS Value (ppm)]]&lt;560, "Low", IF(Table4_2[[#This Row],[TDS Value (ppm)]]&lt;=800,"Optimal","High"))</f>
        <v>Optimal</v>
      </c>
    </row>
    <row r="1382" spans="1:12" x14ac:dyDescent="0.25">
      <c r="A1382">
        <v>17</v>
      </c>
      <c r="B1382" s="1">
        <v>45141</v>
      </c>
      <c r="C1382" s="1" t="str">
        <f>TEXT(Table4_2[[#This Row],[Date]],"dddd")</f>
        <v>Thursday</v>
      </c>
      <c r="D1382" s="21">
        <v>33.4</v>
      </c>
      <c r="E1382" s="21">
        <v>58</v>
      </c>
      <c r="F1382" s="21">
        <v>631</v>
      </c>
      <c r="G1382" s="21">
        <v>6.6</v>
      </c>
      <c r="H1382">
        <v>1</v>
      </c>
      <c r="I1382">
        <v>92.12</v>
      </c>
      <c r="J1382">
        <v>0.57999999999999996</v>
      </c>
      <c r="K1382" t="str" cm="1">
        <f t="array" ref="K1382">_xlfn.IFS(Table4_2[[#This Row],[Growth Days]]&lt;=14,"Seedling",Table4_2[[#This Row],[Growth Days]]&lt;=35, "Vegetative",Table4_2[[#This Row],[Growth Days]]&lt;=50, "Maturity")</f>
        <v>Seedling</v>
      </c>
      <c r="L1382" t="str">
        <f>IF(Table4_2[[#This Row],[TDS Value (ppm)]]&lt;560, "Low", IF(Table4_2[[#This Row],[TDS Value (ppm)]]&lt;=800,"Optimal","High"))</f>
        <v>Optimal</v>
      </c>
    </row>
    <row r="1383" spans="1:12" x14ac:dyDescent="0.25">
      <c r="A1383">
        <v>17</v>
      </c>
      <c r="B1383" s="1">
        <v>45148</v>
      </c>
      <c r="C1383" s="1" t="str">
        <f>TEXT(Table4_2[[#This Row],[Date]],"dddd")</f>
        <v>Thursday</v>
      </c>
      <c r="D1383" s="21">
        <v>22.7</v>
      </c>
      <c r="E1383" s="21">
        <v>67</v>
      </c>
      <c r="F1383" s="21">
        <v>744</v>
      </c>
      <c r="G1383" s="21">
        <v>6.3</v>
      </c>
      <c r="H1383">
        <v>8</v>
      </c>
      <c r="I1383">
        <v>72.86</v>
      </c>
      <c r="J1383">
        <v>0.67</v>
      </c>
      <c r="K1383" t="str" cm="1">
        <f t="array" ref="K1383">_xlfn.IFS(Table4_2[[#This Row],[Growth Days]]&lt;=14,"Seedling",Table4_2[[#This Row],[Growth Days]]&lt;=35, "Vegetative",Table4_2[[#This Row],[Growth Days]]&lt;=50, "Maturity")</f>
        <v>Seedling</v>
      </c>
      <c r="L1383" t="str">
        <f>IF(Table4_2[[#This Row],[TDS Value (ppm)]]&lt;560, "Low", IF(Table4_2[[#This Row],[TDS Value (ppm)]]&lt;=800,"Optimal","High"))</f>
        <v>Optimal</v>
      </c>
    </row>
    <row r="1384" spans="1:12" x14ac:dyDescent="0.25">
      <c r="A1384">
        <v>17</v>
      </c>
      <c r="B1384" s="1">
        <v>45155</v>
      </c>
      <c r="C1384" s="1" t="str">
        <f>TEXT(Table4_2[[#This Row],[Date]],"dddd")</f>
        <v>Thursday</v>
      </c>
      <c r="D1384" s="21">
        <v>29.6</v>
      </c>
      <c r="E1384" s="21">
        <v>58</v>
      </c>
      <c r="F1384" s="21">
        <v>587</v>
      </c>
      <c r="G1384" s="21">
        <v>6.3</v>
      </c>
      <c r="H1384">
        <v>15</v>
      </c>
      <c r="I1384">
        <v>85.28</v>
      </c>
      <c r="J1384">
        <v>0.57999999999999996</v>
      </c>
      <c r="K1384" t="str" cm="1">
        <f t="array" ref="K1384">_xlfn.IFS(Table4_2[[#This Row],[Growth Days]]&lt;=14,"Seedling",Table4_2[[#This Row],[Growth Days]]&lt;=35, "Vegetative",Table4_2[[#This Row],[Growth Days]]&lt;=50, "Maturity")</f>
        <v>Vegetative</v>
      </c>
      <c r="L1384" t="str">
        <f>IF(Table4_2[[#This Row],[TDS Value (ppm)]]&lt;560, "Low", IF(Table4_2[[#This Row],[TDS Value (ppm)]]&lt;=800,"Optimal","High"))</f>
        <v>Optimal</v>
      </c>
    </row>
    <row r="1385" spans="1:12" x14ac:dyDescent="0.25">
      <c r="A1385">
        <v>17</v>
      </c>
      <c r="B1385" s="1">
        <v>45162</v>
      </c>
      <c r="C1385" s="1" t="str">
        <f>TEXT(Table4_2[[#This Row],[Date]],"dddd")</f>
        <v>Thursday</v>
      </c>
      <c r="D1385" s="21">
        <v>31.3</v>
      </c>
      <c r="E1385" s="21">
        <v>65</v>
      </c>
      <c r="F1385" s="21">
        <v>765</v>
      </c>
      <c r="G1385" s="21">
        <v>6.5</v>
      </c>
      <c r="H1385">
        <v>22</v>
      </c>
      <c r="I1385">
        <v>88.34</v>
      </c>
      <c r="J1385">
        <v>0.65</v>
      </c>
      <c r="K1385" t="str" cm="1">
        <f t="array" ref="K1385">_xlfn.IFS(Table4_2[[#This Row],[Growth Days]]&lt;=14,"Seedling",Table4_2[[#This Row],[Growth Days]]&lt;=35, "Vegetative",Table4_2[[#This Row],[Growth Days]]&lt;=50, "Maturity")</f>
        <v>Vegetative</v>
      </c>
      <c r="L1385" t="str">
        <f>IF(Table4_2[[#This Row],[TDS Value (ppm)]]&lt;560, "Low", IF(Table4_2[[#This Row],[TDS Value (ppm)]]&lt;=800,"Optimal","High"))</f>
        <v>Optimal</v>
      </c>
    </row>
    <row r="1386" spans="1:12" x14ac:dyDescent="0.25">
      <c r="A1386">
        <v>17</v>
      </c>
      <c r="B1386" s="1">
        <v>45169</v>
      </c>
      <c r="C1386" s="1" t="str">
        <f>TEXT(Table4_2[[#This Row],[Date]],"dddd")</f>
        <v>Thursday</v>
      </c>
      <c r="D1386" s="21">
        <v>29.2</v>
      </c>
      <c r="E1386" s="21">
        <v>50</v>
      </c>
      <c r="F1386" s="21">
        <v>728</v>
      </c>
      <c r="G1386" s="21">
        <v>6.3</v>
      </c>
      <c r="H1386">
        <v>29</v>
      </c>
      <c r="I1386">
        <v>84.56</v>
      </c>
      <c r="J1386">
        <v>0.5</v>
      </c>
      <c r="K1386" t="str" cm="1">
        <f t="array" ref="K1386">_xlfn.IFS(Table4_2[[#This Row],[Growth Days]]&lt;=14,"Seedling",Table4_2[[#This Row],[Growth Days]]&lt;=35, "Vegetative",Table4_2[[#This Row],[Growth Days]]&lt;=50, "Maturity")</f>
        <v>Vegetative</v>
      </c>
      <c r="L1386" t="str">
        <f>IF(Table4_2[[#This Row],[TDS Value (ppm)]]&lt;560, "Low", IF(Table4_2[[#This Row],[TDS Value (ppm)]]&lt;=800,"Optimal","High"))</f>
        <v>Optimal</v>
      </c>
    </row>
    <row r="1387" spans="1:12" x14ac:dyDescent="0.25">
      <c r="A1387">
        <v>17</v>
      </c>
      <c r="B1387" s="1">
        <v>45176</v>
      </c>
      <c r="C1387" s="1" t="str">
        <f>TEXT(Table4_2[[#This Row],[Date]],"dddd")</f>
        <v>Thursday</v>
      </c>
      <c r="D1387" s="21">
        <v>31.5</v>
      </c>
      <c r="E1387" s="21">
        <v>73</v>
      </c>
      <c r="F1387" s="21">
        <v>400</v>
      </c>
      <c r="G1387" s="21">
        <v>6.8</v>
      </c>
      <c r="H1387">
        <v>36</v>
      </c>
      <c r="I1387">
        <v>88.7</v>
      </c>
      <c r="J1387">
        <v>0.73</v>
      </c>
      <c r="K1387" t="str" cm="1">
        <f t="array" ref="K1387">_xlfn.IFS(Table4_2[[#This Row],[Growth Days]]&lt;=14,"Seedling",Table4_2[[#This Row],[Growth Days]]&lt;=35, "Vegetative",Table4_2[[#This Row],[Growth Days]]&lt;=50, "Maturity")</f>
        <v>Maturity</v>
      </c>
      <c r="L1387" t="str">
        <f>IF(Table4_2[[#This Row],[TDS Value (ppm)]]&lt;560, "Low", IF(Table4_2[[#This Row],[TDS Value (ppm)]]&lt;=800,"Optimal","High"))</f>
        <v>Low</v>
      </c>
    </row>
    <row r="1388" spans="1:12" x14ac:dyDescent="0.25">
      <c r="A1388">
        <v>17</v>
      </c>
      <c r="B1388" s="1">
        <v>45183</v>
      </c>
      <c r="C1388" s="1" t="str">
        <f>TEXT(Table4_2[[#This Row],[Date]],"dddd")</f>
        <v>Thursday</v>
      </c>
      <c r="D1388" s="21">
        <v>29.1</v>
      </c>
      <c r="E1388" s="21">
        <v>57</v>
      </c>
      <c r="F1388" s="21">
        <v>743</v>
      </c>
      <c r="G1388" s="21">
        <v>6.6</v>
      </c>
      <c r="H1388">
        <v>43</v>
      </c>
      <c r="I1388">
        <v>84.38</v>
      </c>
      <c r="J1388">
        <v>0.56999999999999995</v>
      </c>
      <c r="K1388" t="str" cm="1">
        <f t="array" ref="K1388">_xlfn.IFS(Table4_2[[#This Row],[Growth Days]]&lt;=14,"Seedling",Table4_2[[#This Row],[Growth Days]]&lt;=35, "Vegetative",Table4_2[[#This Row],[Growth Days]]&lt;=50, "Maturity")</f>
        <v>Maturity</v>
      </c>
      <c r="L1388" t="str">
        <f>IF(Table4_2[[#This Row],[TDS Value (ppm)]]&lt;560, "Low", IF(Table4_2[[#This Row],[TDS Value (ppm)]]&lt;=800,"Optimal","High"))</f>
        <v>Optimal</v>
      </c>
    </row>
    <row r="1389" spans="1:12" x14ac:dyDescent="0.25">
      <c r="A1389">
        <v>18</v>
      </c>
      <c r="B1389" s="1">
        <v>45141</v>
      </c>
      <c r="C1389" s="1" t="str">
        <f>TEXT(Table4_2[[#This Row],[Date]],"dddd")</f>
        <v>Thursday</v>
      </c>
      <c r="D1389" s="21">
        <v>33.4</v>
      </c>
      <c r="E1389" s="21">
        <v>78</v>
      </c>
      <c r="F1389" s="21">
        <v>623</v>
      </c>
      <c r="G1389" s="21">
        <v>6.2</v>
      </c>
      <c r="H1389">
        <v>1</v>
      </c>
      <c r="I1389">
        <v>92.12</v>
      </c>
      <c r="J1389">
        <v>0.78</v>
      </c>
      <c r="K1389" t="str" cm="1">
        <f t="array" ref="K1389">_xlfn.IFS(Table4_2[[#This Row],[Growth Days]]&lt;=14,"Seedling",Table4_2[[#This Row],[Growth Days]]&lt;=35, "Vegetative",Table4_2[[#This Row],[Growth Days]]&lt;=50, "Maturity")</f>
        <v>Seedling</v>
      </c>
      <c r="L1389" t="str">
        <f>IF(Table4_2[[#This Row],[TDS Value (ppm)]]&lt;560, "Low", IF(Table4_2[[#This Row],[TDS Value (ppm)]]&lt;=800,"Optimal","High"))</f>
        <v>Optimal</v>
      </c>
    </row>
    <row r="1390" spans="1:12" x14ac:dyDescent="0.25">
      <c r="A1390">
        <v>18</v>
      </c>
      <c r="B1390" s="1">
        <v>45148</v>
      </c>
      <c r="C1390" s="1" t="str">
        <f>TEXT(Table4_2[[#This Row],[Date]],"dddd")</f>
        <v>Thursday</v>
      </c>
      <c r="D1390" s="21">
        <v>22.7</v>
      </c>
      <c r="E1390" s="21">
        <v>53</v>
      </c>
      <c r="F1390" s="21">
        <v>653</v>
      </c>
      <c r="G1390" s="21">
        <v>6</v>
      </c>
      <c r="H1390">
        <v>8</v>
      </c>
      <c r="I1390">
        <v>72.86</v>
      </c>
      <c r="J1390">
        <v>0.53</v>
      </c>
      <c r="K1390" t="str" cm="1">
        <f t="array" ref="K1390">_xlfn.IFS(Table4_2[[#This Row],[Growth Days]]&lt;=14,"Seedling",Table4_2[[#This Row],[Growth Days]]&lt;=35, "Vegetative",Table4_2[[#This Row],[Growth Days]]&lt;=50, "Maturity")</f>
        <v>Seedling</v>
      </c>
      <c r="L1390" t="str">
        <f>IF(Table4_2[[#This Row],[TDS Value (ppm)]]&lt;560, "Low", IF(Table4_2[[#This Row],[TDS Value (ppm)]]&lt;=800,"Optimal","High"))</f>
        <v>Optimal</v>
      </c>
    </row>
    <row r="1391" spans="1:12" x14ac:dyDescent="0.25">
      <c r="A1391">
        <v>18</v>
      </c>
      <c r="B1391" s="1">
        <v>45155</v>
      </c>
      <c r="C1391" s="1" t="str">
        <f>TEXT(Table4_2[[#This Row],[Date]],"dddd")</f>
        <v>Thursday</v>
      </c>
      <c r="D1391" s="21">
        <v>29.6</v>
      </c>
      <c r="E1391" s="21">
        <v>62</v>
      </c>
      <c r="F1391" s="21">
        <v>479</v>
      </c>
      <c r="G1391" s="21">
        <v>6.1</v>
      </c>
      <c r="H1391">
        <v>15</v>
      </c>
      <c r="I1391">
        <v>85.28</v>
      </c>
      <c r="J1391">
        <v>0.62</v>
      </c>
      <c r="K1391" t="str" cm="1">
        <f t="array" ref="K1391">_xlfn.IFS(Table4_2[[#This Row],[Growth Days]]&lt;=14,"Seedling",Table4_2[[#This Row],[Growth Days]]&lt;=35, "Vegetative",Table4_2[[#This Row],[Growth Days]]&lt;=50, "Maturity")</f>
        <v>Vegetative</v>
      </c>
      <c r="L1391" t="str">
        <f>IF(Table4_2[[#This Row],[TDS Value (ppm)]]&lt;560, "Low", IF(Table4_2[[#This Row],[TDS Value (ppm)]]&lt;=800,"Optimal","High"))</f>
        <v>Low</v>
      </c>
    </row>
    <row r="1392" spans="1:12" x14ac:dyDescent="0.25">
      <c r="A1392">
        <v>18</v>
      </c>
      <c r="B1392" s="1">
        <v>45162</v>
      </c>
      <c r="C1392" s="1" t="str">
        <f>TEXT(Table4_2[[#This Row],[Date]],"dddd")</f>
        <v>Thursday</v>
      </c>
      <c r="D1392" s="21">
        <v>31.3</v>
      </c>
      <c r="E1392" s="21">
        <v>73</v>
      </c>
      <c r="F1392" s="21">
        <v>414</v>
      </c>
      <c r="G1392" s="21">
        <v>6.6</v>
      </c>
      <c r="H1392">
        <v>22</v>
      </c>
      <c r="I1392">
        <v>88.34</v>
      </c>
      <c r="J1392">
        <v>0.73</v>
      </c>
      <c r="K1392" t="str" cm="1">
        <f t="array" ref="K1392">_xlfn.IFS(Table4_2[[#This Row],[Growth Days]]&lt;=14,"Seedling",Table4_2[[#This Row],[Growth Days]]&lt;=35, "Vegetative",Table4_2[[#This Row],[Growth Days]]&lt;=50, "Maturity")</f>
        <v>Vegetative</v>
      </c>
      <c r="L1392" t="str">
        <f>IF(Table4_2[[#This Row],[TDS Value (ppm)]]&lt;560, "Low", IF(Table4_2[[#This Row],[TDS Value (ppm)]]&lt;=800,"Optimal","High"))</f>
        <v>Low</v>
      </c>
    </row>
    <row r="1393" spans="1:12" x14ac:dyDescent="0.25">
      <c r="A1393">
        <v>18</v>
      </c>
      <c r="B1393" s="1">
        <v>45169</v>
      </c>
      <c r="C1393" s="1" t="str">
        <f>TEXT(Table4_2[[#This Row],[Date]],"dddd")</f>
        <v>Thursday</v>
      </c>
      <c r="D1393" s="21">
        <v>29.2</v>
      </c>
      <c r="E1393" s="21">
        <v>73</v>
      </c>
      <c r="F1393" s="21">
        <v>772</v>
      </c>
      <c r="G1393" s="21">
        <v>6.6</v>
      </c>
      <c r="H1393">
        <v>29</v>
      </c>
      <c r="I1393">
        <v>84.56</v>
      </c>
      <c r="J1393">
        <v>0.73</v>
      </c>
      <c r="K1393" t="str" cm="1">
        <f t="array" ref="K1393">_xlfn.IFS(Table4_2[[#This Row],[Growth Days]]&lt;=14,"Seedling",Table4_2[[#This Row],[Growth Days]]&lt;=35, "Vegetative",Table4_2[[#This Row],[Growth Days]]&lt;=50, "Maturity")</f>
        <v>Vegetative</v>
      </c>
      <c r="L1393" t="str">
        <f>IF(Table4_2[[#This Row],[TDS Value (ppm)]]&lt;560, "Low", IF(Table4_2[[#This Row],[TDS Value (ppm)]]&lt;=800,"Optimal","High"))</f>
        <v>Optimal</v>
      </c>
    </row>
    <row r="1394" spans="1:12" x14ac:dyDescent="0.25">
      <c r="A1394">
        <v>18</v>
      </c>
      <c r="B1394" s="1">
        <v>45176</v>
      </c>
      <c r="C1394" s="1" t="str">
        <f>TEXT(Table4_2[[#This Row],[Date]],"dddd")</f>
        <v>Thursday</v>
      </c>
      <c r="D1394" s="21">
        <v>31.5</v>
      </c>
      <c r="E1394" s="21">
        <v>75</v>
      </c>
      <c r="F1394" s="21">
        <v>493</v>
      </c>
      <c r="G1394" s="21">
        <v>6.2</v>
      </c>
      <c r="H1394">
        <v>36</v>
      </c>
      <c r="I1394">
        <v>88.7</v>
      </c>
      <c r="J1394">
        <v>0.75</v>
      </c>
      <c r="K1394" t="str" cm="1">
        <f t="array" ref="K1394">_xlfn.IFS(Table4_2[[#This Row],[Growth Days]]&lt;=14,"Seedling",Table4_2[[#This Row],[Growth Days]]&lt;=35, "Vegetative",Table4_2[[#This Row],[Growth Days]]&lt;=50, "Maturity")</f>
        <v>Maturity</v>
      </c>
      <c r="L1394" t="str">
        <f>IF(Table4_2[[#This Row],[TDS Value (ppm)]]&lt;560, "Low", IF(Table4_2[[#This Row],[TDS Value (ppm)]]&lt;=800,"Optimal","High"))</f>
        <v>Low</v>
      </c>
    </row>
    <row r="1395" spans="1:12" x14ac:dyDescent="0.25">
      <c r="A1395">
        <v>18</v>
      </c>
      <c r="B1395" s="1">
        <v>45183</v>
      </c>
      <c r="C1395" s="1" t="str">
        <f>TEXT(Table4_2[[#This Row],[Date]],"dddd")</f>
        <v>Thursday</v>
      </c>
      <c r="D1395" s="21">
        <v>29.1</v>
      </c>
      <c r="E1395" s="21">
        <v>76</v>
      </c>
      <c r="F1395" s="21">
        <v>750</v>
      </c>
      <c r="G1395" s="21">
        <v>6.6</v>
      </c>
      <c r="H1395">
        <v>43</v>
      </c>
      <c r="I1395">
        <v>84.38</v>
      </c>
      <c r="J1395">
        <v>0.76</v>
      </c>
      <c r="K1395" t="str" cm="1">
        <f t="array" ref="K1395">_xlfn.IFS(Table4_2[[#This Row],[Growth Days]]&lt;=14,"Seedling",Table4_2[[#This Row],[Growth Days]]&lt;=35, "Vegetative",Table4_2[[#This Row],[Growth Days]]&lt;=50, "Maturity")</f>
        <v>Maturity</v>
      </c>
      <c r="L1395" t="str">
        <f>IF(Table4_2[[#This Row],[TDS Value (ppm)]]&lt;560, "Low", IF(Table4_2[[#This Row],[TDS Value (ppm)]]&lt;=800,"Optimal","High"))</f>
        <v>Optimal</v>
      </c>
    </row>
    <row r="1396" spans="1:12" x14ac:dyDescent="0.25">
      <c r="A1396">
        <v>19</v>
      </c>
      <c r="B1396" s="1">
        <v>45141</v>
      </c>
      <c r="C1396" s="1" t="str">
        <f>TEXT(Table4_2[[#This Row],[Date]],"dddd")</f>
        <v>Thursday</v>
      </c>
      <c r="D1396" s="21">
        <v>33.4</v>
      </c>
      <c r="E1396" s="21">
        <v>51</v>
      </c>
      <c r="F1396" s="21">
        <v>492</v>
      </c>
      <c r="G1396" s="21">
        <v>6.3</v>
      </c>
      <c r="H1396">
        <v>1</v>
      </c>
      <c r="I1396">
        <v>92.12</v>
      </c>
      <c r="J1396">
        <v>0.51</v>
      </c>
      <c r="K1396" t="str" cm="1">
        <f t="array" ref="K1396">_xlfn.IFS(Table4_2[[#This Row],[Growth Days]]&lt;=14,"Seedling",Table4_2[[#This Row],[Growth Days]]&lt;=35, "Vegetative",Table4_2[[#This Row],[Growth Days]]&lt;=50, "Maturity")</f>
        <v>Seedling</v>
      </c>
      <c r="L1396" t="str">
        <f>IF(Table4_2[[#This Row],[TDS Value (ppm)]]&lt;560, "Low", IF(Table4_2[[#This Row],[TDS Value (ppm)]]&lt;=800,"Optimal","High"))</f>
        <v>Low</v>
      </c>
    </row>
    <row r="1397" spans="1:12" x14ac:dyDescent="0.25">
      <c r="A1397">
        <v>19</v>
      </c>
      <c r="B1397" s="1">
        <v>45148</v>
      </c>
      <c r="C1397" s="1" t="str">
        <f>TEXT(Table4_2[[#This Row],[Date]],"dddd")</f>
        <v>Thursday</v>
      </c>
      <c r="D1397" s="21">
        <v>22.7</v>
      </c>
      <c r="E1397" s="21">
        <v>75</v>
      </c>
      <c r="F1397" s="21">
        <v>693</v>
      </c>
      <c r="G1397" s="21">
        <v>6.5</v>
      </c>
      <c r="H1397">
        <v>8</v>
      </c>
      <c r="I1397">
        <v>72.86</v>
      </c>
      <c r="J1397">
        <v>0.75</v>
      </c>
      <c r="K1397" t="str" cm="1">
        <f t="array" ref="K1397">_xlfn.IFS(Table4_2[[#This Row],[Growth Days]]&lt;=14,"Seedling",Table4_2[[#This Row],[Growth Days]]&lt;=35, "Vegetative",Table4_2[[#This Row],[Growth Days]]&lt;=50, "Maturity")</f>
        <v>Seedling</v>
      </c>
      <c r="L1397" t="str">
        <f>IF(Table4_2[[#This Row],[TDS Value (ppm)]]&lt;560, "Low", IF(Table4_2[[#This Row],[TDS Value (ppm)]]&lt;=800,"Optimal","High"))</f>
        <v>Optimal</v>
      </c>
    </row>
    <row r="1398" spans="1:12" x14ac:dyDescent="0.25">
      <c r="A1398">
        <v>19</v>
      </c>
      <c r="B1398" s="1">
        <v>45155</v>
      </c>
      <c r="C1398" s="1" t="str">
        <f>TEXT(Table4_2[[#This Row],[Date]],"dddd")</f>
        <v>Thursday</v>
      </c>
      <c r="D1398" s="21">
        <v>29.6</v>
      </c>
      <c r="E1398" s="21">
        <v>75</v>
      </c>
      <c r="F1398" s="21">
        <v>587</v>
      </c>
      <c r="G1398" s="21">
        <v>6.1</v>
      </c>
      <c r="H1398">
        <v>15</v>
      </c>
      <c r="I1398">
        <v>85.28</v>
      </c>
      <c r="J1398">
        <v>0.75</v>
      </c>
      <c r="K1398" t="str" cm="1">
        <f t="array" ref="K1398">_xlfn.IFS(Table4_2[[#This Row],[Growth Days]]&lt;=14,"Seedling",Table4_2[[#This Row],[Growth Days]]&lt;=35, "Vegetative",Table4_2[[#This Row],[Growth Days]]&lt;=50, "Maturity")</f>
        <v>Vegetative</v>
      </c>
      <c r="L1398" t="str">
        <f>IF(Table4_2[[#This Row],[TDS Value (ppm)]]&lt;560, "Low", IF(Table4_2[[#This Row],[TDS Value (ppm)]]&lt;=800,"Optimal","High"))</f>
        <v>Optimal</v>
      </c>
    </row>
    <row r="1399" spans="1:12" x14ac:dyDescent="0.25">
      <c r="A1399">
        <v>19</v>
      </c>
      <c r="B1399" s="1">
        <v>45162</v>
      </c>
      <c r="C1399" s="1" t="str">
        <f>TEXT(Table4_2[[#This Row],[Date]],"dddd")</f>
        <v>Thursday</v>
      </c>
      <c r="D1399" s="21">
        <v>31.3</v>
      </c>
      <c r="E1399" s="21">
        <v>69</v>
      </c>
      <c r="F1399" s="21">
        <v>637</v>
      </c>
      <c r="G1399" s="21">
        <v>6.7</v>
      </c>
      <c r="H1399">
        <v>22</v>
      </c>
      <c r="I1399">
        <v>88.34</v>
      </c>
      <c r="J1399">
        <v>0.69</v>
      </c>
      <c r="K1399" t="str" cm="1">
        <f t="array" ref="K1399">_xlfn.IFS(Table4_2[[#This Row],[Growth Days]]&lt;=14,"Seedling",Table4_2[[#This Row],[Growth Days]]&lt;=35, "Vegetative",Table4_2[[#This Row],[Growth Days]]&lt;=50, "Maturity")</f>
        <v>Vegetative</v>
      </c>
      <c r="L1399" t="str">
        <f>IF(Table4_2[[#This Row],[TDS Value (ppm)]]&lt;560, "Low", IF(Table4_2[[#This Row],[TDS Value (ppm)]]&lt;=800,"Optimal","High"))</f>
        <v>Optimal</v>
      </c>
    </row>
    <row r="1400" spans="1:12" x14ac:dyDescent="0.25">
      <c r="A1400">
        <v>19</v>
      </c>
      <c r="B1400" s="1">
        <v>45169</v>
      </c>
      <c r="C1400" s="1" t="str">
        <f>TEXT(Table4_2[[#This Row],[Date]],"dddd")</f>
        <v>Thursday</v>
      </c>
      <c r="D1400" s="21">
        <v>29.2</v>
      </c>
      <c r="E1400" s="21">
        <v>72</v>
      </c>
      <c r="F1400" s="21">
        <v>789</v>
      </c>
      <c r="G1400" s="21">
        <v>6.1</v>
      </c>
      <c r="H1400">
        <v>29</v>
      </c>
      <c r="I1400">
        <v>84.56</v>
      </c>
      <c r="J1400">
        <v>0.72</v>
      </c>
      <c r="K1400" t="str" cm="1">
        <f t="array" ref="K1400">_xlfn.IFS(Table4_2[[#This Row],[Growth Days]]&lt;=14,"Seedling",Table4_2[[#This Row],[Growth Days]]&lt;=35, "Vegetative",Table4_2[[#This Row],[Growth Days]]&lt;=50, "Maturity")</f>
        <v>Vegetative</v>
      </c>
      <c r="L1400" t="str">
        <f>IF(Table4_2[[#This Row],[TDS Value (ppm)]]&lt;560, "Low", IF(Table4_2[[#This Row],[TDS Value (ppm)]]&lt;=800,"Optimal","High"))</f>
        <v>Optimal</v>
      </c>
    </row>
    <row r="1401" spans="1:12" x14ac:dyDescent="0.25">
      <c r="A1401">
        <v>19</v>
      </c>
      <c r="B1401" s="1">
        <v>45176</v>
      </c>
      <c r="C1401" s="1" t="str">
        <f>TEXT(Table4_2[[#This Row],[Date]],"dddd")</f>
        <v>Thursday</v>
      </c>
      <c r="D1401" s="21">
        <v>31.5</v>
      </c>
      <c r="E1401" s="21">
        <v>61</v>
      </c>
      <c r="F1401" s="21">
        <v>680</v>
      </c>
      <c r="G1401" s="21">
        <v>6.2</v>
      </c>
      <c r="H1401">
        <v>36</v>
      </c>
      <c r="I1401">
        <v>88.7</v>
      </c>
      <c r="J1401">
        <v>0.61</v>
      </c>
      <c r="K1401" t="str" cm="1">
        <f t="array" ref="K1401">_xlfn.IFS(Table4_2[[#This Row],[Growth Days]]&lt;=14,"Seedling",Table4_2[[#This Row],[Growth Days]]&lt;=35, "Vegetative",Table4_2[[#This Row],[Growth Days]]&lt;=50, "Maturity")</f>
        <v>Maturity</v>
      </c>
      <c r="L1401" t="str">
        <f>IF(Table4_2[[#This Row],[TDS Value (ppm)]]&lt;560, "Low", IF(Table4_2[[#This Row],[TDS Value (ppm)]]&lt;=800,"Optimal","High"))</f>
        <v>Optimal</v>
      </c>
    </row>
    <row r="1402" spans="1:12" x14ac:dyDescent="0.25">
      <c r="A1402">
        <v>19</v>
      </c>
      <c r="B1402" s="1">
        <v>45183</v>
      </c>
      <c r="C1402" s="1" t="str">
        <f>TEXT(Table4_2[[#This Row],[Date]],"dddd")</f>
        <v>Thursday</v>
      </c>
      <c r="D1402" s="21">
        <v>29.1</v>
      </c>
      <c r="E1402" s="21">
        <v>51</v>
      </c>
      <c r="F1402" s="21">
        <v>437</v>
      </c>
      <c r="G1402" s="21">
        <v>6.1</v>
      </c>
      <c r="H1402">
        <v>43</v>
      </c>
      <c r="I1402">
        <v>84.38</v>
      </c>
      <c r="J1402">
        <v>0.51</v>
      </c>
      <c r="K1402" t="str" cm="1">
        <f t="array" ref="K1402">_xlfn.IFS(Table4_2[[#This Row],[Growth Days]]&lt;=14,"Seedling",Table4_2[[#This Row],[Growth Days]]&lt;=35, "Vegetative",Table4_2[[#This Row],[Growth Days]]&lt;=50, "Maturity")</f>
        <v>Maturity</v>
      </c>
      <c r="L1402" t="str">
        <f>IF(Table4_2[[#This Row],[TDS Value (ppm)]]&lt;560, "Low", IF(Table4_2[[#This Row],[TDS Value (ppm)]]&lt;=800,"Optimal","High"))</f>
        <v>Low</v>
      </c>
    </row>
    <row r="1403" spans="1:12" x14ac:dyDescent="0.25">
      <c r="A1403">
        <v>20</v>
      </c>
      <c r="B1403" s="1">
        <v>45141</v>
      </c>
      <c r="C1403" s="1" t="str">
        <f>TEXT(Table4_2[[#This Row],[Date]],"dddd")</f>
        <v>Thursday</v>
      </c>
      <c r="D1403" s="21">
        <v>33.4</v>
      </c>
      <c r="E1403" s="21">
        <v>56</v>
      </c>
      <c r="F1403" s="21">
        <v>708</v>
      </c>
      <c r="G1403" s="21">
        <v>6.1</v>
      </c>
      <c r="H1403">
        <v>1</v>
      </c>
      <c r="I1403">
        <v>92.12</v>
      </c>
      <c r="J1403">
        <v>0.56000000000000005</v>
      </c>
      <c r="K1403" t="str" cm="1">
        <f t="array" ref="K1403">_xlfn.IFS(Table4_2[[#This Row],[Growth Days]]&lt;=14,"Seedling",Table4_2[[#This Row],[Growth Days]]&lt;=35, "Vegetative",Table4_2[[#This Row],[Growth Days]]&lt;=50, "Maturity")</f>
        <v>Seedling</v>
      </c>
      <c r="L1403" t="str">
        <f>IF(Table4_2[[#This Row],[TDS Value (ppm)]]&lt;560, "Low", IF(Table4_2[[#This Row],[TDS Value (ppm)]]&lt;=800,"Optimal","High"))</f>
        <v>Optimal</v>
      </c>
    </row>
    <row r="1404" spans="1:12" x14ac:dyDescent="0.25">
      <c r="A1404">
        <v>20</v>
      </c>
      <c r="B1404" s="1">
        <v>45148</v>
      </c>
      <c r="C1404" s="1" t="str">
        <f>TEXT(Table4_2[[#This Row],[Date]],"dddd")</f>
        <v>Thursday</v>
      </c>
      <c r="D1404" s="21">
        <v>22.7</v>
      </c>
      <c r="E1404" s="21">
        <v>57</v>
      </c>
      <c r="F1404" s="21">
        <v>648</v>
      </c>
      <c r="G1404" s="21">
        <v>6.4</v>
      </c>
      <c r="H1404">
        <v>8</v>
      </c>
      <c r="I1404">
        <v>72.86</v>
      </c>
      <c r="J1404">
        <v>0.56999999999999995</v>
      </c>
      <c r="K1404" t="str" cm="1">
        <f t="array" ref="K1404">_xlfn.IFS(Table4_2[[#This Row],[Growth Days]]&lt;=14,"Seedling",Table4_2[[#This Row],[Growth Days]]&lt;=35, "Vegetative",Table4_2[[#This Row],[Growth Days]]&lt;=50, "Maturity")</f>
        <v>Seedling</v>
      </c>
      <c r="L1404" t="str">
        <f>IF(Table4_2[[#This Row],[TDS Value (ppm)]]&lt;560, "Low", IF(Table4_2[[#This Row],[TDS Value (ppm)]]&lt;=800,"Optimal","High"))</f>
        <v>Optimal</v>
      </c>
    </row>
    <row r="1405" spans="1:12" x14ac:dyDescent="0.25">
      <c r="A1405">
        <v>20</v>
      </c>
      <c r="B1405" s="1">
        <v>45155</v>
      </c>
      <c r="C1405" s="1" t="str">
        <f>TEXT(Table4_2[[#This Row],[Date]],"dddd")</f>
        <v>Thursday</v>
      </c>
      <c r="D1405" s="21">
        <v>29.6</v>
      </c>
      <c r="E1405" s="21">
        <v>79</v>
      </c>
      <c r="F1405" s="21">
        <v>626</v>
      </c>
      <c r="G1405" s="21">
        <v>6.2</v>
      </c>
      <c r="H1405">
        <v>15</v>
      </c>
      <c r="I1405">
        <v>85.28</v>
      </c>
      <c r="J1405">
        <v>0.79</v>
      </c>
      <c r="K1405" t="str" cm="1">
        <f t="array" ref="K1405">_xlfn.IFS(Table4_2[[#This Row],[Growth Days]]&lt;=14,"Seedling",Table4_2[[#This Row],[Growth Days]]&lt;=35, "Vegetative",Table4_2[[#This Row],[Growth Days]]&lt;=50, "Maturity")</f>
        <v>Vegetative</v>
      </c>
      <c r="L1405" t="str">
        <f>IF(Table4_2[[#This Row],[TDS Value (ppm)]]&lt;560, "Low", IF(Table4_2[[#This Row],[TDS Value (ppm)]]&lt;=800,"Optimal","High"))</f>
        <v>Optimal</v>
      </c>
    </row>
    <row r="1406" spans="1:12" x14ac:dyDescent="0.25">
      <c r="A1406">
        <v>20</v>
      </c>
      <c r="B1406" s="1">
        <v>45162</v>
      </c>
      <c r="C1406" s="1" t="str">
        <f>TEXT(Table4_2[[#This Row],[Date]],"dddd")</f>
        <v>Thursday</v>
      </c>
      <c r="D1406" s="21">
        <v>31.3</v>
      </c>
      <c r="E1406" s="21">
        <v>77</v>
      </c>
      <c r="F1406" s="21">
        <v>405</v>
      </c>
      <c r="G1406" s="21">
        <v>6.4</v>
      </c>
      <c r="H1406">
        <v>22</v>
      </c>
      <c r="I1406">
        <v>88.34</v>
      </c>
      <c r="J1406">
        <v>0.77</v>
      </c>
      <c r="K1406" t="str" cm="1">
        <f t="array" ref="K1406">_xlfn.IFS(Table4_2[[#This Row],[Growth Days]]&lt;=14,"Seedling",Table4_2[[#This Row],[Growth Days]]&lt;=35, "Vegetative",Table4_2[[#This Row],[Growth Days]]&lt;=50, "Maturity")</f>
        <v>Vegetative</v>
      </c>
      <c r="L1406" t="str">
        <f>IF(Table4_2[[#This Row],[TDS Value (ppm)]]&lt;560, "Low", IF(Table4_2[[#This Row],[TDS Value (ppm)]]&lt;=800,"Optimal","High"))</f>
        <v>Low</v>
      </c>
    </row>
    <row r="1407" spans="1:12" x14ac:dyDescent="0.25">
      <c r="A1407">
        <v>20</v>
      </c>
      <c r="B1407" s="1">
        <v>45169</v>
      </c>
      <c r="C1407" s="1" t="str">
        <f>TEXT(Table4_2[[#This Row],[Date]],"dddd")</f>
        <v>Thursday</v>
      </c>
      <c r="D1407" s="21">
        <v>29.2</v>
      </c>
      <c r="E1407" s="21">
        <v>52</v>
      </c>
      <c r="F1407" s="21">
        <v>612</v>
      </c>
      <c r="G1407" s="21">
        <v>6.8</v>
      </c>
      <c r="H1407">
        <v>29</v>
      </c>
      <c r="I1407">
        <v>84.56</v>
      </c>
      <c r="J1407">
        <v>0.52</v>
      </c>
      <c r="K1407" t="str" cm="1">
        <f t="array" ref="K1407">_xlfn.IFS(Table4_2[[#This Row],[Growth Days]]&lt;=14,"Seedling",Table4_2[[#This Row],[Growth Days]]&lt;=35, "Vegetative",Table4_2[[#This Row],[Growth Days]]&lt;=50, "Maturity")</f>
        <v>Vegetative</v>
      </c>
      <c r="L1407" t="str">
        <f>IF(Table4_2[[#This Row],[TDS Value (ppm)]]&lt;560, "Low", IF(Table4_2[[#This Row],[TDS Value (ppm)]]&lt;=800,"Optimal","High"))</f>
        <v>Optimal</v>
      </c>
    </row>
    <row r="1408" spans="1:12" x14ac:dyDescent="0.25">
      <c r="A1408">
        <v>20</v>
      </c>
      <c r="B1408" s="1">
        <v>45176</v>
      </c>
      <c r="C1408" s="1" t="str">
        <f>TEXT(Table4_2[[#This Row],[Date]],"dddd")</f>
        <v>Thursday</v>
      </c>
      <c r="D1408" s="21">
        <v>31.5</v>
      </c>
      <c r="E1408" s="21">
        <v>71</v>
      </c>
      <c r="F1408" s="21">
        <v>513</v>
      </c>
      <c r="G1408" s="21">
        <v>6.4</v>
      </c>
      <c r="H1408">
        <v>36</v>
      </c>
      <c r="I1408">
        <v>88.7</v>
      </c>
      <c r="J1408">
        <v>0.71</v>
      </c>
      <c r="K1408" t="str" cm="1">
        <f t="array" ref="K1408">_xlfn.IFS(Table4_2[[#This Row],[Growth Days]]&lt;=14,"Seedling",Table4_2[[#This Row],[Growth Days]]&lt;=35, "Vegetative",Table4_2[[#This Row],[Growth Days]]&lt;=50, "Maturity")</f>
        <v>Maturity</v>
      </c>
      <c r="L1408" t="str">
        <f>IF(Table4_2[[#This Row],[TDS Value (ppm)]]&lt;560, "Low", IF(Table4_2[[#This Row],[TDS Value (ppm)]]&lt;=800,"Optimal","High"))</f>
        <v>Low</v>
      </c>
    </row>
    <row r="1409" spans="1:12" x14ac:dyDescent="0.25">
      <c r="A1409">
        <v>20</v>
      </c>
      <c r="B1409" s="1">
        <v>45183</v>
      </c>
      <c r="C1409" s="1" t="str">
        <f>TEXT(Table4_2[[#This Row],[Date]],"dddd")</f>
        <v>Thursday</v>
      </c>
      <c r="D1409" s="21">
        <v>29.1</v>
      </c>
      <c r="E1409" s="21">
        <v>51</v>
      </c>
      <c r="F1409" s="21">
        <v>570</v>
      </c>
      <c r="G1409" s="21">
        <v>6.3</v>
      </c>
      <c r="H1409">
        <v>43</v>
      </c>
      <c r="I1409">
        <v>84.38</v>
      </c>
      <c r="J1409">
        <v>0.51</v>
      </c>
      <c r="K1409" t="str" cm="1">
        <f t="array" ref="K1409">_xlfn.IFS(Table4_2[[#This Row],[Growth Days]]&lt;=14,"Seedling",Table4_2[[#This Row],[Growth Days]]&lt;=35, "Vegetative",Table4_2[[#This Row],[Growth Days]]&lt;=50, "Maturity")</f>
        <v>Maturity</v>
      </c>
      <c r="L1409" t="str">
        <f>IF(Table4_2[[#This Row],[TDS Value (ppm)]]&lt;560, "Low", IF(Table4_2[[#This Row],[TDS Value (ppm)]]&lt;=800,"Optimal","High"))</f>
        <v>Optimal</v>
      </c>
    </row>
    <row r="1410" spans="1:12" x14ac:dyDescent="0.25">
      <c r="A1410">
        <v>21</v>
      </c>
      <c r="B1410" s="1">
        <v>45141</v>
      </c>
      <c r="C1410" s="1" t="str">
        <f>TEXT(Table4_2[[#This Row],[Date]],"dddd")</f>
        <v>Thursday</v>
      </c>
      <c r="D1410" s="21">
        <v>33.4</v>
      </c>
      <c r="E1410" s="21">
        <v>54</v>
      </c>
      <c r="F1410" s="21">
        <v>530</v>
      </c>
      <c r="G1410" s="21">
        <v>6.1</v>
      </c>
      <c r="H1410">
        <v>1</v>
      </c>
      <c r="I1410">
        <v>92.12</v>
      </c>
      <c r="J1410">
        <v>0.54</v>
      </c>
      <c r="K1410" t="str" cm="1">
        <f t="array" ref="K1410">_xlfn.IFS(Table4_2[[#This Row],[Growth Days]]&lt;=14,"Seedling",Table4_2[[#This Row],[Growth Days]]&lt;=35, "Vegetative",Table4_2[[#This Row],[Growth Days]]&lt;=50, "Maturity")</f>
        <v>Seedling</v>
      </c>
      <c r="L1410" t="str">
        <f>IF(Table4_2[[#This Row],[TDS Value (ppm)]]&lt;560, "Low", IF(Table4_2[[#This Row],[TDS Value (ppm)]]&lt;=800,"Optimal","High"))</f>
        <v>Low</v>
      </c>
    </row>
    <row r="1411" spans="1:12" x14ac:dyDescent="0.25">
      <c r="A1411">
        <v>21</v>
      </c>
      <c r="B1411" s="1">
        <v>45148</v>
      </c>
      <c r="C1411" s="1" t="str">
        <f>TEXT(Table4_2[[#This Row],[Date]],"dddd")</f>
        <v>Thursday</v>
      </c>
      <c r="D1411" s="21">
        <v>22.7</v>
      </c>
      <c r="E1411" s="21">
        <v>60</v>
      </c>
      <c r="F1411" s="21">
        <v>625</v>
      </c>
      <c r="G1411" s="21">
        <v>6.1</v>
      </c>
      <c r="H1411">
        <v>8</v>
      </c>
      <c r="I1411">
        <v>72.86</v>
      </c>
      <c r="J1411">
        <v>0.6</v>
      </c>
      <c r="K1411" t="str" cm="1">
        <f t="array" ref="K1411">_xlfn.IFS(Table4_2[[#This Row],[Growth Days]]&lt;=14,"Seedling",Table4_2[[#This Row],[Growth Days]]&lt;=35, "Vegetative",Table4_2[[#This Row],[Growth Days]]&lt;=50, "Maturity")</f>
        <v>Seedling</v>
      </c>
      <c r="L1411" t="str">
        <f>IF(Table4_2[[#This Row],[TDS Value (ppm)]]&lt;560, "Low", IF(Table4_2[[#This Row],[TDS Value (ppm)]]&lt;=800,"Optimal","High"))</f>
        <v>Optimal</v>
      </c>
    </row>
    <row r="1412" spans="1:12" x14ac:dyDescent="0.25">
      <c r="A1412">
        <v>21</v>
      </c>
      <c r="B1412" s="1">
        <v>45155</v>
      </c>
      <c r="C1412" s="1" t="str">
        <f>TEXT(Table4_2[[#This Row],[Date]],"dddd")</f>
        <v>Thursday</v>
      </c>
      <c r="D1412" s="21">
        <v>29.6</v>
      </c>
      <c r="E1412" s="21">
        <v>71</v>
      </c>
      <c r="F1412" s="21">
        <v>514</v>
      </c>
      <c r="G1412" s="21">
        <v>6.7</v>
      </c>
      <c r="H1412">
        <v>15</v>
      </c>
      <c r="I1412">
        <v>85.28</v>
      </c>
      <c r="J1412">
        <v>0.71</v>
      </c>
      <c r="K1412" t="str" cm="1">
        <f t="array" ref="K1412">_xlfn.IFS(Table4_2[[#This Row],[Growth Days]]&lt;=14,"Seedling",Table4_2[[#This Row],[Growth Days]]&lt;=35, "Vegetative",Table4_2[[#This Row],[Growth Days]]&lt;=50, "Maturity")</f>
        <v>Vegetative</v>
      </c>
      <c r="L1412" t="str">
        <f>IF(Table4_2[[#This Row],[TDS Value (ppm)]]&lt;560, "Low", IF(Table4_2[[#This Row],[TDS Value (ppm)]]&lt;=800,"Optimal","High"))</f>
        <v>Low</v>
      </c>
    </row>
    <row r="1413" spans="1:12" x14ac:dyDescent="0.25">
      <c r="A1413">
        <v>21</v>
      </c>
      <c r="B1413" s="1">
        <v>45162</v>
      </c>
      <c r="C1413" s="1" t="str">
        <f>TEXT(Table4_2[[#This Row],[Date]],"dddd")</f>
        <v>Thursday</v>
      </c>
      <c r="D1413" s="21">
        <v>31.3</v>
      </c>
      <c r="E1413" s="21">
        <v>59</v>
      </c>
      <c r="F1413" s="21">
        <v>594</v>
      </c>
      <c r="G1413" s="21">
        <v>6.1</v>
      </c>
      <c r="H1413">
        <v>22</v>
      </c>
      <c r="I1413">
        <v>88.34</v>
      </c>
      <c r="J1413">
        <v>0.59</v>
      </c>
      <c r="K1413" t="str" cm="1">
        <f t="array" ref="K1413">_xlfn.IFS(Table4_2[[#This Row],[Growth Days]]&lt;=14,"Seedling",Table4_2[[#This Row],[Growth Days]]&lt;=35, "Vegetative",Table4_2[[#This Row],[Growth Days]]&lt;=50, "Maturity")</f>
        <v>Vegetative</v>
      </c>
      <c r="L1413" t="str">
        <f>IF(Table4_2[[#This Row],[TDS Value (ppm)]]&lt;560, "Low", IF(Table4_2[[#This Row],[TDS Value (ppm)]]&lt;=800,"Optimal","High"))</f>
        <v>Optimal</v>
      </c>
    </row>
    <row r="1414" spans="1:12" x14ac:dyDescent="0.25">
      <c r="A1414">
        <v>21</v>
      </c>
      <c r="B1414" s="1">
        <v>45169</v>
      </c>
      <c r="C1414" s="1" t="str">
        <f>TEXT(Table4_2[[#This Row],[Date]],"dddd")</f>
        <v>Thursday</v>
      </c>
      <c r="D1414" s="21">
        <v>29.2</v>
      </c>
      <c r="E1414" s="21">
        <v>76</v>
      </c>
      <c r="F1414" s="21">
        <v>559</v>
      </c>
      <c r="G1414" s="21">
        <v>6.7</v>
      </c>
      <c r="H1414">
        <v>29</v>
      </c>
      <c r="I1414">
        <v>84.56</v>
      </c>
      <c r="J1414">
        <v>0.76</v>
      </c>
      <c r="K1414" t="str" cm="1">
        <f t="array" ref="K1414">_xlfn.IFS(Table4_2[[#This Row],[Growth Days]]&lt;=14,"Seedling",Table4_2[[#This Row],[Growth Days]]&lt;=35, "Vegetative",Table4_2[[#This Row],[Growth Days]]&lt;=50, "Maturity")</f>
        <v>Vegetative</v>
      </c>
      <c r="L1414" t="str">
        <f>IF(Table4_2[[#This Row],[TDS Value (ppm)]]&lt;560, "Low", IF(Table4_2[[#This Row],[TDS Value (ppm)]]&lt;=800,"Optimal","High"))</f>
        <v>Low</v>
      </c>
    </row>
    <row r="1415" spans="1:12" x14ac:dyDescent="0.25">
      <c r="A1415">
        <v>21</v>
      </c>
      <c r="B1415" s="1">
        <v>45176</v>
      </c>
      <c r="C1415" s="1" t="str">
        <f>TEXT(Table4_2[[#This Row],[Date]],"dddd")</f>
        <v>Thursday</v>
      </c>
      <c r="D1415" s="21">
        <v>31.5</v>
      </c>
      <c r="E1415" s="21">
        <v>72</v>
      </c>
      <c r="F1415" s="21">
        <v>784</v>
      </c>
      <c r="G1415" s="21">
        <v>6.1</v>
      </c>
      <c r="H1415">
        <v>36</v>
      </c>
      <c r="I1415">
        <v>88.7</v>
      </c>
      <c r="J1415">
        <v>0.72</v>
      </c>
      <c r="K1415" t="str" cm="1">
        <f t="array" ref="K1415">_xlfn.IFS(Table4_2[[#This Row],[Growth Days]]&lt;=14,"Seedling",Table4_2[[#This Row],[Growth Days]]&lt;=35, "Vegetative",Table4_2[[#This Row],[Growth Days]]&lt;=50, "Maturity")</f>
        <v>Maturity</v>
      </c>
      <c r="L1415" t="str">
        <f>IF(Table4_2[[#This Row],[TDS Value (ppm)]]&lt;560, "Low", IF(Table4_2[[#This Row],[TDS Value (ppm)]]&lt;=800,"Optimal","High"))</f>
        <v>Optimal</v>
      </c>
    </row>
    <row r="1416" spans="1:12" x14ac:dyDescent="0.25">
      <c r="A1416">
        <v>21</v>
      </c>
      <c r="B1416" s="1">
        <v>45183</v>
      </c>
      <c r="C1416" s="1" t="str">
        <f>TEXT(Table4_2[[#This Row],[Date]],"dddd")</f>
        <v>Thursday</v>
      </c>
      <c r="D1416" s="21">
        <v>29.1</v>
      </c>
      <c r="E1416" s="21">
        <v>50</v>
      </c>
      <c r="F1416" s="21">
        <v>661</v>
      </c>
      <c r="G1416" s="21">
        <v>6.2</v>
      </c>
      <c r="H1416">
        <v>43</v>
      </c>
      <c r="I1416">
        <v>84.38</v>
      </c>
      <c r="J1416">
        <v>0.5</v>
      </c>
      <c r="K1416" t="str" cm="1">
        <f t="array" ref="K1416">_xlfn.IFS(Table4_2[[#This Row],[Growth Days]]&lt;=14,"Seedling",Table4_2[[#This Row],[Growth Days]]&lt;=35, "Vegetative",Table4_2[[#This Row],[Growth Days]]&lt;=50, "Maturity")</f>
        <v>Maturity</v>
      </c>
      <c r="L1416" t="str">
        <f>IF(Table4_2[[#This Row],[TDS Value (ppm)]]&lt;560, "Low", IF(Table4_2[[#This Row],[TDS Value (ppm)]]&lt;=800,"Optimal","High"))</f>
        <v>Optimal</v>
      </c>
    </row>
    <row r="1417" spans="1:12" x14ac:dyDescent="0.25">
      <c r="A1417">
        <v>22</v>
      </c>
      <c r="B1417" s="1">
        <v>45141</v>
      </c>
      <c r="C1417" s="1" t="str">
        <f>TEXT(Table4_2[[#This Row],[Date]],"dddd")</f>
        <v>Thursday</v>
      </c>
      <c r="D1417" s="21">
        <v>33.4</v>
      </c>
      <c r="E1417" s="21">
        <v>70</v>
      </c>
      <c r="F1417" s="21">
        <v>620</v>
      </c>
      <c r="G1417" s="21">
        <v>6.2</v>
      </c>
      <c r="H1417">
        <v>1</v>
      </c>
      <c r="I1417">
        <v>92.12</v>
      </c>
      <c r="J1417">
        <v>0.7</v>
      </c>
      <c r="K1417" t="str" cm="1">
        <f t="array" ref="K1417">_xlfn.IFS(Table4_2[[#This Row],[Growth Days]]&lt;=14,"Seedling",Table4_2[[#This Row],[Growth Days]]&lt;=35, "Vegetative",Table4_2[[#This Row],[Growth Days]]&lt;=50, "Maturity")</f>
        <v>Seedling</v>
      </c>
      <c r="L1417" t="str">
        <f>IF(Table4_2[[#This Row],[TDS Value (ppm)]]&lt;560, "Low", IF(Table4_2[[#This Row],[TDS Value (ppm)]]&lt;=800,"Optimal","High"))</f>
        <v>Optimal</v>
      </c>
    </row>
    <row r="1418" spans="1:12" x14ac:dyDescent="0.25">
      <c r="A1418">
        <v>22</v>
      </c>
      <c r="B1418" s="1">
        <v>45148</v>
      </c>
      <c r="C1418" s="1" t="str">
        <f>TEXT(Table4_2[[#This Row],[Date]],"dddd")</f>
        <v>Thursday</v>
      </c>
      <c r="D1418" s="21">
        <v>22.7</v>
      </c>
      <c r="E1418" s="21">
        <v>50</v>
      </c>
      <c r="F1418" s="21">
        <v>783</v>
      </c>
      <c r="G1418" s="21">
        <v>6.1</v>
      </c>
      <c r="H1418">
        <v>8</v>
      </c>
      <c r="I1418">
        <v>72.86</v>
      </c>
      <c r="J1418">
        <v>0.5</v>
      </c>
      <c r="K1418" t="str" cm="1">
        <f t="array" ref="K1418">_xlfn.IFS(Table4_2[[#This Row],[Growth Days]]&lt;=14,"Seedling",Table4_2[[#This Row],[Growth Days]]&lt;=35, "Vegetative",Table4_2[[#This Row],[Growth Days]]&lt;=50, "Maturity")</f>
        <v>Seedling</v>
      </c>
      <c r="L1418" t="str">
        <f>IF(Table4_2[[#This Row],[TDS Value (ppm)]]&lt;560, "Low", IF(Table4_2[[#This Row],[TDS Value (ppm)]]&lt;=800,"Optimal","High"))</f>
        <v>Optimal</v>
      </c>
    </row>
    <row r="1419" spans="1:12" x14ac:dyDescent="0.25">
      <c r="A1419">
        <v>22</v>
      </c>
      <c r="B1419" s="1">
        <v>45155</v>
      </c>
      <c r="C1419" s="1" t="str">
        <f>TEXT(Table4_2[[#This Row],[Date]],"dddd")</f>
        <v>Thursday</v>
      </c>
      <c r="D1419" s="21">
        <v>29.6</v>
      </c>
      <c r="E1419" s="21">
        <v>65</v>
      </c>
      <c r="F1419" s="21">
        <v>651</v>
      </c>
      <c r="G1419" s="21">
        <v>6.7</v>
      </c>
      <c r="H1419">
        <v>15</v>
      </c>
      <c r="I1419">
        <v>85.28</v>
      </c>
      <c r="J1419">
        <v>0.65</v>
      </c>
      <c r="K1419" t="str" cm="1">
        <f t="array" ref="K1419">_xlfn.IFS(Table4_2[[#This Row],[Growth Days]]&lt;=14,"Seedling",Table4_2[[#This Row],[Growth Days]]&lt;=35, "Vegetative",Table4_2[[#This Row],[Growth Days]]&lt;=50, "Maturity")</f>
        <v>Vegetative</v>
      </c>
      <c r="L1419" t="str">
        <f>IF(Table4_2[[#This Row],[TDS Value (ppm)]]&lt;560, "Low", IF(Table4_2[[#This Row],[TDS Value (ppm)]]&lt;=800,"Optimal","High"))</f>
        <v>Optimal</v>
      </c>
    </row>
    <row r="1420" spans="1:12" x14ac:dyDescent="0.25">
      <c r="A1420">
        <v>22</v>
      </c>
      <c r="B1420" s="1">
        <v>45162</v>
      </c>
      <c r="C1420" s="1" t="str">
        <f>TEXT(Table4_2[[#This Row],[Date]],"dddd")</f>
        <v>Thursday</v>
      </c>
      <c r="D1420" s="21">
        <v>31.3</v>
      </c>
      <c r="E1420" s="21">
        <v>51</v>
      </c>
      <c r="F1420" s="21">
        <v>542</v>
      </c>
      <c r="G1420" s="21">
        <v>6.3</v>
      </c>
      <c r="H1420">
        <v>22</v>
      </c>
      <c r="I1420">
        <v>88.34</v>
      </c>
      <c r="J1420">
        <v>0.51</v>
      </c>
      <c r="K1420" t="str" cm="1">
        <f t="array" ref="K1420">_xlfn.IFS(Table4_2[[#This Row],[Growth Days]]&lt;=14,"Seedling",Table4_2[[#This Row],[Growth Days]]&lt;=35, "Vegetative",Table4_2[[#This Row],[Growth Days]]&lt;=50, "Maturity")</f>
        <v>Vegetative</v>
      </c>
      <c r="L1420" t="str">
        <f>IF(Table4_2[[#This Row],[TDS Value (ppm)]]&lt;560, "Low", IF(Table4_2[[#This Row],[TDS Value (ppm)]]&lt;=800,"Optimal","High"))</f>
        <v>Low</v>
      </c>
    </row>
    <row r="1421" spans="1:12" x14ac:dyDescent="0.25">
      <c r="A1421">
        <v>22</v>
      </c>
      <c r="B1421" s="1">
        <v>45169</v>
      </c>
      <c r="C1421" s="1" t="str">
        <f>TEXT(Table4_2[[#This Row],[Date]],"dddd")</f>
        <v>Thursday</v>
      </c>
      <c r="D1421" s="21">
        <v>29.2</v>
      </c>
      <c r="E1421" s="21">
        <v>58</v>
      </c>
      <c r="F1421" s="21">
        <v>596</v>
      </c>
      <c r="G1421" s="21">
        <v>6.5</v>
      </c>
      <c r="H1421">
        <v>29</v>
      </c>
      <c r="I1421">
        <v>84.56</v>
      </c>
      <c r="J1421">
        <v>0.57999999999999996</v>
      </c>
      <c r="K1421" t="str" cm="1">
        <f t="array" ref="K1421">_xlfn.IFS(Table4_2[[#This Row],[Growth Days]]&lt;=14,"Seedling",Table4_2[[#This Row],[Growth Days]]&lt;=35, "Vegetative",Table4_2[[#This Row],[Growth Days]]&lt;=50, "Maturity")</f>
        <v>Vegetative</v>
      </c>
      <c r="L1421" t="str">
        <f>IF(Table4_2[[#This Row],[TDS Value (ppm)]]&lt;560, "Low", IF(Table4_2[[#This Row],[TDS Value (ppm)]]&lt;=800,"Optimal","High"))</f>
        <v>Optimal</v>
      </c>
    </row>
    <row r="1422" spans="1:12" x14ac:dyDescent="0.25">
      <c r="A1422">
        <v>22</v>
      </c>
      <c r="B1422" s="1">
        <v>45176</v>
      </c>
      <c r="C1422" s="1" t="str">
        <f>TEXT(Table4_2[[#This Row],[Date]],"dddd")</f>
        <v>Thursday</v>
      </c>
      <c r="D1422" s="21">
        <v>31.5</v>
      </c>
      <c r="E1422" s="21">
        <v>67</v>
      </c>
      <c r="F1422" s="21">
        <v>428</v>
      </c>
      <c r="G1422" s="21">
        <v>6</v>
      </c>
      <c r="H1422">
        <v>36</v>
      </c>
      <c r="I1422">
        <v>88.7</v>
      </c>
      <c r="J1422">
        <v>0.67</v>
      </c>
      <c r="K1422" t="str" cm="1">
        <f t="array" ref="K1422">_xlfn.IFS(Table4_2[[#This Row],[Growth Days]]&lt;=14,"Seedling",Table4_2[[#This Row],[Growth Days]]&lt;=35, "Vegetative",Table4_2[[#This Row],[Growth Days]]&lt;=50, "Maturity")</f>
        <v>Maturity</v>
      </c>
      <c r="L1422" t="str">
        <f>IF(Table4_2[[#This Row],[TDS Value (ppm)]]&lt;560, "Low", IF(Table4_2[[#This Row],[TDS Value (ppm)]]&lt;=800,"Optimal","High"))</f>
        <v>Low</v>
      </c>
    </row>
    <row r="1423" spans="1:12" x14ac:dyDescent="0.25">
      <c r="A1423">
        <v>22</v>
      </c>
      <c r="B1423" s="1">
        <v>45183</v>
      </c>
      <c r="C1423" s="1" t="str">
        <f>TEXT(Table4_2[[#This Row],[Date]],"dddd")</f>
        <v>Thursday</v>
      </c>
      <c r="D1423" s="21">
        <v>29.1</v>
      </c>
      <c r="E1423" s="21">
        <v>60</v>
      </c>
      <c r="F1423" s="21">
        <v>492</v>
      </c>
      <c r="G1423" s="21">
        <v>6.7</v>
      </c>
      <c r="H1423">
        <v>43</v>
      </c>
      <c r="I1423">
        <v>84.38</v>
      </c>
      <c r="J1423">
        <v>0.6</v>
      </c>
      <c r="K1423" t="str" cm="1">
        <f t="array" ref="K1423">_xlfn.IFS(Table4_2[[#This Row],[Growth Days]]&lt;=14,"Seedling",Table4_2[[#This Row],[Growth Days]]&lt;=35, "Vegetative",Table4_2[[#This Row],[Growth Days]]&lt;=50, "Maturity")</f>
        <v>Maturity</v>
      </c>
      <c r="L1423" t="str">
        <f>IF(Table4_2[[#This Row],[TDS Value (ppm)]]&lt;560, "Low", IF(Table4_2[[#This Row],[TDS Value (ppm)]]&lt;=800,"Optimal","High"))</f>
        <v>Low</v>
      </c>
    </row>
    <row r="1424" spans="1:12" x14ac:dyDescent="0.25">
      <c r="A1424">
        <v>23</v>
      </c>
      <c r="B1424" s="1">
        <v>45141</v>
      </c>
      <c r="C1424" s="1" t="str">
        <f>TEXT(Table4_2[[#This Row],[Date]],"dddd")</f>
        <v>Thursday</v>
      </c>
      <c r="D1424" s="21">
        <v>33.4</v>
      </c>
      <c r="E1424" s="21">
        <v>59</v>
      </c>
      <c r="F1424" s="21">
        <v>745</v>
      </c>
      <c r="G1424" s="21">
        <v>6</v>
      </c>
      <c r="H1424">
        <v>1</v>
      </c>
      <c r="I1424">
        <v>92.12</v>
      </c>
      <c r="J1424">
        <v>0.59</v>
      </c>
      <c r="K1424" t="str" cm="1">
        <f t="array" ref="K1424">_xlfn.IFS(Table4_2[[#This Row],[Growth Days]]&lt;=14,"Seedling",Table4_2[[#This Row],[Growth Days]]&lt;=35, "Vegetative",Table4_2[[#This Row],[Growth Days]]&lt;=50, "Maturity")</f>
        <v>Seedling</v>
      </c>
      <c r="L1424" t="str">
        <f>IF(Table4_2[[#This Row],[TDS Value (ppm)]]&lt;560, "Low", IF(Table4_2[[#This Row],[TDS Value (ppm)]]&lt;=800,"Optimal","High"))</f>
        <v>Optimal</v>
      </c>
    </row>
    <row r="1425" spans="1:12" x14ac:dyDescent="0.25">
      <c r="A1425">
        <v>23</v>
      </c>
      <c r="B1425" s="1">
        <v>45148</v>
      </c>
      <c r="C1425" s="1" t="str">
        <f>TEXT(Table4_2[[#This Row],[Date]],"dddd")</f>
        <v>Thursday</v>
      </c>
      <c r="D1425" s="21">
        <v>22.7</v>
      </c>
      <c r="E1425" s="21">
        <v>80</v>
      </c>
      <c r="F1425" s="21">
        <v>475</v>
      </c>
      <c r="G1425" s="21">
        <v>6.2</v>
      </c>
      <c r="H1425">
        <v>8</v>
      </c>
      <c r="I1425">
        <v>72.86</v>
      </c>
      <c r="J1425">
        <v>0.8</v>
      </c>
      <c r="K1425" t="str" cm="1">
        <f t="array" ref="K1425">_xlfn.IFS(Table4_2[[#This Row],[Growth Days]]&lt;=14,"Seedling",Table4_2[[#This Row],[Growth Days]]&lt;=35, "Vegetative",Table4_2[[#This Row],[Growth Days]]&lt;=50, "Maturity")</f>
        <v>Seedling</v>
      </c>
      <c r="L1425" t="str">
        <f>IF(Table4_2[[#This Row],[TDS Value (ppm)]]&lt;560, "Low", IF(Table4_2[[#This Row],[TDS Value (ppm)]]&lt;=800,"Optimal","High"))</f>
        <v>Low</v>
      </c>
    </row>
    <row r="1426" spans="1:12" x14ac:dyDescent="0.25">
      <c r="A1426">
        <v>23</v>
      </c>
      <c r="B1426" s="1">
        <v>45155</v>
      </c>
      <c r="C1426" s="1" t="str">
        <f>TEXT(Table4_2[[#This Row],[Date]],"dddd")</f>
        <v>Thursday</v>
      </c>
      <c r="D1426" s="21">
        <v>29.6</v>
      </c>
      <c r="E1426" s="21">
        <v>63</v>
      </c>
      <c r="F1426" s="21">
        <v>546</v>
      </c>
      <c r="G1426" s="21">
        <v>6.7</v>
      </c>
      <c r="H1426">
        <v>15</v>
      </c>
      <c r="I1426">
        <v>85.28</v>
      </c>
      <c r="J1426">
        <v>0.63</v>
      </c>
      <c r="K1426" t="str" cm="1">
        <f t="array" ref="K1426">_xlfn.IFS(Table4_2[[#This Row],[Growth Days]]&lt;=14,"Seedling",Table4_2[[#This Row],[Growth Days]]&lt;=35, "Vegetative",Table4_2[[#This Row],[Growth Days]]&lt;=50, "Maturity")</f>
        <v>Vegetative</v>
      </c>
      <c r="L1426" t="str">
        <f>IF(Table4_2[[#This Row],[TDS Value (ppm)]]&lt;560, "Low", IF(Table4_2[[#This Row],[TDS Value (ppm)]]&lt;=800,"Optimal","High"))</f>
        <v>Low</v>
      </c>
    </row>
    <row r="1427" spans="1:12" x14ac:dyDescent="0.25">
      <c r="A1427">
        <v>23</v>
      </c>
      <c r="B1427" s="1">
        <v>45162</v>
      </c>
      <c r="C1427" s="1" t="str">
        <f>TEXT(Table4_2[[#This Row],[Date]],"dddd")</f>
        <v>Thursday</v>
      </c>
      <c r="D1427" s="21">
        <v>31.3</v>
      </c>
      <c r="E1427" s="21">
        <v>72</v>
      </c>
      <c r="F1427" s="21">
        <v>737</v>
      </c>
      <c r="G1427" s="21">
        <v>6.8</v>
      </c>
      <c r="H1427">
        <v>22</v>
      </c>
      <c r="I1427">
        <v>88.34</v>
      </c>
      <c r="J1427">
        <v>0.72</v>
      </c>
      <c r="K1427" t="str" cm="1">
        <f t="array" ref="K1427">_xlfn.IFS(Table4_2[[#This Row],[Growth Days]]&lt;=14,"Seedling",Table4_2[[#This Row],[Growth Days]]&lt;=35, "Vegetative",Table4_2[[#This Row],[Growth Days]]&lt;=50, "Maturity")</f>
        <v>Vegetative</v>
      </c>
      <c r="L1427" t="str">
        <f>IF(Table4_2[[#This Row],[TDS Value (ppm)]]&lt;560, "Low", IF(Table4_2[[#This Row],[TDS Value (ppm)]]&lt;=800,"Optimal","High"))</f>
        <v>Optimal</v>
      </c>
    </row>
    <row r="1428" spans="1:12" x14ac:dyDescent="0.25">
      <c r="A1428">
        <v>23</v>
      </c>
      <c r="B1428" s="1">
        <v>45169</v>
      </c>
      <c r="C1428" s="1" t="str">
        <f>TEXT(Table4_2[[#This Row],[Date]],"dddd")</f>
        <v>Thursday</v>
      </c>
      <c r="D1428" s="21">
        <v>29.2</v>
      </c>
      <c r="E1428" s="21">
        <v>56</v>
      </c>
      <c r="F1428" s="21">
        <v>630</v>
      </c>
      <c r="G1428" s="21">
        <v>6.3</v>
      </c>
      <c r="H1428">
        <v>29</v>
      </c>
      <c r="I1428">
        <v>84.56</v>
      </c>
      <c r="J1428">
        <v>0.56000000000000005</v>
      </c>
      <c r="K1428" t="str" cm="1">
        <f t="array" ref="K1428">_xlfn.IFS(Table4_2[[#This Row],[Growth Days]]&lt;=14,"Seedling",Table4_2[[#This Row],[Growth Days]]&lt;=35, "Vegetative",Table4_2[[#This Row],[Growth Days]]&lt;=50, "Maturity")</f>
        <v>Vegetative</v>
      </c>
      <c r="L1428" t="str">
        <f>IF(Table4_2[[#This Row],[TDS Value (ppm)]]&lt;560, "Low", IF(Table4_2[[#This Row],[TDS Value (ppm)]]&lt;=800,"Optimal","High"))</f>
        <v>Optimal</v>
      </c>
    </row>
    <row r="1429" spans="1:12" x14ac:dyDescent="0.25">
      <c r="A1429">
        <v>23</v>
      </c>
      <c r="B1429" s="1">
        <v>45176</v>
      </c>
      <c r="C1429" s="1" t="str">
        <f>TEXT(Table4_2[[#This Row],[Date]],"dddd")</f>
        <v>Thursday</v>
      </c>
      <c r="D1429" s="21">
        <v>31.5</v>
      </c>
      <c r="E1429" s="21">
        <v>69</v>
      </c>
      <c r="F1429" s="21">
        <v>518</v>
      </c>
      <c r="G1429" s="21">
        <v>6.6</v>
      </c>
      <c r="H1429">
        <v>36</v>
      </c>
      <c r="I1429">
        <v>88.7</v>
      </c>
      <c r="J1429">
        <v>0.69</v>
      </c>
      <c r="K1429" t="str" cm="1">
        <f t="array" ref="K1429">_xlfn.IFS(Table4_2[[#This Row],[Growth Days]]&lt;=14,"Seedling",Table4_2[[#This Row],[Growth Days]]&lt;=35, "Vegetative",Table4_2[[#This Row],[Growth Days]]&lt;=50, "Maturity")</f>
        <v>Maturity</v>
      </c>
      <c r="L1429" t="str">
        <f>IF(Table4_2[[#This Row],[TDS Value (ppm)]]&lt;560, "Low", IF(Table4_2[[#This Row],[TDS Value (ppm)]]&lt;=800,"Optimal","High"))</f>
        <v>Low</v>
      </c>
    </row>
    <row r="1430" spans="1:12" x14ac:dyDescent="0.25">
      <c r="A1430">
        <v>23</v>
      </c>
      <c r="B1430" s="1">
        <v>45183</v>
      </c>
      <c r="C1430" s="1" t="str">
        <f>TEXT(Table4_2[[#This Row],[Date]],"dddd")</f>
        <v>Thursday</v>
      </c>
      <c r="D1430" s="21">
        <v>29.1</v>
      </c>
      <c r="E1430" s="21">
        <v>65</v>
      </c>
      <c r="F1430" s="21">
        <v>602</v>
      </c>
      <c r="G1430" s="21">
        <v>6.7</v>
      </c>
      <c r="H1430">
        <v>43</v>
      </c>
      <c r="I1430">
        <v>84.38</v>
      </c>
      <c r="J1430">
        <v>0.65</v>
      </c>
      <c r="K1430" t="str" cm="1">
        <f t="array" ref="K1430">_xlfn.IFS(Table4_2[[#This Row],[Growth Days]]&lt;=14,"Seedling",Table4_2[[#This Row],[Growth Days]]&lt;=35, "Vegetative",Table4_2[[#This Row],[Growth Days]]&lt;=50, "Maturity")</f>
        <v>Maturity</v>
      </c>
      <c r="L1430" t="str">
        <f>IF(Table4_2[[#This Row],[TDS Value (ppm)]]&lt;560, "Low", IF(Table4_2[[#This Row],[TDS Value (ppm)]]&lt;=800,"Optimal","High"))</f>
        <v>Optimal</v>
      </c>
    </row>
    <row r="1431" spans="1:12" x14ac:dyDescent="0.25">
      <c r="A1431">
        <v>24</v>
      </c>
      <c r="B1431" s="1">
        <v>45141</v>
      </c>
      <c r="C1431" s="1" t="str">
        <f>TEXT(Table4_2[[#This Row],[Date]],"dddd")</f>
        <v>Thursday</v>
      </c>
      <c r="D1431" s="21">
        <v>33.5</v>
      </c>
      <c r="E1431" s="21">
        <v>76</v>
      </c>
      <c r="F1431" s="21">
        <v>534</v>
      </c>
      <c r="G1431" s="21">
        <v>6.3</v>
      </c>
      <c r="H1431">
        <v>1</v>
      </c>
      <c r="I1431">
        <v>92.3</v>
      </c>
      <c r="J1431">
        <v>0.76</v>
      </c>
      <c r="K1431" t="str" cm="1">
        <f t="array" ref="K1431">_xlfn.IFS(Table4_2[[#This Row],[Growth Days]]&lt;=14,"Seedling",Table4_2[[#This Row],[Growth Days]]&lt;=35, "Vegetative",Table4_2[[#This Row],[Growth Days]]&lt;=50, "Maturity")</f>
        <v>Seedling</v>
      </c>
      <c r="L1431" t="str">
        <f>IF(Table4_2[[#This Row],[TDS Value (ppm)]]&lt;560, "Low", IF(Table4_2[[#This Row],[TDS Value (ppm)]]&lt;=800,"Optimal","High"))</f>
        <v>Low</v>
      </c>
    </row>
    <row r="1432" spans="1:12" x14ac:dyDescent="0.25">
      <c r="A1432">
        <v>24</v>
      </c>
      <c r="B1432" s="1">
        <v>45148</v>
      </c>
      <c r="C1432" s="1" t="str">
        <f>TEXT(Table4_2[[#This Row],[Date]],"dddd")</f>
        <v>Thursday</v>
      </c>
      <c r="D1432" s="21">
        <v>31.9</v>
      </c>
      <c r="E1432" s="21">
        <v>72</v>
      </c>
      <c r="F1432" s="21">
        <v>441</v>
      </c>
      <c r="G1432" s="21">
        <v>6.6</v>
      </c>
      <c r="H1432">
        <v>8</v>
      </c>
      <c r="I1432">
        <v>89.42</v>
      </c>
      <c r="J1432">
        <v>0.72</v>
      </c>
      <c r="K1432" t="str" cm="1">
        <f t="array" ref="K1432">_xlfn.IFS(Table4_2[[#This Row],[Growth Days]]&lt;=14,"Seedling",Table4_2[[#This Row],[Growth Days]]&lt;=35, "Vegetative",Table4_2[[#This Row],[Growth Days]]&lt;=50, "Maturity")</f>
        <v>Seedling</v>
      </c>
      <c r="L1432" t="str">
        <f>IF(Table4_2[[#This Row],[TDS Value (ppm)]]&lt;560, "Low", IF(Table4_2[[#This Row],[TDS Value (ppm)]]&lt;=800,"Optimal","High"))</f>
        <v>Low</v>
      </c>
    </row>
    <row r="1433" spans="1:12" x14ac:dyDescent="0.25">
      <c r="A1433">
        <v>24</v>
      </c>
      <c r="B1433" s="1">
        <v>45155</v>
      </c>
      <c r="C1433" s="1" t="str">
        <f>TEXT(Table4_2[[#This Row],[Date]],"dddd")</f>
        <v>Thursday</v>
      </c>
      <c r="D1433" s="21">
        <v>30.9</v>
      </c>
      <c r="E1433" s="21">
        <v>78</v>
      </c>
      <c r="F1433" s="21">
        <v>719</v>
      </c>
      <c r="G1433" s="21">
        <v>6.6</v>
      </c>
      <c r="H1433">
        <v>15</v>
      </c>
      <c r="I1433">
        <v>87.62</v>
      </c>
      <c r="J1433">
        <v>0.78</v>
      </c>
      <c r="K1433" t="str" cm="1">
        <f t="array" ref="K1433">_xlfn.IFS(Table4_2[[#This Row],[Growth Days]]&lt;=14,"Seedling",Table4_2[[#This Row],[Growth Days]]&lt;=35, "Vegetative",Table4_2[[#This Row],[Growth Days]]&lt;=50, "Maturity")</f>
        <v>Vegetative</v>
      </c>
      <c r="L1433" t="str">
        <f>IF(Table4_2[[#This Row],[TDS Value (ppm)]]&lt;560, "Low", IF(Table4_2[[#This Row],[TDS Value (ppm)]]&lt;=800,"Optimal","High"))</f>
        <v>Optimal</v>
      </c>
    </row>
    <row r="1434" spans="1:12" x14ac:dyDescent="0.25">
      <c r="A1434">
        <v>24</v>
      </c>
      <c r="B1434" s="1">
        <v>45162</v>
      </c>
      <c r="C1434" s="1" t="str">
        <f>TEXT(Table4_2[[#This Row],[Date]],"dddd")</f>
        <v>Thursday</v>
      </c>
      <c r="D1434" s="21">
        <v>31.4</v>
      </c>
      <c r="E1434" s="21">
        <v>72</v>
      </c>
      <c r="F1434" s="21">
        <v>401</v>
      </c>
      <c r="G1434" s="21">
        <v>6.4</v>
      </c>
      <c r="H1434">
        <v>22</v>
      </c>
      <c r="I1434">
        <v>88.52</v>
      </c>
      <c r="J1434">
        <v>0.72</v>
      </c>
      <c r="K1434" t="str" cm="1">
        <f t="array" ref="K1434">_xlfn.IFS(Table4_2[[#This Row],[Growth Days]]&lt;=14,"Seedling",Table4_2[[#This Row],[Growth Days]]&lt;=35, "Vegetative",Table4_2[[#This Row],[Growth Days]]&lt;=50, "Maturity")</f>
        <v>Vegetative</v>
      </c>
      <c r="L1434" t="str">
        <f>IF(Table4_2[[#This Row],[TDS Value (ppm)]]&lt;560, "Low", IF(Table4_2[[#This Row],[TDS Value (ppm)]]&lt;=800,"Optimal","High"))</f>
        <v>Low</v>
      </c>
    </row>
    <row r="1435" spans="1:12" x14ac:dyDescent="0.25">
      <c r="A1435">
        <v>24</v>
      </c>
      <c r="B1435" s="1">
        <v>45169</v>
      </c>
      <c r="C1435" s="1" t="str">
        <f>TEXT(Table4_2[[#This Row],[Date]],"dddd")</f>
        <v>Thursday</v>
      </c>
      <c r="D1435" s="21">
        <v>31.7</v>
      </c>
      <c r="E1435" s="21">
        <v>75</v>
      </c>
      <c r="F1435" s="21">
        <v>634</v>
      </c>
      <c r="G1435" s="21">
        <v>6.6</v>
      </c>
      <c r="H1435">
        <v>29</v>
      </c>
      <c r="I1435">
        <v>89.06</v>
      </c>
      <c r="J1435">
        <v>0.75</v>
      </c>
      <c r="K1435" t="str" cm="1">
        <f t="array" ref="K1435">_xlfn.IFS(Table4_2[[#This Row],[Growth Days]]&lt;=14,"Seedling",Table4_2[[#This Row],[Growth Days]]&lt;=35, "Vegetative",Table4_2[[#This Row],[Growth Days]]&lt;=50, "Maturity")</f>
        <v>Vegetative</v>
      </c>
      <c r="L1435" t="str">
        <f>IF(Table4_2[[#This Row],[TDS Value (ppm)]]&lt;560, "Low", IF(Table4_2[[#This Row],[TDS Value (ppm)]]&lt;=800,"Optimal","High"))</f>
        <v>Optimal</v>
      </c>
    </row>
    <row r="1436" spans="1:12" x14ac:dyDescent="0.25">
      <c r="A1436">
        <v>24</v>
      </c>
      <c r="B1436" s="1">
        <v>45176</v>
      </c>
      <c r="C1436" s="1" t="str">
        <f>TEXT(Table4_2[[#This Row],[Date]],"dddd")</f>
        <v>Thursday</v>
      </c>
      <c r="D1436" s="21">
        <v>29.8</v>
      </c>
      <c r="E1436" s="21">
        <v>61</v>
      </c>
      <c r="F1436" s="21">
        <v>604</v>
      </c>
      <c r="G1436" s="21">
        <v>6</v>
      </c>
      <c r="H1436">
        <v>36</v>
      </c>
      <c r="I1436">
        <v>85.64</v>
      </c>
      <c r="J1436">
        <v>0.61</v>
      </c>
      <c r="K1436" t="str" cm="1">
        <f t="array" ref="K1436">_xlfn.IFS(Table4_2[[#This Row],[Growth Days]]&lt;=14,"Seedling",Table4_2[[#This Row],[Growth Days]]&lt;=35, "Vegetative",Table4_2[[#This Row],[Growth Days]]&lt;=50, "Maturity")</f>
        <v>Maturity</v>
      </c>
      <c r="L1436" t="str">
        <f>IF(Table4_2[[#This Row],[TDS Value (ppm)]]&lt;560, "Low", IF(Table4_2[[#This Row],[TDS Value (ppm)]]&lt;=800,"Optimal","High"))</f>
        <v>Optimal</v>
      </c>
    </row>
    <row r="1437" spans="1:12" x14ac:dyDescent="0.25">
      <c r="A1437">
        <v>24</v>
      </c>
      <c r="B1437" s="1">
        <v>45183</v>
      </c>
      <c r="C1437" s="1" t="str">
        <f>TEXT(Table4_2[[#This Row],[Date]],"dddd")</f>
        <v>Thursday</v>
      </c>
      <c r="D1437" s="21">
        <v>30.6</v>
      </c>
      <c r="E1437" s="21">
        <v>56</v>
      </c>
      <c r="F1437" s="21">
        <v>546</v>
      </c>
      <c r="G1437" s="21">
        <v>6</v>
      </c>
      <c r="H1437">
        <v>43</v>
      </c>
      <c r="I1437">
        <v>87.08</v>
      </c>
      <c r="J1437">
        <v>0.56000000000000005</v>
      </c>
      <c r="K1437" t="str" cm="1">
        <f t="array" ref="K1437">_xlfn.IFS(Table4_2[[#This Row],[Growth Days]]&lt;=14,"Seedling",Table4_2[[#This Row],[Growth Days]]&lt;=35, "Vegetative",Table4_2[[#This Row],[Growth Days]]&lt;=50, "Maturity")</f>
        <v>Maturity</v>
      </c>
      <c r="L1437" t="str">
        <f>IF(Table4_2[[#This Row],[TDS Value (ppm)]]&lt;560, "Low", IF(Table4_2[[#This Row],[TDS Value (ppm)]]&lt;=800,"Optimal","High"))</f>
        <v>Low</v>
      </c>
    </row>
    <row r="1438" spans="1:12" x14ac:dyDescent="0.25">
      <c r="A1438">
        <v>25</v>
      </c>
      <c r="B1438" s="1">
        <v>45141</v>
      </c>
      <c r="C1438" s="1" t="str">
        <f>TEXT(Table4_2[[#This Row],[Date]],"dddd")</f>
        <v>Thursday</v>
      </c>
      <c r="D1438" s="21">
        <v>33.4</v>
      </c>
      <c r="E1438" s="21">
        <v>53</v>
      </c>
      <c r="F1438" s="21">
        <v>598</v>
      </c>
      <c r="G1438" s="21">
        <v>6.7</v>
      </c>
      <c r="H1438">
        <v>1</v>
      </c>
      <c r="I1438">
        <v>92.12</v>
      </c>
      <c r="J1438">
        <v>0.53</v>
      </c>
      <c r="K1438" t="str" cm="1">
        <f t="array" ref="K1438">_xlfn.IFS(Table4_2[[#This Row],[Growth Days]]&lt;=14,"Seedling",Table4_2[[#This Row],[Growth Days]]&lt;=35, "Vegetative",Table4_2[[#This Row],[Growth Days]]&lt;=50, "Maturity")</f>
        <v>Seedling</v>
      </c>
      <c r="L1438" t="str">
        <f>IF(Table4_2[[#This Row],[TDS Value (ppm)]]&lt;560, "Low", IF(Table4_2[[#This Row],[TDS Value (ppm)]]&lt;=800,"Optimal","High"))</f>
        <v>Optimal</v>
      </c>
    </row>
    <row r="1439" spans="1:12" x14ac:dyDescent="0.25">
      <c r="A1439">
        <v>25</v>
      </c>
      <c r="B1439" s="1">
        <v>45148</v>
      </c>
      <c r="C1439" s="1" t="str">
        <f>TEXT(Table4_2[[#This Row],[Date]],"dddd")</f>
        <v>Thursday</v>
      </c>
      <c r="D1439" s="21">
        <v>22.7</v>
      </c>
      <c r="E1439" s="21">
        <v>72</v>
      </c>
      <c r="F1439" s="21">
        <v>525</v>
      </c>
      <c r="G1439" s="21">
        <v>6.8</v>
      </c>
      <c r="H1439">
        <v>8</v>
      </c>
      <c r="I1439">
        <v>72.86</v>
      </c>
      <c r="J1439">
        <v>0.72</v>
      </c>
      <c r="K1439" t="str" cm="1">
        <f t="array" ref="K1439">_xlfn.IFS(Table4_2[[#This Row],[Growth Days]]&lt;=14,"Seedling",Table4_2[[#This Row],[Growth Days]]&lt;=35, "Vegetative",Table4_2[[#This Row],[Growth Days]]&lt;=50, "Maturity")</f>
        <v>Seedling</v>
      </c>
      <c r="L1439" t="str">
        <f>IF(Table4_2[[#This Row],[TDS Value (ppm)]]&lt;560, "Low", IF(Table4_2[[#This Row],[TDS Value (ppm)]]&lt;=800,"Optimal","High"))</f>
        <v>Low</v>
      </c>
    </row>
    <row r="1440" spans="1:12" x14ac:dyDescent="0.25">
      <c r="A1440">
        <v>25</v>
      </c>
      <c r="B1440" s="1">
        <v>45155</v>
      </c>
      <c r="C1440" s="1" t="str">
        <f>TEXT(Table4_2[[#This Row],[Date]],"dddd")</f>
        <v>Thursday</v>
      </c>
      <c r="D1440" s="21">
        <v>29.6</v>
      </c>
      <c r="E1440" s="21">
        <v>55</v>
      </c>
      <c r="F1440" s="21">
        <v>668</v>
      </c>
      <c r="G1440" s="21">
        <v>6.7</v>
      </c>
      <c r="H1440">
        <v>15</v>
      </c>
      <c r="I1440">
        <v>85.28</v>
      </c>
      <c r="J1440">
        <v>0.55000000000000004</v>
      </c>
      <c r="K1440" t="str" cm="1">
        <f t="array" ref="K1440">_xlfn.IFS(Table4_2[[#This Row],[Growth Days]]&lt;=14,"Seedling",Table4_2[[#This Row],[Growth Days]]&lt;=35, "Vegetative",Table4_2[[#This Row],[Growth Days]]&lt;=50, "Maturity")</f>
        <v>Vegetative</v>
      </c>
      <c r="L1440" t="str">
        <f>IF(Table4_2[[#This Row],[TDS Value (ppm)]]&lt;560, "Low", IF(Table4_2[[#This Row],[TDS Value (ppm)]]&lt;=800,"Optimal","High"))</f>
        <v>Optimal</v>
      </c>
    </row>
    <row r="1441" spans="1:12" x14ac:dyDescent="0.25">
      <c r="A1441">
        <v>25</v>
      </c>
      <c r="B1441" s="1">
        <v>45162</v>
      </c>
      <c r="C1441" s="1" t="str">
        <f>TEXT(Table4_2[[#This Row],[Date]],"dddd")</f>
        <v>Thursday</v>
      </c>
      <c r="D1441" s="21">
        <v>31.3</v>
      </c>
      <c r="E1441" s="21">
        <v>73</v>
      </c>
      <c r="F1441" s="21">
        <v>761</v>
      </c>
      <c r="G1441" s="21">
        <v>6.8</v>
      </c>
      <c r="H1441">
        <v>22</v>
      </c>
      <c r="I1441">
        <v>88.34</v>
      </c>
      <c r="J1441">
        <v>0.73</v>
      </c>
      <c r="K1441" t="str" cm="1">
        <f t="array" ref="K1441">_xlfn.IFS(Table4_2[[#This Row],[Growth Days]]&lt;=14,"Seedling",Table4_2[[#This Row],[Growth Days]]&lt;=35, "Vegetative",Table4_2[[#This Row],[Growth Days]]&lt;=50, "Maturity")</f>
        <v>Vegetative</v>
      </c>
      <c r="L1441" t="str">
        <f>IF(Table4_2[[#This Row],[TDS Value (ppm)]]&lt;560, "Low", IF(Table4_2[[#This Row],[TDS Value (ppm)]]&lt;=800,"Optimal","High"))</f>
        <v>Optimal</v>
      </c>
    </row>
    <row r="1442" spans="1:12" x14ac:dyDescent="0.25">
      <c r="A1442">
        <v>25</v>
      </c>
      <c r="B1442" s="1">
        <v>45169</v>
      </c>
      <c r="C1442" s="1" t="str">
        <f>TEXT(Table4_2[[#This Row],[Date]],"dddd")</f>
        <v>Thursday</v>
      </c>
      <c r="D1442" s="21">
        <v>29.2</v>
      </c>
      <c r="E1442" s="21">
        <v>66</v>
      </c>
      <c r="F1442" s="21">
        <v>703</v>
      </c>
      <c r="G1442" s="21">
        <v>6.7</v>
      </c>
      <c r="H1442">
        <v>29</v>
      </c>
      <c r="I1442">
        <v>84.56</v>
      </c>
      <c r="J1442">
        <v>0.66</v>
      </c>
      <c r="K1442" t="str" cm="1">
        <f t="array" ref="K1442">_xlfn.IFS(Table4_2[[#This Row],[Growth Days]]&lt;=14,"Seedling",Table4_2[[#This Row],[Growth Days]]&lt;=35, "Vegetative",Table4_2[[#This Row],[Growth Days]]&lt;=50, "Maturity")</f>
        <v>Vegetative</v>
      </c>
      <c r="L1442" t="str">
        <f>IF(Table4_2[[#This Row],[TDS Value (ppm)]]&lt;560, "Low", IF(Table4_2[[#This Row],[TDS Value (ppm)]]&lt;=800,"Optimal","High"))</f>
        <v>Optimal</v>
      </c>
    </row>
    <row r="1443" spans="1:12" x14ac:dyDescent="0.25">
      <c r="A1443">
        <v>25</v>
      </c>
      <c r="B1443" s="1">
        <v>45176</v>
      </c>
      <c r="C1443" s="1" t="str">
        <f>TEXT(Table4_2[[#This Row],[Date]],"dddd")</f>
        <v>Thursday</v>
      </c>
      <c r="D1443" s="21">
        <v>31.5</v>
      </c>
      <c r="E1443" s="21">
        <v>59</v>
      </c>
      <c r="F1443" s="21">
        <v>657</v>
      </c>
      <c r="G1443" s="21">
        <v>6.6</v>
      </c>
      <c r="H1443">
        <v>36</v>
      </c>
      <c r="I1443">
        <v>88.7</v>
      </c>
      <c r="J1443">
        <v>0.59</v>
      </c>
      <c r="K1443" t="str" cm="1">
        <f t="array" ref="K1443">_xlfn.IFS(Table4_2[[#This Row],[Growth Days]]&lt;=14,"Seedling",Table4_2[[#This Row],[Growth Days]]&lt;=35, "Vegetative",Table4_2[[#This Row],[Growth Days]]&lt;=50, "Maturity")</f>
        <v>Maturity</v>
      </c>
      <c r="L1443" t="str">
        <f>IF(Table4_2[[#This Row],[TDS Value (ppm)]]&lt;560, "Low", IF(Table4_2[[#This Row],[TDS Value (ppm)]]&lt;=800,"Optimal","High"))</f>
        <v>Optimal</v>
      </c>
    </row>
    <row r="1444" spans="1:12" x14ac:dyDescent="0.25">
      <c r="A1444">
        <v>25</v>
      </c>
      <c r="B1444" s="1">
        <v>45183</v>
      </c>
      <c r="C1444" s="1" t="str">
        <f>TEXT(Table4_2[[#This Row],[Date]],"dddd")</f>
        <v>Thursday</v>
      </c>
      <c r="D1444" s="21">
        <v>29.1</v>
      </c>
      <c r="E1444" s="21">
        <v>50</v>
      </c>
      <c r="F1444" s="21">
        <v>446</v>
      </c>
      <c r="G1444" s="21">
        <v>6.3</v>
      </c>
      <c r="H1444">
        <v>43</v>
      </c>
      <c r="I1444">
        <v>84.38</v>
      </c>
      <c r="J1444">
        <v>0.5</v>
      </c>
      <c r="K1444" t="str" cm="1">
        <f t="array" ref="K1444">_xlfn.IFS(Table4_2[[#This Row],[Growth Days]]&lt;=14,"Seedling",Table4_2[[#This Row],[Growth Days]]&lt;=35, "Vegetative",Table4_2[[#This Row],[Growth Days]]&lt;=50, "Maturity")</f>
        <v>Maturity</v>
      </c>
      <c r="L1444" t="str">
        <f>IF(Table4_2[[#This Row],[TDS Value (ppm)]]&lt;560, "Low", IF(Table4_2[[#This Row],[TDS Value (ppm)]]&lt;=800,"Optimal","High"))</f>
        <v>Low</v>
      </c>
    </row>
    <row r="1445" spans="1:12" x14ac:dyDescent="0.25">
      <c r="A1445">
        <v>26</v>
      </c>
      <c r="B1445" s="1">
        <v>45141</v>
      </c>
      <c r="C1445" s="1" t="str">
        <f>TEXT(Table4_2[[#This Row],[Date]],"dddd")</f>
        <v>Thursday</v>
      </c>
      <c r="D1445" s="21">
        <v>33.4</v>
      </c>
      <c r="E1445" s="21">
        <v>54</v>
      </c>
      <c r="F1445" s="21">
        <v>458</v>
      </c>
      <c r="G1445" s="21">
        <v>6.3</v>
      </c>
      <c r="H1445">
        <v>1</v>
      </c>
      <c r="I1445">
        <v>92.12</v>
      </c>
      <c r="J1445">
        <v>0.54</v>
      </c>
      <c r="K1445" t="str" cm="1">
        <f t="array" ref="K1445">_xlfn.IFS(Table4_2[[#This Row],[Growth Days]]&lt;=14,"Seedling",Table4_2[[#This Row],[Growth Days]]&lt;=35, "Vegetative",Table4_2[[#This Row],[Growth Days]]&lt;=50, "Maturity")</f>
        <v>Seedling</v>
      </c>
      <c r="L1445" t="str">
        <f>IF(Table4_2[[#This Row],[TDS Value (ppm)]]&lt;560, "Low", IF(Table4_2[[#This Row],[TDS Value (ppm)]]&lt;=800,"Optimal","High"))</f>
        <v>Low</v>
      </c>
    </row>
    <row r="1446" spans="1:12" x14ac:dyDescent="0.25">
      <c r="A1446">
        <v>26</v>
      </c>
      <c r="B1446" s="1">
        <v>45148</v>
      </c>
      <c r="C1446" s="1" t="str">
        <f>TEXT(Table4_2[[#This Row],[Date]],"dddd")</f>
        <v>Thursday</v>
      </c>
      <c r="D1446" s="21">
        <v>22.7</v>
      </c>
      <c r="E1446" s="21">
        <v>74</v>
      </c>
      <c r="F1446" s="21">
        <v>495</v>
      </c>
      <c r="G1446" s="21">
        <v>6.8</v>
      </c>
      <c r="H1446">
        <v>8</v>
      </c>
      <c r="I1446">
        <v>72.86</v>
      </c>
      <c r="J1446">
        <v>0.74</v>
      </c>
      <c r="K1446" t="str" cm="1">
        <f t="array" ref="K1446">_xlfn.IFS(Table4_2[[#This Row],[Growth Days]]&lt;=14,"Seedling",Table4_2[[#This Row],[Growth Days]]&lt;=35, "Vegetative",Table4_2[[#This Row],[Growth Days]]&lt;=50, "Maturity")</f>
        <v>Seedling</v>
      </c>
      <c r="L1446" t="str">
        <f>IF(Table4_2[[#This Row],[TDS Value (ppm)]]&lt;560, "Low", IF(Table4_2[[#This Row],[TDS Value (ppm)]]&lt;=800,"Optimal","High"))</f>
        <v>Low</v>
      </c>
    </row>
    <row r="1447" spans="1:12" x14ac:dyDescent="0.25">
      <c r="A1447">
        <v>26</v>
      </c>
      <c r="B1447" s="1">
        <v>45155</v>
      </c>
      <c r="C1447" s="1" t="str">
        <f>TEXT(Table4_2[[#This Row],[Date]],"dddd")</f>
        <v>Thursday</v>
      </c>
      <c r="D1447" s="21">
        <v>29.6</v>
      </c>
      <c r="E1447" s="21">
        <v>71</v>
      </c>
      <c r="F1447" s="21">
        <v>773</v>
      </c>
      <c r="G1447" s="21">
        <v>6.2</v>
      </c>
      <c r="H1447">
        <v>15</v>
      </c>
      <c r="I1447">
        <v>85.28</v>
      </c>
      <c r="J1447">
        <v>0.71</v>
      </c>
      <c r="K1447" t="str" cm="1">
        <f t="array" ref="K1447">_xlfn.IFS(Table4_2[[#This Row],[Growth Days]]&lt;=14,"Seedling",Table4_2[[#This Row],[Growth Days]]&lt;=35, "Vegetative",Table4_2[[#This Row],[Growth Days]]&lt;=50, "Maturity")</f>
        <v>Vegetative</v>
      </c>
      <c r="L1447" t="str">
        <f>IF(Table4_2[[#This Row],[TDS Value (ppm)]]&lt;560, "Low", IF(Table4_2[[#This Row],[TDS Value (ppm)]]&lt;=800,"Optimal","High"))</f>
        <v>Optimal</v>
      </c>
    </row>
    <row r="1448" spans="1:12" x14ac:dyDescent="0.25">
      <c r="A1448">
        <v>26</v>
      </c>
      <c r="B1448" s="1">
        <v>45162</v>
      </c>
      <c r="C1448" s="1" t="str">
        <f>TEXT(Table4_2[[#This Row],[Date]],"dddd")</f>
        <v>Thursday</v>
      </c>
      <c r="D1448" s="21">
        <v>31.3</v>
      </c>
      <c r="E1448" s="21">
        <v>67</v>
      </c>
      <c r="F1448" s="21">
        <v>548</v>
      </c>
      <c r="G1448" s="21">
        <v>6.2</v>
      </c>
      <c r="H1448">
        <v>22</v>
      </c>
      <c r="I1448">
        <v>88.34</v>
      </c>
      <c r="J1448">
        <v>0.67</v>
      </c>
      <c r="K1448" t="str" cm="1">
        <f t="array" ref="K1448">_xlfn.IFS(Table4_2[[#This Row],[Growth Days]]&lt;=14,"Seedling",Table4_2[[#This Row],[Growth Days]]&lt;=35, "Vegetative",Table4_2[[#This Row],[Growth Days]]&lt;=50, "Maturity")</f>
        <v>Vegetative</v>
      </c>
      <c r="L1448" t="str">
        <f>IF(Table4_2[[#This Row],[TDS Value (ppm)]]&lt;560, "Low", IF(Table4_2[[#This Row],[TDS Value (ppm)]]&lt;=800,"Optimal","High"))</f>
        <v>Low</v>
      </c>
    </row>
    <row r="1449" spans="1:12" x14ac:dyDescent="0.25">
      <c r="A1449">
        <v>26</v>
      </c>
      <c r="B1449" s="1">
        <v>45169</v>
      </c>
      <c r="C1449" s="1" t="str">
        <f>TEXT(Table4_2[[#This Row],[Date]],"dddd")</f>
        <v>Thursday</v>
      </c>
      <c r="D1449" s="21">
        <v>29.2</v>
      </c>
      <c r="E1449" s="21">
        <v>69</v>
      </c>
      <c r="F1449" s="21">
        <v>614</v>
      </c>
      <c r="G1449" s="21">
        <v>6.2</v>
      </c>
      <c r="H1449">
        <v>29</v>
      </c>
      <c r="I1449">
        <v>84.56</v>
      </c>
      <c r="J1449">
        <v>0.69</v>
      </c>
      <c r="K1449" t="str" cm="1">
        <f t="array" ref="K1449">_xlfn.IFS(Table4_2[[#This Row],[Growth Days]]&lt;=14,"Seedling",Table4_2[[#This Row],[Growth Days]]&lt;=35, "Vegetative",Table4_2[[#This Row],[Growth Days]]&lt;=50, "Maturity")</f>
        <v>Vegetative</v>
      </c>
      <c r="L1449" t="str">
        <f>IF(Table4_2[[#This Row],[TDS Value (ppm)]]&lt;560, "Low", IF(Table4_2[[#This Row],[TDS Value (ppm)]]&lt;=800,"Optimal","High"))</f>
        <v>Optimal</v>
      </c>
    </row>
    <row r="1450" spans="1:12" x14ac:dyDescent="0.25">
      <c r="A1450">
        <v>26</v>
      </c>
      <c r="B1450" s="1">
        <v>45176</v>
      </c>
      <c r="C1450" s="1" t="str">
        <f>TEXT(Table4_2[[#This Row],[Date]],"dddd")</f>
        <v>Thursday</v>
      </c>
      <c r="D1450" s="21">
        <v>31.5</v>
      </c>
      <c r="E1450" s="21">
        <v>55</v>
      </c>
      <c r="F1450" s="21">
        <v>632</v>
      </c>
      <c r="G1450" s="21">
        <v>6.4</v>
      </c>
      <c r="H1450">
        <v>36</v>
      </c>
      <c r="I1450">
        <v>88.7</v>
      </c>
      <c r="J1450">
        <v>0.55000000000000004</v>
      </c>
      <c r="K1450" t="str" cm="1">
        <f t="array" ref="K1450">_xlfn.IFS(Table4_2[[#This Row],[Growth Days]]&lt;=14,"Seedling",Table4_2[[#This Row],[Growth Days]]&lt;=35, "Vegetative",Table4_2[[#This Row],[Growth Days]]&lt;=50, "Maturity")</f>
        <v>Maturity</v>
      </c>
      <c r="L1450" t="str">
        <f>IF(Table4_2[[#This Row],[TDS Value (ppm)]]&lt;560, "Low", IF(Table4_2[[#This Row],[TDS Value (ppm)]]&lt;=800,"Optimal","High"))</f>
        <v>Optimal</v>
      </c>
    </row>
    <row r="1451" spans="1:12" x14ac:dyDescent="0.25">
      <c r="A1451">
        <v>26</v>
      </c>
      <c r="B1451" s="1">
        <v>45183</v>
      </c>
      <c r="C1451" s="1" t="str">
        <f>TEXT(Table4_2[[#This Row],[Date]],"dddd")</f>
        <v>Thursday</v>
      </c>
      <c r="D1451" s="21">
        <v>29.1</v>
      </c>
      <c r="E1451" s="21">
        <v>71</v>
      </c>
      <c r="F1451" s="21">
        <v>734</v>
      </c>
      <c r="G1451" s="21">
        <v>6.4</v>
      </c>
      <c r="H1451">
        <v>43</v>
      </c>
      <c r="I1451">
        <v>84.38</v>
      </c>
      <c r="J1451">
        <v>0.71</v>
      </c>
      <c r="K1451" t="str" cm="1">
        <f t="array" ref="K1451">_xlfn.IFS(Table4_2[[#This Row],[Growth Days]]&lt;=14,"Seedling",Table4_2[[#This Row],[Growth Days]]&lt;=35, "Vegetative",Table4_2[[#This Row],[Growth Days]]&lt;=50, "Maturity")</f>
        <v>Maturity</v>
      </c>
      <c r="L1451" t="str">
        <f>IF(Table4_2[[#This Row],[TDS Value (ppm)]]&lt;560, "Low", IF(Table4_2[[#This Row],[TDS Value (ppm)]]&lt;=800,"Optimal","High"))</f>
        <v>Optimal</v>
      </c>
    </row>
    <row r="1452" spans="1:12" x14ac:dyDescent="0.25">
      <c r="A1452">
        <v>27</v>
      </c>
      <c r="B1452" s="1">
        <v>45141</v>
      </c>
      <c r="C1452" s="1" t="str">
        <f>TEXT(Table4_2[[#This Row],[Date]],"dddd")</f>
        <v>Thursday</v>
      </c>
      <c r="D1452" s="21">
        <v>33.4</v>
      </c>
      <c r="E1452" s="21">
        <v>76</v>
      </c>
      <c r="F1452" s="21">
        <v>411</v>
      </c>
      <c r="G1452" s="21">
        <v>6.7</v>
      </c>
      <c r="H1452">
        <v>1</v>
      </c>
      <c r="I1452">
        <v>92.12</v>
      </c>
      <c r="J1452">
        <v>0.76</v>
      </c>
      <c r="K1452" t="str" cm="1">
        <f t="array" ref="K1452">_xlfn.IFS(Table4_2[[#This Row],[Growth Days]]&lt;=14,"Seedling",Table4_2[[#This Row],[Growth Days]]&lt;=35, "Vegetative",Table4_2[[#This Row],[Growth Days]]&lt;=50, "Maturity")</f>
        <v>Seedling</v>
      </c>
      <c r="L1452" t="str">
        <f>IF(Table4_2[[#This Row],[TDS Value (ppm)]]&lt;560, "Low", IF(Table4_2[[#This Row],[TDS Value (ppm)]]&lt;=800,"Optimal","High"))</f>
        <v>Low</v>
      </c>
    </row>
    <row r="1453" spans="1:12" x14ac:dyDescent="0.25">
      <c r="A1453">
        <v>27</v>
      </c>
      <c r="B1453" s="1">
        <v>45148</v>
      </c>
      <c r="C1453" s="1" t="str">
        <f>TEXT(Table4_2[[#This Row],[Date]],"dddd")</f>
        <v>Thursday</v>
      </c>
      <c r="D1453" s="21">
        <v>22.7</v>
      </c>
      <c r="E1453" s="21">
        <v>77</v>
      </c>
      <c r="F1453" s="21">
        <v>723</v>
      </c>
      <c r="G1453" s="21">
        <v>6.6</v>
      </c>
      <c r="H1453">
        <v>8</v>
      </c>
      <c r="I1453">
        <v>72.86</v>
      </c>
      <c r="J1453">
        <v>0.77</v>
      </c>
      <c r="K1453" t="str" cm="1">
        <f t="array" ref="K1453">_xlfn.IFS(Table4_2[[#This Row],[Growth Days]]&lt;=14,"Seedling",Table4_2[[#This Row],[Growth Days]]&lt;=35, "Vegetative",Table4_2[[#This Row],[Growth Days]]&lt;=50, "Maturity")</f>
        <v>Seedling</v>
      </c>
      <c r="L1453" t="str">
        <f>IF(Table4_2[[#This Row],[TDS Value (ppm)]]&lt;560, "Low", IF(Table4_2[[#This Row],[TDS Value (ppm)]]&lt;=800,"Optimal","High"))</f>
        <v>Optimal</v>
      </c>
    </row>
    <row r="1454" spans="1:12" x14ac:dyDescent="0.25">
      <c r="A1454">
        <v>27</v>
      </c>
      <c r="B1454" s="1">
        <v>45155</v>
      </c>
      <c r="C1454" s="1" t="str">
        <f>TEXT(Table4_2[[#This Row],[Date]],"dddd")</f>
        <v>Thursday</v>
      </c>
      <c r="D1454" s="21">
        <v>29.6</v>
      </c>
      <c r="E1454" s="21">
        <v>56</v>
      </c>
      <c r="F1454" s="21">
        <v>676</v>
      </c>
      <c r="G1454" s="21">
        <v>6.6</v>
      </c>
      <c r="H1454">
        <v>15</v>
      </c>
      <c r="I1454">
        <v>85.28</v>
      </c>
      <c r="J1454">
        <v>0.56000000000000005</v>
      </c>
      <c r="K1454" t="str" cm="1">
        <f t="array" ref="K1454">_xlfn.IFS(Table4_2[[#This Row],[Growth Days]]&lt;=14,"Seedling",Table4_2[[#This Row],[Growth Days]]&lt;=35, "Vegetative",Table4_2[[#This Row],[Growth Days]]&lt;=50, "Maturity")</f>
        <v>Vegetative</v>
      </c>
      <c r="L1454" t="str">
        <f>IF(Table4_2[[#This Row],[TDS Value (ppm)]]&lt;560, "Low", IF(Table4_2[[#This Row],[TDS Value (ppm)]]&lt;=800,"Optimal","High"))</f>
        <v>Optimal</v>
      </c>
    </row>
    <row r="1455" spans="1:12" x14ac:dyDescent="0.25">
      <c r="A1455">
        <v>27</v>
      </c>
      <c r="B1455" s="1">
        <v>45162</v>
      </c>
      <c r="C1455" s="1" t="str">
        <f>TEXT(Table4_2[[#This Row],[Date]],"dddd")</f>
        <v>Thursday</v>
      </c>
      <c r="D1455" s="21">
        <v>31.3</v>
      </c>
      <c r="E1455" s="21">
        <v>62</v>
      </c>
      <c r="F1455" s="21">
        <v>799</v>
      </c>
      <c r="G1455" s="21">
        <v>6.4</v>
      </c>
      <c r="H1455">
        <v>22</v>
      </c>
      <c r="I1455">
        <v>88.34</v>
      </c>
      <c r="J1455">
        <v>0.62</v>
      </c>
      <c r="K1455" t="str" cm="1">
        <f t="array" ref="K1455">_xlfn.IFS(Table4_2[[#This Row],[Growth Days]]&lt;=14,"Seedling",Table4_2[[#This Row],[Growth Days]]&lt;=35, "Vegetative",Table4_2[[#This Row],[Growth Days]]&lt;=50, "Maturity")</f>
        <v>Vegetative</v>
      </c>
      <c r="L1455" t="str">
        <f>IF(Table4_2[[#This Row],[TDS Value (ppm)]]&lt;560, "Low", IF(Table4_2[[#This Row],[TDS Value (ppm)]]&lt;=800,"Optimal","High"))</f>
        <v>Optimal</v>
      </c>
    </row>
    <row r="1456" spans="1:12" x14ac:dyDescent="0.25">
      <c r="A1456">
        <v>27</v>
      </c>
      <c r="B1456" s="1">
        <v>45169</v>
      </c>
      <c r="C1456" s="1" t="str">
        <f>TEXT(Table4_2[[#This Row],[Date]],"dddd")</f>
        <v>Thursday</v>
      </c>
      <c r="D1456" s="21">
        <v>29.2</v>
      </c>
      <c r="E1456" s="21">
        <v>75</v>
      </c>
      <c r="F1456" s="21">
        <v>453</v>
      </c>
      <c r="G1456" s="21">
        <v>6.6</v>
      </c>
      <c r="H1456">
        <v>29</v>
      </c>
      <c r="I1456">
        <v>84.56</v>
      </c>
      <c r="J1456">
        <v>0.75</v>
      </c>
      <c r="K1456" t="str" cm="1">
        <f t="array" ref="K1456">_xlfn.IFS(Table4_2[[#This Row],[Growth Days]]&lt;=14,"Seedling",Table4_2[[#This Row],[Growth Days]]&lt;=35, "Vegetative",Table4_2[[#This Row],[Growth Days]]&lt;=50, "Maturity")</f>
        <v>Vegetative</v>
      </c>
      <c r="L1456" t="str">
        <f>IF(Table4_2[[#This Row],[TDS Value (ppm)]]&lt;560, "Low", IF(Table4_2[[#This Row],[TDS Value (ppm)]]&lt;=800,"Optimal","High"))</f>
        <v>Low</v>
      </c>
    </row>
    <row r="1457" spans="1:12" x14ac:dyDescent="0.25">
      <c r="A1457">
        <v>27</v>
      </c>
      <c r="B1457" s="1">
        <v>45176</v>
      </c>
      <c r="C1457" s="1" t="str">
        <f>TEXT(Table4_2[[#This Row],[Date]],"dddd")</f>
        <v>Thursday</v>
      </c>
      <c r="D1457" s="21">
        <v>31.5</v>
      </c>
      <c r="E1457" s="21">
        <v>70</v>
      </c>
      <c r="F1457" s="21">
        <v>420</v>
      </c>
      <c r="G1457" s="21">
        <v>6.7</v>
      </c>
      <c r="H1457">
        <v>36</v>
      </c>
      <c r="I1457">
        <v>88.7</v>
      </c>
      <c r="J1457">
        <v>0.7</v>
      </c>
      <c r="K1457" t="str" cm="1">
        <f t="array" ref="K1457">_xlfn.IFS(Table4_2[[#This Row],[Growth Days]]&lt;=14,"Seedling",Table4_2[[#This Row],[Growth Days]]&lt;=35, "Vegetative",Table4_2[[#This Row],[Growth Days]]&lt;=50, "Maturity")</f>
        <v>Maturity</v>
      </c>
      <c r="L1457" t="str">
        <f>IF(Table4_2[[#This Row],[TDS Value (ppm)]]&lt;560, "Low", IF(Table4_2[[#This Row],[TDS Value (ppm)]]&lt;=800,"Optimal","High"))</f>
        <v>Low</v>
      </c>
    </row>
    <row r="1458" spans="1:12" x14ac:dyDescent="0.25">
      <c r="A1458">
        <v>27</v>
      </c>
      <c r="B1458" s="1">
        <v>45183</v>
      </c>
      <c r="C1458" s="1" t="str">
        <f>TEXT(Table4_2[[#This Row],[Date]],"dddd")</f>
        <v>Thursday</v>
      </c>
      <c r="D1458" s="21">
        <v>29.1</v>
      </c>
      <c r="E1458" s="21">
        <v>54</v>
      </c>
      <c r="F1458" s="21">
        <v>658</v>
      </c>
      <c r="G1458" s="21">
        <v>6.5</v>
      </c>
      <c r="H1458">
        <v>43</v>
      </c>
      <c r="I1458">
        <v>84.38</v>
      </c>
      <c r="J1458">
        <v>0.54</v>
      </c>
      <c r="K1458" t="str" cm="1">
        <f t="array" ref="K1458">_xlfn.IFS(Table4_2[[#This Row],[Growth Days]]&lt;=14,"Seedling",Table4_2[[#This Row],[Growth Days]]&lt;=35, "Vegetative",Table4_2[[#This Row],[Growth Days]]&lt;=50, "Maturity")</f>
        <v>Maturity</v>
      </c>
      <c r="L1458" t="str">
        <f>IF(Table4_2[[#This Row],[TDS Value (ppm)]]&lt;560, "Low", IF(Table4_2[[#This Row],[TDS Value (ppm)]]&lt;=800,"Optimal","High"))</f>
        <v>Optimal</v>
      </c>
    </row>
    <row r="1459" spans="1:12" x14ac:dyDescent="0.25">
      <c r="A1459">
        <v>28</v>
      </c>
      <c r="B1459" s="1">
        <v>45141</v>
      </c>
      <c r="C1459" s="1" t="str">
        <f>TEXT(Table4_2[[#This Row],[Date]],"dddd")</f>
        <v>Thursday</v>
      </c>
      <c r="D1459" s="21">
        <v>33.4</v>
      </c>
      <c r="E1459" s="21">
        <v>58</v>
      </c>
      <c r="F1459" s="21">
        <v>557</v>
      </c>
      <c r="G1459" s="21">
        <v>6.8</v>
      </c>
      <c r="H1459">
        <v>1</v>
      </c>
      <c r="I1459">
        <v>92.12</v>
      </c>
      <c r="J1459">
        <v>0.57999999999999996</v>
      </c>
      <c r="K1459" t="str" cm="1">
        <f t="array" ref="K1459">_xlfn.IFS(Table4_2[[#This Row],[Growth Days]]&lt;=14,"Seedling",Table4_2[[#This Row],[Growth Days]]&lt;=35, "Vegetative",Table4_2[[#This Row],[Growth Days]]&lt;=50, "Maturity")</f>
        <v>Seedling</v>
      </c>
      <c r="L1459" t="str">
        <f>IF(Table4_2[[#This Row],[TDS Value (ppm)]]&lt;560, "Low", IF(Table4_2[[#This Row],[TDS Value (ppm)]]&lt;=800,"Optimal","High"))</f>
        <v>Low</v>
      </c>
    </row>
    <row r="1460" spans="1:12" x14ac:dyDescent="0.25">
      <c r="A1460">
        <v>28</v>
      </c>
      <c r="B1460" s="1">
        <v>45148</v>
      </c>
      <c r="C1460" s="1" t="str">
        <f>TEXT(Table4_2[[#This Row],[Date]],"dddd")</f>
        <v>Thursday</v>
      </c>
      <c r="D1460" s="21">
        <v>22.7</v>
      </c>
      <c r="E1460" s="21">
        <v>56</v>
      </c>
      <c r="F1460" s="21">
        <v>498</v>
      </c>
      <c r="G1460" s="21">
        <v>6.2</v>
      </c>
      <c r="H1460">
        <v>8</v>
      </c>
      <c r="I1460">
        <v>72.86</v>
      </c>
      <c r="J1460">
        <v>0.56000000000000005</v>
      </c>
      <c r="K1460" t="str" cm="1">
        <f t="array" ref="K1460">_xlfn.IFS(Table4_2[[#This Row],[Growth Days]]&lt;=14,"Seedling",Table4_2[[#This Row],[Growth Days]]&lt;=35, "Vegetative",Table4_2[[#This Row],[Growth Days]]&lt;=50, "Maturity")</f>
        <v>Seedling</v>
      </c>
      <c r="L1460" t="str">
        <f>IF(Table4_2[[#This Row],[TDS Value (ppm)]]&lt;560, "Low", IF(Table4_2[[#This Row],[TDS Value (ppm)]]&lt;=800,"Optimal","High"))</f>
        <v>Low</v>
      </c>
    </row>
    <row r="1461" spans="1:12" x14ac:dyDescent="0.25">
      <c r="A1461">
        <v>28</v>
      </c>
      <c r="B1461" s="1">
        <v>45155</v>
      </c>
      <c r="C1461" s="1" t="str">
        <f>TEXT(Table4_2[[#This Row],[Date]],"dddd")</f>
        <v>Thursday</v>
      </c>
      <c r="D1461" s="21">
        <v>29.6</v>
      </c>
      <c r="E1461" s="21">
        <v>65</v>
      </c>
      <c r="F1461" s="21">
        <v>571</v>
      </c>
      <c r="G1461" s="21">
        <v>6.7</v>
      </c>
      <c r="H1461">
        <v>15</v>
      </c>
      <c r="I1461">
        <v>85.28</v>
      </c>
      <c r="J1461">
        <v>0.65</v>
      </c>
      <c r="K1461" t="str" cm="1">
        <f t="array" ref="K1461">_xlfn.IFS(Table4_2[[#This Row],[Growth Days]]&lt;=14,"Seedling",Table4_2[[#This Row],[Growth Days]]&lt;=35, "Vegetative",Table4_2[[#This Row],[Growth Days]]&lt;=50, "Maturity")</f>
        <v>Vegetative</v>
      </c>
      <c r="L1461" t="str">
        <f>IF(Table4_2[[#This Row],[TDS Value (ppm)]]&lt;560, "Low", IF(Table4_2[[#This Row],[TDS Value (ppm)]]&lt;=800,"Optimal","High"))</f>
        <v>Optimal</v>
      </c>
    </row>
    <row r="1462" spans="1:12" x14ac:dyDescent="0.25">
      <c r="A1462">
        <v>28</v>
      </c>
      <c r="B1462" s="1">
        <v>45162</v>
      </c>
      <c r="C1462" s="1" t="str">
        <f>TEXT(Table4_2[[#This Row],[Date]],"dddd")</f>
        <v>Thursday</v>
      </c>
      <c r="D1462" s="21">
        <v>31.3</v>
      </c>
      <c r="E1462" s="21">
        <v>78</v>
      </c>
      <c r="F1462" s="21">
        <v>425</v>
      </c>
      <c r="G1462" s="21">
        <v>6.7</v>
      </c>
      <c r="H1462">
        <v>22</v>
      </c>
      <c r="I1462">
        <v>88.34</v>
      </c>
      <c r="J1462">
        <v>0.78</v>
      </c>
      <c r="K1462" t="str" cm="1">
        <f t="array" ref="K1462">_xlfn.IFS(Table4_2[[#This Row],[Growth Days]]&lt;=14,"Seedling",Table4_2[[#This Row],[Growth Days]]&lt;=35, "Vegetative",Table4_2[[#This Row],[Growth Days]]&lt;=50, "Maturity")</f>
        <v>Vegetative</v>
      </c>
      <c r="L1462" t="str">
        <f>IF(Table4_2[[#This Row],[TDS Value (ppm)]]&lt;560, "Low", IF(Table4_2[[#This Row],[TDS Value (ppm)]]&lt;=800,"Optimal","High"))</f>
        <v>Low</v>
      </c>
    </row>
    <row r="1463" spans="1:12" x14ac:dyDescent="0.25">
      <c r="A1463">
        <v>28</v>
      </c>
      <c r="B1463" s="1">
        <v>45169</v>
      </c>
      <c r="C1463" s="1" t="str">
        <f>TEXT(Table4_2[[#This Row],[Date]],"dddd")</f>
        <v>Thursday</v>
      </c>
      <c r="D1463" s="21">
        <v>29.2</v>
      </c>
      <c r="E1463" s="21">
        <v>64</v>
      </c>
      <c r="F1463" s="21">
        <v>555</v>
      </c>
      <c r="G1463" s="21">
        <v>6.6</v>
      </c>
      <c r="H1463">
        <v>29</v>
      </c>
      <c r="I1463">
        <v>84.56</v>
      </c>
      <c r="J1463">
        <v>0.64</v>
      </c>
      <c r="K1463" t="str" cm="1">
        <f t="array" ref="K1463">_xlfn.IFS(Table4_2[[#This Row],[Growth Days]]&lt;=14,"Seedling",Table4_2[[#This Row],[Growth Days]]&lt;=35, "Vegetative",Table4_2[[#This Row],[Growth Days]]&lt;=50, "Maturity")</f>
        <v>Vegetative</v>
      </c>
      <c r="L1463" t="str">
        <f>IF(Table4_2[[#This Row],[TDS Value (ppm)]]&lt;560, "Low", IF(Table4_2[[#This Row],[TDS Value (ppm)]]&lt;=800,"Optimal","High"))</f>
        <v>Low</v>
      </c>
    </row>
    <row r="1464" spans="1:12" x14ac:dyDescent="0.25">
      <c r="A1464">
        <v>28</v>
      </c>
      <c r="B1464" s="1">
        <v>45176</v>
      </c>
      <c r="C1464" s="1" t="str">
        <f>TEXT(Table4_2[[#This Row],[Date]],"dddd")</f>
        <v>Thursday</v>
      </c>
      <c r="D1464" s="21">
        <v>31.5</v>
      </c>
      <c r="E1464" s="21">
        <v>54</v>
      </c>
      <c r="F1464" s="21">
        <v>718</v>
      </c>
      <c r="G1464" s="21">
        <v>6.4</v>
      </c>
      <c r="H1464">
        <v>36</v>
      </c>
      <c r="I1464">
        <v>88.7</v>
      </c>
      <c r="J1464">
        <v>0.54</v>
      </c>
      <c r="K1464" t="str" cm="1">
        <f t="array" ref="K1464">_xlfn.IFS(Table4_2[[#This Row],[Growth Days]]&lt;=14,"Seedling",Table4_2[[#This Row],[Growth Days]]&lt;=35, "Vegetative",Table4_2[[#This Row],[Growth Days]]&lt;=50, "Maturity")</f>
        <v>Maturity</v>
      </c>
      <c r="L1464" t="str">
        <f>IF(Table4_2[[#This Row],[TDS Value (ppm)]]&lt;560, "Low", IF(Table4_2[[#This Row],[TDS Value (ppm)]]&lt;=800,"Optimal","High"))</f>
        <v>Optimal</v>
      </c>
    </row>
    <row r="1465" spans="1:12" x14ac:dyDescent="0.25">
      <c r="A1465">
        <v>28</v>
      </c>
      <c r="B1465" s="1">
        <v>45183</v>
      </c>
      <c r="C1465" s="1" t="str">
        <f>TEXT(Table4_2[[#This Row],[Date]],"dddd")</f>
        <v>Thursday</v>
      </c>
      <c r="D1465" s="21">
        <v>29.1</v>
      </c>
      <c r="E1465" s="21">
        <v>72</v>
      </c>
      <c r="F1465" s="21">
        <v>772</v>
      </c>
      <c r="G1465" s="21">
        <v>6.6</v>
      </c>
      <c r="H1465">
        <v>43</v>
      </c>
      <c r="I1465">
        <v>84.38</v>
      </c>
      <c r="J1465">
        <v>0.72</v>
      </c>
      <c r="K1465" t="str" cm="1">
        <f t="array" ref="K1465">_xlfn.IFS(Table4_2[[#This Row],[Growth Days]]&lt;=14,"Seedling",Table4_2[[#This Row],[Growth Days]]&lt;=35, "Vegetative",Table4_2[[#This Row],[Growth Days]]&lt;=50, "Maturity")</f>
        <v>Maturity</v>
      </c>
      <c r="L1465" t="str">
        <f>IF(Table4_2[[#This Row],[TDS Value (ppm)]]&lt;560, "Low", IF(Table4_2[[#This Row],[TDS Value (ppm)]]&lt;=800,"Optimal","High"))</f>
        <v>Optimal</v>
      </c>
    </row>
    <row r="1466" spans="1:12" x14ac:dyDescent="0.25">
      <c r="A1466">
        <v>29</v>
      </c>
      <c r="B1466" s="1">
        <v>45141</v>
      </c>
      <c r="C1466" s="1" t="str">
        <f>TEXT(Table4_2[[#This Row],[Date]],"dddd")</f>
        <v>Thursday</v>
      </c>
      <c r="D1466" s="21">
        <v>33.4</v>
      </c>
      <c r="E1466" s="21">
        <v>60</v>
      </c>
      <c r="F1466" s="21">
        <v>678</v>
      </c>
      <c r="G1466" s="21">
        <v>6.3</v>
      </c>
      <c r="H1466">
        <v>1</v>
      </c>
      <c r="I1466">
        <v>92.12</v>
      </c>
      <c r="J1466">
        <v>0.6</v>
      </c>
      <c r="K1466" t="str" cm="1">
        <f t="array" ref="K1466">_xlfn.IFS(Table4_2[[#This Row],[Growth Days]]&lt;=14,"Seedling",Table4_2[[#This Row],[Growth Days]]&lt;=35, "Vegetative",Table4_2[[#This Row],[Growth Days]]&lt;=50, "Maturity")</f>
        <v>Seedling</v>
      </c>
      <c r="L1466" t="str">
        <f>IF(Table4_2[[#This Row],[TDS Value (ppm)]]&lt;560, "Low", IF(Table4_2[[#This Row],[TDS Value (ppm)]]&lt;=800,"Optimal","High"))</f>
        <v>Optimal</v>
      </c>
    </row>
    <row r="1467" spans="1:12" x14ac:dyDescent="0.25">
      <c r="A1467">
        <v>29</v>
      </c>
      <c r="B1467" s="1">
        <v>45148</v>
      </c>
      <c r="C1467" s="1" t="str">
        <f>TEXT(Table4_2[[#This Row],[Date]],"dddd")</f>
        <v>Thursday</v>
      </c>
      <c r="D1467" s="21">
        <v>22.7</v>
      </c>
      <c r="E1467" s="21">
        <v>67</v>
      </c>
      <c r="F1467" s="21">
        <v>597</v>
      </c>
      <c r="G1467" s="21">
        <v>6.4</v>
      </c>
      <c r="H1467">
        <v>8</v>
      </c>
      <c r="I1467">
        <v>72.86</v>
      </c>
      <c r="J1467">
        <v>0.67</v>
      </c>
      <c r="K1467" t="str" cm="1">
        <f t="array" ref="K1467">_xlfn.IFS(Table4_2[[#This Row],[Growth Days]]&lt;=14,"Seedling",Table4_2[[#This Row],[Growth Days]]&lt;=35, "Vegetative",Table4_2[[#This Row],[Growth Days]]&lt;=50, "Maturity")</f>
        <v>Seedling</v>
      </c>
      <c r="L1467" t="str">
        <f>IF(Table4_2[[#This Row],[TDS Value (ppm)]]&lt;560, "Low", IF(Table4_2[[#This Row],[TDS Value (ppm)]]&lt;=800,"Optimal","High"))</f>
        <v>Optimal</v>
      </c>
    </row>
    <row r="1468" spans="1:12" x14ac:dyDescent="0.25">
      <c r="A1468">
        <v>29</v>
      </c>
      <c r="B1468" s="1">
        <v>45155</v>
      </c>
      <c r="C1468" s="1" t="str">
        <f>TEXT(Table4_2[[#This Row],[Date]],"dddd")</f>
        <v>Thursday</v>
      </c>
      <c r="D1468" s="21">
        <v>29.6</v>
      </c>
      <c r="E1468" s="21">
        <v>51</v>
      </c>
      <c r="F1468" s="21">
        <v>402</v>
      </c>
      <c r="G1468" s="21">
        <v>6.5</v>
      </c>
      <c r="H1468">
        <v>15</v>
      </c>
      <c r="I1468">
        <v>85.28</v>
      </c>
      <c r="J1468">
        <v>0.51</v>
      </c>
      <c r="K1468" t="str" cm="1">
        <f t="array" ref="K1468">_xlfn.IFS(Table4_2[[#This Row],[Growth Days]]&lt;=14,"Seedling",Table4_2[[#This Row],[Growth Days]]&lt;=35, "Vegetative",Table4_2[[#This Row],[Growth Days]]&lt;=50, "Maturity")</f>
        <v>Vegetative</v>
      </c>
      <c r="L1468" t="str">
        <f>IF(Table4_2[[#This Row],[TDS Value (ppm)]]&lt;560, "Low", IF(Table4_2[[#This Row],[TDS Value (ppm)]]&lt;=800,"Optimal","High"))</f>
        <v>Low</v>
      </c>
    </row>
    <row r="1469" spans="1:12" x14ac:dyDescent="0.25">
      <c r="A1469">
        <v>29</v>
      </c>
      <c r="B1469" s="1">
        <v>45162</v>
      </c>
      <c r="C1469" s="1" t="str">
        <f>TEXT(Table4_2[[#This Row],[Date]],"dddd")</f>
        <v>Thursday</v>
      </c>
      <c r="D1469" s="21">
        <v>31.3</v>
      </c>
      <c r="E1469" s="21">
        <v>66</v>
      </c>
      <c r="F1469" s="21">
        <v>405</v>
      </c>
      <c r="G1469" s="21">
        <v>6.2</v>
      </c>
      <c r="H1469">
        <v>22</v>
      </c>
      <c r="I1469">
        <v>88.34</v>
      </c>
      <c r="J1469">
        <v>0.66</v>
      </c>
      <c r="K1469" t="str" cm="1">
        <f t="array" ref="K1469">_xlfn.IFS(Table4_2[[#This Row],[Growth Days]]&lt;=14,"Seedling",Table4_2[[#This Row],[Growth Days]]&lt;=35, "Vegetative",Table4_2[[#This Row],[Growth Days]]&lt;=50, "Maturity")</f>
        <v>Vegetative</v>
      </c>
      <c r="L1469" t="str">
        <f>IF(Table4_2[[#This Row],[TDS Value (ppm)]]&lt;560, "Low", IF(Table4_2[[#This Row],[TDS Value (ppm)]]&lt;=800,"Optimal","High"))</f>
        <v>Low</v>
      </c>
    </row>
    <row r="1470" spans="1:12" x14ac:dyDescent="0.25">
      <c r="A1470">
        <v>29</v>
      </c>
      <c r="B1470" s="1">
        <v>45169</v>
      </c>
      <c r="C1470" s="1" t="str">
        <f>TEXT(Table4_2[[#This Row],[Date]],"dddd")</f>
        <v>Thursday</v>
      </c>
      <c r="D1470" s="21">
        <v>29.2</v>
      </c>
      <c r="E1470" s="21">
        <v>67</v>
      </c>
      <c r="F1470" s="21">
        <v>653</v>
      </c>
      <c r="G1470" s="21">
        <v>6.6</v>
      </c>
      <c r="H1470">
        <v>29</v>
      </c>
      <c r="I1470">
        <v>84.56</v>
      </c>
      <c r="J1470">
        <v>0.67</v>
      </c>
      <c r="K1470" t="str" cm="1">
        <f t="array" ref="K1470">_xlfn.IFS(Table4_2[[#This Row],[Growth Days]]&lt;=14,"Seedling",Table4_2[[#This Row],[Growth Days]]&lt;=35, "Vegetative",Table4_2[[#This Row],[Growth Days]]&lt;=50, "Maturity")</f>
        <v>Vegetative</v>
      </c>
      <c r="L1470" t="str">
        <f>IF(Table4_2[[#This Row],[TDS Value (ppm)]]&lt;560, "Low", IF(Table4_2[[#This Row],[TDS Value (ppm)]]&lt;=800,"Optimal","High"))</f>
        <v>Optimal</v>
      </c>
    </row>
    <row r="1471" spans="1:12" x14ac:dyDescent="0.25">
      <c r="A1471">
        <v>29</v>
      </c>
      <c r="B1471" s="1">
        <v>45176</v>
      </c>
      <c r="C1471" s="1" t="str">
        <f>TEXT(Table4_2[[#This Row],[Date]],"dddd")</f>
        <v>Thursday</v>
      </c>
      <c r="D1471" s="21">
        <v>31.5</v>
      </c>
      <c r="E1471" s="21">
        <v>63</v>
      </c>
      <c r="F1471" s="21">
        <v>505</v>
      </c>
      <c r="G1471" s="21">
        <v>6.5</v>
      </c>
      <c r="H1471">
        <v>36</v>
      </c>
      <c r="I1471">
        <v>88.7</v>
      </c>
      <c r="J1471">
        <v>0.63</v>
      </c>
      <c r="K1471" t="str" cm="1">
        <f t="array" ref="K1471">_xlfn.IFS(Table4_2[[#This Row],[Growth Days]]&lt;=14,"Seedling",Table4_2[[#This Row],[Growth Days]]&lt;=35, "Vegetative",Table4_2[[#This Row],[Growth Days]]&lt;=50, "Maturity")</f>
        <v>Maturity</v>
      </c>
      <c r="L1471" t="str">
        <f>IF(Table4_2[[#This Row],[TDS Value (ppm)]]&lt;560, "Low", IF(Table4_2[[#This Row],[TDS Value (ppm)]]&lt;=800,"Optimal","High"))</f>
        <v>Low</v>
      </c>
    </row>
    <row r="1472" spans="1:12" x14ac:dyDescent="0.25">
      <c r="A1472">
        <v>29</v>
      </c>
      <c r="B1472" s="1">
        <v>45183</v>
      </c>
      <c r="C1472" s="1" t="str">
        <f>TEXT(Table4_2[[#This Row],[Date]],"dddd")</f>
        <v>Thursday</v>
      </c>
      <c r="D1472" s="21">
        <v>29.1</v>
      </c>
      <c r="E1472" s="21">
        <v>75</v>
      </c>
      <c r="F1472" s="21">
        <v>754</v>
      </c>
      <c r="G1472" s="21">
        <v>6.7</v>
      </c>
      <c r="H1472">
        <v>43</v>
      </c>
      <c r="I1472">
        <v>84.38</v>
      </c>
      <c r="J1472">
        <v>0.75</v>
      </c>
      <c r="K1472" t="str" cm="1">
        <f t="array" ref="K1472">_xlfn.IFS(Table4_2[[#This Row],[Growth Days]]&lt;=14,"Seedling",Table4_2[[#This Row],[Growth Days]]&lt;=35, "Vegetative",Table4_2[[#This Row],[Growth Days]]&lt;=50, "Maturity")</f>
        <v>Maturity</v>
      </c>
      <c r="L1472" t="str">
        <f>IF(Table4_2[[#This Row],[TDS Value (ppm)]]&lt;560, "Low", IF(Table4_2[[#This Row],[TDS Value (ppm)]]&lt;=800,"Optimal","High"))</f>
        <v>Optimal</v>
      </c>
    </row>
    <row r="1473" spans="1:12" x14ac:dyDescent="0.25">
      <c r="A1473">
        <v>30</v>
      </c>
      <c r="B1473" s="1">
        <v>45141</v>
      </c>
      <c r="C1473" s="1" t="str">
        <f>TEXT(Table4_2[[#This Row],[Date]],"dddd")</f>
        <v>Thursday</v>
      </c>
      <c r="D1473" s="21">
        <v>33.4</v>
      </c>
      <c r="E1473" s="21">
        <v>67</v>
      </c>
      <c r="F1473" s="21">
        <v>643</v>
      </c>
      <c r="G1473" s="21">
        <v>6.6</v>
      </c>
      <c r="H1473">
        <v>1</v>
      </c>
      <c r="I1473">
        <v>92.12</v>
      </c>
      <c r="J1473">
        <v>0.67</v>
      </c>
      <c r="K1473" t="str" cm="1">
        <f t="array" ref="K1473">_xlfn.IFS(Table4_2[[#This Row],[Growth Days]]&lt;=14,"Seedling",Table4_2[[#This Row],[Growth Days]]&lt;=35, "Vegetative",Table4_2[[#This Row],[Growth Days]]&lt;=50, "Maturity")</f>
        <v>Seedling</v>
      </c>
      <c r="L1473" t="str">
        <f>IF(Table4_2[[#This Row],[TDS Value (ppm)]]&lt;560, "Low", IF(Table4_2[[#This Row],[TDS Value (ppm)]]&lt;=800,"Optimal","High"))</f>
        <v>Optimal</v>
      </c>
    </row>
    <row r="1474" spans="1:12" x14ac:dyDescent="0.25">
      <c r="A1474">
        <v>30</v>
      </c>
      <c r="B1474" s="1">
        <v>45148</v>
      </c>
      <c r="C1474" s="1" t="str">
        <f>TEXT(Table4_2[[#This Row],[Date]],"dddd")</f>
        <v>Thursday</v>
      </c>
      <c r="D1474" s="21">
        <v>22.7</v>
      </c>
      <c r="E1474" s="21">
        <v>76</v>
      </c>
      <c r="F1474" s="21">
        <v>587</v>
      </c>
      <c r="G1474" s="21">
        <v>6.4</v>
      </c>
      <c r="H1474">
        <v>8</v>
      </c>
      <c r="I1474">
        <v>72.86</v>
      </c>
      <c r="J1474">
        <v>0.76</v>
      </c>
      <c r="K1474" t="str" cm="1">
        <f t="array" ref="K1474">_xlfn.IFS(Table4_2[[#This Row],[Growth Days]]&lt;=14,"Seedling",Table4_2[[#This Row],[Growth Days]]&lt;=35, "Vegetative",Table4_2[[#This Row],[Growth Days]]&lt;=50, "Maturity")</f>
        <v>Seedling</v>
      </c>
      <c r="L1474" t="str">
        <f>IF(Table4_2[[#This Row],[TDS Value (ppm)]]&lt;560, "Low", IF(Table4_2[[#This Row],[TDS Value (ppm)]]&lt;=800,"Optimal","High"))</f>
        <v>Optimal</v>
      </c>
    </row>
    <row r="1475" spans="1:12" x14ac:dyDescent="0.25">
      <c r="A1475">
        <v>30</v>
      </c>
      <c r="B1475" s="1">
        <v>45155</v>
      </c>
      <c r="C1475" s="1" t="str">
        <f>TEXT(Table4_2[[#This Row],[Date]],"dddd")</f>
        <v>Thursday</v>
      </c>
      <c r="D1475" s="21">
        <v>29.6</v>
      </c>
      <c r="E1475" s="21">
        <v>64</v>
      </c>
      <c r="F1475" s="21">
        <v>467</v>
      </c>
      <c r="G1475" s="21">
        <v>6.1</v>
      </c>
      <c r="H1475">
        <v>15</v>
      </c>
      <c r="I1475">
        <v>85.28</v>
      </c>
      <c r="J1475">
        <v>0.64</v>
      </c>
      <c r="K1475" t="str" cm="1">
        <f t="array" ref="K1475">_xlfn.IFS(Table4_2[[#This Row],[Growth Days]]&lt;=14,"Seedling",Table4_2[[#This Row],[Growth Days]]&lt;=35, "Vegetative",Table4_2[[#This Row],[Growth Days]]&lt;=50, "Maturity")</f>
        <v>Vegetative</v>
      </c>
      <c r="L1475" t="str">
        <f>IF(Table4_2[[#This Row],[TDS Value (ppm)]]&lt;560, "Low", IF(Table4_2[[#This Row],[TDS Value (ppm)]]&lt;=800,"Optimal","High"))</f>
        <v>Low</v>
      </c>
    </row>
    <row r="1476" spans="1:12" x14ac:dyDescent="0.25">
      <c r="A1476">
        <v>30</v>
      </c>
      <c r="B1476" s="1">
        <v>45162</v>
      </c>
      <c r="C1476" s="1" t="str">
        <f>TEXT(Table4_2[[#This Row],[Date]],"dddd")</f>
        <v>Thursday</v>
      </c>
      <c r="D1476" s="21">
        <v>31.3</v>
      </c>
      <c r="E1476" s="21">
        <v>78</v>
      </c>
      <c r="F1476" s="21">
        <v>795</v>
      </c>
      <c r="G1476" s="21">
        <v>6.7</v>
      </c>
      <c r="H1476">
        <v>22</v>
      </c>
      <c r="I1476">
        <v>88.34</v>
      </c>
      <c r="J1476">
        <v>0.78</v>
      </c>
      <c r="K1476" t="str" cm="1">
        <f t="array" ref="K1476">_xlfn.IFS(Table4_2[[#This Row],[Growth Days]]&lt;=14,"Seedling",Table4_2[[#This Row],[Growth Days]]&lt;=35, "Vegetative",Table4_2[[#This Row],[Growth Days]]&lt;=50, "Maturity")</f>
        <v>Vegetative</v>
      </c>
      <c r="L1476" t="str">
        <f>IF(Table4_2[[#This Row],[TDS Value (ppm)]]&lt;560, "Low", IF(Table4_2[[#This Row],[TDS Value (ppm)]]&lt;=800,"Optimal","High"))</f>
        <v>Optimal</v>
      </c>
    </row>
    <row r="1477" spans="1:12" x14ac:dyDescent="0.25">
      <c r="A1477">
        <v>30</v>
      </c>
      <c r="B1477" s="1">
        <v>45169</v>
      </c>
      <c r="C1477" s="1" t="str">
        <f>TEXT(Table4_2[[#This Row],[Date]],"dddd")</f>
        <v>Thursday</v>
      </c>
      <c r="D1477" s="21">
        <v>29.2</v>
      </c>
      <c r="E1477" s="21">
        <v>50</v>
      </c>
      <c r="F1477" s="21">
        <v>640</v>
      </c>
      <c r="G1477" s="21">
        <v>6.3</v>
      </c>
      <c r="H1477">
        <v>29</v>
      </c>
      <c r="I1477">
        <v>84.56</v>
      </c>
      <c r="J1477">
        <v>0.5</v>
      </c>
      <c r="K1477" t="str" cm="1">
        <f t="array" ref="K1477">_xlfn.IFS(Table4_2[[#This Row],[Growth Days]]&lt;=14,"Seedling",Table4_2[[#This Row],[Growth Days]]&lt;=35, "Vegetative",Table4_2[[#This Row],[Growth Days]]&lt;=50, "Maturity")</f>
        <v>Vegetative</v>
      </c>
      <c r="L1477" t="str">
        <f>IF(Table4_2[[#This Row],[TDS Value (ppm)]]&lt;560, "Low", IF(Table4_2[[#This Row],[TDS Value (ppm)]]&lt;=800,"Optimal","High"))</f>
        <v>Optimal</v>
      </c>
    </row>
    <row r="1478" spans="1:12" x14ac:dyDescent="0.25">
      <c r="A1478">
        <v>30</v>
      </c>
      <c r="B1478" s="1">
        <v>45176</v>
      </c>
      <c r="C1478" s="1" t="str">
        <f>TEXT(Table4_2[[#This Row],[Date]],"dddd")</f>
        <v>Thursday</v>
      </c>
      <c r="D1478" s="21">
        <v>31.5</v>
      </c>
      <c r="E1478" s="21">
        <v>74</v>
      </c>
      <c r="F1478" s="21">
        <v>457</v>
      </c>
      <c r="G1478" s="21">
        <v>6.3</v>
      </c>
      <c r="H1478">
        <v>36</v>
      </c>
      <c r="I1478">
        <v>88.7</v>
      </c>
      <c r="J1478">
        <v>0.74</v>
      </c>
      <c r="K1478" t="str" cm="1">
        <f t="array" ref="K1478">_xlfn.IFS(Table4_2[[#This Row],[Growth Days]]&lt;=14,"Seedling",Table4_2[[#This Row],[Growth Days]]&lt;=35, "Vegetative",Table4_2[[#This Row],[Growth Days]]&lt;=50, "Maturity")</f>
        <v>Maturity</v>
      </c>
      <c r="L1478" t="str">
        <f>IF(Table4_2[[#This Row],[TDS Value (ppm)]]&lt;560, "Low", IF(Table4_2[[#This Row],[TDS Value (ppm)]]&lt;=800,"Optimal","High"))</f>
        <v>Low</v>
      </c>
    </row>
    <row r="1479" spans="1:12" x14ac:dyDescent="0.25">
      <c r="A1479">
        <v>30</v>
      </c>
      <c r="B1479" s="1">
        <v>45183</v>
      </c>
      <c r="C1479" s="1" t="str">
        <f>TEXT(Table4_2[[#This Row],[Date]],"dddd")</f>
        <v>Thursday</v>
      </c>
      <c r="D1479" s="21">
        <v>29.1</v>
      </c>
      <c r="E1479" s="21">
        <v>60</v>
      </c>
      <c r="F1479" s="21">
        <v>460</v>
      </c>
      <c r="G1479" s="21">
        <v>6.3</v>
      </c>
      <c r="H1479">
        <v>43</v>
      </c>
      <c r="I1479">
        <v>84.38</v>
      </c>
      <c r="J1479">
        <v>0.6</v>
      </c>
      <c r="K1479" t="str" cm="1">
        <f t="array" ref="K1479">_xlfn.IFS(Table4_2[[#This Row],[Growth Days]]&lt;=14,"Seedling",Table4_2[[#This Row],[Growth Days]]&lt;=35, "Vegetative",Table4_2[[#This Row],[Growth Days]]&lt;=50, "Maturity")</f>
        <v>Maturity</v>
      </c>
      <c r="L1479" t="str">
        <f>IF(Table4_2[[#This Row],[TDS Value (ppm)]]&lt;560, "Low", IF(Table4_2[[#This Row],[TDS Value (ppm)]]&lt;=800,"Optimal","High"))</f>
        <v>Low</v>
      </c>
    </row>
    <row r="1480" spans="1:12" x14ac:dyDescent="0.25">
      <c r="A1480">
        <v>31</v>
      </c>
      <c r="B1480" s="1">
        <v>45141</v>
      </c>
      <c r="C1480" s="1" t="str">
        <f>TEXT(Table4_2[[#This Row],[Date]],"dddd")</f>
        <v>Thursday</v>
      </c>
      <c r="D1480" s="21">
        <v>33.4</v>
      </c>
      <c r="E1480" s="21">
        <v>77</v>
      </c>
      <c r="F1480" s="21">
        <v>477</v>
      </c>
      <c r="G1480" s="21">
        <v>6.3</v>
      </c>
      <c r="H1480">
        <v>1</v>
      </c>
      <c r="I1480">
        <v>92.12</v>
      </c>
      <c r="J1480">
        <v>0.77</v>
      </c>
      <c r="K1480" t="str" cm="1">
        <f t="array" ref="K1480">_xlfn.IFS(Table4_2[[#This Row],[Growth Days]]&lt;=14,"Seedling",Table4_2[[#This Row],[Growth Days]]&lt;=35, "Vegetative",Table4_2[[#This Row],[Growth Days]]&lt;=50, "Maturity")</f>
        <v>Seedling</v>
      </c>
      <c r="L1480" t="str">
        <f>IF(Table4_2[[#This Row],[TDS Value (ppm)]]&lt;560, "Low", IF(Table4_2[[#This Row],[TDS Value (ppm)]]&lt;=800,"Optimal","High"))</f>
        <v>Low</v>
      </c>
    </row>
    <row r="1481" spans="1:12" x14ac:dyDescent="0.25">
      <c r="A1481">
        <v>31</v>
      </c>
      <c r="B1481" s="1">
        <v>45148</v>
      </c>
      <c r="C1481" s="1" t="str">
        <f>TEXT(Table4_2[[#This Row],[Date]],"dddd")</f>
        <v>Thursday</v>
      </c>
      <c r="D1481" s="21">
        <v>22.7</v>
      </c>
      <c r="E1481" s="21">
        <v>79</v>
      </c>
      <c r="F1481" s="21">
        <v>768</v>
      </c>
      <c r="G1481" s="21">
        <v>6.6</v>
      </c>
      <c r="H1481">
        <v>8</v>
      </c>
      <c r="I1481">
        <v>72.86</v>
      </c>
      <c r="J1481">
        <v>0.79</v>
      </c>
      <c r="K1481" t="str" cm="1">
        <f t="array" ref="K1481">_xlfn.IFS(Table4_2[[#This Row],[Growth Days]]&lt;=14,"Seedling",Table4_2[[#This Row],[Growth Days]]&lt;=35, "Vegetative",Table4_2[[#This Row],[Growth Days]]&lt;=50, "Maturity")</f>
        <v>Seedling</v>
      </c>
      <c r="L1481" t="str">
        <f>IF(Table4_2[[#This Row],[TDS Value (ppm)]]&lt;560, "Low", IF(Table4_2[[#This Row],[TDS Value (ppm)]]&lt;=800,"Optimal","High"))</f>
        <v>Optimal</v>
      </c>
    </row>
    <row r="1482" spans="1:12" x14ac:dyDescent="0.25">
      <c r="A1482">
        <v>31</v>
      </c>
      <c r="B1482" s="1">
        <v>45155</v>
      </c>
      <c r="C1482" s="1" t="str">
        <f>TEXT(Table4_2[[#This Row],[Date]],"dddd")</f>
        <v>Thursday</v>
      </c>
      <c r="D1482" s="21">
        <v>29.6</v>
      </c>
      <c r="E1482" s="21">
        <v>79</v>
      </c>
      <c r="F1482" s="21">
        <v>552</v>
      </c>
      <c r="G1482" s="21">
        <v>6.7</v>
      </c>
      <c r="H1482">
        <v>15</v>
      </c>
      <c r="I1482">
        <v>85.28</v>
      </c>
      <c r="J1482">
        <v>0.79</v>
      </c>
      <c r="K1482" t="str" cm="1">
        <f t="array" ref="K1482">_xlfn.IFS(Table4_2[[#This Row],[Growth Days]]&lt;=14,"Seedling",Table4_2[[#This Row],[Growth Days]]&lt;=35, "Vegetative",Table4_2[[#This Row],[Growth Days]]&lt;=50, "Maturity")</f>
        <v>Vegetative</v>
      </c>
      <c r="L1482" t="str">
        <f>IF(Table4_2[[#This Row],[TDS Value (ppm)]]&lt;560, "Low", IF(Table4_2[[#This Row],[TDS Value (ppm)]]&lt;=800,"Optimal","High"))</f>
        <v>Low</v>
      </c>
    </row>
    <row r="1483" spans="1:12" x14ac:dyDescent="0.25">
      <c r="A1483">
        <v>31</v>
      </c>
      <c r="B1483" s="1">
        <v>45162</v>
      </c>
      <c r="C1483" s="1" t="str">
        <f>TEXT(Table4_2[[#This Row],[Date]],"dddd")</f>
        <v>Thursday</v>
      </c>
      <c r="D1483" s="21">
        <v>31.3</v>
      </c>
      <c r="E1483" s="21">
        <v>64</v>
      </c>
      <c r="F1483" s="21">
        <v>495</v>
      </c>
      <c r="G1483" s="21">
        <v>6.6</v>
      </c>
      <c r="H1483">
        <v>22</v>
      </c>
      <c r="I1483">
        <v>88.34</v>
      </c>
      <c r="J1483">
        <v>0.64</v>
      </c>
      <c r="K1483" t="str" cm="1">
        <f t="array" ref="K1483">_xlfn.IFS(Table4_2[[#This Row],[Growth Days]]&lt;=14,"Seedling",Table4_2[[#This Row],[Growth Days]]&lt;=35, "Vegetative",Table4_2[[#This Row],[Growth Days]]&lt;=50, "Maturity")</f>
        <v>Vegetative</v>
      </c>
      <c r="L1483" t="str">
        <f>IF(Table4_2[[#This Row],[TDS Value (ppm)]]&lt;560, "Low", IF(Table4_2[[#This Row],[TDS Value (ppm)]]&lt;=800,"Optimal","High"))</f>
        <v>Low</v>
      </c>
    </row>
    <row r="1484" spans="1:12" x14ac:dyDescent="0.25">
      <c r="A1484">
        <v>31</v>
      </c>
      <c r="B1484" s="1">
        <v>45169</v>
      </c>
      <c r="C1484" s="1" t="str">
        <f>TEXT(Table4_2[[#This Row],[Date]],"dddd")</f>
        <v>Thursday</v>
      </c>
      <c r="D1484" s="21">
        <v>29.2</v>
      </c>
      <c r="E1484" s="21">
        <v>51</v>
      </c>
      <c r="F1484" s="21">
        <v>505</v>
      </c>
      <c r="G1484" s="21">
        <v>6.2</v>
      </c>
      <c r="H1484">
        <v>29</v>
      </c>
      <c r="I1484">
        <v>84.56</v>
      </c>
      <c r="J1484">
        <v>0.51</v>
      </c>
      <c r="K1484" t="str" cm="1">
        <f t="array" ref="K1484">_xlfn.IFS(Table4_2[[#This Row],[Growth Days]]&lt;=14,"Seedling",Table4_2[[#This Row],[Growth Days]]&lt;=35, "Vegetative",Table4_2[[#This Row],[Growth Days]]&lt;=50, "Maturity")</f>
        <v>Vegetative</v>
      </c>
      <c r="L1484" t="str">
        <f>IF(Table4_2[[#This Row],[TDS Value (ppm)]]&lt;560, "Low", IF(Table4_2[[#This Row],[TDS Value (ppm)]]&lt;=800,"Optimal","High"))</f>
        <v>Low</v>
      </c>
    </row>
    <row r="1485" spans="1:12" x14ac:dyDescent="0.25">
      <c r="A1485">
        <v>31</v>
      </c>
      <c r="B1485" s="1">
        <v>45176</v>
      </c>
      <c r="C1485" s="1" t="str">
        <f>TEXT(Table4_2[[#This Row],[Date]],"dddd")</f>
        <v>Thursday</v>
      </c>
      <c r="D1485" s="21">
        <v>31.5</v>
      </c>
      <c r="E1485" s="21">
        <v>50</v>
      </c>
      <c r="F1485" s="21">
        <v>671</v>
      </c>
      <c r="G1485" s="21">
        <v>6.5</v>
      </c>
      <c r="H1485">
        <v>36</v>
      </c>
      <c r="I1485">
        <v>88.7</v>
      </c>
      <c r="J1485">
        <v>0.5</v>
      </c>
      <c r="K1485" t="str" cm="1">
        <f t="array" ref="K1485">_xlfn.IFS(Table4_2[[#This Row],[Growth Days]]&lt;=14,"Seedling",Table4_2[[#This Row],[Growth Days]]&lt;=35, "Vegetative",Table4_2[[#This Row],[Growth Days]]&lt;=50, "Maturity")</f>
        <v>Maturity</v>
      </c>
      <c r="L1485" t="str">
        <f>IF(Table4_2[[#This Row],[TDS Value (ppm)]]&lt;560, "Low", IF(Table4_2[[#This Row],[TDS Value (ppm)]]&lt;=800,"Optimal","High"))</f>
        <v>Optimal</v>
      </c>
    </row>
    <row r="1486" spans="1:12" x14ac:dyDescent="0.25">
      <c r="A1486">
        <v>31</v>
      </c>
      <c r="B1486" s="1">
        <v>45183</v>
      </c>
      <c r="C1486" s="1" t="str">
        <f>TEXT(Table4_2[[#This Row],[Date]],"dddd")</f>
        <v>Thursday</v>
      </c>
      <c r="D1486" s="21">
        <v>29.1</v>
      </c>
      <c r="E1486" s="21">
        <v>56</v>
      </c>
      <c r="F1486" s="21">
        <v>460</v>
      </c>
      <c r="G1486" s="21">
        <v>6.3</v>
      </c>
      <c r="H1486">
        <v>43</v>
      </c>
      <c r="I1486">
        <v>84.38</v>
      </c>
      <c r="J1486">
        <v>0.56000000000000005</v>
      </c>
      <c r="K1486" t="str" cm="1">
        <f t="array" ref="K1486">_xlfn.IFS(Table4_2[[#This Row],[Growth Days]]&lt;=14,"Seedling",Table4_2[[#This Row],[Growth Days]]&lt;=35, "Vegetative",Table4_2[[#This Row],[Growth Days]]&lt;=50, "Maturity")</f>
        <v>Maturity</v>
      </c>
      <c r="L1486" t="str">
        <f>IF(Table4_2[[#This Row],[TDS Value (ppm)]]&lt;560, "Low", IF(Table4_2[[#This Row],[TDS Value (ppm)]]&lt;=800,"Optimal","High"))</f>
        <v>Low</v>
      </c>
    </row>
    <row r="1487" spans="1:12" x14ac:dyDescent="0.25">
      <c r="A1487">
        <v>32</v>
      </c>
      <c r="B1487" s="1">
        <v>45141</v>
      </c>
      <c r="C1487" s="1" t="str">
        <f>TEXT(Table4_2[[#This Row],[Date]],"dddd")</f>
        <v>Thursday</v>
      </c>
      <c r="D1487" s="21">
        <v>33.4</v>
      </c>
      <c r="E1487" s="21">
        <v>67</v>
      </c>
      <c r="F1487" s="21">
        <v>414</v>
      </c>
      <c r="G1487" s="21">
        <v>6.1</v>
      </c>
      <c r="H1487">
        <v>1</v>
      </c>
      <c r="I1487">
        <v>92.12</v>
      </c>
      <c r="J1487">
        <v>0.67</v>
      </c>
      <c r="K1487" t="str" cm="1">
        <f t="array" ref="K1487">_xlfn.IFS(Table4_2[[#This Row],[Growth Days]]&lt;=14,"Seedling",Table4_2[[#This Row],[Growth Days]]&lt;=35, "Vegetative",Table4_2[[#This Row],[Growth Days]]&lt;=50, "Maturity")</f>
        <v>Seedling</v>
      </c>
      <c r="L1487" t="str">
        <f>IF(Table4_2[[#This Row],[TDS Value (ppm)]]&lt;560, "Low", IF(Table4_2[[#This Row],[TDS Value (ppm)]]&lt;=800,"Optimal","High"))</f>
        <v>Low</v>
      </c>
    </row>
    <row r="1488" spans="1:12" x14ac:dyDescent="0.25">
      <c r="A1488">
        <v>32</v>
      </c>
      <c r="B1488" s="1">
        <v>45148</v>
      </c>
      <c r="C1488" s="1" t="str">
        <f>TEXT(Table4_2[[#This Row],[Date]],"dddd")</f>
        <v>Thursday</v>
      </c>
      <c r="D1488" s="21">
        <v>22.7</v>
      </c>
      <c r="E1488" s="21">
        <v>69</v>
      </c>
      <c r="F1488" s="21">
        <v>553</v>
      </c>
      <c r="G1488" s="21">
        <v>6.3</v>
      </c>
      <c r="H1488">
        <v>8</v>
      </c>
      <c r="I1488">
        <v>72.86</v>
      </c>
      <c r="J1488">
        <v>0.69</v>
      </c>
      <c r="K1488" t="str" cm="1">
        <f t="array" ref="K1488">_xlfn.IFS(Table4_2[[#This Row],[Growth Days]]&lt;=14,"Seedling",Table4_2[[#This Row],[Growth Days]]&lt;=35, "Vegetative",Table4_2[[#This Row],[Growth Days]]&lt;=50, "Maturity")</f>
        <v>Seedling</v>
      </c>
      <c r="L1488" t="str">
        <f>IF(Table4_2[[#This Row],[TDS Value (ppm)]]&lt;560, "Low", IF(Table4_2[[#This Row],[TDS Value (ppm)]]&lt;=800,"Optimal","High"))</f>
        <v>Low</v>
      </c>
    </row>
    <row r="1489" spans="1:12" x14ac:dyDescent="0.25">
      <c r="A1489">
        <v>32</v>
      </c>
      <c r="B1489" s="1">
        <v>45155</v>
      </c>
      <c r="C1489" s="1" t="str">
        <f>TEXT(Table4_2[[#This Row],[Date]],"dddd")</f>
        <v>Thursday</v>
      </c>
      <c r="D1489" s="21">
        <v>29.6</v>
      </c>
      <c r="E1489" s="21">
        <v>51</v>
      </c>
      <c r="F1489" s="21">
        <v>796</v>
      </c>
      <c r="G1489" s="21">
        <v>6.3</v>
      </c>
      <c r="H1489">
        <v>15</v>
      </c>
      <c r="I1489">
        <v>85.28</v>
      </c>
      <c r="J1489">
        <v>0.51</v>
      </c>
      <c r="K1489" t="str" cm="1">
        <f t="array" ref="K1489">_xlfn.IFS(Table4_2[[#This Row],[Growth Days]]&lt;=14,"Seedling",Table4_2[[#This Row],[Growth Days]]&lt;=35, "Vegetative",Table4_2[[#This Row],[Growth Days]]&lt;=50, "Maturity")</f>
        <v>Vegetative</v>
      </c>
      <c r="L1489" t="str">
        <f>IF(Table4_2[[#This Row],[TDS Value (ppm)]]&lt;560, "Low", IF(Table4_2[[#This Row],[TDS Value (ppm)]]&lt;=800,"Optimal","High"))</f>
        <v>Optimal</v>
      </c>
    </row>
    <row r="1490" spans="1:12" x14ac:dyDescent="0.25">
      <c r="A1490">
        <v>32</v>
      </c>
      <c r="B1490" s="1">
        <v>45162</v>
      </c>
      <c r="C1490" s="1" t="str">
        <f>TEXT(Table4_2[[#This Row],[Date]],"dddd")</f>
        <v>Thursday</v>
      </c>
      <c r="D1490" s="21">
        <v>31.3</v>
      </c>
      <c r="E1490" s="21">
        <v>58</v>
      </c>
      <c r="F1490" s="21">
        <v>573</v>
      </c>
      <c r="G1490" s="21">
        <v>6.6</v>
      </c>
      <c r="H1490">
        <v>22</v>
      </c>
      <c r="I1490">
        <v>88.34</v>
      </c>
      <c r="J1490">
        <v>0.57999999999999996</v>
      </c>
      <c r="K1490" t="str" cm="1">
        <f t="array" ref="K1490">_xlfn.IFS(Table4_2[[#This Row],[Growth Days]]&lt;=14,"Seedling",Table4_2[[#This Row],[Growth Days]]&lt;=35, "Vegetative",Table4_2[[#This Row],[Growth Days]]&lt;=50, "Maturity")</f>
        <v>Vegetative</v>
      </c>
      <c r="L1490" t="str">
        <f>IF(Table4_2[[#This Row],[TDS Value (ppm)]]&lt;560, "Low", IF(Table4_2[[#This Row],[TDS Value (ppm)]]&lt;=800,"Optimal","High"))</f>
        <v>Optimal</v>
      </c>
    </row>
    <row r="1491" spans="1:12" x14ac:dyDescent="0.25">
      <c r="A1491">
        <v>32</v>
      </c>
      <c r="B1491" s="1">
        <v>45169</v>
      </c>
      <c r="C1491" s="1" t="str">
        <f>TEXT(Table4_2[[#This Row],[Date]],"dddd")</f>
        <v>Thursday</v>
      </c>
      <c r="D1491" s="21">
        <v>29.2</v>
      </c>
      <c r="E1491" s="21">
        <v>52</v>
      </c>
      <c r="F1491" s="21">
        <v>799</v>
      </c>
      <c r="G1491" s="21">
        <v>6.3</v>
      </c>
      <c r="H1491">
        <v>29</v>
      </c>
      <c r="I1491">
        <v>84.56</v>
      </c>
      <c r="J1491">
        <v>0.52</v>
      </c>
      <c r="K1491" t="str" cm="1">
        <f t="array" ref="K1491">_xlfn.IFS(Table4_2[[#This Row],[Growth Days]]&lt;=14,"Seedling",Table4_2[[#This Row],[Growth Days]]&lt;=35, "Vegetative",Table4_2[[#This Row],[Growth Days]]&lt;=50, "Maturity")</f>
        <v>Vegetative</v>
      </c>
      <c r="L1491" t="str">
        <f>IF(Table4_2[[#This Row],[TDS Value (ppm)]]&lt;560, "Low", IF(Table4_2[[#This Row],[TDS Value (ppm)]]&lt;=800,"Optimal","High"))</f>
        <v>Optimal</v>
      </c>
    </row>
    <row r="1492" spans="1:12" x14ac:dyDescent="0.25">
      <c r="A1492">
        <v>32</v>
      </c>
      <c r="B1492" s="1">
        <v>45176</v>
      </c>
      <c r="C1492" s="1" t="str">
        <f>TEXT(Table4_2[[#This Row],[Date]],"dddd")</f>
        <v>Thursday</v>
      </c>
      <c r="D1492" s="21">
        <v>31.5</v>
      </c>
      <c r="E1492" s="21">
        <v>67</v>
      </c>
      <c r="F1492" s="21">
        <v>586</v>
      </c>
      <c r="G1492" s="21">
        <v>6.2</v>
      </c>
      <c r="H1492">
        <v>36</v>
      </c>
      <c r="I1492">
        <v>88.7</v>
      </c>
      <c r="J1492">
        <v>0.67</v>
      </c>
      <c r="K1492" t="str" cm="1">
        <f t="array" ref="K1492">_xlfn.IFS(Table4_2[[#This Row],[Growth Days]]&lt;=14,"Seedling",Table4_2[[#This Row],[Growth Days]]&lt;=35, "Vegetative",Table4_2[[#This Row],[Growth Days]]&lt;=50, "Maturity")</f>
        <v>Maturity</v>
      </c>
      <c r="L1492" t="str">
        <f>IF(Table4_2[[#This Row],[TDS Value (ppm)]]&lt;560, "Low", IF(Table4_2[[#This Row],[TDS Value (ppm)]]&lt;=800,"Optimal","High"))</f>
        <v>Optimal</v>
      </c>
    </row>
    <row r="1493" spans="1:12" x14ac:dyDescent="0.25">
      <c r="A1493">
        <v>32</v>
      </c>
      <c r="B1493" s="1">
        <v>45183</v>
      </c>
      <c r="C1493" s="1" t="str">
        <f>TEXT(Table4_2[[#This Row],[Date]],"dddd")</f>
        <v>Thursday</v>
      </c>
      <c r="D1493" s="21">
        <v>29.1</v>
      </c>
      <c r="E1493" s="21">
        <v>64</v>
      </c>
      <c r="F1493" s="21">
        <v>782</v>
      </c>
      <c r="G1493" s="21">
        <v>6.8</v>
      </c>
      <c r="H1493">
        <v>43</v>
      </c>
      <c r="I1493">
        <v>84.38</v>
      </c>
      <c r="J1493">
        <v>0.64</v>
      </c>
      <c r="K1493" t="str" cm="1">
        <f t="array" ref="K1493">_xlfn.IFS(Table4_2[[#This Row],[Growth Days]]&lt;=14,"Seedling",Table4_2[[#This Row],[Growth Days]]&lt;=35, "Vegetative",Table4_2[[#This Row],[Growth Days]]&lt;=50, "Maturity")</f>
        <v>Maturity</v>
      </c>
      <c r="L1493" t="str">
        <f>IF(Table4_2[[#This Row],[TDS Value (ppm)]]&lt;560, "Low", IF(Table4_2[[#This Row],[TDS Value (ppm)]]&lt;=800,"Optimal","High"))</f>
        <v>Optimal</v>
      </c>
    </row>
    <row r="1494" spans="1:12" x14ac:dyDescent="0.25">
      <c r="A1494">
        <v>33</v>
      </c>
      <c r="B1494" s="1">
        <v>45141</v>
      </c>
      <c r="C1494" s="1" t="str">
        <f>TEXT(Table4_2[[#This Row],[Date]],"dddd")</f>
        <v>Thursday</v>
      </c>
      <c r="D1494" s="21">
        <v>33.4</v>
      </c>
      <c r="E1494" s="21">
        <v>65</v>
      </c>
      <c r="F1494" s="21">
        <v>575</v>
      </c>
      <c r="G1494" s="21">
        <v>6.8</v>
      </c>
      <c r="H1494">
        <v>1</v>
      </c>
      <c r="I1494">
        <v>92.12</v>
      </c>
      <c r="J1494">
        <v>0.65</v>
      </c>
      <c r="K1494" t="str" cm="1">
        <f t="array" ref="K1494">_xlfn.IFS(Table4_2[[#This Row],[Growth Days]]&lt;=14,"Seedling",Table4_2[[#This Row],[Growth Days]]&lt;=35, "Vegetative",Table4_2[[#This Row],[Growth Days]]&lt;=50, "Maturity")</f>
        <v>Seedling</v>
      </c>
      <c r="L1494" t="str">
        <f>IF(Table4_2[[#This Row],[TDS Value (ppm)]]&lt;560, "Low", IF(Table4_2[[#This Row],[TDS Value (ppm)]]&lt;=800,"Optimal","High"))</f>
        <v>Optimal</v>
      </c>
    </row>
    <row r="1495" spans="1:12" x14ac:dyDescent="0.25">
      <c r="A1495">
        <v>33</v>
      </c>
      <c r="B1495" s="1">
        <v>45148</v>
      </c>
      <c r="C1495" s="1" t="str">
        <f>TEXT(Table4_2[[#This Row],[Date]],"dddd")</f>
        <v>Thursday</v>
      </c>
      <c r="D1495" s="21">
        <v>22.7</v>
      </c>
      <c r="E1495" s="21">
        <v>61</v>
      </c>
      <c r="F1495" s="21">
        <v>580</v>
      </c>
      <c r="G1495" s="21">
        <v>6.5</v>
      </c>
      <c r="H1495">
        <v>8</v>
      </c>
      <c r="I1495">
        <v>72.86</v>
      </c>
      <c r="J1495">
        <v>0.61</v>
      </c>
      <c r="K1495" t="str" cm="1">
        <f t="array" ref="K1495">_xlfn.IFS(Table4_2[[#This Row],[Growth Days]]&lt;=14,"Seedling",Table4_2[[#This Row],[Growth Days]]&lt;=35, "Vegetative",Table4_2[[#This Row],[Growth Days]]&lt;=50, "Maturity")</f>
        <v>Seedling</v>
      </c>
      <c r="L1495" t="str">
        <f>IF(Table4_2[[#This Row],[TDS Value (ppm)]]&lt;560, "Low", IF(Table4_2[[#This Row],[TDS Value (ppm)]]&lt;=800,"Optimal","High"))</f>
        <v>Optimal</v>
      </c>
    </row>
    <row r="1496" spans="1:12" x14ac:dyDescent="0.25">
      <c r="A1496">
        <v>33</v>
      </c>
      <c r="B1496" s="1">
        <v>45155</v>
      </c>
      <c r="C1496" s="1" t="str">
        <f>TEXT(Table4_2[[#This Row],[Date]],"dddd")</f>
        <v>Thursday</v>
      </c>
      <c r="D1496" s="21">
        <v>29.6</v>
      </c>
      <c r="E1496" s="21">
        <v>60</v>
      </c>
      <c r="F1496" s="21">
        <v>456</v>
      </c>
      <c r="G1496" s="21">
        <v>6.7</v>
      </c>
      <c r="H1496">
        <v>15</v>
      </c>
      <c r="I1496">
        <v>85.28</v>
      </c>
      <c r="J1496">
        <v>0.6</v>
      </c>
      <c r="K1496" t="str" cm="1">
        <f t="array" ref="K1496">_xlfn.IFS(Table4_2[[#This Row],[Growth Days]]&lt;=14,"Seedling",Table4_2[[#This Row],[Growth Days]]&lt;=35, "Vegetative",Table4_2[[#This Row],[Growth Days]]&lt;=50, "Maturity")</f>
        <v>Vegetative</v>
      </c>
      <c r="L1496" t="str">
        <f>IF(Table4_2[[#This Row],[TDS Value (ppm)]]&lt;560, "Low", IF(Table4_2[[#This Row],[TDS Value (ppm)]]&lt;=800,"Optimal","High"))</f>
        <v>Low</v>
      </c>
    </row>
    <row r="1497" spans="1:12" x14ac:dyDescent="0.25">
      <c r="A1497">
        <v>33</v>
      </c>
      <c r="B1497" s="1">
        <v>45162</v>
      </c>
      <c r="C1497" s="1" t="str">
        <f>TEXT(Table4_2[[#This Row],[Date]],"dddd")</f>
        <v>Thursday</v>
      </c>
      <c r="D1497" s="21">
        <v>31.3</v>
      </c>
      <c r="E1497" s="21">
        <v>76</v>
      </c>
      <c r="F1497" s="21">
        <v>680</v>
      </c>
      <c r="G1497" s="21">
        <v>6</v>
      </c>
      <c r="H1497">
        <v>22</v>
      </c>
      <c r="I1497">
        <v>88.34</v>
      </c>
      <c r="J1497">
        <v>0.76</v>
      </c>
      <c r="K1497" t="str" cm="1">
        <f t="array" ref="K1497">_xlfn.IFS(Table4_2[[#This Row],[Growth Days]]&lt;=14,"Seedling",Table4_2[[#This Row],[Growth Days]]&lt;=35, "Vegetative",Table4_2[[#This Row],[Growth Days]]&lt;=50, "Maturity")</f>
        <v>Vegetative</v>
      </c>
      <c r="L1497" t="str">
        <f>IF(Table4_2[[#This Row],[TDS Value (ppm)]]&lt;560, "Low", IF(Table4_2[[#This Row],[TDS Value (ppm)]]&lt;=800,"Optimal","High"))</f>
        <v>Optimal</v>
      </c>
    </row>
    <row r="1498" spans="1:12" x14ac:dyDescent="0.25">
      <c r="A1498">
        <v>33</v>
      </c>
      <c r="B1498" s="1">
        <v>45169</v>
      </c>
      <c r="C1498" s="1" t="str">
        <f>TEXT(Table4_2[[#This Row],[Date]],"dddd")</f>
        <v>Thursday</v>
      </c>
      <c r="D1498" s="21">
        <v>29.2</v>
      </c>
      <c r="E1498" s="21">
        <v>72</v>
      </c>
      <c r="F1498" s="21">
        <v>512</v>
      </c>
      <c r="G1498" s="21">
        <v>6.5</v>
      </c>
      <c r="H1498">
        <v>29</v>
      </c>
      <c r="I1498">
        <v>84.56</v>
      </c>
      <c r="J1498">
        <v>0.72</v>
      </c>
      <c r="K1498" t="str" cm="1">
        <f t="array" ref="K1498">_xlfn.IFS(Table4_2[[#This Row],[Growth Days]]&lt;=14,"Seedling",Table4_2[[#This Row],[Growth Days]]&lt;=35, "Vegetative",Table4_2[[#This Row],[Growth Days]]&lt;=50, "Maturity")</f>
        <v>Vegetative</v>
      </c>
      <c r="L1498" t="str">
        <f>IF(Table4_2[[#This Row],[TDS Value (ppm)]]&lt;560, "Low", IF(Table4_2[[#This Row],[TDS Value (ppm)]]&lt;=800,"Optimal","High"))</f>
        <v>Low</v>
      </c>
    </row>
    <row r="1499" spans="1:12" x14ac:dyDescent="0.25">
      <c r="A1499">
        <v>33</v>
      </c>
      <c r="B1499" s="1">
        <v>45176</v>
      </c>
      <c r="C1499" s="1" t="str">
        <f>TEXT(Table4_2[[#This Row],[Date]],"dddd")</f>
        <v>Thursday</v>
      </c>
      <c r="D1499" s="21">
        <v>31.5</v>
      </c>
      <c r="E1499" s="21">
        <v>75</v>
      </c>
      <c r="F1499" s="21">
        <v>559</v>
      </c>
      <c r="G1499" s="21">
        <v>6.2</v>
      </c>
      <c r="H1499">
        <v>36</v>
      </c>
      <c r="I1499">
        <v>88.7</v>
      </c>
      <c r="J1499">
        <v>0.75</v>
      </c>
      <c r="K1499" t="str" cm="1">
        <f t="array" ref="K1499">_xlfn.IFS(Table4_2[[#This Row],[Growth Days]]&lt;=14,"Seedling",Table4_2[[#This Row],[Growth Days]]&lt;=35, "Vegetative",Table4_2[[#This Row],[Growth Days]]&lt;=50, "Maturity")</f>
        <v>Maturity</v>
      </c>
      <c r="L1499" t="str">
        <f>IF(Table4_2[[#This Row],[TDS Value (ppm)]]&lt;560, "Low", IF(Table4_2[[#This Row],[TDS Value (ppm)]]&lt;=800,"Optimal","High"))</f>
        <v>Low</v>
      </c>
    </row>
    <row r="1500" spans="1:12" x14ac:dyDescent="0.25">
      <c r="A1500">
        <v>33</v>
      </c>
      <c r="B1500" s="1">
        <v>45183</v>
      </c>
      <c r="C1500" s="1" t="str">
        <f>TEXT(Table4_2[[#This Row],[Date]],"dddd")</f>
        <v>Thursday</v>
      </c>
      <c r="D1500" s="21">
        <v>29.1</v>
      </c>
      <c r="E1500" s="21">
        <v>78</v>
      </c>
      <c r="F1500" s="21">
        <v>642</v>
      </c>
      <c r="G1500" s="21">
        <v>6.7</v>
      </c>
      <c r="H1500">
        <v>43</v>
      </c>
      <c r="I1500">
        <v>84.38</v>
      </c>
      <c r="J1500">
        <v>0.78</v>
      </c>
      <c r="K1500" t="str" cm="1">
        <f t="array" ref="K1500">_xlfn.IFS(Table4_2[[#This Row],[Growth Days]]&lt;=14,"Seedling",Table4_2[[#This Row],[Growth Days]]&lt;=35, "Vegetative",Table4_2[[#This Row],[Growth Days]]&lt;=50, "Maturity")</f>
        <v>Maturity</v>
      </c>
      <c r="L1500" t="str">
        <f>IF(Table4_2[[#This Row],[TDS Value (ppm)]]&lt;560, "Low", IF(Table4_2[[#This Row],[TDS Value (ppm)]]&lt;=800,"Optimal","High"))</f>
        <v>Optimal</v>
      </c>
    </row>
    <row r="1501" spans="1:12" x14ac:dyDescent="0.25">
      <c r="A1501">
        <v>34</v>
      </c>
      <c r="B1501" s="1">
        <v>45141</v>
      </c>
      <c r="C1501" s="1" t="str">
        <f>TEXT(Table4_2[[#This Row],[Date]],"dddd")</f>
        <v>Thursday</v>
      </c>
      <c r="D1501" s="21">
        <v>33.4</v>
      </c>
      <c r="E1501" s="21">
        <v>50</v>
      </c>
      <c r="F1501" s="21">
        <v>681</v>
      </c>
      <c r="G1501" s="21">
        <v>6.5</v>
      </c>
      <c r="H1501">
        <v>1</v>
      </c>
      <c r="I1501">
        <v>92.12</v>
      </c>
      <c r="J1501">
        <v>0.5</v>
      </c>
      <c r="K1501" t="str" cm="1">
        <f t="array" ref="K1501">_xlfn.IFS(Table4_2[[#This Row],[Growth Days]]&lt;=14,"Seedling",Table4_2[[#This Row],[Growth Days]]&lt;=35, "Vegetative",Table4_2[[#This Row],[Growth Days]]&lt;=50, "Maturity")</f>
        <v>Seedling</v>
      </c>
      <c r="L1501" t="str">
        <f>IF(Table4_2[[#This Row],[TDS Value (ppm)]]&lt;560, "Low", IF(Table4_2[[#This Row],[TDS Value (ppm)]]&lt;=800,"Optimal","High"))</f>
        <v>Optimal</v>
      </c>
    </row>
    <row r="1502" spans="1:12" x14ac:dyDescent="0.25">
      <c r="A1502">
        <v>34</v>
      </c>
      <c r="B1502" s="1">
        <v>45148</v>
      </c>
      <c r="C1502" s="1" t="str">
        <f>TEXT(Table4_2[[#This Row],[Date]],"dddd")</f>
        <v>Thursday</v>
      </c>
      <c r="D1502" s="21">
        <v>22.7</v>
      </c>
      <c r="E1502" s="21">
        <v>58</v>
      </c>
      <c r="F1502" s="21">
        <v>589</v>
      </c>
      <c r="G1502" s="21">
        <v>6.4</v>
      </c>
      <c r="H1502">
        <v>8</v>
      </c>
      <c r="I1502">
        <v>72.86</v>
      </c>
      <c r="J1502">
        <v>0.57999999999999996</v>
      </c>
      <c r="K1502" t="str" cm="1">
        <f t="array" ref="K1502">_xlfn.IFS(Table4_2[[#This Row],[Growth Days]]&lt;=14,"Seedling",Table4_2[[#This Row],[Growth Days]]&lt;=35, "Vegetative",Table4_2[[#This Row],[Growth Days]]&lt;=50, "Maturity")</f>
        <v>Seedling</v>
      </c>
      <c r="L1502" t="str">
        <f>IF(Table4_2[[#This Row],[TDS Value (ppm)]]&lt;560, "Low", IF(Table4_2[[#This Row],[TDS Value (ppm)]]&lt;=800,"Optimal","High"))</f>
        <v>Optimal</v>
      </c>
    </row>
    <row r="1503" spans="1:12" x14ac:dyDescent="0.25">
      <c r="A1503">
        <v>34</v>
      </c>
      <c r="B1503" s="1">
        <v>45155</v>
      </c>
      <c r="C1503" s="1" t="str">
        <f>TEXT(Table4_2[[#This Row],[Date]],"dddd")</f>
        <v>Thursday</v>
      </c>
      <c r="D1503" s="21">
        <v>29.6</v>
      </c>
      <c r="E1503" s="21">
        <v>55</v>
      </c>
      <c r="F1503" s="21">
        <v>720</v>
      </c>
      <c r="G1503" s="21">
        <v>6.6</v>
      </c>
      <c r="H1503">
        <v>15</v>
      </c>
      <c r="I1503">
        <v>85.28</v>
      </c>
      <c r="J1503">
        <v>0.55000000000000004</v>
      </c>
      <c r="K1503" t="str" cm="1">
        <f t="array" ref="K1503">_xlfn.IFS(Table4_2[[#This Row],[Growth Days]]&lt;=14,"Seedling",Table4_2[[#This Row],[Growth Days]]&lt;=35, "Vegetative",Table4_2[[#This Row],[Growth Days]]&lt;=50, "Maturity")</f>
        <v>Vegetative</v>
      </c>
      <c r="L1503" t="str">
        <f>IF(Table4_2[[#This Row],[TDS Value (ppm)]]&lt;560, "Low", IF(Table4_2[[#This Row],[TDS Value (ppm)]]&lt;=800,"Optimal","High"))</f>
        <v>Optimal</v>
      </c>
    </row>
    <row r="1504" spans="1:12" x14ac:dyDescent="0.25">
      <c r="A1504">
        <v>34</v>
      </c>
      <c r="B1504" s="1">
        <v>45162</v>
      </c>
      <c r="C1504" s="1" t="str">
        <f>TEXT(Table4_2[[#This Row],[Date]],"dddd")</f>
        <v>Thursday</v>
      </c>
      <c r="D1504" s="21">
        <v>31.3</v>
      </c>
      <c r="E1504" s="21">
        <v>51</v>
      </c>
      <c r="F1504" s="21">
        <v>551</v>
      </c>
      <c r="G1504" s="21">
        <v>6.6</v>
      </c>
      <c r="H1504">
        <v>22</v>
      </c>
      <c r="I1504">
        <v>88.34</v>
      </c>
      <c r="J1504">
        <v>0.51</v>
      </c>
      <c r="K1504" t="str" cm="1">
        <f t="array" ref="K1504">_xlfn.IFS(Table4_2[[#This Row],[Growth Days]]&lt;=14,"Seedling",Table4_2[[#This Row],[Growth Days]]&lt;=35, "Vegetative",Table4_2[[#This Row],[Growth Days]]&lt;=50, "Maturity")</f>
        <v>Vegetative</v>
      </c>
      <c r="L1504" t="str">
        <f>IF(Table4_2[[#This Row],[TDS Value (ppm)]]&lt;560, "Low", IF(Table4_2[[#This Row],[TDS Value (ppm)]]&lt;=800,"Optimal","High"))</f>
        <v>Low</v>
      </c>
    </row>
    <row r="1505" spans="1:12" x14ac:dyDescent="0.25">
      <c r="A1505">
        <v>34</v>
      </c>
      <c r="B1505" s="1">
        <v>45169</v>
      </c>
      <c r="C1505" s="1" t="str">
        <f>TEXT(Table4_2[[#This Row],[Date]],"dddd")</f>
        <v>Thursday</v>
      </c>
      <c r="D1505" s="21">
        <v>29.2</v>
      </c>
      <c r="E1505" s="21">
        <v>55</v>
      </c>
      <c r="F1505" s="21">
        <v>484</v>
      </c>
      <c r="G1505" s="21">
        <v>6.3</v>
      </c>
      <c r="H1505">
        <v>29</v>
      </c>
      <c r="I1505">
        <v>84.56</v>
      </c>
      <c r="J1505">
        <v>0.55000000000000004</v>
      </c>
      <c r="K1505" t="str" cm="1">
        <f t="array" ref="K1505">_xlfn.IFS(Table4_2[[#This Row],[Growth Days]]&lt;=14,"Seedling",Table4_2[[#This Row],[Growth Days]]&lt;=35, "Vegetative",Table4_2[[#This Row],[Growth Days]]&lt;=50, "Maturity")</f>
        <v>Vegetative</v>
      </c>
      <c r="L1505" t="str">
        <f>IF(Table4_2[[#This Row],[TDS Value (ppm)]]&lt;560, "Low", IF(Table4_2[[#This Row],[TDS Value (ppm)]]&lt;=800,"Optimal","High"))</f>
        <v>Low</v>
      </c>
    </row>
    <row r="1506" spans="1:12" x14ac:dyDescent="0.25">
      <c r="A1506">
        <v>34</v>
      </c>
      <c r="B1506" s="1">
        <v>45176</v>
      </c>
      <c r="C1506" s="1" t="str">
        <f>TEXT(Table4_2[[#This Row],[Date]],"dddd")</f>
        <v>Thursday</v>
      </c>
      <c r="D1506" s="21">
        <v>31.5</v>
      </c>
      <c r="E1506" s="21">
        <v>51</v>
      </c>
      <c r="F1506" s="21">
        <v>537</v>
      </c>
      <c r="G1506" s="21">
        <v>6.1</v>
      </c>
      <c r="H1506">
        <v>36</v>
      </c>
      <c r="I1506">
        <v>88.7</v>
      </c>
      <c r="J1506">
        <v>0.51</v>
      </c>
      <c r="K1506" t="str" cm="1">
        <f t="array" ref="K1506">_xlfn.IFS(Table4_2[[#This Row],[Growth Days]]&lt;=14,"Seedling",Table4_2[[#This Row],[Growth Days]]&lt;=35, "Vegetative",Table4_2[[#This Row],[Growth Days]]&lt;=50, "Maturity")</f>
        <v>Maturity</v>
      </c>
      <c r="L1506" t="str">
        <f>IF(Table4_2[[#This Row],[TDS Value (ppm)]]&lt;560, "Low", IF(Table4_2[[#This Row],[TDS Value (ppm)]]&lt;=800,"Optimal","High"))</f>
        <v>Low</v>
      </c>
    </row>
    <row r="1507" spans="1:12" x14ac:dyDescent="0.25">
      <c r="A1507">
        <v>34</v>
      </c>
      <c r="B1507" s="1">
        <v>45183</v>
      </c>
      <c r="C1507" s="1" t="str">
        <f>TEXT(Table4_2[[#This Row],[Date]],"dddd")</f>
        <v>Thursday</v>
      </c>
      <c r="D1507" s="21">
        <v>29.1</v>
      </c>
      <c r="E1507" s="21">
        <v>58</v>
      </c>
      <c r="F1507" s="21">
        <v>420</v>
      </c>
      <c r="G1507" s="21">
        <v>6.3</v>
      </c>
      <c r="H1507">
        <v>43</v>
      </c>
      <c r="I1507">
        <v>84.38</v>
      </c>
      <c r="J1507">
        <v>0.57999999999999996</v>
      </c>
      <c r="K1507" t="str" cm="1">
        <f t="array" ref="K1507">_xlfn.IFS(Table4_2[[#This Row],[Growth Days]]&lt;=14,"Seedling",Table4_2[[#This Row],[Growth Days]]&lt;=35, "Vegetative",Table4_2[[#This Row],[Growth Days]]&lt;=50, "Maturity")</f>
        <v>Maturity</v>
      </c>
      <c r="L1507" t="str">
        <f>IF(Table4_2[[#This Row],[TDS Value (ppm)]]&lt;560, "Low", IF(Table4_2[[#This Row],[TDS Value (ppm)]]&lt;=800,"Optimal","High"))</f>
        <v>Low</v>
      </c>
    </row>
    <row r="1508" spans="1:12" x14ac:dyDescent="0.25">
      <c r="A1508">
        <v>35</v>
      </c>
      <c r="B1508" s="1">
        <v>45141</v>
      </c>
      <c r="C1508" s="1" t="str">
        <f>TEXT(Table4_2[[#This Row],[Date]],"dddd")</f>
        <v>Thursday</v>
      </c>
      <c r="D1508" s="21">
        <v>33.4</v>
      </c>
      <c r="E1508" s="21">
        <v>66</v>
      </c>
      <c r="F1508" s="21">
        <v>592</v>
      </c>
      <c r="G1508" s="21">
        <v>6.4</v>
      </c>
      <c r="H1508">
        <v>1</v>
      </c>
      <c r="I1508">
        <v>92.12</v>
      </c>
      <c r="J1508">
        <v>0.66</v>
      </c>
      <c r="K1508" t="str" cm="1">
        <f t="array" ref="K1508">_xlfn.IFS(Table4_2[[#This Row],[Growth Days]]&lt;=14,"Seedling",Table4_2[[#This Row],[Growth Days]]&lt;=35, "Vegetative",Table4_2[[#This Row],[Growth Days]]&lt;=50, "Maturity")</f>
        <v>Seedling</v>
      </c>
      <c r="L1508" t="str">
        <f>IF(Table4_2[[#This Row],[TDS Value (ppm)]]&lt;560, "Low", IF(Table4_2[[#This Row],[TDS Value (ppm)]]&lt;=800,"Optimal","High"))</f>
        <v>Optimal</v>
      </c>
    </row>
    <row r="1509" spans="1:12" x14ac:dyDescent="0.25">
      <c r="A1509">
        <v>35</v>
      </c>
      <c r="B1509" s="1">
        <v>45148</v>
      </c>
      <c r="C1509" s="1" t="str">
        <f>TEXT(Table4_2[[#This Row],[Date]],"dddd")</f>
        <v>Thursday</v>
      </c>
      <c r="D1509" s="21">
        <v>22.7</v>
      </c>
      <c r="E1509" s="21">
        <v>74</v>
      </c>
      <c r="F1509" s="21">
        <v>471</v>
      </c>
      <c r="G1509" s="21">
        <v>6.5</v>
      </c>
      <c r="H1509">
        <v>8</v>
      </c>
      <c r="I1509">
        <v>72.86</v>
      </c>
      <c r="J1509">
        <v>0.74</v>
      </c>
      <c r="K1509" t="str" cm="1">
        <f t="array" ref="K1509">_xlfn.IFS(Table4_2[[#This Row],[Growth Days]]&lt;=14,"Seedling",Table4_2[[#This Row],[Growth Days]]&lt;=35, "Vegetative",Table4_2[[#This Row],[Growth Days]]&lt;=50, "Maturity")</f>
        <v>Seedling</v>
      </c>
      <c r="L1509" t="str">
        <f>IF(Table4_2[[#This Row],[TDS Value (ppm)]]&lt;560, "Low", IF(Table4_2[[#This Row],[TDS Value (ppm)]]&lt;=800,"Optimal","High"))</f>
        <v>Low</v>
      </c>
    </row>
    <row r="1510" spans="1:12" x14ac:dyDescent="0.25">
      <c r="A1510">
        <v>35</v>
      </c>
      <c r="B1510" s="1">
        <v>45155</v>
      </c>
      <c r="C1510" s="1" t="str">
        <f>TEXT(Table4_2[[#This Row],[Date]],"dddd")</f>
        <v>Thursday</v>
      </c>
      <c r="D1510" s="21">
        <v>29.6</v>
      </c>
      <c r="E1510" s="21">
        <v>55</v>
      </c>
      <c r="F1510" s="21">
        <v>754</v>
      </c>
      <c r="G1510" s="21">
        <v>6.4</v>
      </c>
      <c r="H1510">
        <v>15</v>
      </c>
      <c r="I1510">
        <v>85.28</v>
      </c>
      <c r="J1510">
        <v>0.55000000000000004</v>
      </c>
      <c r="K1510" t="str" cm="1">
        <f t="array" ref="K1510">_xlfn.IFS(Table4_2[[#This Row],[Growth Days]]&lt;=14,"Seedling",Table4_2[[#This Row],[Growth Days]]&lt;=35, "Vegetative",Table4_2[[#This Row],[Growth Days]]&lt;=50, "Maturity")</f>
        <v>Vegetative</v>
      </c>
      <c r="L1510" t="str">
        <f>IF(Table4_2[[#This Row],[TDS Value (ppm)]]&lt;560, "Low", IF(Table4_2[[#This Row],[TDS Value (ppm)]]&lt;=800,"Optimal","High"))</f>
        <v>Optimal</v>
      </c>
    </row>
    <row r="1511" spans="1:12" x14ac:dyDescent="0.25">
      <c r="A1511">
        <v>35</v>
      </c>
      <c r="B1511" s="1">
        <v>45162</v>
      </c>
      <c r="C1511" s="1" t="str">
        <f>TEXT(Table4_2[[#This Row],[Date]],"dddd")</f>
        <v>Thursday</v>
      </c>
      <c r="D1511" s="21">
        <v>31.3</v>
      </c>
      <c r="E1511" s="21">
        <v>76</v>
      </c>
      <c r="F1511" s="21">
        <v>411</v>
      </c>
      <c r="G1511" s="21">
        <v>6.3</v>
      </c>
      <c r="H1511">
        <v>22</v>
      </c>
      <c r="I1511">
        <v>88.34</v>
      </c>
      <c r="J1511">
        <v>0.76</v>
      </c>
      <c r="K1511" t="str" cm="1">
        <f t="array" ref="K1511">_xlfn.IFS(Table4_2[[#This Row],[Growth Days]]&lt;=14,"Seedling",Table4_2[[#This Row],[Growth Days]]&lt;=35, "Vegetative",Table4_2[[#This Row],[Growth Days]]&lt;=50, "Maturity")</f>
        <v>Vegetative</v>
      </c>
      <c r="L1511" t="str">
        <f>IF(Table4_2[[#This Row],[TDS Value (ppm)]]&lt;560, "Low", IF(Table4_2[[#This Row],[TDS Value (ppm)]]&lt;=800,"Optimal","High"))</f>
        <v>Low</v>
      </c>
    </row>
    <row r="1512" spans="1:12" x14ac:dyDescent="0.25">
      <c r="A1512">
        <v>35</v>
      </c>
      <c r="B1512" s="1">
        <v>45169</v>
      </c>
      <c r="C1512" s="1" t="str">
        <f>TEXT(Table4_2[[#This Row],[Date]],"dddd")</f>
        <v>Thursday</v>
      </c>
      <c r="D1512" s="21">
        <v>29.2</v>
      </c>
      <c r="E1512" s="21">
        <v>61</v>
      </c>
      <c r="F1512" s="21">
        <v>748</v>
      </c>
      <c r="G1512" s="21">
        <v>6.4</v>
      </c>
      <c r="H1512">
        <v>29</v>
      </c>
      <c r="I1512">
        <v>84.56</v>
      </c>
      <c r="J1512">
        <v>0.61</v>
      </c>
      <c r="K1512" t="str" cm="1">
        <f t="array" ref="K1512">_xlfn.IFS(Table4_2[[#This Row],[Growth Days]]&lt;=14,"Seedling",Table4_2[[#This Row],[Growth Days]]&lt;=35, "Vegetative",Table4_2[[#This Row],[Growth Days]]&lt;=50, "Maturity")</f>
        <v>Vegetative</v>
      </c>
      <c r="L1512" t="str">
        <f>IF(Table4_2[[#This Row],[TDS Value (ppm)]]&lt;560, "Low", IF(Table4_2[[#This Row],[TDS Value (ppm)]]&lt;=800,"Optimal","High"))</f>
        <v>Optimal</v>
      </c>
    </row>
    <row r="1513" spans="1:12" x14ac:dyDescent="0.25">
      <c r="A1513">
        <v>35</v>
      </c>
      <c r="B1513" s="1">
        <v>45176</v>
      </c>
      <c r="C1513" s="1" t="str">
        <f>TEXT(Table4_2[[#This Row],[Date]],"dddd")</f>
        <v>Thursday</v>
      </c>
      <c r="D1513" s="21">
        <v>31.5</v>
      </c>
      <c r="E1513" s="21">
        <v>72</v>
      </c>
      <c r="F1513" s="21">
        <v>621</v>
      </c>
      <c r="G1513" s="21">
        <v>6.1</v>
      </c>
      <c r="H1513">
        <v>36</v>
      </c>
      <c r="I1513">
        <v>88.7</v>
      </c>
      <c r="J1513">
        <v>0.72</v>
      </c>
      <c r="K1513" t="str" cm="1">
        <f t="array" ref="K1513">_xlfn.IFS(Table4_2[[#This Row],[Growth Days]]&lt;=14,"Seedling",Table4_2[[#This Row],[Growth Days]]&lt;=35, "Vegetative",Table4_2[[#This Row],[Growth Days]]&lt;=50, "Maturity")</f>
        <v>Maturity</v>
      </c>
      <c r="L1513" t="str">
        <f>IF(Table4_2[[#This Row],[TDS Value (ppm)]]&lt;560, "Low", IF(Table4_2[[#This Row],[TDS Value (ppm)]]&lt;=800,"Optimal","High"))</f>
        <v>Optimal</v>
      </c>
    </row>
    <row r="1514" spans="1:12" x14ac:dyDescent="0.25">
      <c r="A1514">
        <v>35</v>
      </c>
      <c r="B1514" s="1">
        <v>45183</v>
      </c>
      <c r="C1514" s="1" t="str">
        <f>TEXT(Table4_2[[#This Row],[Date]],"dddd")</f>
        <v>Thursday</v>
      </c>
      <c r="D1514" s="21">
        <v>29.1</v>
      </c>
      <c r="E1514" s="21">
        <v>53</v>
      </c>
      <c r="F1514" s="21">
        <v>757</v>
      </c>
      <c r="G1514" s="21">
        <v>6.1</v>
      </c>
      <c r="H1514">
        <v>43</v>
      </c>
      <c r="I1514">
        <v>84.38</v>
      </c>
      <c r="J1514">
        <v>0.53</v>
      </c>
      <c r="K1514" t="str" cm="1">
        <f t="array" ref="K1514">_xlfn.IFS(Table4_2[[#This Row],[Growth Days]]&lt;=14,"Seedling",Table4_2[[#This Row],[Growth Days]]&lt;=35, "Vegetative",Table4_2[[#This Row],[Growth Days]]&lt;=50, "Maturity")</f>
        <v>Maturity</v>
      </c>
      <c r="L1514" t="str">
        <f>IF(Table4_2[[#This Row],[TDS Value (ppm)]]&lt;560, "Low", IF(Table4_2[[#This Row],[TDS Value (ppm)]]&lt;=800,"Optimal","High"))</f>
        <v>Optimal</v>
      </c>
    </row>
    <row r="1515" spans="1:12" x14ac:dyDescent="0.25">
      <c r="A1515">
        <v>36</v>
      </c>
      <c r="B1515" s="1">
        <v>45141</v>
      </c>
      <c r="C1515" s="1" t="str">
        <f>TEXT(Table4_2[[#This Row],[Date]],"dddd")</f>
        <v>Thursday</v>
      </c>
      <c r="D1515" s="21">
        <v>33.4</v>
      </c>
      <c r="E1515" s="21">
        <v>68</v>
      </c>
      <c r="F1515" s="21">
        <v>744</v>
      </c>
      <c r="G1515" s="21">
        <v>6.4</v>
      </c>
      <c r="H1515">
        <v>1</v>
      </c>
      <c r="I1515">
        <v>92.12</v>
      </c>
      <c r="J1515">
        <v>0.68</v>
      </c>
      <c r="K1515" t="str" cm="1">
        <f t="array" ref="K1515">_xlfn.IFS(Table4_2[[#This Row],[Growth Days]]&lt;=14,"Seedling",Table4_2[[#This Row],[Growth Days]]&lt;=35, "Vegetative",Table4_2[[#This Row],[Growth Days]]&lt;=50, "Maturity")</f>
        <v>Seedling</v>
      </c>
      <c r="L1515" t="str">
        <f>IF(Table4_2[[#This Row],[TDS Value (ppm)]]&lt;560, "Low", IF(Table4_2[[#This Row],[TDS Value (ppm)]]&lt;=800,"Optimal","High"))</f>
        <v>Optimal</v>
      </c>
    </row>
    <row r="1516" spans="1:12" x14ac:dyDescent="0.25">
      <c r="A1516">
        <v>36</v>
      </c>
      <c r="B1516" s="1">
        <v>45148</v>
      </c>
      <c r="C1516" s="1" t="str">
        <f>TEXT(Table4_2[[#This Row],[Date]],"dddd")</f>
        <v>Thursday</v>
      </c>
      <c r="D1516" s="21">
        <v>22.7</v>
      </c>
      <c r="E1516" s="21">
        <v>59</v>
      </c>
      <c r="F1516" s="21">
        <v>795</v>
      </c>
      <c r="G1516" s="21">
        <v>6.2</v>
      </c>
      <c r="H1516">
        <v>8</v>
      </c>
      <c r="I1516">
        <v>72.86</v>
      </c>
      <c r="J1516">
        <v>0.59</v>
      </c>
      <c r="K1516" t="str" cm="1">
        <f t="array" ref="K1516">_xlfn.IFS(Table4_2[[#This Row],[Growth Days]]&lt;=14,"Seedling",Table4_2[[#This Row],[Growth Days]]&lt;=35, "Vegetative",Table4_2[[#This Row],[Growth Days]]&lt;=50, "Maturity")</f>
        <v>Seedling</v>
      </c>
      <c r="L1516" t="str">
        <f>IF(Table4_2[[#This Row],[TDS Value (ppm)]]&lt;560, "Low", IF(Table4_2[[#This Row],[TDS Value (ppm)]]&lt;=800,"Optimal","High"))</f>
        <v>Optimal</v>
      </c>
    </row>
    <row r="1517" spans="1:12" x14ac:dyDescent="0.25">
      <c r="A1517">
        <v>36</v>
      </c>
      <c r="B1517" s="1">
        <v>45155</v>
      </c>
      <c r="C1517" s="1" t="str">
        <f>TEXT(Table4_2[[#This Row],[Date]],"dddd")</f>
        <v>Thursday</v>
      </c>
      <c r="D1517" s="21">
        <v>29.6</v>
      </c>
      <c r="E1517" s="21">
        <v>79</v>
      </c>
      <c r="F1517" s="21">
        <v>764</v>
      </c>
      <c r="G1517" s="21">
        <v>6.3</v>
      </c>
      <c r="H1517">
        <v>15</v>
      </c>
      <c r="I1517">
        <v>85.28</v>
      </c>
      <c r="J1517">
        <v>0.79</v>
      </c>
      <c r="K1517" t="str" cm="1">
        <f t="array" ref="K1517">_xlfn.IFS(Table4_2[[#This Row],[Growth Days]]&lt;=14,"Seedling",Table4_2[[#This Row],[Growth Days]]&lt;=35, "Vegetative",Table4_2[[#This Row],[Growth Days]]&lt;=50, "Maturity")</f>
        <v>Vegetative</v>
      </c>
      <c r="L1517" t="str">
        <f>IF(Table4_2[[#This Row],[TDS Value (ppm)]]&lt;560, "Low", IF(Table4_2[[#This Row],[TDS Value (ppm)]]&lt;=800,"Optimal","High"))</f>
        <v>Optimal</v>
      </c>
    </row>
    <row r="1518" spans="1:12" x14ac:dyDescent="0.25">
      <c r="A1518">
        <v>36</v>
      </c>
      <c r="B1518" s="1">
        <v>45162</v>
      </c>
      <c r="C1518" s="1" t="str">
        <f>TEXT(Table4_2[[#This Row],[Date]],"dddd")</f>
        <v>Thursday</v>
      </c>
      <c r="D1518" s="21">
        <v>31.3</v>
      </c>
      <c r="E1518" s="21">
        <v>67</v>
      </c>
      <c r="F1518" s="21">
        <v>570</v>
      </c>
      <c r="G1518" s="21">
        <v>6.5</v>
      </c>
      <c r="H1518">
        <v>22</v>
      </c>
      <c r="I1518">
        <v>88.34</v>
      </c>
      <c r="J1518">
        <v>0.67</v>
      </c>
      <c r="K1518" t="str" cm="1">
        <f t="array" ref="K1518">_xlfn.IFS(Table4_2[[#This Row],[Growth Days]]&lt;=14,"Seedling",Table4_2[[#This Row],[Growth Days]]&lt;=35, "Vegetative",Table4_2[[#This Row],[Growth Days]]&lt;=50, "Maturity")</f>
        <v>Vegetative</v>
      </c>
      <c r="L1518" t="str">
        <f>IF(Table4_2[[#This Row],[TDS Value (ppm)]]&lt;560, "Low", IF(Table4_2[[#This Row],[TDS Value (ppm)]]&lt;=800,"Optimal","High"))</f>
        <v>Optimal</v>
      </c>
    </row>
    <row r="1519" spans="1:12" x14ac:dyDescent="0.25">
      <c r="A1519">
        <v>36</v>
      </c>
      <c r="B1519" s="1">
        <v>45169</v>
      </c>
      <c r="C1519" s="1" t="str">
        <f>TEXT(Table4_2[[#This Row],[Date]],"dddd")</f>
        <v>Thursday</v>
      </c>
      <c r="D1519" s="21">
        <v>29.2</v>
      </c>
      <c r="E1519" s="21">
        <v>66</v>
      </c>
      <c r="F1519" s="21">
        <v>629</v>
      </c>
      <c r="G1519" s="21">
        <v>6.5</v>
      </c>
      <c r="H1519">
        <v>29</v>
      </c>
      <c r="I1519">
        <v>84.56</v>
      </c>
      <c r="J1519">
        <v>0.66</v>
      </c>
      <c r="K1519" t="str" cm="1">
        <f t="array" ref="K1519">_xlfn.IFS(Table4_2[[#This Row],[Growth Days]]&lt;=14,"Seedling",Table4_2[[#This Row],[Growth Days]]&lt;=35, "Vegetative",Table4_2[[#This Row],[Growth Days]]&lt;=50, "Maturity")</f>
        <v>Vegetative</v>
      </c>
      <c r="L1519" t="str">
        <f>IF(Table4_2[[#This Row],[TDS Value (ppm)]]&lt;560, "Low", IF(Table4_2[[#This Row],[TDS Value (ppm)]]&lt;=800,"Optimal","High"))</f>
        <v>Optimal</v>
      </c>
    </row>
    <row r="1520" spans="1:12" x14ac:dyDescent="0.25">
      <c r="A1520">
        <v>36</v>
      </c>
      <c r="B1520" s="1">
        <v>45176</v>
      </c>
      <c r="C1520" s="1" t="str">
        <f>TEXT(Table4_2[[#This Row],[Date]],"dddd")</f>
        <v>Thursday</v>
      </c>
      <c r="D1520" s="21">
        <v>31.5</v>
      </c>
      <c r="E1520" s="21">
        <v>72</v>
      </c>
      <c r="F1520" s="21">
        <v>680</v>
      </c>
      <c r="G1520" s="21">
        <v>6.4</v>
      </c>
      <c r="H1520">
        <v>36</v>
      </c>
      <c r="I1520">
        <v>88.7</v>
      </c>
      <c r="J1520">
        <v>0.72</v>
      </c>
      <c r="K1520" t="str" cm="1">
        <f t="array" ref="K1520">_xlfn.IFS(Table4_2[[#This Row],[Growth Days]]&lt;=14,"Seedling",Table4_2[[#This Row],[Growth Days]]&lt;=35, "Vegetative",Table4_2[[#This Row],[Growth Days]]&lt;=50, "Maturity")</f>
        <v>Maturity</v>
      </c>
      <c r="L1520" t="str">
        <f>IF(Table4_2[[#This Row],[TDS Value (ppm)]]&lt;560, "Low", IF(Table4_2[[#This Row],[TDS Value (ppm)]]&lt;=800,"Optimal","High"))</f>
        <v>Optimal</v>
      </c>
    </row>
    <row r="1521" spans="1:12" x14ac:dyDescent="0.25">
      <c r="A1521">
        <v>36</v>
      </c>
      <c r="B1521" s="1">
        <v>45183</v>
      </c>
      <c r="C1521" s="1" t="str">
        <f>TEXT(Table4_2[[#This Row],[Date]],"dddd")</f>
        <v>Thursday</v>
      </c>
      <c r="D1521" s="21">
        <v>29.1</v>
      </c>
      <c r="E1521" s="21">
        <v>76</v>
      </c>
      <c r="F1521" s="21">
        <v>746</v>
      </c>
      <c r="G1521" s="21">
        <v>6.6</v>
      </c>
      <c r="H1521">
        <v>43</v>
      </c>
      <c r="I1521">
        <v>84.38</v>
      </c>
      <c r="J1521">
        <v>0.76</v>
      </c>
      <c r="K1521" t="str" cm="1">
        <f t="array" ref="K1521">_xlfn.IFS(Table4_2[[#This Row],[Growth Days]]&lt;=14,"Seedling",Table4_2[[#This Row],[Growth Days]]&lt;=35, "Vegetative",Table4_2[[#This Row],[Growth Days]]&lt;=50, "Maturity")</f>
        <v>Maturity</v>
      </c>
      <c r="L1521" t="str">
        <f>IF(Table4_2[[#This Row],[TDS Value (ppm)]]&lt;560, "Low", IF(Table4_2[[#This Row],[TDS Value (ppm)]]&lt;=800,"Optimal","High"))</f>
        <v>Optimal</v>
      </c>
    </row>
    <row r="1522" spans="1:12" x14ac:dyDescent="0.25">
      <c r="A1522">
        <v>37</v>
      </c>
      <c r="B1522" s="1">
        <v>45141</v>
      </c>
      <c r="C1522" s="1" t="str">
        <f>TEXT(Table4_2[[#This Row],[Date]],"dddd")</f>
        <v>Thursday</v>
      </c>
      <c r="D1522" s="21">
        <v>33.4</v>
      </c>
      <c r="E1522" s="21">
        <v>72</v>
      </c>
      <c r="F1522" s="21">
        <v>571</v>
      </c>
      <c r="G1522" s="21">
        <v>6.6</v>
      </c>
      <c r="H1522">
        <v>1</v>
      </c>
      <c r="I1522">
        <v>92.12</v>
      </c>
      <c r="J1522">
        <v>0.72</v>
      </c>
      <c r="K1522" t="str" cm="1">
        <f t="array" ref="K1522">_xlfn.IFS(Table4_2[[#This Row],[Growth Days]]&lt;=14,"Seedling",Table4_2[[#This Row],[Growth Days]]&lt;=35, "Vegetative",Table4_2[[#This Row],[Growth Days]]&lt;=50, "Maturity")</f>
        <v>Seedling</v>
      </c>
      <c r="L1522" t="str">
        <f>IF(Table4_2[[#This Row],[TDS Value (ppm)]]&lt;560, "Low", IF(Table4_2[[#This Row],[TDS Value (ppm)]]&lt;=800,"Optimal","High"))</f>
        <v>Optimal</v>
      </c>
    </row>
    <row r="1523" spans="1:12" x14ac:dyDescent="0.25">
      <c r="A1523">
        <v>37</v>
      </c>
      <c r="B1523" s="1">
        <v>45148</v>
      </c>
      <c r="C1523" s="1" t="str">
        <f>TEXT(Table4_2[[#This Row],[Date]],"dddd")</f>
        <v>Thursday</v>
      </c>
      <c r="D1523" s="21">
        <v>22.7</v>
      </c>
      <c r="E1523" s="21">
        <v>50</v>
      </c>
      <c r="F1523" s="21">
        <v>784</v>
      </c>
      <c r="G1523" s="21">
        <v>6.3</v>
      </c>
      <c r="H1523">
        <v>8</v>
      </c>
      <c r="I1523">
        <v>72.86</v>
      </c>
      <c r="J1523">
        <v>0.5</v>
      </c>
      <c r="K1523" t="str" cm="1">
        <f t="array" ref="K1523">_xlfn.IFS(Table4_2[[#This Row],[Growth Days]]&lt;=14,"Seedling",Table4_2[[#This Row],[Growth Days]]&lt;=35, "Vegetative",Table4_2[[#This Row],[Growth Days]]&lt;=50, "Maturity")</f>
        <v>Seedling</v>
      </c>
      <c r="L1523" t="str">
        <f>IF(Table4_2[[#This Row],[TDS Value (ppm)]]&lt;560, "Low", IF(Table4_2[[#This Row],[TDS Value (ppm)]]&lt;=800,"Optimal","High"))</f>
        <v>Optimal</v>
      </c>
    </row>
    <row r="1524" spans="1:12" x14ac:dyDescent="0.25">
      <c r="A1524">
        <v>37</v>
      </c>
      <c r="B1524" s="1">
        <v>45155</v>
      </c>
      <c r="C1524" s="1" t="str">
        <f>TEXT(Table4_2[[#This Row],[Date]],"dddd")</f>
        <v>Thursday</v>
      </c>
      <c r="D1524" s="21">
        <v>29.6</v>
      </c>
      <c r="E1524" s="21">
        <v>77</v>
      </c>
      <c r="F1524" s="21">
        <v>488</v>
      </c>
      <c r="G1524" s="21">
        <v>6.3</v>
      </c>
      <c r="H1524">
        <v>15</v>
      </c>
      <c r="I1524">
        <v>85.28</v>
      </c>
      <c r="J1524">
        <v>0.77</v>
      </c>
      <c r="K1524" t="str" cm="1">
        <f t="array" ref="K1524">_xlfn.IFS(Table4_2[[#This Row],[Growth Days]]&lt;=14,"Seedling",Table4_2[[#This Row],[Growth Days]]&lt;=35, "Vegetative",Table4_2[[#This Row],[Growth Days]]&lt;=50, "Maturity")</f>
        <v>Vegetative</v>
      </c>
      <c r="L1524" t="str">
        <f>IF(Table4_2[[#This Row],[TDS Value (ppm)]]&lt;560, "Low", IF(Table4_2[[#This Row],[TDS Value (ppm)]]&lt;=800,"Optimal","High"))</f>
        <v>Low</v>
      </c>
    </row>
    <row r="1525" spans="1:12" x14ac:dyDescent="0.25">
      <c r="A1525">
        <v>37</v>
      </c>
      <c r="B1525" s="1">
        <v>45162</v>
      </c>
      <c r="C1525" s="1" t="str">
        <f>TEXT(Table4_2[[#This Row],[Date]],"dddd")</f>
        <v>Thursday</v>
      </c>
      <c r="D1525" s="21">
        <v>31.3</v>
      </c>
      <c r="E1525" s="21">
        <v>63</v>
      </c>
      <c r="F1525" s="21">
        <v>785</v>
      </c>
      <c r="G1525" s="21">
        <v>6.4</v>
      </c>
      <c r="H1525">
        <v>22</v>
      </c>
      <c r="I1525">
        <v>88.34</v>
      </c>
      <c r="J1525">
        <v>0.63</v>
      </c>
      <c r="K1525" t="str" cm="1">
        <f t="array" ref="K1525">_xlfn.IFS(Table4_2[[#This Row],[Growth Days]]&lt;=14,"Seedling",Table4_2[[#This Row],[Growth Days]]&lt;=35, "Vegetative",Table4_2[[#This Row],[Growth Days]]&lt;=50, "Maturity")</f>
        <v>Vegetative</v>
      </c>
      <c r="L1525" t="str">
        <f>IF(Table4_2[[#This Row],[TDS Value (ppm)]]&lt;560, "Low", IF(Table4_2[[#This Row],[TDS Value (ppm)]]&lt;=800,"Optimal","High"))</f>
        <v>Optimal</v>
      </c>
    </row>
    <row r="1526" spans="1:12" x14ac:dyDescent="0.25">
      <c r="A1526">
        <v>37</v>
      </c>
      <c r="B1526" s="1">
        <v>45169</v>
      </c>
      <c r="C1526" s="1" t="str">
        <f>TEXT(Table4_2[[#This Row],[Date]],"dddd")</f>
        <v>Thursday</v>
      </c>
      <c r="D1526" s="21">
        <v>29.2</v>
      </c>
      <c r="E1526" s="21">
        <v>56</v>
      </c>
      <c r="F1526" s="21">
        <v>777</v>
      </c>
      <c r="G1526" s="21">
        <v>6.4</v>
      </c>
      <c r="H1526">
        <v>29</v>
      </c>
      <c r="I1526">
        <v>84.56</v>
      </c>
      <c r="J1526">
        <v>0.56000000000000005</v>
      </c>
      <c r="K1526" t="str" cm="1">
        <f t="array" ref="K1526">_xlfn.IFS(Table4_2[[#This Row],[Growth Days]]&lt;=14,"Seedling",Table4_2[[#This Row],[Growth Days]]&lt;=35, "Vegetative",Table4_2[[#This Row],[Growth Days]]&lt;=50, "Maturity")</f>
        <v>Vegetative</v>
      </c>
      <c r="L1526" t="str">
        <f>IF(Table4_2[[#This Row],[TDS Value (ppm)]]&lt;560, "Low", IF(Table4_2[[#This Row],[TDS Value (ppm)]]&lt;=800,"Optimal","High"))</f>
        <v>Optimal</v>
      </c>
    </row>
    <row r="1527" spans="1:12" x14ac:dyDescent="0.25">
      <c r="A1527">
        <v>37</v>
      </c>
      <c r="B1527" s="1">
        <v>45176</v>
      </c>
      <c r="C1527" s="1" t="str">
        <f>TEXT(Table4_2[[#This Row],[Date]],"dddd")</f>
        <v>Thursday</v>
      </c>
      <c r="D1527" s="21">
        <v>31.5</v>
      </c>
      <c r="E1527" s="21">
        <v>62</v>
      </c>
      <c r="F1527" s="21">
        <v>670</v>
      </c>
      <c r="G1527" s="21">
        <v>6.3</v>
      </c>
      <c r="H1527">
        <v>36</v>
      </c>
      <c r="I1527">
        <v>88.7</v>
      </c>
      <c r="J1527">
        <v>0.62</v>
      </c>
      <c r="K1527" t="str" cm="1">
        <f t="array" ref="K1527">_xlfn.IFS(Table4_2[[#This Row],[Growth Days]]&lt;=14,"Seedling",Table4_2[[#This Row],[Growth Days]]&lt;=35, "Vegetative",Table4_2[[#This Row],[Growth Days]]&lt;=50, "Maturity")</f>
        <v>Maturity</v>
      </c>
      <c r="L1527" t="str">
        <f>IF(Table4_2[[#This Row],[TDS Value (ppm)]]&lt;560, "Low", IF(Table4_2[[#This Row],[TDS Value (ppm)]]&lt;=800,"Optimal","High"))</f>
        <v>Optimal</v>
      </c>
    </row>
    <row r="1528" spans="1:12" x14ac:dyDescent="0.25">
      <c r="A1528">
        <v>37</v>
      </c>
      <c r="B1528" s="1">
        <v>45183</v>
      </c>
      <c r="C1528" s="1" t="str">
        <f>TEXT(Table4_2[[#This Row],[Date]],"dddd")</f>
        <v>Thursday</v>
      </c>
      <c r="D1528" s="21">
        <v>29.1</v>
      </c>
      <c r="E1528" s="21">
        <v>50</v>
      </c>
      <c r="F1528" s="21">
        <v>476</v>
      </c>
      <c r="G1528" s="21">
        <v>6.5</v>
      </c>
      <c r="H1528">
        <v>43</v>
      </c>
      <c r="I1528">
        <v>84.38</v>
      </c>
      <c r="J1528">
        <v>0.5</v>
      </c>
      <c r="K1528" t="str" cm="1">
        <f t="array" ref="K1528">_xlfn.IFS(Table4_2[[#This Row],[Growth Days]]&lt;=14,"Seedling",Table4_2[[#This Row],[Growth Days]]&lt;=35, "Vegetative",Table4_2[[#This Row],[Growth Days]]&lt;=50, "Maturity")</f>
        <v>Maturity</v>
      </c>
      <c r="L1528" t="str">
        <f>IF(Table4_2[[#This Row],[TDS Value (ppm)]]&lt;560, "Low", IF(Table4_2[[#This Row],[TDS Value (ppm)]]&lt;=800,"Optimal","High"))</f>
        <v>Low</v>
      </c>
    </row>
    <row r="1529" spans="1:12" x14ac:dyDescent="0.25">
      <c r="A1529">
        <v>38</v>
      </c>
      <c r="B1529" s="1">
        <v>45141</v>
      </c>
      <c r="C1529" s="1" t="str">
        <f>TEXT(Table4_2[[#This Row],[Date]],"dddd")</f>
        <v>Thursday</v>
      </c>
      <c r="D1529" s="21">
        <v>33.4</v>
      </c>
      <c r="E1529" s="21">
        <v>52</v>
      </c>
      <c r="F1529" s="21">
        <v>609</v>
      </c>
      <c r="G1529" s="21">
        <v>6.4</v>
      </c>
      <c r="H1529">
        <v>1</v>
      </c>
      <c r="I1529">
        <v>92.12</v>
      </c>
      <c r="J1529">
        <v>0.52</v>
      </c>
      <c r="K1529" t="str" cm="1">
        <f t="array" ref="K1529">_xlfn.IFS(Table4_2[[#This Row],[Growth Days]]&lt;=14,"Seedling",Table4_2[[#This Row],[Growth Days]]&lt;=35, "Vegetative",Table4_2[[#This Row],[Growth Days]]&lt;=50, "Maturity")</f>
        <v>Seedling</v>
      </c>
      <c r="L1529" t="str">
        <f>IF(Table4_2[[#This Row],[TDS Value (ppm)]]&lt;560, "Low", IF(Table4_2[[#This Row],[TDS Value (ppm)]]&lt;=800,"Optimal","High"))</f>
        <v>Optimal</v>
      </c>
    </row>
    <row r="1530" spans="1:12" x14ac:dyDescent="0.25">
      <c r="A1530">
        <v>38</v>
      </c>
      <c r="B1530" s="1">
        <v>45148</v>
      </c>
      <c r="C1530" s="1" t="str">
        <f>TEXT(Table4_2[[#This Row],[Date]],"dddd")</f>
        <v>Thursday</v>
      </c>
      <c r="D1530" s="21">
        <v>22.7</v>
      </c>
      <c r="E1530" s="21">
        <v>77</v>
      </c>
      <c r="F1530" s="21">
        <v>455</v>
      </c>
      <c r="G1530" s="21">
        <v>6.7</v>
      </c>
      <c r="H1530">
        <v>8</v>
      </c>
      <c r="I1530">
        <v>72.86</v>
      </c>
      <c r="J1530">
        <v>0.77</v>
      </c>
      <c r="K1530" t="str" cm="1">
        <f t="array" ref="K1530">_xlfn.IFS(Table4_2[[#This Row],[Growth Days]]&lt;=14,"Seedling",Table4_2[[#This Row],[Growth Days]]&lt;=35, "Vegetative",Table4_2[[#This Row],[Growth Days]]&lt;=50, "Maturity")</f>
        <v>Seedling</v>
      </c>
      <c r="L1530" t="str">
        <f>IF(Table4_2[[#This Row],[TDS Value (ppm)]]&lt;560, "Low", IF(Table4_2[[#This Row],[TDS Value (ppm)]]&lt;=800,"Optimal","High"))</f>
        <v>Low</v>
      </c>
    </row>
    <row r="1531" spans="1:12" x14ac:dyDescent="0.25">
      <c r="A1531">
        <v>38</v>
      </c>
      <c r="B1531" s="1">
        <v>45155</v>
      </c>
      <c r="C1531" s="1" t="str">
        <f>TEXT(Table4_2[[#This Row],[Date]],"dddd")</f>
        <v>Thursday</v>
      </c>
      <c r="D1531" s="21">
        <v>29.6</v>
      </c>
      <c r="E1531" s="21">
        <v>72</v>
      </c>
      <c r="F1531" s="21">
        <v>590</v>
      </c>
      <c r="G1531" s="21">
        <v>6.6</v>
      </c>
      <c r="H1531">
        <v>15</v>
      </c>
      <c r="I1531">
        <v>85.28</v>
      </c>
      <c r="J1531">
        <v>0.72</v>
      </c>
      <c r="K1531" t="str" cm="1">
        <f t="array" ref="K1531">_xlfn.IFS(Table4_2[[#This Row],[Growth Days]]&lt;=14,"Seedling",Table4_2[[#This Row],[Growth Days]]&lt;=35, "Vegetative",Table4_2[[#This Row],[Growth Days]]&lt;=50, "Maturity")</f>
        <v>Vegetative</v>
      </c>
      <c r="L1531" t="str">
        <f>IF(Table4_2[[#This Row],[TDS Value (ppm)]]&lt;560, "Low", IF(Table4_2[[#This Row],[TDS Value (ppm)]]&lt;=800,"Optimal","High"))</f>
        <v>Optimal</v>
      </c>
    </row>
    <row r="1532" spans="1:12" x14ac:dyDescent="0.25">
      <c r="A1532">
        <v>38</v>
      </c>
      <c r="B1532" s="1">
        <v>45162</v>
      </c>
      <c r="C1532" s="1" t="str">
        <f>TEXT(Table4_2[[#This Row],[Date]],"dddd")</f>
        <v>Thursday</v>
      </c>
      <c r="D1532" s="21">
        <v>31.3</v>
      </c>
      <c r="E1532" s="21">
        <v>62</v>
      </c>
      <c r="F1532" s="21">
        <v>581</v>
      </c>
      <c r="G1532" s="21">
        <v>6.6</v>
      </c>
      <c r="H1532">
        <v>22</v>
      </c>
      <c r="I1532">
        <v>88.34</v>
      </c>
      <c r="J1532">
        <v>0.62</v>
      </c>
      <c r="K1532" t="str" cm="1">
        <f t="array" ref="K1532">_xlfn.IFS(Table4_2[[#This Row],[Growth Days]]&lt;=14,"Seedling",Table4_2[[#This Row],[Growth Days]]&lt;=35, "Vegetative",Table4_2[[#This Row],[Growth Days]]&lt;=50, "Maturity")</f>
        <v>Vegetative</v>
      </c>
      <c r="L1532" t="str">
        <f>IF(Table4_2[[#This Row],[TDS Value (ppm)]]&lt;560, "Low", IF(Table4_2[[#This Row],[TDS Value (ppm)]]&lt;=800,"Optimal","High"))</f>
        <v>Optimal</v>
      </c>
    </row>
    <row r="1533" spans="1:12" x14ac:dyDescent="0.25">
      <c r="A1533">
        <v>38</v>
      </c>
      <c r="B1533" s="1">
        <v>45169</v>
      </c>
      <c r="C1533" s="1" t="str">
        <f>TEXT(Table4_2[[#This Row],[Date]],"dddd")</f>
        <v>Thursday</v>
      </c>
      <c r="D1533" s="21">
        <v>29.2</v>
      </c>
      <c r="E1533" s="21">
        <v>74</v>
      </c>
      <c r="F1533" s="21">
        <v>565</v>
      </c>
      <c r="G1533" s="21">
        <v>6.5</v>
      </c>
      <c r="H1533">
        <v>29</v>
      </c>
      <c r="I1533">
        <v>84.56</v>
      </c>
      <c r="J1533">
        <v>0.74</v>
      </c>
      <c r="K1533" t="str" cm="1">
        <f t="array" ref="K1533">_xlfn.IFS(Table4_2[[#This Row],[Growth Days]]&lt;=14,"Seedling",Table4_2[[#This Row],[Growth Days]]&lt;=35, "Vegetative",Table4_2[[#This Row],[Growth Days]]&lt;=50, "Maturity")</f>
        <v>Vegetative</v>
      </c>
      <c r="L1533" t="str">
        <f>IF(Table4_2[[#This Row],[TDS Value (ppm)]]&lt;560, "Low", IF(Table4_2[[#This Row],[TDS Value (ppm)]]&lt;=800,"Optimal","High"))</f>
        <v>Optimal</v>
      </c>
    </row>
    <row r="1534" spans="1:12" x14ac:dyDescent="0.25">
      <c r="A1534">
        <v>38</v>
      </c>
      <c r="B1534" s="1">
        <v>45176</v>
      </c>
      <c r="C1534" s="1" t="str">
        <f>TEXT(Table4_2[[#This Row],[Date]],"dddd")</f>
        <v>Thursday</v>
      </c>
      <c r="D1534" s="21">
        <v>31.5</v>
      </c>
      <c r="E1534" s="21">
        <v>77</v>
      </c>
      <c r="F1534" s="21">
        <v>581</v>
      </c>
      <c r="G1534" s="21">
        <v>6.7</v>
      </c>
      <c r="H1534">
        <v>36</v>
      </c>
      <c r="I1534">
        <v>88.7</v>
      </c>
      <c r="J1534">
        <v>0.77</v>
      </c>
      <c r="K1534" t="str" cm="1">
        <f t="array" ref="K1534">_xlfn.IFS(Table4_2[[#This Row],[Growth Days]]&lt;=14,"Seedling",Table4_2[[#This Row],[Growth Days]]&lt;=35, "Vegetative",Table4_2[[#This Row],[Growth Days]]&lt;=50, "Maturity")</f>
        <v>Maturity</v>
      </c>
      <c r="L1534" t="str">
        <f>IF(Table4_2[[#This Row],[TDS Value (ppm)]]&lt;560, "Low", IF(Table4_2[[#This Row],[TDS Value (ppm)]]&lt;=800,"Optimal","High"))</f>
        <v>Optimal</v>
      </c>
    </row>
    <row r="1535" spans="1:12" x14ac:dyDescent="0.25">
      <c r="A1535">
        <v>38</v>
      </c>
      <c r="B1535" s="1">
        <v>45183</v>
      </c>
      <c r="C1535" s="1" t="str">
        <f>TEXT(Table4_2[[#This Row],[Date]],"dddd")</f>
        <v>Thursday</v>
      </c>
      <c r="D1535" s="21">
        <v>29.1</v>
      </c>
      <c r="E1535" s="21">
        <v>63</v>
      </c>
      <c r="F1535" s="21">
        <v>545</v>
      </c>
      <c r="G1535" s="21">
        <v>6.3</v>
      </c>
      <c r="H1535">
        <v>43</v>
      </c>
      <c r="I1535">
        <v>84.38</v>
      </c>
      <c r="J1535">
        <v>0.63</v>
      </c>
      <c r="K1535" t="str" cm="1">
        <f t="array" ref="K1535">_xlfn.IFS(Table4_2[[#This Row],[Growth Days]]&lt;=14,"Seedling",Table4_2[[#This Row],[Growth Days]]&lt;=35, "Vegetative",Table4_2[[#This Row],[Growth Days]]&lt;=50, "Maturity")</f>
        <v>Maturity</v>
      </c>
      <c r="L1535" t="str">
        <f>IF(Table4_2[[#This Row],[TDS Value (ppm)]]&lt;560, "Low", IF(Table4_2[[#This Row],[TDS Value (ppm)]]&lt;=800,"Optimal","High"))</f>
        <v>Low</v>
      </c>
    </row>
    <row r="1536" spans="1:12" x14ac:dyDescent="0.25">
      <c r="A1536">
        <v>39</v>
      </c>
      <c r="B1536" s="1">
        <v>45141</v>
      </c>
      <c r="C1536" s="1" t="str">
        <f>TEXT(Table4_2[[#This Row],[Date]],"dddd")</f>
        <v>Thursday</v>
      </c>
      <c r="D1536" s="21">
        <v>33.4</v>
      </c>
      <c r="E1536" s="21">
        <v>75</v>
      </c>
      <c r="F1536" s="21">
        <v>416</v>
      </c>
      <c r="G1536" s="21">
        <v>6.6</v>
      </c>
      <c r="H1536">
        <v>1</v>
      </c>
      <c r="I1536">
        <v>92.12</v>
      </c>
      <c r="J1536">
        <v>0.75</v>
      </c>
      <c r="K1536" t="str" cm="1">
        <f t="array" ref="K1536">_xlfn.IFS(Table4_2[[#This Row],[Growth Days]]&lt;=14,"Seedling",Table4_2[[#This Row],[Growth Days]]&lt;=35, "Vegetative",Table4_2[[#This Row],[Growth Days]]&lt;=50, "Maturity")</f>
        <v>Seedling</v>
      </c>
      <c r="L1536" t="str">
        <f>IF(Table4_2[[#This Row],[TDS Value (ppm)]]&lt;560, "Low", IF(Table4_2[[#This Row],[TDS Value (ppm)]]&lt;=800,"Optimal","High"))</f>
        <v>Low</v>
      </c>
    </row>
    <row r="1537" spans="1:12" x14ac:dyDescent="0.25">
      <c r="A1537">
        <v>39</v>
      </c>
      <c r="B1537" s="1">
        <v>45148</v>
      </c>
      <c r="C1537" s="1" t="str">
        <f>TEXT(Table4_2[[#This Row],[Date]],"dddd")</f>
        <v>Thursday</v>
      </c>
      <c r="D1537" s="21">
        <v>22.7</v>
      </c>
      <c r="E1537" s="21">
        <v>51</v>
      </c>
      <c r="F1537" s="21">
        <v>466</v>
      </c>
      <c r="G1537" s="21">
        <v>6.7</v>
      </c>
      <c r="H1537">
        <v>8</v>
      </c>
      <c r="I1537">
        <v>72.86</v>
      </c>
      <c r="J1537">
        <v>0.51</v>
      </c>
      <c r="K1537" t="str" cm="1">
        <f t="array" ref="K1537">_xlfn.IFS(Table4_2[[#This Row],[Growth Days]]&lt;=14,"Seedling",Table4_2[[#This Row],[Growth Days]]&lt;=35, "Vegetative",Table4_2[[#This Row],[Growth Days]]&lt;=50, "Maturity")</f>
        <v>Seedling</v>
      </c>
      <c r="L1537" t="str">
        <f>IF(Table4_2[[#This Row],[TDS Value (ppm)]]&lt;560, "Low", IF(Table4_2[[#This Row],[TDS Value (ppm)]]&lt;=800,"Optimal","High"))</f>
        <v>Low</v>
      </c>
    </row>
    <row r="1538" spans="1:12" x14ac:dyDescent="0.25">
      <c r="A1538">
        <v>39</v>
      </c>
      <c r="B1538" s="1">
        <v>45155</v>
      </c>
      <c r="C1538" s="1" t="str">
        <f>TEXT(Table4_2[[#This Row],[Date]],"dddd")</f>
        <v>Thursday</v>
      </c>
      <c r="D1538" s="21">
        <v>29.6</v>
      </c>
      <c r="E1538" s="21">
        <v>68</v>
      </c>
      <c r="F1538" s="21">
        <v>563</v>
      </c>
      <c r="G1538" s="21">
        <v>6.3</v>
      </c>
      <c r="H1538">
        <v>15</v>
      </c>
      <c r="I1538">
        <v>85.28</v>
      </c>
      <c r="J1538">
        <v>0.68</v>
      </c>
      <c r="K1538" t="str" cm="1">
        <f t="array" ref="K1538">_xlfn.IFS(Table4_2[[#This Row],[Growth Days]]&lt;=14,"Seedling",Table4_2[[#This Row],[Growth Days]]&lt;=35, "Vegetative",Table4_2[[#This Row],[Growth Days]]&lt;=50, "Maturity")</f>
        <v>Vegetative</v>
      </c>
      <c r="L1538" t="str">
        <f>IF(Table4_2[[#This Row],[TDS Value (ppm)]]&lt;560, "Low", IF(Table4_2[[#This Row],[TDS Value (ppm)]]&lt;=800,"Optimal","High"))</f>
        <v>Optimal</v>
      </c>
    </row>
    <row r="1539" spans="1:12" x14ac:dyDescent="0.25">
      <c r="A1539">
        <v>39</v>
      </c>
      <c r="B1539" s="1">
        <v>45162</v>
      </c>
      <c r="C1539" s="1" t="str">
        <f>TEXT(Table4_2[[#This Row],[Date]],"dddd")</f>
        <v>Thursday</v>
      </c>
      <c r="D1539" s="21">
        <v>31.3</v>
      </c>
      <c r="E1539" s="21">
        <v>75</v>
      </c>
      <c r="F1539" s="21">
        <v>555</v>
      </c>
      <c r="G1539" s="21">
        <v>6.1</v>
      </c>
      <c r="H1539">
        <v>22</v>
      </c>
      <c r="I1539">
        <v>88.34</v>
      </c>
      <c r="J1539">
        <v>0.75</v>
      </c>
      <c r="K1539" t="str" cm="1">
        <f t="array" ref="K1539">_xlfn.IFS(Table4_2[[#This Row],[Growth Days]]&lt;=14,"Seedling",Table4_2[[#This Row],[Growth Days]]&lt;=35, "Vegetative",Table4_2[[#This Row],[Growth Days]]&lt;=50, "Maturity")</f>
        <v>Vegetative</v>
      </c>
      <c r="L1539" t="str">
        <f>IF(Table4_2[[#This Row],[TDS Value (ppm)]]&lt;560, "Low", IF(Table4_2[[#This Row],[TDS Value (ppm)]]&lt;=800,"Optimal","High"))</f>
        <v>Low</v>
      </c>
    </row>
    <row r="1540" spans="1:12" x14ac:dyDescent="0.25">
      <c r="A1540">
        <v>39</v>
      </c>
      <c r="B1540" s="1">
        <v>45169</v>
      </c>
      <c r="C1540" s="1" t="str">
        <f>TEXT(Table4_2[[#This Row],[Date]],"dddd")</f>
        <v>Thursday</v>
      </c>
      <c r="D1540" s="21">
        <v>29.2</v>
      </c>
      <c r="E1540" s="21">
        <v>60</v>
      </c>
      <c r="F1540" s="21">
        <v>782</v>
      </c>
      <c r="G1540" s="21">
        <v>6.8</v>
      </c>
      <c r="H1540">
        <v>29</v>
      </c>
      <c r="I1540">
        <v>84.56</v>
      </c>
      <c r="J1540">
        <v>0.6</v>
      </c>
      <c r="K1540" t="str" cm="1">
        <f t="array" ref="K1540">_xlfn.IFS(Table4_2[[#This Row],[Growth Days]]&lt;=14,"Seedling",Table4_2[[#This Row],[Growth Days]]&lt;=35, "Vegetative",Table4_2[[#This Row],[Growth Days]]&lt;=50, "Maturity")</f>
        <v>Vegetative</v>
      </c>
      <c r="L1540" t="str">
        <f>IF(Table4_2[[#This Row],[TDS Value (ppm)]]&lt;560, "Low", IF(Table4_2[[#This Row],[TDS Value (ppm)]]&lt;=800,"Optimal","High"))</f>
        <v>Optimal</v>
      </c>
    </row>
    <row r="1541" spans="1:12" x14ac:dyDescent="0.25">
      <c r="A1541">
        <v>39</v>
      </c>
      <c r="B1541" s="1">
        <v>45176</v>
      </c>
      <c r="C1541" s="1" t="str">
        <f>TEXT(Table4_2[[#This Row],[Date]],"dddd")</f>
        <v>Thursday</v>
      </c>
      <c r="D1541" s="21">
        <v>31.5</v>
      </c>
      <c r="E1541" s="21">
        <v>67</v>
      </c>
      <c r="F1541" s="21">
        <v>522</v>
      </c>
      <c r="G1541" s="21">
        <v>6.2</v>
      </c>
      <c r="H1541">
        <v>36</v>
      </c>
      <c r="I1541">
        <v>88.7</v>
      </c>
      <c r="J1541">
        <v>0.67</v>
      </c>
      <c r="K1541" t="str" cm="1">
        <f t="array" ref="K1541">_xlfn.IFS(Table4_2[[#This Row],[Growth Days]]&lt;=14,"Seedling",Table4_2[[#This Row],[Growth Days]]&lt;=35, "Vegetative",Table4_2[[#This Row],[Growth Days]]&lt;=50, "Maturity")</f>
        <v>Maturity</v>
      </c>
      <c r="L1541" t="str">
        <f>IF(Table4_2[[#This Row],[TDS Value (ppm)]]&lt;560, "Low", IF(Table4_2[[#This Row],[TDS Value (ppm)]]&lt;=800,"Optimal","High"))</f>
        <v>Low</v>
      </c>
    </row>
    <row r="1542" spans="1:12" x14ac:dyDescent="0.25">
      <c r="A1542">
        <v>39</v>
      </c>
      <c r="B1542" s="1">
        <v>45183</v>
      </c>
      <c r="C1542" s="1" t="str">
        <f>TEXT(Table4_2[[#This Row],[Date]],"dddd")</f>
        <v>Thursday</v>
      </c>
      <c r="D1542" s="21">
        <v>29.1</v>
      </c>
      <c r="E1542" s="21">
        <v>55</v>
      </c>
      <c r="F1542" s="21">
        <v>681</v>
      </c>
      <c r="G1542" s="21">
        <v>6.2</v>
      </c>
      <c r="H1542">
        <v>43</v>
      </c>
      <c r="I1542">
        <v>84.38</v>
      </c>
      <c r="J1542">
        <v>0.55000000000000004</v>
      </c>
      <c r="K1542" t="str" cm="1">
        <f t="array" ref="K1542">_xlfn.IFS(Table4_2[[#This Row],[Growth Days]]&lt;=14,"Seedling",Table4_2[[#This Row],[Growth Days]]&lt;=35, "Vegetative",Table4_2[[#This Row],[Growth Days]]&lt;=50, "Maturity")</f>
        <v>Maturity</v>
      </c>
      <c r="L1542" t="str">
        <f>IF(Table4_2[[#This Row],[TDS Value (ppm)]]&lt;560, "Low", IF(Table4_2[[#This Row],[TDS Value (ppm)]]&lt;=800,"Optimal","High"))</f>
        <v>Optimal</v>
      </c>
    </row>
    <row r="1543" spans="1:12" x14ac:dyDescent="0.25">
      <c r="A1543">
        <v>40</v>
      </c>
      <c r="B1543" s="1">
        <v>45141</v>
      </c>
      <c r="C1543" s="1" t="str">
        <f>TEXT(Table4_2[[#This Row],[Date]],"dddd")</f>
        <v>Thursday</v>
      </c>
      <c r="D1543" s="21">
        <v>33.4</v>
      </c>
      <c r="E1543" s="21">
        <v>51</v>
      </c>
      <c r="F1543" s="21">
        <v>577</v>
      </c>
      <c r="G1543" s="21">
        <v>6</v>
      </c>
      <c r="H1543">
        <v>1</v>
      </c>
      <c r="I1543">
        <v>92.12</v>
      </c>
      <c r="J1543">
        <v>0.51</v>
      </c>
      <c r="K1543" t="str" cm="1">
        <f t="array" ref="K1543">_xlfn.IFS(Table4_2[[#This Row],[Growth Days]]&lt;=14,"Seedling",Table4_2[[#This Row],[Growth Days]]&lt;=35, "Vegetative",Table4_2[[#This Row],[Growth Days]]&lt;=50, "Maturity")</f>
        <v>Seedling</v>
      </c>
      <c r="L1543" t="str">
        <f>IF(Table4_2[[#This Row],[TDS Value (ppm)]]&lt;560, "Low", IF(Table4_2[[#This Row],[TDS Value (ppm)]]&lt;=800,"Optimal","High"))</f>
        <v>Optimal</v>
      </c>
    </row>
    <row r="1544" spans="1:12" x14ac:dyDescent="0.25">
      <c r="A1544">
        <v>40</v>
      </c>
      <c r="B1544" s="1">
        <v>45148</v>
      </c>
      <c r="C1544" s="1" t="str">
        <f>TEXT(Table4_2[[#This Row],[Date]],"dddd")</f>
        <v>Thursday</v>
      </c>
      <c r="D1544" s="21">
        <v>22.7</v>
      </c>
      <c r="E1544" s="21">
        <v>75</v>
      </c>
      <c r="F1544" s="21">
        <v>729</v>
      </c>
      <c r="G1544" s="21">
        <v>6.4</v>
      </c>
      <c r="H1544">
        <v>8</v>
      </c>
      <c r="I1544">
        <v>72.86</v>
      </c>
      <c r="J1544">
        <v>0.75</v>
      </c>
      <c r="K1544" t="str" cm="1">
        <f t="array" ref="K1544">_xlfn.IFS(Table4_2[[#This Row],[Growth Days]]&lt;=14,"Seedling",Table4_2[[#This Row],[Growth Days]]&lt;=35, "Vegetative",Table4_2[[#This Row],[Growth Days]]&lt;=50, "Maturity")</f>
        <v>Seedling</v>
      </c>
      <c r="L1544" t="str">
        <f>IF(Table4_2[[#This Row],[TDS Value (ppm)]]&lt;560, "Low", IF(Table4_2[[#This Row],[TDS Value (ppm)]]&lt;=800,"Optimal","High"))</f>
        <v>Optimal</v>
      </c>
    </row>
    <row r="1545" spans="1:12" x14ac:dyDescent="0.25">
      <c r="A1545">
        <v>40</v>
      </c>
      <c r="B1545" s="1">
        <v>45155</v>
      </c>
      <c r="C1545" s="1" t="str">
        <f>TEXT(Table4_2[[#This Row],[Date]],"dddd")</f>
        <v>Thursday</v>
      </c>
      <c r="D1545" s="21">
        <v>29.6</v>
      </c>
      <c r="E1545" s="21">
        <v>76</v>
      </c>
      <c r="F1545" s="21">
        <v>505</v>
      </c>
      <c r="G1545" s="21">
        <v>6.6</v>
      </c>
      <c r="H1545">
        <v>15</v>
      </c>
      <c r="I1545">
        <v>85.28</v>
      </c>
      <c r="J1545">
        <v>0.76</v>
      </c>
      <c r="K1545" t="str" cm="1">
        <f t="array" ref="K1545">_xlfn.IFS(Table4_2[[#This Row],[Growth Days]]&lt;=14,"Seedling",Table4_2[[#This Row],[Growth Days]]&lt;=35, "Vegetative",Table4_2[[#This Row],[Growth Days]]&lt;=50, "Maturity")</f>
        <v>Vegetative</v>
      </c>
      <c r="L1545" t="str">
        <f>IF(Table4_2[[#This Row],[TDS Value (ppm)]]&lt;560, "Low", IF(Table4_2[[#This Row],[TDS Value (ppm)]]&lt;=800,"Optimal","High"))</f>
        <v>Low</v>
      </c>
    </row>
    <row r="1546" spans="1:12" x14ac:dyDescent="0.25">
      <c r="A1546">
        <v>40</v>
      </c>
      <c r="B1546" s="1">
        <v>45162</v>
      </c>
      <c r="C1546" s="1" t="str">
        <f>TEXT(Table4_2[[#This Row],[Date]],"dddd")</f>
        <v>Thursday</v>
      </c>
      <c r="D1546" s="21">
        <v>31.3</v>
      </c>
      <c r="E1546" s="21">
        <v>80</v>
      </c>
      <c r="F1546" s="21">
        <v>598</v>
      </c>
      <c r="G1546" s="21">
        <v>6.5</v>
      </c>
      <c r="H1546">
        <v>22</v>
      </c>
      <c r="I1546">
        <v>88.34</v>
      </c>
      <c r="J1546">
        <v>0.8</v>
      </c>
      <c r="K1546" t="str" cm="1">
        <f t="array" ref="K1546">_xlfn.IFS(Table4_2[[#This Row],[Growth Days]]&lt;=14,"Seedling",Table4_2[[#This Row],[Growth Days]]&lt;=35, "Vegetative",Table4_2[[#This Row],[Growth Days]]&lt;=50, "Maturity")</f>
        <v>Vegetative</v>
      </c>
      <c r="L1546" t="str">
        <f>IF(Table4_2[[#This Row],[TDS Value (ppm)]]&lt;560, "Low", IF(Table4_2[[#This Row],[TDS Value (ppm)]]&lt;=800,"Optimal","High"))</f>
        <v>Optimal</v>
      </c>
    </row>
    <row r="1547" spans="1:12" x14ac:dyDescent="0.25">
      <c r="A1547">
        <v>40</v>
      </c>
      <c r="B1547" s="1">
        <v>45169</v>
      </c>
      <c r="C1547" s="1" t="str">
        <f>TEXT(Table4_2[[#This Row],[Date]],"dddd")</f>
        <v>Thursday</v>
      </c>
      <c r="D1547" s="21">
        <v>29.2</v>
      </c>
      <c r="E1547" s="21">
        <v>80</v>
      </c>
      <c r="F1547" s="21">
        <v>572</v>
      </c>
      <c r="G1547" s="21">
        <v>6.2</v>
      </c>
      <c r="H1547">
        <v>29</v>
      </c>
      <c r="I1547">
        <v>84.56</v>
      </c>
      <c r="J1547">
        <v>0.8</v>
      </c>
      <c r="K1547" t="str" cm="1">
        <f t="array" ref="K1547">_xlfn.IFS(Table4_2[[#This Row],[Growth Days]]&lt;=14,"Seedling",Table4_2[[#This Row],[Growth Days]]&lt;=35, "Vegetative",Table4_2[[#This Row],[Growth Days]]&lt;=50, "Maturity")</f>
        <v>Vegetative</v>
      </c>
      <c r="L1547" t="str">
        <f>IF(Table4_2[[#This Row],[TDS Value (ppm)]]&lt;560, "Low", IF(Table4_2[[#This Row],[TDS Value (ppm)]]&lt;=800,"Optimal","High"))</f>
        <v>Optimal</v>
      </c>
    </row>
    <row r="1548" spans="1:12" x14ac:dyDescent="0.25">
      <c r="A1548">
        <v>40</v>
      </c>
      <c r="B1548" s="1">
        <v>45176</v>
      </c>
      <c r="C1548" s="1" t="str">
        <f>TEXT(Table4_2[[#This Row],[Date]],"dddd")</f>
        <v>Thursday</v>
      </c>
      <c r="D1548" s="21">
        <v>31.5</v>
      </c>
      <c r="E1548" s="21">
        <v>53</v>
      </c>
      <c r="F1548" s="21">
        <v>407</v>
      </c>
      <c r="G1548" s="21">
        <v>6.2</v>
      </c>
      <c r="H1548">
        <v>36</v>
      </c>
      <c r="I1548">
        <v>88.7</v>
      </c>
      <c r="J1548">
        <v>0.53</v>
      </c>
      <c r="K1548" t="str" cm="1">
        <f t="array" ref="K1548">_xlfn.IFS(Table4_2[[#This Row],[Growth Days]]&lt;=14,"Seedling",Table4_2[[#This Row],[Growth Days]]&lt;=35, "Vegetative",Table4_2[[#This Row],[Growth Days]]&lt;=50, "Maturity")</f>
        <v>Maturity</v>
      </c>
      <c r="L1548" t="str">
        <f>IF(Table4_2[[#This Row],[TDS Value (ppm)]]&lt;560, "Low", IF(Table4_2[[#This Row],[TDS Value (ppm)]]&lt;=800,"Optimal","High"))</f>
        <v>Low</v>
      </c>
    </row>
    <row r="1549" spans="1:12" x14ac:dyDescent="0.25">
      <c r="A1549">
        <v>40</v>
      </c>
      <c r="B1549" s="1">
        <v>45183</v>
      </c>
      <c r="C1549" s="1" t="str">
        <f>TEXT(Table4_2[[#This Row],[Date]],"dddd")</f>
        <v>Thursday</v>
      </c>
      <c r="D1549" s="21">
        <v>29.1</v>
      </c>
      <c r="E1549" s="21">
        <v>73</v>
      </c>
      <c r="F1549" s="21">
        <v>729</v>
      </c>
      <c r="G1549" s="21">
        <v>6.8</v>
      </c>
      <c r="H1549">
        <v>43</v>
      </c>
      <c r="I1549">
        <v>84.38</v>
      </c>
      <c r="J1549">
        <v>0.73</v>
      </c>
      <c r="K1549" t="str" cm="1">
        <f t="array" ref="K1549">_xlfn.IFS(Table4_2[[#This Row],[Growth Days]]&lt;=14,"Seedling",Table4_2[[#This Row],[Growth Days]]&lt;=35, "Vegetative",Table4_2[[#This Row],[Growth Days]]&lt;=50, "Maturity")</f>
        <v>Maturity</v>
      </c>
      <c r="L1549" t="str">
        <f>IF(Table4_2[[#This Row],[TDS Value (ppm)]]&lt;560, "Low", IF(Table4_2[[#This Row],[TDS Value (ppm)]]&lt;=800,"Optimal","High"))</f>
        <v>Optimal</v>
      </c>
    </row>
    <row r="1550" spans="1:12" x14ac:dyDescent="0.25">
      <c r="A1550">
        <v>41</v>
      </c>
      <c r="B1550" s="1">
        <v>45141</v>
      </c>
      <c r="C1550" s="1" t="str">
        <f>TEXT(Table4_2[[#This Row],[Date]],"dddd")</f>
        <v>Thursday</v>
      </c>
      <c r="D1550" s="21">
        <v>33.4</v>
      </c>
      <c r="E1550" s="21">
        <v>64</v>
      </c>
      <c r="F1550" s="21">
        <v>578</v>
      </c>
      <c r="G1550" s="21">
        <v>6.2</v>
      </c>
      <c r="H1550">
        <v>1</v>
      </c>
      <c r="I1550">
        <v>92.12</v>
      </c>
      <c r="J1550">
        <v>0.64</v>
      </c>
      <c r="K1550" t="str" cm="1">
        <f t="array" ref="K1550">_xlfn.IFS(Table4_2[[#This Row],[Growth Days]]&lt;=14,"Seedling",Table4_2[[#This Row],[Growth Days]]&lt;=35, "Vegetative",Table4_2[[#This Row],[Growth Days]]&lt;=50, "Maturity")</f>
        <v>Seedling</v>
      </c>
      <c r="L1550" t="str">
        <f>IF(Table4_2[[#This Row],[TDS Value (ppm)]]&lt;560, "Low", IF(Table4_2[[#This Row],[TDS Value (ppm)]]&lt;=800,"Optimal","High"))</f>
        <v>Optimal</v>
      </c>
    </row>
    <row r="1551" spans="1:12" x14ac:dyDescent="0.25">
      <c r="A1551">
        <v>41</v>
      </c>
      <c r="B1551" s="1">
        <v>45148</v>
      </c>
      <c r="C1551" s="1" t="str">
        <f>TEXT(Table4_2[[#This Row],[Date]],"dddd")</f>
        <v>Thursday</v>
      </c>
      <c r="D1551" s="21">
        <v>22.7</v>
      </c>
      <c r="E1551" s="21">
        <v>62</v>
      </c>
      <c r="F1551" s="21">
        <v>657</v>
      </c>
      <c r="G1551" s="21">
        <v>6.7</v>
      </c>
      <c r="H1551">
        <v>8</v>
      </c>
      <c r="I1551">
        <v>72.86</v>
      </c>
      <c r="J1551">
        <v>0.62</v>
      </c>
      <c r="K1551" t="str" cm="1">
        <f t="array" ref="K1551">_xlfn.IFS(Table4_2[[#This Row],[Growth Days]]&lt;=14,"Seedling",Table4_2[[#This Row],[Growth Days]]&lt;=35, "Vegetative",Table4_2[[#This Row],[Growth Days]]&lt;=50, "Maturity")</f>
        <v>Seedling</v>
      </c>
      <c r="L1551" t="str">
        <f>IF(Table4_2[[#This Row],[TDS Value (ppm)]]&lt;560, "Low", IF(Table4_2[[#This Row],[TDS Value (ppm)]]&lt;=800,"Optimal","High"))</f>
        <v>Optimal</v>
      </c>
    </row>
    <row r="1552" spans="1:12" x14ac:dyDescent="0.25">
      <c r="A1552">
        <v>41</v>
      </c>
      <c r="B1552" s="1">
        <v>45155</v>
      </c>
      <c r="C1552" s="1" t="str">
        <f>TEXT(Table4_2[[#This Row],[Date]],"dddd")</f>
        <v>Thursday</v>
      </c>
      <c r="D1552" s="21">
        <v>29.6</v>
      </c>
      <c r="E1552" s="21">
        <v>64</v>
      </c>
      <c r="F1552" s="21">
        <v>510</v>
      </c>
      <c r="G1552" s="21">
        <v>6.4</v>
      </c>
      <c r="H1552">
        <v>15</v>
      </c>
      <c r="I1552">
        <v>85.28</v>
      </c>
      <c r="J1552">
        <v>0.64</v>
      </c>
      <c r="K1552" t="str" cm="1">
        <f t="array" ref="K1552">_xlfn.IFS(Table4_2[[#This Row],[Growth Days]]&lt;=14,"Seedling",Table4_2[[#This Row],[Growth Days]]&lt;=35, "Vegetative",Table4_2[[#This Row],[Growth Days]]&lt;=50, "Maturity")</f>
        <v>Vegetative</v>
      </c>
      <c r="L1552" t="str">
        <f>IF(Table4_2[[#This Row],[TDS Value (ppm)]]&lt;560, "Low", IF(Table4_2[[#This Row],[TDS Value (ppm)]]&lt;=800,"Optimal","High"))</f>
        <v>Low</v>
      </c>
    </row>
    <row r="1553" spans="1:12" x14ac:dyDescent="0.25">
      <c r="A1553">
        <v>41</v>
      </c>
      <c r="B1553" s="1">
        <v>45162</v>
      </c>
      <c r="C1553" s="1" t="str">
        <f>TEXT(Table4_2[[#This Row],[Date]],"dddd")</f>
        <v>Thursday</v>
      </c>
      <c r="D1553" s="21">
        <v>31.3</v>
      </c>
      <c r="E1553" s="21">
        <v>63</v>
      </c>
      <c r="F1553" s="21">
        <v>517</v>
      </c>
      <c r="G1553" s="21">
        <v>6.2</v>
      </c>
      <c r="H1553">
        <v>22</v>
      </c>
      <c r="I1553">
        <v>88.34</v>
      </c>
      <c r="J1553">
        <v>0.63</v>
      </c>
      <c r="K1553" t="str" cm="1">
        <f t="array" ref="K1553">_xlfn.IFS(Table4_2[[#This Row],[Growth Days]]&lt;=14,"Seedling",Table4_2[[#This Row],[Growth Days]]&lt;=35, "Vegetative",Table4_2[[#This Row],[Growth Days]]&lt;=50, "Maturity")</f>
        <v>Vegetative</v>
      </c>
      <c r="L1553" t="str">
        <f>IF(Table4_2[[#This Row],[TDS Value (ppm)]]&lt;560, "Low", IF(Table4_2[[#This Row],[TDS Value (ppm)]]&lt;=800,"Optimal","High"))</f>
        <v>Low</v>
      </c>
    </row>
    <row r="1554" spans="1:12" x14ac:dyDescent="0.25">
      <c r="A1554">
        <v>41</v>
      </c>
      <c r="B1554" s="1">
        <v>45169</v>
      </c>
      <c r="C1554" s="1" t="str">
        <f>TEXT(Table4_2[[#This Row],[Date]],"dddd")</f>
        <v>Thursday</v>
      </c>
      <c r="D1554" s="21">
        <v>29.2</v>
      </c>
      <c r="E1554" s="21">
        <v>69</v>
      </c>
      <c r="F1554" s="21">
        <v>533</v>
      </c>
      <c r="G1554" s="21">
        <v>6.6</v>
      </c>
      <c r="H1554">
        <v>29</v>
      </c>
      <c r="I1554">
        <v>84.56</v>
      </c>
      <c r="J1554">
        <v>0.69</v>
      </c>
      <c r="K1554" t="str" cm="1">
        <f t="array" ref="K1554">_xlfn.IFS(Table4_2[[#This Row],[Growth Days]]&lt;=14,"Seedling",Table4_2[[#This Row],[Growth Days]]&lt;=35, "Vegetative",Table4_2[[#This Row],[Growth Days]]&lt;=50, "Maturity")</f>
        <v>Vegetative</v>
      </c>
      <c r="L1554" t="str">
        <f>IF(Table4_2[[#This Row],[TDS Value (ppm)]]&lt;560, "Low", IF(Table4_2[[#This Row],[TDS Value (ppm)]]&lt;=800,"Optimal","High"))</f>
        <v>Low</v>
      </c>
    </row>
    <row r="1555" spans="1:12" x14ac:dyDescent="0.25">
      <c r="A1555">
        <v>41</v>
      </c>
      <c r="B1555" s="1">
        <v>45176</v>
      </c>
      <c r="C1555" s="1" t="str">
        <f>TEXT(Table4_2[[#This Row],[Date]],"dddd")</f>
        <v>Thursday</v>
      </c>
      <c r="D1555" s="21">
        <v>31.5</v>
      </c>
      <c r="E1555" s="21">
        <v>75</v>
      </c>
      <c r="F1555" s="21">
        <v>583</v>
      </c>
      <c r="G1555" s="21">
        <v>6.7</v>
      </c>
      <c r="H1555">
        <v>36</v>
      </c>
      <c r="I1555">
        <v>88.7</v>
      </c>
      <c r="J1555">
        <v>0.75</v>
      </c>
      <c r="K1555" t="str" cm="1">
        <f t="array" ref="K1555">_xlfn.IFS(Table4_2[[#This Row],[Growth Days]]&lt;=14,"Seedling",Table4_2[[#This Row],[Growth Days]]&lt;=35, "Vegetative",Table4_2[[#This Row],[Growth Days]]&lt;=50, "Maturity")</f>
        <v>Maturity</v>
      </c>
      <c r="L1555" t="str">
        <f>IF(Table4_2[[#This Row],[TDS Value (ppm)]]&lt;560, "Low", IF(Table4_2[[#This Row],[TDS Value (ppm)]]&lt;=800,"Optimal","High"))</f>
        <v>Optimal</v>
      </c>
    </row>
    <row r="1556" spans="1:12" x14ac:dyDescent="0.25">
      <c r="A1556">
        <v>41</v>
      </c>
      <c r="B1556" s="1">
        <v>45183</v>
      </c>
      <c r="C1556" s="1" t="str">
        <f>TEXT(Table4_2[[#This Row],[Date]],"dddd")</f>
        <v>Thursday</v>
      </c>
      <c r="D1556" s="21">
        <v>29.1</v>
      </c>
      <c r="E1556" s="21">
        <v>53</v>
      </c>
      <c r="F1556" s="21">
        <v>496</v>
      </c>
      <c r="G1556" s="21">
        <v>6.7</v>
      </c>
      <c r="H1556">
        <v>43</v>
      </c>
      <c r="I1556">
        <v>84.38</v>
      </c>
      <c r="J1556">
        <v>0.53</v>
      </c>
      <c r="K1556" t="str" cm="1">
        <f t="array" ref="K1556">_xlfn.IFS(Table4_2[[#This Row],[Growth Days]]&lt;=14,"Seedling",Table4_2[[#This Row],[Growth Days]]&lt;=35, "Vegetative",Table4_2[[#This Row],[Growth Days]]&lt;=50, "Maturity")</f>
        <v>Maturity</v>
      </c>
      <c r="L1556" t="str">
        <f>IF(Table4_2[[#This Row],[TDS Value (ppm)]]&lt;560, "Low", IF(Table4_2[[#This Row],[TDS Value (ppm)]]&lt;=800,"Optimal","High"))</f>
        <v>Low</v>
      </c>
    </row>
    <row r="1557" spans="1:12" x14ac:dyDescent="0.25">
      <c r="A1557">
        <v>42</v>
      </c>
      <c r="B1557" s="1">
        <v>45141</v>
      </c>
      <c r="C1557" s="1" t="str">
        <f>TEXT(Table4_2[[#This Row],[Date]],"dddd")</f>
        <v>Thursday</v>
      </c>
      <c r="D1557" s="21">
        <v>33.4</v>
      </c>
      <c r="E1557" s="21">
        <v>52</v>
      </c>
      <c r="F1557" s="21">
        <v>661</v>
      </c>
      <c r="G1557" s="21">
        <v>6.2</v>
      </c>
      <c r="H1557">
        <v>1</v>
      </c>
      <c r="I1557">
        <v>92.12</v>
      </c>
      <c r="J1557">
        <v>0.52</v>
      </c>
      <c r="K1557" t="str" cm="1">
        <f t="array" ref="K1557">_xlfn.IFS(Table4_2[[#This Row],[Growth Days]]&lt;=14,"Seedling",Table4_2[[#This Row],[Growth Days]]&lt;=35, "Vegetative",Table4_2[[#This Row],[Growth Days]]&lt;=50, "Maturity")</f>
        <v>Seedling</v>
      </c>
      <c r="L1557" t="str">
        <f>IF(Table4_2[[#This Row],[TDS Value (ppm)]]&lt;560, "Low", IF(Table4_2[[#This Row],[TDS Value (ppm)]]&lt;=800,"Optimal","High"))</f>
        <v>Optimal</v>
      </c>
    </row>
    <row r="1558" spans="1:12" x14ac:dyDescent="0.25">
      <c r="A1558">
        <v>42</v>
      </c>
      <c r="B1558" s="1">
        <v>45148</v>
      </c>
      <c r="C1558" s="1" t="str">
        <f>TEXT(Table4_2[[#This Row],[Date]],"dddd")</f>
        <v>Thursday</v>
      </c>
      <c r="D1558" s="21">
        <v>22.7</v>
      </c>
      <c r="E1558" s="21">
        <v>73</v>
      </c>
      <c r="F1558" s="21">
        <v>662</v>
      </c>
      <c r="G1558" s="21">
        <v>6.4</v>
      </c>
      <c r="H1558">
        <v>8</v>
      </c>
      <c r="I1558">
        <v>72.86</v>
      </c>
      <c r="J1558">
        <v>0.73</v>
      </c>
      <c r="K1558" t="str" cm="1">
        <f t="array" ref="K1558">_xlfn.IFS(Table4_2[[#This Row],[Growth Days]]&lt;=14,"Seedling",Table4_2[[#This Row],[Growth Days]]&lt;=35, "Vegetative",Table4_2[[#This Row],[Growth Days]]&lt;=50, "Maturity")</f>
        <v>Seedling</v>
      </c>
      <c r="L1558" t="str">
        <f>IF(Table4_2[[#This Row],[TDS Value (ppm)]]&lt;560, "Low", IF(Table4_2[[#This Row],[TDS Value (ppm)]]&lt;=800,"Optimal","High"))</f>
        <v>Optimal</v>
      </c>
    </row>
    <row r="1559" spans="1:12" x14ac:dyDescent="0.25">
      <c r="A1559">
        <v>42</v>
      </c>
      <c r="B1559" s="1">
        <v>45155</v>
      </c>
      <c r="C1559" s="1" t="str">
        <f>TEXT(Table4_2[[#This Row],[Date]],"dddd")</f>
        <v>Thursday</v>
      </c>
      <c r="D1559" s="21">
        <v>29.6</v>
      </c>
      <c r="E1559" s="21">
        <v>58</v>
      </c>
      <c r="F1559" s="21">
        <v>422</v>
      </c>
      <c r="G1559" s="21">
        <v>6.3</v>
      </c>
      <c r="H1559">
        <v>15</v>
      </c>
      <c r="I1559">
        <v>85.28</v>
      </c>
      <c r="J1559">
        <v>0.57999999999999996</v>
      </c>
      <c r="K1559" t="str" cm="1">
        <f t="array" ref="K1559">_xlfn.IFS(Table4_2[[#This Row],[Growth Days]]&lt;=14,"Seedling",Table4_2[[#This Row],[Growth Days]]&lt;=35, "Vegetative",Table4_2[[#This Row],[Growth Days]]&lt;=50, "Maturity")</f>
        <v>Vegetative</v>
      </c>
      <c r="L1559" t="str">
        <f>IF(Table4_2[[#This Row],[TDS Value (ppm)]]&lt;560, "Low", IF(Table4_2[[#This Row],[TDS Value (ppm)]]&lt;=800,"Optimal","High"))</f>
        <v>Low</v>
      </c>
    </row>
    <row r="1560" spans="1:12" x14ac:dyDescent="0.25">
      <c r="A1560">
        <v>42</v>
      </c>
      <c r="B1560" s="1">
        <v>45162</v>
      </c>
      <c r="C1560" s="1" t="str">
        <f>TEXT(Table4_2[[#This Row],[Date]],"dddd")</f>
        <v>Thursday</v>
      </c>
      <c r="D1560" s="21">
        <v>31.3</v>
      </c>
      <c r="E1560" s="21">
        <v>80</v>
      </c>
      <c r="F1560" s="21">
        <v>595</v>
      </c>
      <c r="G1560" s="21">
        <v>6.4</v>
      </c>
      <c r="H1560">
        <v>22</v>
      </c>
      <c r="I1560">
        <v>88.34</v>
      </c>
      <c r="J1560">
        <v>0.8</v>
      </c>
      <c r="K1560" t="str" cm="1">
        <f t="array" ref="K1560">_xlfn.IFS(Table4_2[[#This Row],[Growth Days]]&lt;=14,"Seedling",Table4_2[[#This Row],[Growth Days]]&lt;=35, "Vegetative",Table4_2[[#This Row],[Growth Days]]&lt;=50, "Maturity")</f>
        <v>Vegetative</v>
      </c>
      <c r="L1560" t="str">
        <f>IF(Table4_2[[#This Row],[TDS Value (ppm)]]&lt;560, "Low", IF(Table4_2[[#This Row],[TDS Value (ppm)]]&lt;=800,"Optimal","High"))</f>
        <v>Optimal</v>
      </c>
    </row>
    <row r="1561" spans="1:12" x14ac:dyDescent="0.25">
      <c r="A1561">
        <v>42</v>
      </c>
      <c r="B1561" s="1">
        <v>45169</v>
      </c>
      <c r="C1561" s="1" t="str">
        <f>TEXT(Table4_2[[#This Row],[Date]],"dddd")</f>
        <v>Thursday</v>
      </c>
      <c r="D1561" s="21">
        <v>29.2</v>
      </c>
      <c r="E1561" s="21">
        <v>67</v>
      </c>
      <c r="F1561" s="21">
        <v>649</v>
      </c>
      <c r="G1561" s="21">
        <v>6.4</v>
      </c>
      <c r="H1561">
        <v>29</v>
      </c>
      <c r="I1561">
        <v>84.56</v>
      </c>
      <c r="J1561">
        <v>0.67</v>
      </c>
      <c r="K1561" t="str" cm="1">
        <f t="array" ref="K1561">_xlfn.IFS(Table4_2[[#This Row],[Growth Days]]&lt;=14,"Seedling",Table4_2[[#This Row],[Growth Days]]&lt;=35, "Vegetative",Table4_2[[#This Row],[Growth Days]]&lt;=50, "Maturity")</f>
        <v>Vegetative</v>
      </c>
      <c r="L1561" t="str">
        <f>IF(Table4_2[[#This Row],[TDS Value (ppm)]]&lt;560, "Low", IF(Table4_2[[#This Row],[TDS Value (ppm)]]&lt;=800,"Optimal","High"))</f>
        <v>Optimal</v>
      </c>
    </row>
    <row r="1562" spans="1:12" x14ac:dyDescent="0.25">
      <c r="A1562">
        <v>42</v>
      </c>
      <c r="B1562" s="1">
        <v>45176</v>
      </c>
      <c r="C1562" s="1" t="str">
        <f>TEXT(Table4_2[[#This Row],[Date]],"dddd")</f>
        <v>Thursday</v>
      </c>
      <c r="D1562" s="21">
        <v>31.5</v>
      </c>
      <c r="E1562" s="21">
        <v>58</v>
      </c>
      <c r="F1562" s="21">
        <v>634</v>
      </c>
      <c r="G1562" s="21">
        <v>6.6</v>
      </c>
      <c r="H1562">
        <v>36</v>
      </c>
      <c r="I1562">
        <v>88.7</v>
      </c>
      <c r="J1562">
        <v>0.57999999999999996</v>
      </c>
      <c r="K1562" t="str" cm="1">
        <f t="array" ref="K1562">_xlfn.IFS(Table4_2[[#This Row],[Growth Days]]&lt;=14,"Seedling",Table4_2[[#This Row],[Growth Days]]&lt;=35, "Vegetative",Table4_2[[#This Row],[Growth Days]]&lt;=50, "Maturity")</f>
        <v>Maturity</v>
      </c>
      <c r="L1562" t="str">
        <f>IF(Table4_2[[#This Row],[TDS Value (ppm)]]&lt;560, "Low", IF(Table4_2[[#This Row],[TDS Value (ppm)]]&lt;=800,"Optimal","High"))</f>
        <v>Optimal</v>
      </c>
    </row>
    <row r="1563" spans="1:12" x14ac:dyDescent="0.25">
      <c r="A1563">
        <v>42</v>
      </c>
      <c r="B1563" s="1">
        <v>45183</v>
      </c>
      <c r="C1563" s="1" t="str">
        <f>TEXT(Table4_2[[#This Row],[Date]],"dddd")</f>
        <v>Thursday</v>
      </c>
      <c r="D1563" s="21">
        <v>29.1</v>
      </c>
      <c r="E1563" s="21">
        <v>63</v>
      </c>
      <c r="F1563" s="21">
        <v>703</v>
      </c>
      <c r="G1563" s="21">
        <v>6.4</v>
      </c>
      <c r="H1563">
        <v>43</v>
      </c>
      <c r="I1563">
        <v>84.38</v>
      </c>
      <c r="J1563">
        <v>0.63</v>
      </c>
      <c r="K1563" t="str" cm="1">
        <f t="array" ref="K1563">_xlfn.IFS(Table4_2[[#This Row],[Growth Days]]&lt;=14,"Seedling",Table4_2[[#This Row],[Growth Days]]&lt;=35, "Vegetative",Table4_2[[#This Row],[Growth Days]]&lt;=50, "Maturity")</f>
        <v>Maturity</v>
      </c>
      <c r="L1563" t="str">
        <f>IF(Table4_2[[#This Row],[TDS Value (ppm)]]&lt;560, "Low", IF(Table4_2[[#This Row],[TDS Value (ppm)]]&lt;=800,"Optimal","High"))</f>
        <v>Optimal</v>
      </c>
    </row>
    <row r="1564" spans="1:12" x14ac:dyDescent="0.25">
      <c r="A1564">
        <v>43</v>
      </c>
      <c r="B1564" s="1">
        <v>45141</v>
      </c>
      <c r="C1564" s="1" t="str">
        <f>TEXT(Table4_2[[#This Row],[Date]],"dddd")</f>
        <v>Thursday</v>
      </c>
      <c r="D1564" s="21">
        <v>33.4</v>
      </c>
      <c r="E1564" s="21">
        <v>76</v>
      </c>
      <c r="F1564" s="21">
        <v>468</v>
      </c>
      <c r="G1564" s="21">
        <v>6.7</v>
      </c>
      <c r="H1564">
        <v>1</v>
      </c>
      <c r="I1564">
        <v>92.12</v>
      </c>
      <c r="J1564">
        <v>0.76</v>
      </c>
      <c r="K1564" t="str" cm="1">
        <f t="array" ref="K1564">_xlfn.IFS(Table4_2[[#This Row],[Growth Days]]&lt;=14,"Seedling",Table4_2[[#This Row],[Growth Days]]&lt;=35, "Vegetative",Table4_2[[#This Row],[Growth Days]]&lt;=50, "Maturity")</f>
        <v>Seedling</v>
      </c>
      <c r="L1564" t="str">
        <f>IF(Table4_2[[#This Row],[TDS Value (ppm)]]&lt;560, "Low", IF(Table4_2[[#This Row],[TDS Value (ppm)]]&lt;=800,"Optimal","High"))</f>
        <v>Low</v>
      </c>
    </row>
    <row r="1565" spans="1:12" x14ac:dyDescent="0.25">
      <c r="A1565">
        <v>43</v>
      </c>
      <c r="B1565" s="1">
        <v>45148</v>
      </c>
      <c r="C1565" s="1" t="str">
        <f>TEXT(Table4_2[[#This Row],[Date]],"dddd")</f>
        <v>Thursday</v>
      </c>
      <c r="D1565" s="21">
        <v>22.7</v>
      </c>
      <c r="E1565" s="21">
        <v>55</v>
      </c>
      <c r="F1565" s="21">
        <v>769</v>
      </c>
      <c r="G1565" s="21">
        <v>6.2</v>
      </c>
      <c r="H1565">
        <v>8</v>
      </c>
      <c r="I1565">
        <v>72.86</v>
      </c>
      <c r="J1565">
        <v>0.55000000000000004</v>
      </c>
      <c r="K1565" t="str" cm="1">
        <f t="array" ref="K1565">_xlfn.IFS(Table4_2[[#This Row],[Growth Days]]&lt;=14,"Seedling",Table4_2[[#This Row],[Growth Days]]&lt;=35, "Vegetative",Table4_2[[#This Row],[Growth Days]]&lt;=50, "Maturity")</f>
        <v>Seedling</v>
      </c>
      <c r="L1565" t="str">
        <f>IF(Table4_2[[#This Row],[TDS Value (ppm)]]&lt;560, "Low", IF(Table4_2[[#This Row],[TDS Value (ppm)]]&lt;=800,"Optimal","High"))</f>
        <v>Optimal</v>
      </c>
    </row>
    <row r="1566" spans="1:12" x14ac:dyDescent="0.25">
      <c r="A1566">
        <v>43</v>
      </c>
      <c r="B1566" s="1">
        <v>45155</v>
      </c>
      <c r="C1566" s="1" t="str">
        <f>TEXT(Table4_2[[#This Row],[Date]],"dddd")</f>
        <v>Thursday</v>
      </c>
      <c r="D1566" s="21">
        <v>29.6</v>
      </c>
      <c r="E1566" s="21">
        <v>53</v>
      </c>
      <c r="F1566" s="21">
        <v>587</v>
      </c>
      <c r="G1566" s="21">
        <v>6.3</v>
      </c>
      <c r="H1566">
        <v>15</v>
      </c>
      <c r="I1566">
        <v>85.28</v>
      </c>
      <c r="J1566">
        <v>0.53</v>
      </c>
      <c r="K1566" t="str" cm="1">
        <f t="array" ref="K1566">_xlfn.IFS(Table4_2[[#This Row],[Growth Days]]&lt;=14,"Seedling",Table4_2[[#This Row],[Growth Days]]&lt;=35, "Vegetative",Table4_2[[#This Row],[Growth Days]]&lt;=50, "Maturity")</f>
        <v>Vegetative</v>
      </c>
      <c r="L1566" t="str">
        <f>IF(Table4_2[[#This Row],[TDS Value (ppm)]]&lt;560, "Low", IF(Table4_2[[#This Row],[TDS Value (ppm)]]&lt;=800,"Optimal","High"))</f>
        <v>Optimal</v>
      </c>
    </row>
    <row r="1567" spans="1:12" x14ac:dyDescent="0.25">
      <c r="A1567">
        <v>43</v>
      </c>
      <c r="B1567" s="1">
        <v>45162</v>
      </c>
      <c r="C1567" s="1" t="str">
        <f>TEXT(Table4_2[[#This Row],[Date]],"dddd")</f>
        <v>Thursday</v>
      </c>
      <c r="D1567" s="21">
        <v>31.3</v>
      </c>
      <c r="E1567" s="21">
        <v>62</v>
      </c>
      <c r="F1567" s="21">
        <v>625</v>
      </c>
      <c r="G1567" s="21">
        <v>6.2</v>
      </c>
      <c r="H1567">
        <v>22</v>
      </c>
      <c r="I1567">
        <v>88.34</v>
      </c>
      <c r="J1567">
        <v>0.62</v>
      </c>
      <c r="K1567" t="str" cm="1">
        <f t="array" ref="K1567">_xlfn.IFS(Table4_2[[#This Row],[Growth Days]]&lt;=14,"Seedling",Table4_2[[#This Row],[Growth Days]]&lt;=35, "Vegetative",Table4_2[[#This Row],[Growth Days]]&lt;=50, "Maturity")</f>
        <v>Vegetative</v>
      </c>
      <c r="L1567" t="str">
        <f>IF(Table4_2[[#This Row],[TDS Value (ppm)]]&lt;560, "Low", IF(Table4_2[[#This Row],[TDS Value (ppm)]]&lt;=800,"Optimal","High"))</f>
        <v>Optimal</v>
      </c>
    </row>
    <row r="1568" spans="1:12" x14ac:dyDescent="0.25">
      <c r="A1568">
        <v>43</v>
      </c>
      <c r="B1568" s="1">
        <v>45169</v>
      </c>
      <c r="C1568" s="1" t="str">
        <f>TEXT(Table4_2[[#This Row],[Date]],"dddd")</f>
        <v>Thursday</v>
      </c>
      <c r="D1568" s="21">
        <v>29.2</v>
      </c>
      <c r="E1568" s="21">
        <v>62</v>
      </c>
      <c r="F1568" s="21">
        <v>638</v>
      </c>
      <c r="G1568" s="21">
        <v>6.3</v>
      </c>
      <c r="H1568">
        <v>29</v>
      </c>
      <c r="I1568">
        <v>84.56</v>
      </c>
      <c r="J1568">
        <v>0.62</v>
      </c>
      <c r="K1568" t="str" cm="1">
        <f t="array" ref="K1568">_xlfn.IFS(Table4_2[[#This Row],[Growth Days]]&lt;=14,"Seedling",Table4_2[[#This Row],[Growth Days]]&lt;=35, "Vegetative",Table4_2[[#This Row],[Growth Days]]&lt;=50, "Maturity")</f>
        <v>Vegetative</v>
      </c>
      <c r="L1568" t="str">
        <f>IF(Table4_2[[#This Row],[TDS Value (ppm)]]&lt;560, "Low", IF(Table4_2[[#This Row],[TDS Value (ppm)]]&lt;=800,"Optimal","High"))</f>
        <v>Optimal</v>
      </c>
    </row>
    <row r="1569" spans="1:12" x14ac:dyDescent="0.25">
      <c r="A1569">
        <v>43</v>
      </c>
      <c r="B1569" s="1">
        <v>45176</v>
      </c>
      <c r="C1569" s="1" t="str">
        <f>TEXT(Table4_2[[#This Row],[Date]],"dddd")</f>
        <v>Thursday</v>
      </c>
      <c r="D1569" s="21">
        <v>31.5</v>
      </c>
      <c r="E1569" s="21">
        <v>50</v>
      </c>
      <c r="F1569" s="21">
        <v>666</v>
      </c>
      <c r="G1569" s="21">
        <v>6</v>
      </c>
      <c r="H1569">
        <v>36</v>
      </c>
      <c r="I1569">
        <v>88.7</v>
      </c>
      <c r="J1569">
        <v>0.5</v>
      </c>
      <c r="K1569" t="str" cm="1">
        <f t="array" ref="K1569">_xlfn.IFS(Table4_2[[#This Row],[Growth Days]]&lt;=14,"Seedling",Table4_2[[#This Row],[Growth Days]]&lt;=35, "Vegetative",Table4_2[[#This Row],[Growth Days]]&lt;=50, "Maturity")</f>
        <v>Maturity</v>
      </c>
      <c r="L1569" t="str">
        <f>IF(Table4_2[[#This Row],[TDS Value (ppm)]]&lt;560, "Low", IF(Table4_2[[#This Row],[TDS Value (ppm)]]&lt;=800,"Optimal","High"))</f>
        <v>Optimal</v>
      </c>
    </row>
    <row r="1570" spans="1:12" x14ac:dyDescent="0.25">
      <c r="A1570">
        <v>43</v>
      </c>
      <c r="B1570" s="1">
        <v>45183</v>
      </c>
      <c r="C1570" s="1" t="str">
        <f>TEXT(Table4_2[[#This Row],[Date]],"dddd")</f>
        <v>Thursday</v>
      </c>
      <c r="D1570" s="21">
        <v>29.1</v>
      </c>
      <c r="E1570" s="21">
        <v>77</v>
      </c>
      <c r="F1570" s="21">
        <v>496</v>
      </c>
      <c r="G1570" s="21">
        <v>6.2</v>
      </c>
      <c r="H1570">
        <v>43</v>
      </c>
      <c r="I1570">
        <v>84.38</v>
      </c>
      <c r="J1570">
        <v>0.77</v>
      </c>
      <c r="K1570" t="str" cm="1">
        <f t="array" ref="K1570">_xlfn.IFS(Table4_2[[#This Row],[Growth Days]]&lt;=14,"Seedling",Table4_2[[#This Row],[Growth Days]]&lt;=35, "Vegetative",Table4_2[[#This Row],[Growth Days]]&lt;=50, "Maturity")</f>
        <v>Maturity</v>
      </c>
      <c r="L1570" t="str">
        <f>IF(Table4_2[[#This Row],[TDS Value (ppm)]]&lt;560, "Low", IF(Table4_2[[#This Row],[TDS Value (ppm)]]&lt;=800,"Optimal","High"))</f>
        <v>Low</v>
      </c>
    </row>
    <row r="1571" spans="1:12" x14ac:dyDescent="0.25">
      <c r="A1571">
        <v>44</v>
      </c>
      <c r="B1571" s="1">
        <v>45141</v>
      </c>
      <c r="C1571" s="1" t="str">
        <f>TEXT(Table4_2[[#This Row],[Date]],"dddd")</f>
        <v>Thursday</v>
      </c>
      <c r="D1571" s="21">
        <v>33.4</v>
      </c>
      <c r="E1571" s="21">
        <v>73</v>
      </c>
      <c r="F1571" s="21">
        <v>701</v>
      </c>
      <c r="G1571" s="21">
        <v>6.6</v>
      </c>
      <c r="H1571">
        <v>1</v>
      </c>
      <c r="I1571">
        <v>92.12</v>
      </c>
      <c r="J1571">
        <v>0.73</v>
      </c>
      <c r="K1571" t="str" cm="1">
        <f t="array" ref="K1571">_xlfn.IFS(Table4_2[[#This Row],[Growth Days]]&lt;=14,"Seedling",Table4_2[[#This Row],[Growth Days]]&lt;=35, "Vegetative",Table4_2[[#This Row],[Growth Days]]&lt;=50, "Maturity")</f>
        <v>Seedling</v>
      </c>
      <c r="L1571" t="str">
        <f>IF(Table4_2[[#This Row],[TDS Value (ppm)]]&lt;560, "Low", IF(Table4_2[[#This Row],[TDS Value (ppm)]]&lt;=800,"Optimal","High"))</f>
        <v>Optimal</v>
      </c>
    </row>
    <row r="1572" spans="1:12" x14ac:dyDescent="0.25">
      <c r="A1572">
        <v>44</v>
      </c>
      <c r="B1572" s="1">
        <v>45148</v>
      </c>
      <c r="C1572" s="1" t="str">
        <f>TEXT(Table4_2[[#This Row],[Date]],"dddd")</f>
        <v>Thursday</v>
      </c>
      <c r="D1572" s="21">
        <v>22.7</v>
      </c>
      <c r="E1572" s="21">
        <v>62</v>
      </c>
      <c r="F1572" s="21">
        <v>721</v>
      </c>
      <c r="G1572" s="21">
        <v>6.1</v>
      </c>
      <c r="H1572">
        <v>8</v>
      </c>
      <c r="I1572">
        <v>72.86</v>
      </c>
      <c r="J1572">
        <v>0.62</v>
      </c>
      <c r="K1572" t="str" cm="1">
        <f t="array" ref="K1572">_xlfn.IFS(Table4_2[[#This Row],[Growth Days]]&lt;=14,"Seedling",Table4_2[[#This Row],[Growth Days]]&lt;=35, "Vegetative",Table4_2[[#This Row],[Growth Days]]&lt;=50, "Maturity")</f>
        <v>Seedling</v>
      </c>
      <c r="L1572" t="str">
        <f>IF(Table4_2[[#This Row],[TDS Value (ppm)]]&lt;560, "Low", IF(Table4_2[[#This Row],[TDS Value (ppm)]]&lt;=800,"Optimal","High"))</f>
        <v>Optimal</v>
      </c>
    </row>
    <row r="1573" spans="1:12" x14ac:dyDescent="0.25">
      <c r="A1573">
        <v>44</v>
      </c>
      <c r="B1573" s="1">
        <v>45155</v>
      </c>
      <c r="C1573" s="1" t="str">
        <f>TEXT(Table4_2[[#This Row],[Date]],"dddd")</f>
        <v>Thursday</v>
      </c>
      <c r="D1573" s="21">
        <v>29.6</v>
      </c>
      <c r="E1573" s="21">
        <v>68</v>
      </c>
      <c r="F1573" s="21">
        <v>453</v>
      </c>
      <c r="G1573" s="21">
        <v>6.1</v>
      </c>
      <c r="H1573">
        <v>15</v>
      </c>
      <c r="I1573">
        <v>85.28</v>
      </c>
      <c r="J1573">
        <v>0.68</v>
      </c>
      <c r="K1573" t="str" cm="1">
        <f t="array" ref="K1573">_xlfn.IFS(Table4_2[[#This Row],[Growth Days]]&lt;=14,"Seedling",Table4_2[[#This Row],[Growth Days]]&lt;=35, "Vegetative",Table4_2[[#This Row],[Growth Days]]&lt;=50, "Maturity")</f>
        <v>Vegetative</v>
      </c>
      <c r="L1573" t="str">
        <f>IF(Table4_2[[#This Row],[TDS Value (ppm)]]&lt;560, "Low", IF(Table4_2[[#This Row],[TDS Value (ppm)]]&lt;=800,"Optimal","High"))</f>
        <v>Low</v>
      </c>
    </row>
    <row r="1574" spans="1:12" x14ac:dyDescent="0.25">
      <c r="A1574">
        <v>44</v>
      </c>
      <c r="B1574" s="1">
        <v>45162</v>
      </c>
      <c r="C1574" s="1" t="str">
        <f>TEXT(Table4_2[[#This Row],[Date]],"dddd")</f>
        <v>Thursday</v>
      </c>
      <c r="D1574" s="21">
        <v>31.3</v>
      </c>
      <c r="E1574" s="21">
        <v>53</v>
      </c>
      <c r="F1574" s="21">
        <v>485</v>
      </c>
      <c r="G1574" s="21">
        <v>6.5</v>
      </c>
      <c r="H1574">
        <v>22</v>
      </c>
      <c r="I1574">
        <v>88.34</v>
      </c>
      <c r="J1574">
        <v>0.53</v>
      </c>
      <c r="K1574" t="str" cm="1">
        <f t="array" ref="K1574">_xlfn.IFS(Table4_2[[#This Row],[Growth Days]]&lt;=14,"Seedling",Table4_2[[#This Row],[Growth Days]]&lt;=35, "Vegetative",Table4_2[[#This Row],[Growth Days]]&lt;=50, "Maturity")</f>
        <v>Vegetative</v>
      </c>
      <c r="L1574" t="str">
        <f>IF(Table4_2[[#This Row],[TDS Value (ppm)]]&lt;560, "Low", IF(Table4_2[[#This Row],[TDS Value (ppm)]]&lt;=800,"Optimal","High"))</f>
        <v>Low</v>
      </c>
    </row>
    <row r="1575" spans="1:12" x14ac:dyDescent="0.25">
      <c r="A1575">
        <v>44</v>
      </c>
      <c r="B1575" s="1">
        <v>45169</v>
      </c>
      <c r="C1575" s="1" t="str">
        <f>TEXT(Table4_2[[#This Row],[Date]],"dddd")</f>
        <v>Thursday</v>
      </c>
      <c r="D1575" s="21">
        <v>29.2</v>
      </c>
      <c r="E1575" s="21">
        <v>53</v>
      </c>
      <c r="F1575" s="21">
        <v>779</v>
      </c>
      <c r="G1575" s="21">
        <v>6.7</v>
      </c>
      <c r="H1575">
        <v>29</v>
      </c>
      <c r="I1575">
        <v>84.56</v>
      </c>
      <c r="J1575">
        <v>0.53</v>
      </c>
      <c r="K1575" t="str" cm="1">
        <f t="array" ref="K1575">_xlfn.IFS(Table4_2[[#This Row],[Growth Days]]&lt;=14,"Seedling",Table4_2[[#This Row],[Growth Days]]&lt;=35, "Vegetative",Table4_2[[#This Row],[Growth Days]]&lt;=50, "Maturity")</f>
        <v>Vegetative</v>
      </c>
      <c r="L1575" t="str">
        <f>IF(Table4_2[[#This Row],[TDS Value (ppm)]]&lt;560, "Low", IF(Table4_2[[#This Row],[TDS Value (ppm)]]&lt;=800,"Optimal","High"))</f>
        <v>Optimal</v>
      </c>
    </row>
    <row r="1576" spans="1:12" x14ac:dyDescent="0.25">
      <c r="A1576">
        <v>44</v>
      </c>
      <c r="B1576" s="1">
        <v>45176</v>
      </c>
      <c r="C1576" s="1" t="str">
        <f>TEXT(Table4_2[[#This Row],[Date]],"dddd")</f>
        <v>Thursday</v>
      </c>
      <c r="D1576" s="21">
        <v>31.5</v>
      </c>
      <c r="E1576" s="21">
        <v>63</v>
      </c>
      <c r="F1576" s="21">
        <v>697</v>
      </c>
      <c r="G1576" s="21">
        <v>6.7</v>
      </c>
      <c r="H1576">
        <v>36</v>
      </c>
      <c r="I1576">
        <v>88.7</v>
      </c>
      <c r="J1576">
        <v>0.63</v>
      </c>
      <c r="K1576" t="str" cm="1">
        <f t="array" ref="K1576">_xlfn.IFS(Table4_2[[#This Row],[Growth Days]]&lt;=14,"Seedling",Table4_2[[#This Row],[Growth Days]]&lt;=35, "Vegetative",Table4_2[[#This Row],[Growth Days]]&lt;=50, "Maturity")</f>
        <v>Maturity</v>
      </c>
      <c r="L1576" t="str">
        <f>IF(Table4_2[[#This Row],[TDS Value (ppm)]]&lt;560, "Low", IF(Table4_2[[#This Row],[TDS Value (ppm)]]&lt;=800,"Optimal","High"))</f>
        <v>Optimal</v>
      </c>
    </row>
    <row r="1577" spans="1:12" x14ac:dyDescent="0.25">
      <c r="A1577">
        <v>44</v>
      </c>
      <c r="B1577" s="1">
        <v>45183</v>
      </c>
      <c r="C1577" s="1" t="str">
        <f>TEXT(Table4_2[[#This Row],[Date]],"dddd")</f>
        <v>Thursday</v>
      </c>
      <c r="D1577" s="21">
        <v>29.1</v>
      </c>
      <c r="E1577" s="21">
        <v>69</v>
      </c>
      <c r="F1577" s="21">
        <v>535</v>
      </c>
      <c r="G1577" s="21">
        <v>6.3</v>
      </c>
      <c r="H1577">
        <v>43</v>
      </c>
      <c r="I1577">
        <v>84.38</v>
      </c>
      <c r="J1577">
        <v>0.69</v>
      </c>
      <c r="K1577" t="str" cm="1">
        <f t="array" ref="K1577">_xlfn.IFS(Table4_2[[#This Row],[Growth Days]]&lt;=14,"Seedling",Table4_2[[#This Row],[Growth Days]]&lt;=35, "Vegetative",Table4_2[[#This Row],[Growth Days]]&lt;=50, "Maturity")</f>
        <v>Maturity</v>
      </c>
      <c r="L1577" t="str">
        <f>IF(Table4_2[[#This Row],[TDS Value (ppm)]]&lt;560, "Low", IF(Table4_2[[#This Row],[TDS Value (ppm)]]&lt;=800,"Optimal","High"))</f>
        <v>Low</v>
      </c>
    </row>
    <row r="1578" spans="1:12" x14ac:dyDescent="0.25">
      <c r="A1578">
        <v>45</v>
      </c>
      <c r="B1578" s="1">
        <v>45141</v>
      </c>
      <c r="C1578" s="1" t="str">
        <f>TEXT(Table4_2[[#This Row],[Date]],"dddd")</f>
        <v>Thursday</v>
      </c>
      <c r="D1578" s="21">
        <v>33.4</v>
      </c>
      <c r="E1578" s="21">
        <v>69</v>
      </c>
      <c r="F1578" s="21">
        <v>635</v>
      </c>
      <c r="G1578" s="21">
        <v>6.2</v>
      </c>
      <c r="H1578">
        <v>1</v>
      </c>
      <c r="I1578">
        <v>92.12</v>
      </c>
      <c r="J1578">
        <v>0.69</v>
      </c>
      <c r="K1578" t="str" cm="1">
        <f t="array" ref="K1578">_xlfn.IFS(Table4_2[[#This Row],[Growth Days]]&lt;=14,"Seedling",Table4_2[[#This Row],[Growth Days]]&lt;=35, "Vegetative",Table4_2[[#This Row],[Growth Days]]&lt;=50, "Maturity")</f>
        <v>Seedling</v>
      </c>
      <c r="L1578" t="str">
        <f>IF(Table4_2[[#This Row],[TDS Value (ppm)]]&lt;560, "Low", IF(Table4_2[[#This Row],[TDS Value (ppm)]]&lt;=800,"Optimal","High"))</f>
        <v>Optimal</v>
      </c>
    </row>
    <row r="1579" spans="1:12" x14ac:dyDescent="0.25">
      <c r="A1579">
        <v>45</v>
      </c>
      <c r="B1579" s="1">
        <v>45148</v>
      </c>
      <c r="C1579" s="1" t="str">
        <f>TEXT(Table4_2[[#This Row],[Date]],"dddd")</f>
        <v>Thursday</v>
      </c>
      <c r="D1579" s="21">
        <v>22.7</v>
      </c>
      <c r="E1579" s="21">
        <v>51</v>
      </c>
      <c r="F1579" s="21">
        <v>540</v>
      </c>
      <c r="G1579" s="21">
        <v>6.8</v>
      </c>
      <c r="H1579">
        <v>8</v>
      </c>
      <c r="I1579">
        <v>72.86</v>
      </c>
      <c r="J1579">
        <v>0.51</v>
      </c>
      <c r="K1579" t="str" cm="1">
        <f t="array" ref="K1579">_xlfn.IFS(Table4_2[[#This Row],[Growth Days]]&lt;=14,"Seedling",Table4_2[[#This Row],[Growth Days]]&lt;=35, "Vegetative",Table4_2[[#This Row],[Growth Days]]&lt;=50, "Maturity")</f>
        <v>Seedling</v>
      </c>
      <c r="L1579" t="str">
        <f>IF(Table4_2[[#This Row],[TDS Value (ppm)]]&lt;560, "Low", IF(Table4_2[[#This Row],[TDS Value (ppm)]]&lt;=800,"Optimal","High"))</f>
        <v>Low</v>
      </c>
    </row>
    <row r="1580" spans="1:12" x14ac:dyDescent="0.25">
      <c r="A1580">
        <v>45</v>
      </c>
      <c r="B1580" s="1">
        <v>45155</v>
      </c>
      <c r="C1580" s="1" t="str">
        <f>TEXT(Table4_2[[#This Row],[Date]],"dddd")</f>
        <v>Thursday</v>
      </c>
      <c r="D1580" s="21">
        <v>29.6</v>
      </c>
      <c r="E1580" s="21">
        <v>58</v>
      </c>
      <c r="F1580" s="21">
        <v>475</v>
      </c>
      <c r="G1580" s="21">
        <v>6.3</v>
      </c>
      <c r="H1580">
        <v>15</v>
      </c>
      <c r="I1580">
        <v>85.28</v>
      </c>
      <c r="J1580">
        <v>0.57999999999999996</v>
      </c>
      <c r="K1580" t="str" cm="1">
        <f t="array" ref="K1580">_xlfn.IFS(Table4_2[[#This Row],[Growth Days]]&lt;=14,"Seedling",Table4_2[[#This Row],[Growth Days]]&lt;=35, "Vegetative",Table4_2[[#This Row],[Growth Days]]&lt;=50, "Maturity")</f>
        <v>Vegetative</v>
      </c>
      <c r="L1580" t="str">
        <f>IF(Table4_2[[#This Row],[TDS Value (ppm)]]&lt;560, "Low", IF(Table4_2[[#This Row],[TDS Value (ppm)]]&lt;=800,"Optimal","High"))</f>
        <v>Low</v>
      </c>
    </row>
    <row r="1581" spans="1:12" x14ac:dyDescent="0.25">
      <c r="A1581">
        <v>45</v>
      </c>
      <c r="B1581" s="1">
        <v>45162</v>
      </c>
      <c r="C1581" s="1" t="str">
        <f>TEXT(Table4_2[[#This Row],[Date]],"dddd")</f>
        <v>Thursday</v>
      </c>
      <c r="D1581" s="21">
        <v>31.3</v>
      </c>
      <c r="E1581" s="21">
        <v>62</v>
      </c>
      <c r="F1581" s="21">
        <v>545</v>
      </c>
      <c r="G1581" s="21">
        <v>6.4</v>
      </c>
      <c r="H1581">
        <v>22</v>
      </c>
      <c r="I1581">
        <v>88.34</v>
      </c>
      <c r="J1581">
        <v>0.62</v>
      </c>
      <c r="K1581" t="str" cm="1">
        <f t="array" ref="K1581">_xlfn.IFS(Table4_2[[#This Row],[Growth Days]]&lt;=14,"Seedling",Table4_2[[#This Row],[Growth Days]]&lt;=35, "Vegetative",Table4_2[[#This Row],[Growth Days]]&lt;=50, "Maturity")</f>
        <v>Vegetative</v>
      </c>
      <c r="L1581" t="str">
        <f>IF(Table4_2[[#This Row],[TDS Value (ppm)]]&lt;560, "Low", IF(Table4_2[[#This Row],[TDS Value (ppm)]]&lt;=800,"Optimal","High"))</f>
        <v>Low</v>
      </c>
    </row>
    <row r="1582" spans="1:12" x14ac:dyDescent="0.25">
      <c r="A1582">
        <v>45</v>
      </c>
      <c r="B1582" s="1">
        <v>45169</v>
      </c>
      <c r="C1582" s="1" t="str">
        <f>TEXT(Table4_2[[#This Row],[Date]],"dddd")</f>
        <v>Thursday</v>
      </c>
      <c r="D1582" s="21">
        <v>29.2</v>
      </c>
      <c r="E1582" s="21">
        <v>80</v>
      </c>
      <c r="F1582" s="21">
        <v>733</v>
      </c>
      <c r="G1582" s="21">
        <v>6.2</v>
      </c>
      <c r="H1582">
        <v>29</v>
      </c>
      <c r="I1582">
        <v>84.56</v>
      </c>
      <c r="J1582">
        <v>0.8</v>
      </c>
      <c r="K1582" t="str" cm="1">
        <f t="array" ref="K1582">_xlfn.IFS(Table4_2[[#This Row],[Growth Days]]&lt;=14,"Seedling",Table4_2[[#This Row],[Growth Days]]&lt;=35, "Vegetative",Table4_2[[#This Row],[Growth Days]]&lt;=50, "Maturity")</f>
        <v>Vegetative</v>
      </c>
      <c r="L1582" t="str">
        <f>IF(Table4_2[[#This Row],[TDS Value (ppm)]]&lt;560, "Low", IF(Table4_2[[#This Row],[TDS Value (ppm)]]&lt;=800,"Optimal","High"))</f>
        <v>Optimal</v>
      </c>
    </row>
    <row r="1583" spans="1:12" x14ac:dyDescent="0.25">
      <c r="A1583">
        <v>45</v>
      </c>
      <c r="B1583" s="1">
        <v>45176</v>
      </c>
      <c r="C1583" s="1" t="str">
        <f>TEXT(Table4_2[[#This Row],[Date]],"dddd")</f>
        <v>Thursday</v>
      </c>
      <c r="D1583" s="21">
        <v>31.5</v>
      </c>
      <c r="E1583" s="21">
        <v>62</v>
      </c>
      <c r="F1583" s="21">
        <v>550</v>
      </c>
      <c r="G1583" s="21">
        <v>6.5</v>
      </c>
      <c r="H1583">
        <v>36</v>
      </c>
      <c r="I1583">
        <v>88.7</v>
      </c>
      <c r="J1583">
        <v>0.62</v>
      </c>
      <c r="K1583" t="str" cm="1">
        <f t="array" ref="K1583">_xlfn.IFS(Table4_2[[#This Row],[Growth Days]]&lt;=14,"Seedling",Table4_2[[#This Row],[Growth Days]]&lt;=35, "Vegetative",Table4_2[[#This Row],[Growth Days]]&lt;=50, "Maturity")</f>
        <v>Maturity</v>
      </c>
      <c r="L1583" t="str">
        <f>IF(Table4_2[[#This Row],[TDS Value (ppm)]]&lt;560, "Low", IF(Table4_2[[#This Row],[TDS Value (ppm)]]&lt;=800,"Optimal","High"))</f>
        <v>Low</v>
      </c>
    </row>
    <row r="1584" spans="1:12" x14ac:dyDescent="0.25">
      <c r="A1584">
        <v>45</v>
      </c>
      <c r="B1584" s="1">
        <v>45183</v>
      </c>
      <c r="C1584" s="1" t="str">
        <f>TEXT(Table4_2[[#This Row],[Date]],"dddd")</f>
        <v>Thursday</v>
      </c>
      <c r="D1584" s="21">
        <v>29.1</v>
      </c>
      <c r="E1584" s="21">
        <v>73</v>
      </c>
      <c r="F1584" s="21">
        <v>704</v>
      </c>
      <c r="G1584" s="21">
        <v>6.6</v>
      </c>
      <c r="H1584">
        <v>43</v>
      </c>
      <c r="I1584">
        <v>84.38</v>
      </c>
      <c r="J1584">
        <v>0.73</v>
      </c>
      <c r="K1584" t="str" cm="1">
        <f t="array" ref="K1584">_xlfn.IFS(Table4_2[[#This Row],[Growth Days]]&lt;=14,"Seedling",Table4_2[[#This Row],[Growth Days]]&lt;=35, "Vegetative",Table4_2[[#This Row],[Growth Days]]&lt;=50, "Maturity")</f>
        <v>Maturity</v>
      </c>
      <c r="L1584" t="str">
        <f>IF(Table4_2[[#This Row],[TDS Value (ppm)]]&lt;560, "Low", IF(Table4_2[[#This Row],[TDS Value (ppm)]]&lt;=800,"Optimal","High"))</f>
        <v>Optimal</v>
      </c>
    </row>
    <row r="1585" spans="1:12" x14ac:dyDescent="0.25">
      <c r="A1585">
        <v>46</v>
      </c>
      <c r="B1585" s="1">
        <v>45141</v>
      </c>
      <c r="C1585" s="1" t="str">
        <f>TEXT(Table4_2[[#This Row],[Date]],"dddd")</f>
        <v>Thursday</v>
      </c>
      <c r="D1585" s="21">
        <v>33.4</v>
      </c>
      <c r="E1585" s="21">
        <v>66</v>
      </c>
      <c r="F1585" s="21">
        <v>794</v>
      </c>
      <c r="G1585" s="21">
        <v>6.4</v>
      </c>
      <c r="H1585">
        <v>1</v>
      </c>
      <c r="I1585">
        <v>92.12</v>
      </c>
      <c r="J1585">
        <v>0.66</v>
      </c>
      <c r="K1585" t="str" cm="1">
        <f t="array" ref="K1585">_xlfn.IFS(Table4_2[[#This Row],[Growth Days]]&lt;=14,"Seedling",Table4_2[[#This Row],[Growth Days]]&lt;=35, "Vegetative",Table4_2[[#This Row],[Growth Days]]&lt;=50, "Maturity")</f>
        <v>Seedling</v>
      </c>
      <c r="L1585" t="str">
        <f>IF(Table4_2[[#This Row],[TDS Value (ppm)]]&lt;560, "Low", IF(Table4_2[[#This Row],[TDS Value (ppm)]]&lt;=800,"Optimal","High"))</f>
        <v>Optimal</v>
      </c>
    </row>
    <row r="1586" spans="1:12" x14ac:dyDescent="0.25">
      <c r="A1586">
        <v>46</v>
      </c>
      <c r="B1586" s="1">
        <v>45148</v>
      </c>
      <c r="C1586" s="1" t="str">
        <f>TEXT(Table4_2[[#This Row],[Date]],"dddd")</f>
        <v>Thursday</v>
      </c>
      <c r="D1586" s="21">
        <v>22.7</v>
      </c>
      <c r="E1586" s="21">
        <v>80</v>
      </c>
      <c r="F1586" s="21">
        <v>421</v>
      </c>
      <c r="G1586" s="21">
        <v>6.5</v>
      </c>
      <c r="H1586">
        <v>8</v>
      </c>
      <c r="I1586">
        <v>72.86</v>
      </c>
      <c r="J1586">
        <v>0.8</v>
      </c>
      <c r="K1586" t="str" cm="1">
        <f t="array" ref="K1586">_xlfn.IFS(Table4_2[[#This Row],[Growth Days]]&lt;=14,"Seedling",Table4_2[[#This Row],[Growth Days]]&lt;=35, "Vegetative",Table4_2[[#This Row],[Growth Days]]&lt;=50, "Maturity")</f>
        <v>Seedling</v>
      </c>
      <c r="L1586" t="str">
        <f>IF(Table4_2[[#This Row],[TDS Value (ppm)]]&lt;560, "Low", IF(Table4_2[[#This Row],[TDS Value (ppm)]]&lt;=800,"Optimal","High"))</f>
        <v>Low</v>
      </c>
    </row>
    <row r="1587" spans="1:12" x14ac:dyDescent="0.25">
      <c r="A1587">
        <v>46</v>
      </c>
      <c r="B1587" s="1">
        <v>45155</v>
      </c>
      <c r="C1587" s="1" t="str">
        <f>TEXT(Table4_2[[#This Row],[Date]],"dddd")</f>
        <v>Thursday</v>
      </c>
      <c r="D1587" s="21">
        <v>29.6</v>
      </c>
      <c r="E1587" s="21">
        <v>78</v>
      </c>
      <c r="F1587" s="21">
        <v>469</v>
      </c>
      <c r="G1587" s="21">
        <v>6.6</v>
      </c>
      <c r="H1587">
        <v>15</v>
      </c>
      <c r="I1587">
        <v>85.28</v>
      </c>
      <c r="J1587">
        <v>0.78</v>
      </c>
      <c r="K1587" t="str" cm="1">
        <f t="array" ref="K1587">_xlfn.IFS(Table4_2[[#This Row],[Growth Days]]&lt;=14,"Seedling",Table4_2[[#This Row],[Growth Days]]&lt;=35, "Vegetative",Table4_2[[#This Row],[Growth Days]]&lt;=50, "Maturity")</f>
        <v>Vegetative</v>
      </c>
      <c r="L1587" t="str">
        <f>IF(Table4_2[[#This Row],[TDS Value (ppm)]]&lt;560, "Low", IF(Table4_2[[#This Row],[TDS Value (ppm)]]&lt;=800,"Optimal","High"))</f>
        <v>Low</v>
      </c>
    </row>
    <row r="1588" spans="1:12" x14ac:dyDescent="0.25">
      <c r="A1588">
        <v>46</v>
      </c>
      <c r="B1588" s="1">
        <v>45162</v>
      </c>
      <c r="C1588" s="1" t="str">
        <f>TEXT(Table4_2[[#This Row],[Date]],"dddd")</f>
        <v>Thursday</v>
      </c>
      <c r="D1588" s="21">
        <v>31.3</v>
      </c>
      <c r="E1588" s="21">
        <v>80</v>
      </c>
      <c r="F1588" s="21">
        <v>562</v>
      </c>
      <c r="G1588" s="21">
        <v>6.4</v>
      </c>
      <c r="H1588">
        <v>22</v>
      </c>
      <c r="I1588">
        <v>88.34</v>
      </c>
      <c r="J1588">
        <v>0.8</v>
      </c>
      <c r="K1588" t="str" cm="1">
        <f t="array" ref="K1588">_xlfn.IFS(Table4_2[[#This Row],[Growth Days]]&lt;=14,"Seedling",Table4_2[[#This Row],[Growth Days]]&lt;=35, "Vegetative",Table4_2[[#This Row],[Growth Days]]&lt;=50, "Maturity")</f>
        <v>Vegetative</v>
      </c>
      <c r="L1588" t="str">
        <f>IF(Table4_2[[#This Row],[TDS Value (ppm)]]&lt;560, "Low", IF(Table4_2[[#This Row],[TDS Value (ppm)]]&lt;=800,"Optimal","High"))</f>
        <v>Optimal</v>
      </c>
    </row>
    <row r="1589" spans="1:12" x14ac:dyDescent="0.25">
      <c r="A1589">
        <v>46</v>
      </c>
      <c r="B1589" s="1">
        <v>45169</v>
      </c>
      <c r="C1589" s="1" t="str">
        <f>TEXT(Table4_2[[#This Row],[Date]],"dddd")</f>
        <v>Thursday</v>
      </c>
      <c r="D1589" s="21">
        <v>29.2</v>
      </c>
      <c r="E1589" s="21">
        <v>71</v>
      </c>
      <c r="F1589" s="21">
        <v>596</v>
      </c>
      <c r="G1589" s="21">
        <v>6.7</v>
      </c>
      <c r="H1589">
        <v>29</v>
      </c>
      <c r="I1589">
        <v>84.56</v>
      </c>
      <c r="J1589">
        <v>0.71</v>
      </c>
      <c r="K1589" t="str" cm="1">
        <f t="array" ref="K1589">_xlfn.IFS(Table4_2[[#This Row],[Growth Days]]&lt;=14,"Seedling",Table4_2[[#This Row],[Growth Days]]&lt;=35, "Vegetative",Table4_2[[#This Row],[Growth Days]]&lt;=50, "Maturity")</f>
        <v>Vegetative</v>
      </c>
      <c r="L1589" t="str">
        <f>IF(Table4_2[[#This Row],[TDS Value (ppm)]]&lt;560, "Low", IF(Table4_2[[#This Row],[TDS Value (ppm)]]&lt;=800,"Optimal","High"))</f>
        <v>Optimal</v>
      </c>
    </row>
    <row r="1590" spans="1:12" x14ac:dyDescent="0.25">
      <c r="A1590">
        <v>46</v>
      </c>
      <c r="B1590" s="1">
        <v>45176</v>
      </c>
      <c r="C1590" s="1" t="str">
        <f>TEXT(Table4_2[[#This Row],[Date]],"dddd")</f>
        <v>Thursday</v>
      </c>
      <c r="D1590" s="21">
        <v>31.5</v>
      </c>
      <c r="E1590" s="21">
        <v>74</v>
      </c>
      <c r="F1590" s="21">
        <v>525</v>
      </c>
      <c r="G1590" s="21">
        <v>6.8</v>
      </c>
      <c r="H1590">
        <v>36</v>
      </c>
      <c r="I1590">
        <v>88.7</v>
      </c>
      <c r="J1590">
        <v>0.74</v>
      </c>
      <c r="K1590" t="str" cm="1">
        <f t="array" ref="K1590">_xlfn.IFS(Table4_2[[#This Row],[Growth Days]]&lt;=14,"Seedling",Table4_2[[#This Row],[Growth Days]]&lt;=35, "Vegetative",Table4_2[[#This Row],[Growth Days]]&lt;=50, "Maturity")</f>
        <v>Maturity</v>
      </c>
      <c r="L1590" t="str">
        <f>IF(Table4_2[[#This Row],[TDS Value (ppm)]]&lt;560, "Low", IF(Table4_2[[#This Row],[TDS Value (ppm)]]&lt;=800,"Optimal","High"))</f>
        <v>Low</v>
      </c>
    </row>
    <row r="1591" spans="1:12" x14ac:dyDescent="0.25">
      <c r="A1591">
        <v>46</v>
      </c>
      <c r="B1591" s="1">
        <v>45183</v>
      </c>
      <c r="C1591" s="1" t="str">
        <f>TEXT(Table4_2[[#This Row],[Date]],"dddd")</f>
        <v>Thursday</v>
      </c>
      <c r="D1591" s="21">
        <v>29.1</v>
      </c>
      <c r="E1591" s="21">
        <v>76</v>
      </c>
      <c r="F1591" s="21">
        <v>645</v>
      </c>
      <c r="G1591" s="21">
        <v>6.3</v>
      </c>
      <c r="H1591">
        <v>43</v>
      </c>
      <c r="I1591">
        <v>84.38</v>
      </c>
      <c r="J1591">
        <v>0.76</v>
      </c>
      <c r="K1591" t="str" cm="1">
        <f t="array" ref="K1591">_xlfn.IFS(Table4_2[[#This Row],[Growth Days]]&lt;=14,"Seedling",Table4_2[[#This Row],[Growth Days]]&lt;=35, "Vegetative",Table4_2[[#This Row],[Growth Days]]&lt;=50, "Maturity")</f>
        <v>Maturity</v>
      </c>
      <c r="L1591" t="str">
        <f>IF(Table4_2[[#This Row],[TDS Value (ppm)]]&lt;560, "Low", IF(Table4_2[[#This Row],[TDS Value (ppm)]]&lt;=800,"Optimal","High"))</f>
        <v>Optimal</v>
      </c>
    </row>
    <row r="1592" spans="1:12" x14ac:dyDescent="0.25">
      <c r="A1592">
        <v>47</v>
      </c>
      <c r="B1592" s="1">
        <v>45141</v>
      </c>
      <c r="C1592" s="1" t="str">
        <f>TEXT(Table4_2[[#This Row],[Date]],"dddd")</f>
        <v>Thursday</v>
      </c>
      <c r="D1592" s="21">
        <v>33.4</v>
      </c>
      <c r="E1592" s="21">
        <v>51</v>
      </c>
      <c r="F1592" s="21">
        <v>578</v>
      </c>
      <c r="G1592" s="21">
        <v>6.3</v>
      </c>
      <c r="H1592">
        <v>1</v>
      </c>
      <c r="I1592">
        <v>92.12</v>
      </c>
      <c r="J1592">
        <v>0.51</v>
      </c>
      <c r="K1592" t="str" cm="1">
        <f t="array" ref="K1592">_xlfn.IFS(Table4_2[[#This Row],[Growth Days]]&lt;=14,"Seedling",Table4_2[[#This Row],[Growth Days]]&lt;=35, "Vegetative",Table4_2[[#This Row],[Growth Days]]&lt;=50, "Maturity")</f>
        <v>Seedling</v>
      </c>
      <c r="L1592" t="str">
        <f>IF(Table4_2[[#This Row],[TDS Value (ppm)]]&lt;560, "Low", IF(Table4_2[[#This Row],[TDS Value (ppm)]]&lt;=800,"Optimal","High"))</f>
        <v>Optimal</v>
      </c>
    </row>
    <row r="1593" spans="1:12" x14ac:dyDescent="0.25">
      <c r="A1593">
        <v>47</v>
      </c>
      <c r="B1593" s="1">
        <v>45148</v>
      </c>
      <c r="C1593" s="1" t="str">
        <f>TEXT(Table4_2[[#This Row],[Date]],"dddd")</f>
        <v>Thursday</v>
      </c>
      <c r="D1593" s="21">
        <v>22.7</v>
      </c>
      <c r="E1593" s="21">
        <v>67</v>
      </c>
      <c r="F1593" s="21">
        <v>571</v>
      </c>
      <c r="G1593" s="21">
        <v>6.3</v>
      </c>
      <c r="H1593">
        <v>8</v>
      </c>
      <c r="I1593">
        <v>72.86</v>
      </c>
      <c r="J1593">
        <v>0.67</v>
      </c>
      <c r="K1593" t="str" cm="1">
        <f t="array" ref="K1593">_xlfn.IFS(Table4_2[[#This Row],[Growth Days]]&lt;=14,"Seedling",Table4_2[[#This Row],[Growth Days]]&lt;=35, "Vegetative",Table4_2[[#This Row],[Growth Days]]&lt;=50, "Maturity")</f>
        <v>Seedling</v>
      </c>
      <c r="L1593" t="str">
        <f>IF(Table4_2[[#This Row],[TDS Value (ppm)]]&lt;560, "Low", IF(Table4_2[[#This Row],[TDS Value (ppm)]]&lt;=800,"Optimal","High"))</f>
        <v>Optimal</v>
      </c>
    </row>
    <row r="1594" spans="1:12" x14ac:dyDescent="0.25">
      <c r="A1594">
        <v>47</v>
      </c>
      <c r="B1594" s="1">
        <v>45155</v>
      </c>
      <c r="C1594" s="1" t="str">
        <f>TEXT(Table4_2[[#This Row],[Date]],"dddd")</f>
        <v>Thursday</v>
      </c>
      <c r="D1594" s="21">
        <v>29.6</v>
      </c>
      <c r="E1594" s="21">
        <v>68</v>
      </c>
      <c r="F1594" s="21">
        <v>586</v>
      </c>
      <c r="G1594" s="21">
        <v>6.7</v>
      </c>
      <c r="H1594">
        <v>15</v>
      </c>
      <c r="I1594">
        <v>85.28</v>
      </c>
      <c r="J1594">
        <v>0.68</v>
      </c>
      <c r="K1594" t="str" cm="1">
        <f t="array" ref="K1594">_xlfn.IFS(Table4_2[[#This Row],[Growth Days]]&lt;=14,"Seedling",Table4_2[[#This Row],[Growth Days]]&lt;=35, "Vegetative",Table4_2[[#This Row],[Growth Days]]&lt;=50, "Maturity")</f>
        <v>Vegetative</v>
      </c>
      <c r="L1594" t="str">
        <f>IF(Table4_2[[#This Row],[TDS Value (ppm)]]&lt;560, "Low", IF(Table4_2[[#This Row],[TDS Value (ppm)]]&lt;=800,"Optimal","High"))</f>
        <v>Optimal</v>
      </c>
    </row>
    <row r="1595" spans="1:12" x14ac:dyDescent="0.25">
      <c r="A1595">
        <v>47</v>
      </c>
      <c r="B1595" s="1">
        <v>45162</v>
      </c>
      <c r="C1595" s="1" t="str">
        <f>TEXT(Table4_2[[#This Row],[Date]],"dddd")</f>
        <v>Thursday</v>
      </c>
      <c r="D1595" s="21">
        <v>31.3</v>
      </c>
      <c r="E1595" s="21">
        <v>56</v>
      </c>
      <c r="F1595" s="21">
        <v>736</v>
      </c>
      <c r="G1595" s="21">
        <v>6.1</v>
      </c>
      <c r="H1595">
        <v>22</v>
      </c>
      <c r="I1595">
        <v>88.34</v>
      </c>
      <c r="J1595">
        <v>0.56000000000000005</v>
      </c>
      <c r="K1595" t="str" cm="1">
        <f t="array" ref="K1595">_xlfn.IFS(Table4_2[[#This Row],[Growth Days]]&lt;=14,"Seedling",Table4_2[[#This Row],[Growth Days]]&lt;=35, "Vegetative",Table4_2[[#This Row],[Growth Days]]&lt;=50, "Maturity")</f>
        <v>Vegetative</v>
      </c>
      <c r="L1595" t="str">
        <f>IF(Table4_2[[#This Row],[TDS Value (ppm)]]&lt;560, "Low", IF(Table4_2[[#This Row],[TDS Value (ppm)]]&lt;=800,"Optimal","High"))</f>
        <v>Optimal</v>
      </c>
    </row>
    <row r="1596" spans="1:12" x14ac:dyDescent="0.25">
      <c r="A1596">
        <v>47</v>
      </c>
      <c r="B1596" s="1">
        <v>45169</v>
      </c>
      <c r="C1596" s="1" t="str">
        <f>TEXT(Table4_2[[#This Row],[Date]],"dddd")</f>
        <v>Thursday</v>
      </c>
      <c r="D1596" s="21">
        <v>29.2</v>
      </c>
      <c r="E1596" s="21">
        <v>57</v>
      </c>
      <c r="F1596" s="21">
        <v>412</v>
      </c>
      <c r="G1596" s="21">
        <v>6.2</v>
      </c>
      <c r="H1596">
        <v>29</v>
      </c>
      <c r="I1596">
        <v>84.56</v>
      </c>
      <c r="J1596">
        <v>0.56999999999999995</v>
      </c>
      <c r="K1596" t="str" cm="1">
        <f t="array" ref="K1596">_xlfn.IFS(Table4_2[[#This Row],[Growth Days]]&lt;=14,"Seedling",Table4_2[[#This Row],[Growth Days]]&lt;=35, "Vegetative",Table4_2[[#This Row],[Growth Days]]&lt;=50, "Maturity")</f>
        <v>Vegetative</v>
      </c>
      <c r="L1596" t="str">
        <f>IF(Table4_2[[#This Row],[TDS Value (ppm)]]&lt;560, "Low", IF(Table4_2[[#This Row],[TDS Value (ppm)]]&lt;=800,"Optimal","High"))</f>
        <v>Low</v>
      </c>
    </row>
    <row r="1597" spans="1:12" x14ac:dyDescent="0.25">
      <c r="A1597">
        <v>47</v>
      </c>
      <c r="B1597" s="1">
        <v>45176</v>
      </c>
      <c r="C1597" s="1" t="str">
        <f>TEXT(Table4_2[[#This Row],[Date]],"dddd")</f>
        <v>Thursday</v>
      </c>
      <c r="D1597" s="21">
        <v>31.5</v>
      </c>
      <c r="E1597" s="21">
        <v>80</v>
      </c>
      <c r="F1597" s="21">
        <v>653</v>
      </c>
      <c r="G1597" s="21">
        <v>6</v>
      </c>
      <c r="H1597">
        <v>36</v>
      </c>
      <c r="I1597">
        <v>88.7</v>
      </c>
      <c r="J1597">
        <v>0.8</v>
      </c>
      <c r="K1597" t="str" cm="1">
        <f t="array" ref="K1597">_xlfn.IFS(Table4_2[[#This Row],[Growth Days]]&lt;=14,"Seedling",Table4_2[[#This Row],[Growth Days]]&lt;=35, "Vegetative",Table4_2[[#This Row],[Growth Days]]&lt;=50, "Maturity")</f>
        <v>Maturity</v>
      </c>
      <c r="L1597" t="str">
        <f>IF(Table4_2[[#This Row],[TDS Value (ppm)]]&lt;560, "Low", IF(Table4_2[[#This Row],[TDS Value (ppm)]]&lt;=800,"Optimal","High"))</f>
        <v>Optimal</v>
      </c>
    </row>
    <row r="1598" spans="1:12" x14ac:dyDescent="0.25">
      <c r="A1598">
        <v>47</v>
      </c>
      <c r="B1598" s="1">
        <v>45183</v>
      </c>
      <c r="C1598" s="1" t="str">
        <f>TEXT(Table4_2[[#This Row],[Date]],"dddd")</f>
        <v>Thursday</v>
      </c>
      <c r="D1598" s="21">
        <v>29.1</v>
      </c>
      <c r="E1598" s="21">
        <v>65</v>
      </c>
      <c r="F1598" s="21">
        <v>462</v>
      </c>
      <c r="G1598" s="21">
        <v>6</v>
      </c>
      <c r="H1598">
        <v>43</v>
      </c>
      <c r="I1598">
        <v>84.38</v>
      </c>
      <c r="J1598">
        <v>0.65</v>
      </c>
      <c r="K1598" t="str" cm="1">
        <f t="array" ref="K1598">_xlfn.IFS(Table4_2[[#This Row],[Growth Days]]&lt;=14,"Seedling",Table4_2[[#This Row],[Growth Days]]&lt;=35, "Vegetative",Table4_2[[#This Row],[Growth Days]]&lt;=50, "Maturity")</f>
        <v>Maturity</v>
      </c>
      <c r="L1598" t="str">
        <f>IF(Table4_2[[#This Row],[TDS Value (ppm)]]&lt;560, "Low", IF(Table4_2[[#This Row],[TDS Value (ppm)]]&lt;=800,"Optimal","High"))</f>
        <v>Low</v>
      </c>
    </row>
    <row r="1599" spans="1:12" x14ac:dyDescent="0.25">
      <c r="A1599">
        <v>48</v>
      </c>
      <c r="B1599" s="1">
        <v>45141</v>
      </c>
      <c r="C1599" s="1" t="str">
        <f>TEXT(Table4_2[[#This Row],[Date]],"dddd")</f>
        <v>Thursday</v>
      </c>
      <c r="D1599" s="21">
        <v>33.4</v>
      </c>
      <c r="E1599" s="21">
        <v>57</v>
      </c>
      <c r="F1599" s="21">
        <v>452</v>
      </c>
      <c r="G1599" s="21">
        <v>6.1</v>
      </c>
      <c r="H1599">
        <v>1</v>
      </c>
      <c r="I1599">
        <v>92.12</v>
      </c>
      <c r="J1599">
        <v>0.56999999999999995</v>
      </c>
      <c r="K1599" t="str" cm="1">
        <f t="array" ref="K1599">_xlfn.IFS(Table4_2[[#This Row],[Growth Days]]&lt;=14,"Seedling",Table4_2[[#This Row],[Growth Days]]&lt;=35, "Vegetative",Table4_2[[#This Row],[Growth Days]]&lt;=50, "Maturity")</f>
        <v>Seedling</v>
      </c>
      <c r="L1599" t="str">
        <f>IF(Table4_2[[#This Row],[TDS Value (ppm)]]&lt;560, "Low", IF(Table4_2[[#This Row],[TDS Value (ppm)]]&lt;=800,"Optimal","High"))</f>
        <v>Low</v>
      </c>
    </row>
    <row r="1600" spans="1:12" x14ac:dyDescent="0.25">
      <c r="A1600">
        <v>48</v>
      </c>
      <c r="B1600" s="1">
        <v>45148</v>
      </c>
      <c r="C1600" s="1" t="str">
        <f>TEXT(Table4_2[[#This Row],[Date]],"dddd")</f>
        <v>Thursday</v>
      </c>
      <c r="D1600" s="21">
        <v>22.7</v>
      </c>
      <c r="E1600" s="21">
        <v>60</v>
      </c>
      <c r="F1600" s="21">
        <v>571</v>
      </c>
      <c r="G1600" s="21">
        <v>6.7</v>
      </c>
      <c r="H1600">
        <v>8</v>
      </c>
      <c r="I1600">
        <v>72.86</v>
      </c>
      <c r="J1600">
        <v>0.6</v>
      </c>
      <c r="K1600" t="str" cm="1">
        <f t="array" ref="K1600">_xlfn.IFS(Table4_2[[#This Row],[Growth Days]]&lt;=14,"Seedling",Table4_2[[#This Row],[Growth Days]]&lt;=35, "Vegetative",Table4_2[[#This Row],[Growth Days]]&lt;=50, "Maturity")</f>
        <v>Seedling</v>
      </c>
      <c r="L1600" t="str">
        <f>IF(Table4_2[[#This Row],[TDS Value (ppm)]]&lt;560, "Low", IF(Table4_2[[#This Row],[TDS Value (ppm)]]&lt;=800,"Optimal","High"))</f>
        <v>Optimal</v>
      </c>
    </row>
    <row r="1601" spans="1:12" x14ac:dyDescent="0.25">
      <c r="A1601">
        <v>48</v>
      </c>
      <c r="B1601" s="1">
        <v>45155</v>
      </c>
      <c r="C1601" s="1" t="str">
        <f>TEXT(Table4_2[[#This Row],[Date]],"dddd")</f>
        <v>Thursday</v>
      </c>
      <c r="D1601" s="21">
        <v>29.6</v>
      </c>
      <c r="E1601" s="21">
        <v>55</v>
      </c>
      <c r="F1601" s="21">
        <v>700</v>
      </c>
      <c r="G1601" s="21">
        <v>6.7</v>
      </c>
      <c r="H1601">
        <v>15</v>
      </c>
      <c r="I1601">
        <v>85.28</v>
      </c>
      <c r="J1601">
        <v>0.55000000000000004</v>
      </c>
      <c r="K1601" t="str" cm="1">
        <f t="array" ref="K1601">_xlfn.IFS(Table4_2[[#This Row],[Growth Days]]&lt;=14,"Seedling",Table4_2[[#This Row],[Growth Days]]&lt;=35, "Vegetative",Table4_2[[#This Row],[Growth Days]]&lt;=50, "Maturity")</f>
        <v>Vegetative</v>
      </c>
      <c r="L1601" t="str">
        <f>IF(Table4_2[[#This Row],[TDS Value (ppm)]]&lt;560, "Low", IF(Table4_2[[#This Row],[TDS Value (ppm)]]&lt;=800,"Optimal","High"))</f>
        <v>Optimal</v>
      </c>
    </row>
    <row r="1602" spans="1:12" x14ac:dyDescent="0.25">
      <c r="A1602">
        <v>48</v>
      </c>
      <c r="B1602" s="1">
        <v>45162</v>
      </c>
      <c r="C1602" s="1" t="str">
        <f>TEXT(Table4_2[[#This Row],[Date]],"dddd")</f>
        <v>Thursday</v>
      </c>
      <c r="D1602" s="21">
        <v>31.3</v>
      </c>
      <c r="E1602" s="21">
        <v>53</v>
      </c>
      <c r="F1602" s="21">
        <v>684</v>
      </c>
      <c r="G1602" s="21">
        <v>6.5</v>
      </c>
      <c r="H1602">
        <v>22</v>
      </c>
      <c r="I1602">
        <v>88.34</v>
      </c>
      <c r="J1602">
        <v>0.53</v>
      </c>
      <c r="K1602" t="str" cm="1">
        <f t="array" ref="K1602">_xlfn.IFS(Table4_2[[#This Row],[Growth Days]]&lt;=14,"Seedling",Table4_2[[#This Row],[Growth Days]]&lt;=35, "Vegetative",Table4_2[[#This Row],[Growth Days]]&lt;=50, "Maturity")</f>
        <v>Vegetative</v>
      </c>
      <c r="L1602" t="str">
        <f>IF(Table4_2[[#This Row],[TDS Value (ppm)]]&lt;560, "Low", IF(Table4_2[[#This Row],[TDS Value (ppm)]]&lt;=800,"Optimal","High"))</f>
        <v>Optimal</v>
      </c>
    </row>
    <row r="1603" spans="1:12" x14ac:dyDescent="0.25">
      <c r="A1603">
        <v>48</v>
      </c>
      <c r="B1603" s="1">
        <v>45169</v>
      </c>
      <c r="C1603" s="1" t="str">
        <f>TEXT(Table4_2[[#This Row],[Date]],"dddd")</f>
        <v>Thursday</v>
      </c>
      <c r="D1603" s="21">
        <v>29.2</v>
      </c>
      <c r="E1603" s="21">
        <v>60</v>
      </c>
      <c r="F1603" s="21">
        <v>569</v>
      </c>
      <c r="G1603" s="21">
        <v>6.7</v>
      </c>
      <c r="H1603">
        <v>29</v>
      </c>
      <c r="I1603">
        <v>84.56</v>
      </c>
      <c r="J1603">
        <v>0.6</v>
      </c>
      <c r="K1603" t="str" cm="1">
        <f t="array" ref="K1603">_xlfn.IFS(Table4_2[[#This Row],[Growth Days]]&lt;=14,"Seedling",Table4_2[[#This Row],[Growth Days]]&lt;=35, "Vegetative",Table4_2[[#This Row],[Growth Days]]&lt;=50, "Maturity")</f>
        <v>Vegetative</v>
      </c>
      <c r="L1603" t="str">
        <f>IF(Table4_2[[#This Row],[TDS Value (ppm)]]&lt;560, "Low", IF(Table4_2[[#This Row],[TDS Value (ppm)]]&lt;=800,"Optimal","High"))</f>
        <v>Optimal</v>
      </c>
    </row>
    <row r="1604" spans="1:12" x14ac:dyDescent="0.25">
      <c r="A1604">
        <v>48</v>
      </c>
      <c r="B1604" s="1">
        <v>45176</v>
      </c>
      <c r="C1604" s="1" t="str">
        <f>TEXT(Table4_2[[#This Row],[Date]],"dddd")</f>
        <v>Thursday</v>
      </c>
      <c r="D1604" s="21">
        <v>31.5</v>
      </c>
      <c r="E1604" s="21">
        <v>61</v>
      </c>
      <c r="F1604" s="21">
        <v>577</v>
      </c>
      <c r="G1604" s="21">
        <v>6.1</v>
      </c>
      <c r="H1604">
        <v>36</v>
      </c>
      <c r="I1604">
        <v>88.7</v>
      </c>
      <c r="J1604">
        <v>0.61</v>
      </c>
      <c r="K1604" t="str" cm="1">
        <f t="array" ref="K1604">_xlfn.IFS(Table4_2[[#This Row],[Growth Days]]&lt;=14,"Seedling",Table4_2[[#This Row],[Growth Days]]&lt;=35, "Vegetative",Table4_2[[#This Row],[Growth Days]]&lt;=50, "Maturity")</f>
        <v>Maturity</v>
      </c>
      <c r="L1604" t="str">
        <f>IF(Table4_2[[#This Row],[TDS Value (ppm)]]&lt;560, "Low", IF(Table4_2[[#This Row],[TDS Value (ppm)]]&lt;=800,"Optimal","High"))</f>
        <v>Optimal</v>
      </c>
    </row>
    <row r="1605" spans="1:12" x14ac:dyDescent="0.25">
      <c r="A1605">
        <v>48</v>
      </c>
      <c r="B1605" s="1">
        <v>45183</v>
      </c>
      <c r="C1605" s="1" t="str">
        <f>TEXT(Table4_2[[#This Row],[Date]],"dddd")</f>
        <v>Thursday</v>
      </c>
      <c r="D1605" s="21">
        <v>29.1</v>
      </c>
      <c r="E1605" s="21">
        <v>54</v>
      </c>
      <c r="F1605" s="21">
        <v>605</v>
      </c>
      <c r="G1605" s="21">
        <v>6.5</v>
      </c>
      <c r="H1605">
        <v>43</v>
      </c>
      <c r="I1605">
        <v>84.38</v>
      </c>
      <c r="J1605">
        <v>0.54</v>
      </c>
      <c r="K1605" t="str" cm="1">
        <f t="array" ref="K1605">_xlfn.IFS(Table4_2[[#This Row],[Growth Days]]&lt;=14,"Seedling",Table4_2[[#This Row],[Growth Days]]&lt;=35, "Vegetative",Table4_2[[#This Row],[Growth Days]]&lt;=50, "Maturity")</f>
        <v>Maturity</v>
      </c>
      <c r="L1605" t="str">
        <f>IF(Table4_2[[#This Row],[TDS Value (ppm)]]&lt;560, "Low", IF(Table4_2[[#This Row],[TDS Value (ppm)]]&lt;=800,"Optimal","High"))</f>
        <v>Optimal</v>
      </c>
    </row>
    <row r="1606" spans="1:12" x14ac:dyDescent="0.25">
      <c r="A1606">
        <v>49</v>
      </c>
      <c r="B1606" s="1">
        <v>45141</v>
      </c>
      <c r="C1606" s="1" t="str">
        <f>TEXT(Table4_2[[#This Row],[Date]],"dddd")</f>
        <v>Thursday</v>
      </c>
      <c r="D1606" s="21">
        <v>33.4</v>
      </c>
      <c r="E1606" s="21">
        <v>70</v>
      </c>
      <c r="F1606" s="21">
        <v>621</v>
      </c>
      <c r="G1606" s="21">
        <v>6.7</v>
      </c>
      <c r="H1606">
        <v>1</v>
      </c>
      <c r="I1606">
        <v>92.12</v>
      </c>
      <c r="J1606">
        <v>0.7</v>
      </c>
      <c r="K1606" t="str" cm="1">
        <f t="array" ref="K1606">_xlfn.IFS(Table4_2[[#This Row],[Growth Days]]&lt;=14,"Seedling",Table4_2[[#This Row],[Growth Days]]&lt;=35, "Vegetative",Table4_2[[#This Row],[Growth Days]]&lt;=50, "Maturity")</f>
        <v>Seedling</v>
      </c>
      <c r="L1606" t="str">
        <f>IF(Table4_2[[#This Row],[TDS Value (ppm)]]&lt;560, "Low", IF(Table4_2[[#This Row],[TDS Value (ppm)]]&lt;=800,"Optimal","High"))</f>
        <v>Optimal</v>
      </c>
    </row>
    <row r="1607" spans="1:12" x14ac:dyDescent="0.25">
      <c r="A1607">
        <v>49</v>
      </c>
      <c r="B1607" s="1">
        <v>45148</v>
      </c>
      <c r="C1607" s="1" t="str">
        <f>TEXT(Table4_2[[#This Row],[Date]],"dddd")</f>
        <v>Thursday</v>
      </c>
      <c r="D1607" s="21">
        <v>22.7</v>
      </c>
      <c r="E1607" s="21">
        <v>72</v>
      </c>
      <c r="F1607" s="21">
        <v>676</v>
      </c>
      <c r="G1607" s="21">
        <v>6.7</v>
      </c>
      <c r="H1607">
        <v>8</v>
      </c>
      <c r="I1607">
        <v>72.86</v>
      </c>
      <c r="J1607">
        <v>0.72</v>
      </c>
      <c r="K1607" t="str" cm="1">
        <f t="array" ref="K1607">_xlfn.IFS(Table4_2[[#This Row],[Growth Days]]&lt;=14,"Seedling",Table4_2[[#This Row],[Growth Days]]&lt;=35, "Vegetative",Table4_2[[#This Row],[Growth Days]]&lt;=50, "Maturity")</f>
        <v>Seedling</v>
      </c>
      <c r="L1607" t="str">
        <f>IF(Table4_2[[#This Row],[TDS Value (ppm)]]&lt;560, "Low", IF(Table4_2[[#This Row],[TDS Value (ppm)]]&lt;=800,"Optimal","High"))</f>
        <v>Optimal</v>
      </c>
    </row>
    <row r="1608" spans="1:12" x14ac:dyDescent="0.25">
      <c r="A1608">
        <v>49</v>
      </c>
      <c r="B1608" s="1">
        <v>45155</v>
      </c>
      <c r="C1608" s="1" t="str">
        <f>TEXT(Table4_2[[#This Row],[Date]],"dddd")</f>
        <v>Thursday</v>
      </c>
      <c r="D1608" s="21">
        <v>29.6</v>
      </c>
      <c r="E1608" s="21">
        <v>51</v>
      </c>
      <c r="F1608" s="21">
        <v>764</v>
      </c>
      <c r="G1608" s="21">
        <v>6.7</v>
      </c>
      <c r="H1608">
        <v>15</v>
      </c>
      <c r="I1608">
        <v>85.28</v>
      </c>
      <c r="J1608">
        <v>0.51</v>
      </c>
      <c r="K1608" t="str" cm="1">
        <f t="array" ref="K1608">_xlfn.IFS(Table4_2[[#This Row],[Growth Days]]&lt;=14,"Seedling",Table4_2[[#This Row],[Growth Days]]&lt;=35, "Vegetative",Table4_2[[#This Row],[Growth Days]]&lt;=50, "Maturity")</f>
        <v>Vegetative</v>
      </c>
      <c r="L1608" t="str">
        <f>IF(Table4_2[[#This Row],[TDS Value (ppm)]]&lt;560, "Low", IF(Table4_2[[#This Row],[TDS Value (ppm)]]&lt;=800,"Optimal","High"))</f>
        <v>Optimal</v>
      </c>
    </row>
    <row r="1609" spans="1:12" x14ac:dyDescent="0.25">
      <c r="A1609">
        <v>49</v>
      </c>
      <c r="B1609" s="1">
        <v>45162</v>
      </c>
      <c r="C1609" s="1" t="str">
        <f>TEXT(Table4_2[[#This Row],[Date]],"dddd")</f>
        <v>Thursday</v>
      </c>
      <c r="D1609" s="21">
        <v>31.3</v>
      </c>
      <c r="E1609" s="21">
        <v>80</v>
      </c>
      <c r="F1609" s="21">
        <v>588</v>
      </c>
      <c r="G1609" s="21">
        <v>6</v>
      </c>
      <c r="H1609">
        <v>22</v>
      </c>
      <c r="I1609">
        <v>88.34</v>
      </c>
      <c r="J1609">
        <v>0.8</v>
      </c>
      <c r="K1609" t="str" cm="1">
        <f t="array" ref="K1609">_xlfn.IFS(Table4_2[[#This Row],[Growth Days]]&lt;=14,"Seedling",Table4_2[[#This Row],[Growth Days]]&lt;=35, "Vegetative",Table4_2[[#This Row],[Growth Days]]&lt;=50, "Maturity")</f>
        <v>Vegetative</v>
      </c>
      <c r="L1609" t="str">
        <f>IF(Table4_2[[#This Row],[TDS Value (ppm)]]&lt;560, "Low", IF(Table4_2[[#This Row],[TDS Value (ppm)]]&lt;=800,"Optimal","High"))</f>
        <v>Optimal</v>
      </c>
    </row>
    <row r="1610" spans="1:12" x14ac:dyDescent="0.25">
      <c r="A1610">
        <v>49</v>
      </c>
      <c r="B1610" s="1">
        <v>45169</v>
      </c>
      <c r="C1610" s="1" t="str">
        <f>TEXT(Table4_2[[#This Row],[Date]],"dddd")</f>
        <v>Thursday</v>
      </c>
      <c r="D1610" s="21">
        <v>29.2</v>
      </c>
      <c r="E1610" s="21">
        <v>56</v>
      </c>
      <c r="F1610" s="21">
        <v>621</v>
      </c>
      <c r="G1610" s="21">
        <v>6.7</v>
      </c>
      <c r="H1610">
        <v>29</v>
      </c>
      <c r="I1610">
        <v>84.56</v>
      </c>
      <c r="J1610">
        <v>0.56000000000000005</v>
      </c>
      <c r="K1610" t="str" cm="1">
        <f t="array" ref="K1610">_xlfn.IFS(Table4_2[[#This Row],[Growth Days]]&lt;=14,"Seedling",Table4_2[[#This Row],[Growth Days]]&lt;=35, "Vegetative",Table4_2[[#This Row],[Growth Days]]&lt;=50, "Maturity")</f>
        <v>Vegetative</v>
      </c>
      <c r="L1610" t="str">
        <f>IF(Table4_2[[#This Row],[TDS Value (ppm)]]&lt;560, "Low", IF(Table4_2[[#This Row],[TDS Value (ppm)]]&lt;=800,"Optimal","High"))</f>
        <v>Optimal</v>
      </c>
    </row>
    <row r="1611" spans="1:12" x14ac:dyDescent="0.25">
      <c r="A1611">
        <v>49</v>
      </c>
      <c r="B1611" s="1">
        <v>45176</v>
      </c>
      <c r="C1611" s="1" t="str">
        <f>TEXT(Table4_2[[#This Row],[Date]],"dddd")</f>
        <v>Thursday</v>
      </c>
      <c r="D1611" s="21">
        <v>31.5</v>
      </c>
      <c r="E1611" s="21">
        <v>51</v>
      </c>
      <c r="F1611" s="21">
        <v>589</v>
      </c>
      <c r="G1611" s="21">
        <v>6.5</v>
      </c>
      <c r="H1611">
        <v>36</v>
      </c>
      <c r="I1611">
        <v>88.7</v>
      </c>
      <c r="J1611">
        <v>0.51</v>
      </c>
      <c r="K1611" t="str" cm="1">
        <f t="array" ref="K1611">_xlfn.IFS(Table4_2[[#This Row],[Growth Days]]&lt;=14,"Seedling",Table4_2[[#This Row],[Growth Days]]&lt;=35, "Vegetative",Table4_2[[#This Row],[Growth Days]]&lt;=50, "Maturity")</f>
        <v>Maturity</v>
      </c>
      <c r="L1611" t="str">
        <f>IF(Table4_2[[#This Row],[TDS Value (ppm)]]&lt;560, "Low", IF(Table4_2[[#This Row],[TDS Value (ppm)]]&lt;=800,"Optimal","High"))</f>
        <v>Optimal</v>
      </c>
    </row>
    <row r="1612" spans="1:12" x14ac:dyDescent="0.25">
      <c r="A1612">
        <v>49</v>
      </c>
      <c r="B1612" s="1">
        <v>45183</v>
      </c>
      <c r="C1612" s="1" t="str">
        <f>TEXT(Table4_2[[#This Row],[Date]],"dddd")</f>
        <v>Thursday</v>
      </c>
      <c r="D1612" s="21">
        <v>29.1</v>
      </c>
      <c r="E1612" s="21">
        <v>79</v>
      </c>
      <c r="F1612" s="21">
        <v>417</v>
      </c>
      <c r="G1612" s="21">
        <v>6.8</v>
      </c>
      <c r="H1612">
        <v>43</v>
      </c>
      <c r="I1612">
        <v>84.38</v>
      </c>
      <c r="J1612">
        <v>0.79</v>
      </c>
      <c r="K1612" t="str" cm="1">
        <f t="array" ref="K1612">_xlfn.IFS(Table4_2[[#This Row],[Growth Days]]&lt;=14,"Seedling",Table4_2[[#This Row],[Growth Days]]&lt;=35, "Vegetative",Table4_2[[#This Row],[Growth Days]]&lt;=50, "Maturity")</f>
        <v>Maturity</v>
      </c>
      <c r="L1612" t="str">
        <f>IF(Table4_2[[#This Row],[TDS Value (ppm)]]&lt;560, "Low", IF(Table4_2[[#This Row],[TDS Value (ppm)]]&lt;=800,"Optimal","High"))</f>
        <v>Low</v>
      </c>
    </row>
    <row r="1613" spans="1:12" x14ac:dyDescent="0.25">
      <c r="A1613">
        <v>50</v>
      </c>
      <c r="B1613" s="1">
        <v>45141</v>
      </c>
      <c r="C1613" s="1" t="str">
        <f>TEXT(Table4_2[[#This Row],[Date]],"dddd")</f>
        <v>Thursday</v>
      </c>
      <c r="D1613" s="21">
        <v>33.4</v>
      </c>
      <c r="E1613" s="21">
        <v>56</v>
      </c>
      <c r="F1613" s="21">
        <v>781</v>
      </c>
      <c r="G1613" s="21">
        <v>6.3</v>
      </c>
      <c r="H1613">
        <v>1</v>
      </c>
      <c r="I1613">
        <v>92.12</v>
      </c>
      <c r="J1613">
        <v>0.56000000000000005</v>
      </c>
      <c r="K1613" t="str" cm="1">
        <f t="array" ref="K1613">_xlfn.IFS(Table4_2[[#This Row],[Growth Days]]&lt;=14,"Seedling",Table4_2[[#This Row],[Growth Days]]&lt;=35, "Vegetative",Table4_2[[#This Row],[Growth Days]]&lt;=50, "Maturity")</f>
        <v>Seedling</v>
      </c>
      <c r="L1613" t="str">
        <f>IF(Table4_2[[#This Row],[TDS Value (ppm)]]&lt;560, "Low", IF(Table4_2[[#This Row],[TDS Value (ppm)]]&lt;=800,"Optimal","High"))</f>
        <v>Optimal</v>
      </c>
    </row>
    <row r="1614" spans="1:12" x14ac:dyDescent="0.25">
      <c r="A1614">
        <v>50</v>
      </c>
      <c r="B1614" s="1">
        <v>45148</v>
      </c>
      <c r="C1614" s="1" t="str">
        <f>TEXT(Table4_2[[#This Row],[Date]],"dddd")</f>
        <v>Thursday</v>
      </c>
      <c r="D1614" s="21">
        <v>22.7</v>
      </c>
      <c r="E1614" s="21">
        <v>65</v>
      </c>
      <c r="F1614" s="21">
        <v>730</v>
      </c>
      <c r="G1614" s="21">
        <v>6.2</v>
      </c>
      <c r="H1614">
        <v>8</v>
      </c>
      <c r="I1614">
        <v>72.86</v>
      </c>
      <c r="J1614">
        <v>0.65</v>
      </c>
      <c r="K1614" t="str" cm="1">
        <f t="array" ref="K1614">_xlfn.IFS(Table4_2[[#This Row],[Growth Days]]&lt;=14,"Seedling",Table4_2[[#This Row],[Growth Days]]&lt;=35, "Vegetative",Table4_2[[#This Row],[Growth Days]]&lt;=50, "Maturity")</f>
        <v>Seedling</v>
      </c>
      <c r="L1614" t="str">
        <f>IF(Table4_2[[#This Row],[TDS Value (ppm)]]&lt;560, "Low", IF(Table4_2[[#This Row],[TDS Value (ppm)]]&lt;=800,"Optimal","High"))</f>
        <v>Optimal</v>
      </c>
    </row>
    <row r="1615" spans="1:12" x14ac:dyDescent="0.25">
      <c r="A1615">
        <v>50</v>
      </c>
      <c r="B1615" s="1">
        <v>45155</v>
      </c>
      <c r="C1615" s="1" t="str">
        <f>TEXT(Table4_2[[#This Row],[Date]],"dddd")</f>
        <v>Thursday</v>
      </c>
      <c r="D1615" s="21">
        <v>29.6</v>
      </c>
      <c r="E1615" s="21">
        <v>66</v>
      </c>
      <c r="F1615" s="21">
        <v>555</v>
      </c>
      <c r="G1615" s="21">
        <v>6.5</v>
      </c>
      <c r="H1615">
        <v>15</v>
      </c>
      <c r="I1615">
        <v>85.28</v>
      </c>
      <c r="J1615">
        <v>0.66</v>
      </c>
      <c r="K1615" t="str" cm="1">
        <f t="array" ref="K1615">_xlfn.IFS(Table4_2[[#This Row],[Growth Days]]&lt;=14,"Seedling",Table4_2[[#This Row],[Growth Days]]&lt;=35, "Vegetative",Table4_2[[#This Row],[Growth Days]]&lt;=50, "Maturity")</f>
        <v>Vegetative</v>
      </c>
      <c r="L1615" t="str">
        <f>IF(Table4_2[[#This Row],[TDS Value (ppm)]]&lt;560, "Low", IF(Table4_2[[#This Row],[TDS Value (ppm)]]&lt;=800,"Optimal","High"))</f>
        <v>Low</v>
      </c>
    </row>
    <row r="1616" spans="1:12" x14ac:dyDescent="0.25">
      <c r="A1616">
        <v>50</v>
      </c>
      <c r="B1616" s="1">
        <v>45162</v>
      </c>
      <c r="C1616" s="1" t="str">
        <f>TEXT(Table4_2[[#This Row],[Date]],"dddd")</f>
        <v>Thursday</v>
      </c>
      <c r="D1616" s="21">
        <v>31.3</v>
      </c>
      <c r="E1616" s="21">
        <v>73</v>
      </c>
      <c r="F1616" s="21">
        <v>725</v>
      </c>
      <c r="G1616" s="21">
        <v>6.6</v>
      </c>
      <c r="H1616">
        <v>22</v>
      </c>
      <c r="I1616">
        <v>88.34</v>
      </c>
      <c r="J1616">
        <v>0.73</v>
      </c>
      <c r="K1616" t="str" cm="1">
        <f t="array" ref="K1616">_xlfn.IFS(Table4_2[[#This Row],[Growth Days]]&lt;=14,"Seedling",Table4_2[[#This Row],[Growth Days]]&lt;=35, "Vegetative",Table4_2[[#This Row],[Growth Days]]&lt;=50, "Maturity")</f>
        <v>Vegetative</v>
      </c>
      <c r="L1616" t="str">
        <f>IF(Table4_2[[#This Row],[TDS Value (ppm)]]&lt;560, "Low", IF(Table4_2[[#This Row],[TDS Value (ppm)]]&lt;=800,"Optimal","High"))</f>
        <v>Optimal</v>
      </c>
    </row>
    <row r="1617" spans="1:12" x14ac:dyDescent="0.25">
      <c r="A1617">
        <v>50</v>
      </c>
      <c r="B1617" s="1">
        <v>45169</v>
      </c>
      <c r="C1617" s="1" t="str">
        <f>TEXT(Table4_2[[#This Row],[Date]],"dddd")</f>
        <v>Thursday</v>
      </c>
      <c r="D1617" s="21">
        <v>29.2</v>
      </c>
      <c r="E1617" s="21">
        <v>72</v>
      </c>
      <c r="F1617" s="21">
        <v>455</v>
      </c>
      <c r="G1617" s="21">
        <v>6.2</v>
      </c>
      <c r="H1617">
        <v>29</v>
      </c>
      <c r="I1617">
        <v>84.56</v>
      </c>
      <c r="J1617">
        <v>0.72</v>
      </c>
      <c r="K1617" t="str" cm="1">
        <f t="array" ref="K1617">_xlfn.IFS(Table4_2[[#This Row],[Growth Days]]&lt;=14,"Seedling",Table4_2[[#This Row],[Growth Days]]&lt;=35, "Vegetative",Table4_2[[#This Row],[Growth Days]]&lt;=50, "Maturity")</f>
        <v>Vegetative</v>
      </c>
      <c r="L1617" t="str">
        <f>IF(Table4_2[[#This Row],[TDS Value (ppm)]]&lt;560, "Low", IF(Table4_2[[#This Row],[TDS Value (ppm)]]&lt;=800,"Optimal","High"))</f>
        <v>Low</v>
      </c>
    </row>
    <row r="1618" spans="1:12" x14ac:dyDescent="0.25">
      <c r="A1618">
        <v>50</v>
      </c>
      <c r="B1618" s="1">
        <v>45176</v>
      </c>
      <c r="C1618" s="1" t="str">
        <f>TEXT(Table4_2[[#This Row],[Date]],"dddd")</f>
        <v>Thursday</v>
      </c>
      <c r="D1618" s="21">
        <v>31.5</v>
      </c>
      <c r="E1618" s="21">
        <v>63</v>
      </c>
      <c r="F1618" s="21">
        <v>798</v>
      </c>
      <c r="G1618" s="21">
        <v>6.2</v>
      </c>
      <c r="H1618">
        <v>36</v>
      </c>
      <c r="I1618">
        <v>88.7</v>
      </c>
      <c r="J1618">
        <v>0.63</v>
      </c>
      <c r="K1618" t="str" cm="1">
        <f t="array" ref="K1618">_xlfn.IFS(Table4_2[[#This Row],[Growth Days]]&lt;=14,"Seedling",Table4_2[[#This Row],[Growth Days]]&lt;=35, "Vegetative",Table4_2[[#This Row],[Growth Days]]&lt;=50, "Maturity")</f>
        <v>Maturity</v>
      </c>
      <c r="L1618" t="str">
        <f>IF(Table4_2[[#This Row],[TDS Value (ppm)]]&lt;560, "Low", IF(Table4_2[[#This Row],[TDS Value (ppm)]]&lt;=800,"Optimal","High"))</f>
        <v>Optimal</v>
      </c>
    </row>
    <row r="1619" spans="1:12" x14ac:dyDescent="0.25">
      <c r="A1619">
        <v>50</v>
      </c>
      <c r="B1619" s="1">
        <v>45183</v>
      </c>
      <c r="C1619" s="1" t="str">
        <f>TEXT(Table4_2[[#This Row],[Date]],"dddd")</f>
        <v>Thursday</v>
      </c>
      <c r="D1619" s="21">
        <v>29.1</v>
      </c>
      <c r="E1619" s="21">
        <v>51</v>
      </c>
      <c r="F1619" s="21">
        <v>731</v>
      </c>
      <c r="G1619" s="21">
        <v>6.2</v>
      </c>
      <c r="H1619">
        <v>43</v>
      </c>
      <c r="I1619">
        <v>84.38</v>
      </c>
      <c r="J1619">
        <v>0.51</v>
      </c>
      <c r="K1619" t="str" cm="1">
        <f t="array" ref="K1619">_xlfn.IFS(Table4_2[[#This Row],[Growth Days]]&lt;=14,"Seedling",Table4_2[[#This Row],[Growth Days]]&lt;=35, "Vegetative",Table4_2[[#This Row],[Growth Days]]&lt;=50, "Maturity")</f>
        <v>Maturity</v>
      </c>
      <c r="L1619" t="str">
        <f>IF(Table4_2[[#This Row],[TDS Value (ppm)]]&lt;560, "Low", IF(Table4_2[[#This Row],[TDS Value (ppm)]]&lt;=800,"Optimal","High"))</f>
        <v>Optimal</v>
      </c>
    </row>
    <row r="1620" spans="1:12" x14ac:dyDescent="0.25">
      <c r="A1620">
        <v>51</v>
      </c>
      <c r="B1620" s="1">
        <v>45141</v>
      </c>
      <c r="C1620" s="1" t="str">
        <f>TEXT(Table4_2[[#This Row],[Date]],"dddd")</f>
        <v>Thursday</v>
      </c>
      <c r="D1620" s="21">
        <v>33.4</v>
      </c>
      <c r="E1620" s="21">
        <v>72</v>
      </c>
      <c r="F1620" s="21">
        <v>524</v>
      </c>
      <c r="G1620" s="21">
        <v>6.6</v>
      </c>
      <c r="H1620">
        <v>1</v>
      </c>
      <c r="I1620">
        <v>92.12</v>
      </c>
      <c r="J1620">
        <v>0.72</v>
      </c>
      <c r="K1620" t="str" cm="1">
        <f t="array" ref="K1620">_xlfn.IFS(Table4_2[[#This Row],[Growth Days]]&lt;=14,"Seedling",Table4_2[[#This Row],[Growth Days]]&lt;=35, "Vegetative",Table4_2[[#This Row],[Growth Days]]&lt;=50, "Maturity")</f>
        <v>Seedling</v>
      </c>
      <c r="L1620" t="str">
        <f>IF(Table4_2[[#This Row],[TDS Value (ppm)]]&lt;560, "Low", IF(Table4_2[[#This Row],[TDS Value (ppm)]]&lt;=800,"Optimal","High"))</f>
        <v>Low</v>
      </c>
    </row>
    <row r="1621" spans="1:12" x14ac:dyDescent="0.25">
      <c r="A1621">
        <v>51</v>
      </c>
      <c r="B1621" s="1">
        <v>45148</v>
      </c>
      <c r="C1621" s="1" t="str">
        <f>TEXT(Table4_2[[#This Row],[Date]],"dddd")</f>
        <v>Thursday</v>
      </c>
      <c r="D1621" s="21">
        <v>22.7</v>
      </c>
      <c r="E1621" s="21">
        <v>68</v>
      </c>
      <c r="F1621" s="21">
        <v>683</v>
      </c>
      <c r="G1621" s="21">
        <v>6.3</v>
      </c>
      <c r="H1621">
        <v>8</v>
      </c>
      <c r="I1621">
        <v>72.86</v>
      </c>
      <c r="J1621">
        <v>0.68</v>
      </c>
      <c r="K1621" t="str" cm="1">
        <f t="array" ref="K1621">_xlfn.IFS(Table4_2[[#This Row],[Growth Days]]&lt;=14,"Seedling",Table4_2[[#This Row],[Growth Days]]&lt;=35, "Vegetative",Table4_2[[#This Row],[Growth Days]]&lt;=50, "Maturity")</f>
        <v>Seedling</v>
      </c>
      <c r="L1621" t="str">
        <f>IF(Table4_2[[#This Row],[TDS Value (ppm)]]&lt;560, "Low", IF(Table4_2[[#This Row],[TDS Value (ppm)]]&lt;=800,"Optimal","High"))</f>
        <v>Optimal</v>
      </c>
    </row>
    <row r="1622" spans="1:12" x14ac:dyDescent="0.25">
      <c r="A1622">
        <v>51</v>
      </c>
      <c r="B1622" s="1">
        <v>45155</v>
      </c>
      <c r="C1622" s="1" t="str">
        <f>TEXT(Table4_2[[#This Row],[Date]],"dddd")</f>
        <v>Thursday</v>
      </c>
      <c r="D1622" s="21">
        <v>29.6</v>
      </c>
      <c r="E1622" s="21">
        <v>77</v>
      </c>
      <c r="F1622" s="21">
        <v>776</v>
      </c>
      <c r="G1622" s="21">
        <v>6.6</v>
      </c>
      <c r="H1622">
        <v>15</v>
      </c>
      <c r="I1622">
        <v>85.28</v>
      </c>
      <c r="J1622">
        <v>0.77</v>
      </c>
      <c r="K1622" t="str" cm="1">
        <f t="array" ref="K1622">_xlfn.IFS(Table4_2[[#This Row],[Growth Days]]&lt;=14,"Seedling",Table4_2[[#This Row],[Growth Days]]&lt;=35, "Vegetative",Table4_2[[#This Row],[Growth Days]]&lt;=50, "Maturity")</f>
        <v>Vegetative</v>
      </c>
      <c r="L1622" t="str">
        <f>IF(Table4_2[[#This Row],[TDS Value (ppm)]]&lt;560, "Low", IF(Table4_2[[#This Row],[TDS Value (ppm)]]&lt;=800,"Optimal","High"))</f>
        <v>Optimal</v>
      </c>
    </row>
    <row r="1623" spans="1:12" x14ac:dyDescent="0.25">
      <c r="A1623">
        <v>51</v>
      </c>
      <c r="B1623" s="1">
        <v>45162</v>
      </c>
      <c r="C1623" s="1" t="str">
        <f>TEXT(Table4_2[[#This Row],[Date]],"dddd")</f>
        <v>Thursday</v>
      </c>
      <c r="D1623" s="21">
        <v>31.3</v>
      </c>
      <c r="E1623" s="21">
        <v>63</v>
      </c>
      <c r="F1623" s="21">
        <v>505</v>
      </c>
      <c r="G1623" s="21">
        <v>6.6</v>
      </c>
      <c r="H1623">
        <v>22</v>
      </c>
      <c r="I1623">
        <v>88.34</v>
      </c>
      <c r="J1623">
        <v>0.63</v>
      </c>
      <c r="K1623" t="str" cm="1">
        <f t="array" ref="K1623">_xlfn.IFS(Table4_2[[#This Row],[Growth Days]]&lt;=14,"Seedling",Table4_2[[#This Row],[Growth Days]]&lt;=35, "Vegetative",Table4_2[[#This Row],[Growth Days]]&lt;=50, "Maturity")</f>
        <v>Vegetative</v>
      </c>
      <c r="L1623" t="str">
        <f>IF(Table4_2[[#This Row],[TDS Value (ppm)]]&lt;560, "Low", IF(Table4_2[[#This Row],[TDS Value (ppm)]]&lt;=800,"Optimal","High"))</f>
        <v>Low</v>
      </c>
    </row>
    <row r="1624" spans="1:12" x14ac:dyDescent="0.25">
      <c r="A1624">
        <v>51</v>
      </c>
      <c r="B1624" s="1">
        <v>45169</v>
      </c>
      <c r="C1624" s="1" t="str">
        <f>TEXT(Table4_2[[#This Row],[Date]],"dddd")</f>
        <v>Thursday</v>
      </c>
      <c r="D1624" s="21">
        <v>29.2</v>
      </c>
      <c r="E1624" s="21">
        <v>66</v>
      </c>
      <c r="F1624" s="21">
        <v>418</v>
      </c>
      <c r="G1624" s="21">
        <v>6.4</v>
      </c>
      <c r="H1624">
        <v>29</v>
      </c>
      <c r="I1624">
        <v>84.56</v>
      </c>
      <c r="J1624">
        <v>0.66</v>
      </c>
      <c r="K1624" t="str" cm="1">
        <f t="array" ref="K1624">_xlfn.IFS(Table4_2[[#This Row],[Growth Days]]&lt;=14,"Seedling",Table4_2[[#This Row],[Growth Days]]&lt;=35, "Vegetative",Table4_2[[#This Row],[Growth Days]]&lt;=50, "Maturity")</f>
        <v>Vegetative</v>
      </c>
      <c r="L1624" t="str">
        <f>IF(Table4_2[[#This Row],[TDS Value (ppm)]]&lt;560, "Low", IF(Table4_2[[#This Row],[TDS Value (ppm)]]&lt;=800,"Optimal","High"))</f>
        <v>Low</v>
      </c>
    </row>
    <row r="1625" spans="1:12" x14ac:dyDescent="0.25">
      <c r="A1625">
        <v>51</v>
      </c>
      <c r="B1625" s="1">
        <v>45176</v>
      </c>
      <c r="C1625" s="1" t="str">
        <f>TEXT(Table4_2[[#This Row],[Date]],"dddd")</f>
        <v>Thursday</v>
      </c>
      <c r="D1625" s="21">
        <v>31.5</v>
      </c>
      <c r="E1625" s="21">
        <v>72</v>
      </c>
      <c r="F1625" s="21">
        <v>577</v>
      </c>
      <c r="G1625" s="21">
        <v>6.6</v>
      </c>
      <c r="H1625">
        <v>36</v>
      </c>
      <c r="I1625">
        <v>88.7</v>
      </c>
      <c r="J1625">
        <v>0.72</v>
      </c>
      <c r="K1625" t="str" cm="1">
        <f t="array" ref="K1625">_xlfn.IFS(Table4_2[[#This Row],[Growth Days]]&lt;=14,"Seedling",Table4_2[[#This Row],[Growth Days]]&lt;=35, "Vegetative",Table4_2[[#This Row],[Growth Days]]&lt;=50, "Maturity")</f>
        <v>Maturity</v>
      </c>
      <c r="L1625" t="str">
        <f>IF(Table4_2[[#This Row],[TDS Value (ppm)]]&lt;560, "Low", IF(Table4_2[[#This Row],[TDS Value (ppm)]]&lt;=800,"Optimal","High"))</f>
        <v>Optimal</v>
      </c>
    </row>
    <row r="1626" spans="1:12" x14ac:dyDescent="0.25">
      <c r="A1626">
        <v>51</v>
      </c>
      <c r="B1626" s="1">
        <v>45183</v>
      </c>
      <c r="C1626" s="1" t="str">
        <f>TEXT(Table4_2[[#This Row],[Date]],"dddd")</f>
        <v>Thursday</v>
      </c>
      <c r="D1626" s="21">
        <v>29.1</v>
      </c>
      <c r="E1626" s="21">
        <v>55</v>
      </c>
      <c r="F1626" s="21">
        <v>482</v>
      </c>
      <c r="G1626" s="21">
        <v>6.5</v>
      </c>
      <c r="H1626">
        <v>43</v>
      </c>
      <c r="I1626">
        <v>84.38</v>
      </c>
      <c r="J1626">
        <v>0.55000000000000004</v>
      </c>
      <c r="K1626" t="str" cm="1">
        <f t="array" ref="K1626">_xlfn.IFS(Table4_2[[#This Row],[Growth Days]]&lt;=14,"Seedling",Table4_2[[#This Row],[Growth Days]]&lt;=35, "Vegetative",Table4_2[[#This Row],[Growth Days]]&lt;=50, "Maturity")</f>
        <v>Maturity</v>
      </c>
      <c r="L1626" t="str">
        <f>IF(Table4_2[[#This Row],[TDS Value (ppm)]]&lt;560, "Low", IF(Table4_2[[#This Row],[TDS Value (ppm)]]&lt;=800,"Optimal","High"))</f>
        <v>Low</v>
      </c>
    </row>
    <row r="1627" spans="1:12" x14ac:dyDescent="0.25">
      <c r="A1627">
        <v>52</v>
      </c>
      <c r="B1627" s="1">
        <v>45141</v>
      </c>
      <c r="C1627" s="1" t="str">
        <f>TEXT(Table4_2[[#This Row],[Date]],"dddd")</f>
        <v>Thursday</v>
      </c>
      <c r="D1627" s="21">
        <v>18.600000000000001</v>
      </c>
      <c r="E1627" s="21">
        <v>53</v>
      </c>
      <c r="F1627" s="21">
        <v>547</v>
      </c>
      <c r="G1627" s="21">
        <v>6.6</v>
      </c>
      <c r="H1627">
        <v>1</v>
      </c>
      <c r="I1627">
        <v>65.48</v>
      </c>
      <c r="J1627">
        <v>0.53</v>
      </c>
      <c r="K1627" t="str" cm="1">
        <f t="array" ref="K1627">_xlfn.IFS(Table4_2[[#This Row],[Growth Days]]&lt;=14,"Seedling",Table4_2[[#This Row],[Growth Days]]&lt;=35, "Vegetative",Table4_2[[#This Row],[Growth Days]]&lt;=50, "Maturity")</f>
        <v>Seedling</v>
      </c>
      <c r="L1627" t="str">
        <f>IF(Table4_2[[#This Row],[TDS Value (ppm)]]&lt;560, "Low", IF(Table4_2[[#This Row],[TDS Value (ppm)]]&lt;=800,"Optimal","High"))</f>
        <v>Low</v>
      </c>
    </row>
    <row r="1628" spans="1:12" x14ac:dyDescent="0.25">
      <c r="A1628">
        <v>52</v>
      </c>
      <c r="B1628" s="1">
        <v>45148</v>
      </c>
      <c r="C1628" s="1" t="str">
        <f>TEXT(Table4_2[[#This Row],[Date]],"dddd")</f>
        <v>Thursday</v>
      </c>
      <c r="D1628" s="21">
        <v>23.4</v>
      </c>
      <c r="E1628" s="21">
        <v>78</v>
      </c>
      <c r="F1628" s="21">
        <v>711</v>
      </c>
      <c r="G1628" s="21">
        <v>6.7</v>
      </c>
      <c r="H1628">
        <v>8</v>
      </c>
      <c r="I1628">
        <v>74.12</v>
      </c>
      <c r="J1628">
        <v>0.78</v>
      </c>
      <c r="K1628" t="str" cm="1">
        <f t="array" ref="K1628">_xlfn.IFS(Table4_2[[#This Row],[Growth Days]]&lt;=14,"Seedling",Table4_2[[#This Row],[Growth Days]]&lt;=35, "Vegetative",Table4_2[[#This Row],[Growth Days]]&lt;=50, "Maturity")</f>
        <v>Seedling</v>
      </c>
      <c r="L1628" t="str">
        <f>IF(Table4_2[[#This Row],[TDS Value (ppm)]]&lt;560, "Low", IF(Table4_2[[#This Row],[TDS Value (ppm)]]&lt;=800,"Optimal","High"))</f>
        <v>Optimal</v>
      </c>
    </row>
    <row r="1629" spans="1:12" x14ac:dyDescent="0.25">
      <c r="A1629">
        <v>52</v>
      </c>
      <c r="B1629" s="1">
        <v>45155</v>
      </c>
      <c r="C1629" s="1" t="str">
        <f>TEXT(Table4_2[[#This Row],[Date]],"dddd")</f>
        <v>Thursday</v>
      </c>
      <c r="D1629" s="21">
        <v>22.5</v>
      </c>
      <c r="E1629" s="21">
        <v>80</v>
      </c>
      <c r="F1629" s="21">
        <v>408</v>
      </c>
      <c r="G1629" s="21">
        <v>6.1</v>
      </c>
      <c r="H1629">
        <v>15</v>
      </c>
      <c r="I1629">
        <v>72.5</v>
      </c>
      <c r="J1629">
        <v>0.8</v>
      </c>
      <c r="K1629" t="str" cm="1">
        <f t="array" ref="K1629">_xlfn.IFS(Table4_2[[#This Row],[Growth Days]]&lt;=14,"Seedling",Table4_2[[#This Row],[Growth Days]]&lt;=35, "Vegetative",Table4_2[[#This Row],[Growth Days]]&lt;=50, "Maturity")</f>
        <v>Vegetative</v>
      </c>
      <c r="L1629" t="str">
        <f>IF(Table4_2[[#This Row],[TDS Value (ppm)]]&lt;560, "Low", IF(Table4_2[[#This Row],[TDS Value (ppm)]]&lt;=800,"Optimal","High"))</f>
        <v>Low</v>
      </c>
    </row>
    <row r="1630" spans="1:12" x14ac:dyDescent="0.25">
      <c r="A1630">
        <v>52</v>
      </c>
      <c r="B1630" s="1">
        <v>45162</v>
      </c>
      <c r="C1630" s="1" t="str">
        <f>TEXT(Table4_2[[#This Row],[Date]],"dddd")</f>
        <v>Thursday</v>
      </c>
      <c r="D1630" s="21">
        <v>22.6</v>
      </c>
      <c r="E1630" s="21">
        <v>74</v>
      </c>
      <c r="F1630" s="21">
        <v>523</v>
      </c>
      <c r="G1630" s="21">
        <v>6.4</v>
      </c>
      <c r="H1630">
        <v>22</v>
      </c>
      <c r="I1630">
        <v>72.680000000000007</v>
      </c>
      <c r="J1630">
        <v>0.74</v>
      </c>
      <c r="K1630" t="str" cm="1">
        <f t="array" ref="K1630">_xlfn.IFS(Table4_2[[#This Row],[Growth Days]]&lt;=14,"Seedling",Table4_2[[#This Row],[Growth Days]]&lt;=35, "Vegetative",Table4_2[[#This Row],[Growth Days]]&lt;=50, "Maturity")</f>
        <v>Vegetative</v>
      </c>
      <c r="L1630" t="str">
        <f>IF(Table4_2[[#This Row],[TDS Value (ppm)]]&lt;560, "Low", IF(Table4_2[[#This Row],[TDS Value (ppm)]]&lt;=800,"Optimal","High"))</f>
        <v>Low</v>
      </c>
    </row>
    <row r="1631" spans="1:12" x14ac:dyDescent="0.25">
      <c r="A1631">
        <v>52</v>
      </c>
      <c r="B1631" s="1">
        <v>45169</v>
      </c>
      <c r="C1631" s="1" t="str">
        <f>TEXT(Table4_2[[#This Row],[Date]],"dddd")</f>
        <v>Thursday</v>
      </c>
      <c r="D1631" s="21">
        <v>24.5</v>
      </c>
      <c r="E1631" s="21">
        <v>50</v>
      </c>
      <c r="F1631" s="21">
        <v>527</v>
      </c>
      <c r="G1631" s="21">
        <v>6.3</v>
      </c>
      <c r="H1631">
        <v>29</v>
      </c>
      <c r="I1631">
        <v>76.099999999999994</v>
      </c>
      <c r="J1631">
        <v>0.5</v>
      </c>
      <c r="K1631" t="str" cm="1">
        <f t="array" ref="K1631">_xlfn.IFS(Table4_2[[#This Row],[Growth Days]]&lt;=14,"Seedling",Table4_2[[#This Row],[Growth Days]]&lt;=35, "Vegetative",Table4_2[[#This Row],[Growth Days]]&lt;=50, "Maturity")</f>
        <v>Vegetative</v>
      </c>
      <c r="L1631" t="str">
        <f>IF(Table4_2[[#This Row],[TDS Value (ppm)]]&lt;560, "Low", IF(Table4_2[[#This Row],[TDS Value (ppm)]]&lt;=800,"Optimal","High"))</f>
        <v>Low</v>
      </c>
    </row>
    <row r="1632" spans="1:12" x14ac:dyDescent="0.25">
      <c r="A1632">
        <v>52</v>
      </c>
      <c r="B1632" s="1">
        <v>45176</v>
      </c>
      <c r="C1632" s="1" t="str">
        <f>TEXT(Table4_2[[#This Row],[Date]],"dddd")</f>
        <v>Thursday</v>
      </c>
      <c r="D1632" s="21">
        <v>20.100000000000001</v>
      </c>
      <c r="E1632" s="21">
        <v>66</v>
      </c>
      <c r="F1632" s="21">
        <v>462</v>
      </c>
      <c r="G1632" s="21">
        <v>6.2</v>
      </c>
      <c r="H1632">
        <v>36</v>
      </c>
      <c r="I1632">
        <v>68.180000000000007</v>
      </c>
      <c r="J1632">
        <v>0.66</v>
      </c>
      <c r="K1632" t="str" cm="1">
        <f t="array" ref="K1632">_xlfn.IFS(Table4_2[[#This Row],[Growth Days]]&lt;=14,"Seedling",Table4_2[[#This Row],[Growth Days]]&lt;=35, "Vegetative",Table4_2[[#This Row],[Growth Days]]&lt;=50, "Maturity")</f>
        <v>Maturity</v>
      </c>
      <c r="L1632" t="str">
        <f>IF(Table4_2[[#This Row],[TDS Value (ppm)]]&lt;560, "Low", IF(Table4_2[[#This Row],[TDS Value (ppm)]]&lt;=800,"Optimal","High"))</f>
        <v>Low</v>
      </c>
    </row>
    <row r="1633" spans="1:12" x14ac:dyDescent="0.25">
      <c r="A1633">
        <v>52</v>
      </c>
      <c r="B1633" s="1">
        <v>45183</v>
      </c>
      <c r="C1633" s="1" t="str">
        <f>TEXT(Table4_2[[#This Row],[Date]],"dddd")</f>
        <v>Thursday</v>
      </c>
      <c r="D1633" s="21">
        <v>23</v>
      </c>
      <c r="E1633" s="21">
        <v>63</v>
      </c>
      <c r="F1633" s="21">
        <v>653</v>
      </c>
      <c r="G1633" s="21">
        <v>6.2</v>
      </c>
      <c r="H1633">
        <v>43</v>
      </c>
      <c r="I1633">
        <v>73.400000000000006</v>
      </c>
      <c r="J1633">
        <v>0.63</v>
      </c>
      <c r="K1633" t="str" cm="1">
        <f t="array" ref="K1633">_xlfn.IFS(Table4_2[[#This Row],[Growth Days]]&lt;=14,"Seedling",Table4_2[[#This Row],[Growth Days]]&lt;=35, "Vegetative",Table4_2[[#This Row],[Growth Days]]&lt;=50, "Maturity")</f>
        <v>Maturity</v>
      </c>
      <c r="L1633" t="str">
        <f>IF(Table4_2[[#This Row],[TDS Value (ppm)]]&lt;560, "Low", IF(Table4_2[[#This Row],[TDS Value (ppm)]]&lt;=800,"Optimal","High"))</f>
        <v>Optimal</v>
      </c>
    </row>
    <row r="1634" spans="1:12" x14ac:dyDescent="0.25">
      <c r="A1634">
        <v>53</v>
      </c>
      <c r="B1634" s="1">
        <v>45141</v>
      </c>
      <c r="C1634" s="1" t="str">
        <f>TEXT(Table4_2[[#This Row],[Date]],"dddd")</f>
        <v>Thursday</v>
      </c>
      <c r="D1634" s="21">
        <v>20</v>
      </c>
      <c r="E1634" s="21">
        <v>79</v>
      </c>
      <c r="F1634" s="21">
        <v>551</v>
      </c>
      <c r="G1634" s="21">
        <v>6.3</v>
      </c>
      <c r="H1634">
        <v>1</v>
      </c>
      <c r="I1634">
        <v>68</v>
      </c>
      <c r="J1634">
        <v>0.79</v>
      </c>
      <c r="K1634" t="str" cm="1">
        <f t="array" ref="K1634">_xlfn.IFS(Table4_2[[#This Row],[Growth Days]]&lt;=14,"Seedling",Table4_2[[#This Row],[Growth Days]]&lt;=35, "Vegetative",Table4_2[[#This Row],[Growth Days]]&lt;=50, "Maturity")</f>
        <v>Seedling</v>
      </c>
      <c r="L1634" t="str">
        <f>IF(Table4_2[[#This Row],[TDS Value (ppm)]]&lt;560, "Low", IF(Table4_2[[#This Row],[TDS Value (ppm)]]&lt;=800,"Optimal","High"))</f>
        <v>Low</v>
      </c>
    </row>
    <row r="1635" spans="1:12" x14ac:dyDescent="0.25">
      <c r="A1635">
        <v>53</v>
      </c>
      <c r="B1635" s="1">
        <v>45148</v>
      </c>
      <c r="C1635" s="1" t="str">
        <f>TEXT(Table4_2[[#This Row],[Date]],"dddd")</f>
        <v>Thursday</v>
      </c>
      <c r="D1635" s="21">
        <v>23</v>
      </c>
      <c r="E1635" s="21">
        <v>63</v>
      </c>
      <c r="F1635" s="21">
        <v>440</v>
      </c>
      <c r="G1635" s="21">
        <v>6.1</v>
      </c>
      <c r="H1635">
        <v>8</v>
      </c>
      <c r="I1635">
        <v>73.400000000000006</v>
      </c>
      <c r="J1635">
        <v>0.63</v>
      </c>
      <c r="K1635" t="str" cm="1">
        <f t="array" ref="K1635">_xlfn.IFS(Table4_2[[#This Row],[Growth Days]]&lt;=14,"Seedling",Table4_2[[#This Row],[Growth Days]]&lt;=35, "Vegetative",Table4_2[[#This Row],[Growth Days]]&lt;=50, "Maturity")</f>
        <v>Seedling</v>
      </c>
      <c r="L1635" t="str">
        <f>IF(Table4_2[[#This Row],[TDS Value (ppm)]]&lt;560, "Low", IF(Table4_2[[#This Row],[TDS Value (ppm)]]&lt;=800,"Optimal","High"))</f>
        <v>Low</v>
      </c>
    </row>
    <row r="1636" spans="1:12" x14ac:dyDescent="0.25">
      <c r="A1636">
        <v>53</v>
      </c>
      <c r="B1636" s="1">
        <v>45155</v>
      </c>
      <c r="C1636" s="1" t="str">
        <f>TEXT(Table4_2[[#This Row],[Date]],"dddd")</f>
        <v>Thursday</v>
      </c>
      <c r="D1636" s="21">
        <v>22</v>
      </c>
      <c r="E1636" s="21">
        <v>77</v>
      </c>
      <c r="F1636" s="21">
        <v>646</v>
      </c>
      <c r="G1636" s="21">
        <v>6.7</v>
      </c>
      <c r="H1636">
        <v>15</v>
      </c>
      <c r="I1636">
        <v>71.599999999999994</v>
      </c>
      <c r="J1636">
        <v>0.77</v>
      </c>
      <c r="K1636" t="str" cm="1">
        <f t="array" ref="K1636">_xlfn.IFS(Table4_2[[#This Row],[Growth Days]]&lt;=14,"Seedling",Table4_2[[#This Row],[Growth Days]]&lt;=35, "Vegetative",Table4_2[[#This Row],[Growth Days]]&lt;=50, "Maturity")</f>
        <v>Vegetative</v>
      </c>
      <c r="L1636" t="str">
        <f>IF(Table4_2[[#This Row],[TDS Value (ppm)]]&lt;560, "Low", IF(Table4_2[[#This Row],[TDS Value (ppm)]]&lt;=800,"Optimal","High"))</f>
        <v>Optimal</v>
      </c>
    </row>
    <row r="1637" spans="1:12" x14ac:dyDescent="0.25">
      <c r="A1637">
        <v>53</v>
      </c>
      <c r="B1637" s="1">
        <v>45162</v>
      </c>
      <c r="C1637" s="1" t="str">
        <f>TEXT(Table4_2[[#This Row],[Date]],"dddd")</f>
        <v>Thursday</v>
      </c>
      <c r="D1637" s="21">
        <v>24.4</v>
      </c>
      <c r="E1637" s="21">
        <v>73</v>
      </c>
      <c r="F1637" s="21">
        <v>405</v>
      </c>
      <c r="G1637" s="21">
        <v>6.8</v>
      </c>
      <c r="H1637">
        <v>22</v>
      </c>
      <c r="I1637">
        <v>75.92</v>
      </c>
      <c r="J1637">
        <v>0.73</v>
      </c>
      <c r="K1637" t="str" cm="1">
        <f t="array" ref="K1637">_xlfn.IFS(Table4_2[[#This Row],[Growth Days]]&lt;=14,"Seedling",Table4_2[[#This Row],[Growth Days]]&lt;=35, "Vegetative",Table4_2[[#This Row],[Growth Days]]&lt;=50, "Maturity")</f>
        <v>Vegetative</v>
      </c>
      <c r="L1637" t="str">
        <f>IF(Table4_2[[#This Row],[TDS Value (ppm)]]&lt;560, "Low", IF(Table4_2[[#This Row],[TDS Value (ppm)]]&lt;=800,"Optimal","High"))</f>
        <v>Low</v>
      </c>
    </row>
    <row r="1638" spans="1:12" x14ac:dyDescent="0.25">
      <c r="A1638">
        <v>53</v>
      </c>
      <c r="B1638" s="1">
        <v>45169</v>
      </c>
      <c r="C1638" s="1" t="str">
        <f>TEXT(Table4_2[[#This Row],[Date]],"dddd")</f>
        <v>Thursday</v>
      </c>
      <c r="D1638" s="21">
        <v>19.100000000000001</v>
      </c>
      <c r="E1638" s="21">
        <v>50</v>
      </c>
      <c r="F1638" s="21">
        <v>715</v>
      </c>
      <c r="G1638" s="21">
        <v>6.1</v>
      </c>
      <c r="H1638">
        <v>29</v>
      </c>
      <c r="I1638">
        <v>66.38</v>
      </c>
      <c r="J1638">
        <v>0.5</v>
      </c>
      <c r="K1638" t="str" cm="1">
        <f t="array" ref="K1638">_xlfn.IFS(Table4_2[[#This Row],[Growth Days]]&lt;=14,"Seedling",Table4_2[[#This Row],[Growth Days]]&lt;=35, "Vegetative",Table4_2[[#This Row],[Growth Days]]&lt;=50, "Maturity")</f>
        <v>Vegetative</v>
      </c>
      <c r="L1638" t="str">
        <f>IF(Table4_2[[#This Row],[TDS Value (ppm)]]&lt;560, "Low", IF(Table4_2[[#This Row],[TDS Value (ppm)]]&lt;=800,"Optimal","High"))</f>
        <v>Optimal</v>
      </c>
    </row>
    <row r="1639" spans="1:12" x14ac:dyDescent="0.25">
      <c r="A1639">
        <v>53</v>
      </c>
      <c r="B1639" s="1">
        <v>45176</v>
      </c>
      <c r="C1639" s="1" t="str">
        <f>TEXT(Table4_2[[#This Row],[Date]],"dddd")</f>
        <v>Thursday</v>
      </c>
      <c r="D1639" s="21">
        <v>24.7</v>
      </c>
      <c r="E1639" s="21">
        <v>60</v>
      </c>
      <c r="F1639" s="21">
        <v>571</v>
      </c>
      <c r="G1639" s="21">
        <v>6</v>
      </c>
      <c r="H1639">
        <v>36</v>
      </c>
      <c r="I1639">
        <v>76.459999999999994</v>
      </c>
      <c r="J1639">
        <v>0.6</v>
      </c>
      <c r="K1639" t="str" cm="1">
        <f t="array" ref="K1639">_xlfn.IFS(Table4_2[[#This Row],[Growth Days]]&lt;=14,"Seedling",Table4_2[[#This Row],[Growth Days]]&lt;=35, "Vegetative",Table4_2[[#This Row],[Growth Days]]&lt;=50, "Maturity")</f>
        <v>Maturity</v>
      </c>
      <c r="L1639" t="str">
        <f>IF(Table4_2[[#This Row],[TDS Value (ppm)]]&lt;560, "Low", IF(Table4_2[[#This Row],[TDS Value (ppm)]]&lt;=800,"Optimal","High"))</f>
        <v>Optimal</v>
      </c>
    </row>
    <row r="1640" spans="1:12" x14ac:dyDescent="0.25">
      <c r="A1640">
        <v>53</v>
      </c>
      <c r="B1640" s="1">
        <v>45183</v>
      </c>
      <c r="C1640" s="1" t="str">
        <f>TEXT(Table4_2[[#This Row],[Date]],"dddd")</f>
        <v>Thursday</v>
      </c>
      <c r="D1640" s="21">
        <v>24.6</v>
      </c>
      <c r="E1640" s="21">
        <v>76</v>
      </c>
      <c r="F1640" s="21">
        <v>625</v>
      </c>
      <c r="G1640" s="21">
        <v>6.1</v>
      </c>
      <c r="H1640">
        <v>43</v>
      </c>
      <c r="I1640">
        <v>76.28</v>
      </c>
      <c r="J1640">
        <v>0.76</v>
      </c>
      <c r="K1640" t="str" cm="1">
        <f t="array" ref="K1640">_xlfn.IFS(Table4_2[[#This Row],[Growth Days]]&lt;=14,"Seedling",Table4_2[[#This Row],[Growth Days]]&lt;=35, "Vegetative",Table4_2[[#This Row],[Growth Days]]&lt;=50, "Maturity")</f>
        <v>Maturity</v>
      </c>
      <c r="L1640" t="str">
        <f>IF(Table4_2[[#This Row],[TDS Value (ppm)]]&lt;560, "Low", IF(Table4_2[[#This Row],[TDS Value (ppm)]]&lt;=800,"Optimal","High"))</f>
        <v>Optimal</v>
      </c>
    </row>
    <row r="1641" spans="1:12" x14ac:dyDescent="0.25">
      <c r="A1641">
        <v>54</v>
      </c>
      <c r="B1641" s="1">
        <v>45141</v>
      </c>
      <c r="C1641" s="1" t="str">
        <f>TEXT(Table4_2[[#This Row],[Date]],"dddd")</f>
        <v>Thursday</v>
      </c>
      <c r="D1641" s="21">
        <v>23.7</v>
      </c>
      <c r="E1641" s="21">
        <v>65</v>
      </c>
      <c r="F1641" s="21">
        <v>564</v>
      </c>
      <c r="G1641" s="21">
        <v>6.6</v>
      </c>
      <c r="H1641">
        <v>1</v>
      </c>
      <c r="I1641">
        <v>74.66</v>
      </c>
      <c r="J1641">
        <v>0.65</v>
      </c>
      <c r="K1641" t="str" cm="1">
        <f t="array" ref="K1641">_xlfn.IFS(Table4_2[[#This Row],[Growth Days]]&lt;=14,"Seedling",Table4_2[[#This Row],[Growth Days]]&lt;=35, "Vegetative",Table4_2[[#This Row],[Growth Days]]&lt;=50, "Maturity")</f>
        <v>Seedling</v>
      </c>
      <c r="L1641" t="str">
        <f>IF(Table4_2[[#This Row],[TDS Value (ppm)]]&lt;560, "Low", IF(Table4_2[[#This Row],[TDS Value (ppm)]]&lt;=800,"Optimal","High"))</f>
        <v>Optimal</v>
      </c>
    </row>
    <row r="1642" spans="1:12" x14ac:dyDescent="0.25">
      <c r="A1642">
        <v>54</v>
      </c>
      <c r="B1642" s="1">
        <v>45148</v>
      </c>
      <c r="C1642" s="1" t="str">
        <f>TEXT(Table4_2[[#This Row],[Date]],"dddd")</f>
        <v>Thursday</v>
      </c>
      <c r="D1642" s="21">
        <v>20.8</v>
      </c>
      <c r="E1642" s="21">
        <v>62</v>
      </c>
      <c r="F1642" s="21">
        <v>503</v>
      </c>
      <c r="G1642" s="21">
        <v>6.1</v>
      </c>
      <c r="H1642">
        <v>8</v>
      </c>
      <c r="I1642">
        <v>69.44</v>
      </c>
      <c r="J1642">
        <v>0.62</v>
      </c>
      <c r="K1642" t="str" cm="1">
        <f t="array" ref="K1642">_xlfn.IFS(Table4_2[[#This Row],[Growth Days]]&lt;=14,"Seedling",Table4_2[[#This Row],[Growth Days]]&lt;=35, "Vegetative",Table4_2[[#This Row],[Growth Days]]&lt;=50, "Maturity")</f>
        <v>Seedling</v>
      </c>
      <c r="L1642" t="str">
        <f>IF(Table4_2[[#This Row],[TDS Value (ppm)]]&lt;560, "Low", IF(Table4_2[[#This Row],[TDS Value (ppm)]]&lt;=800,"Optimal","High"))</f>
        <v>Low</v>
      </c>
    </row>
    <row r="1643" spans="1:12" x14ac:dyDescent="0.25">
      <c r="A1643">
        <v>54</v>
      </c>
      <c r="B1643" s="1">
        <v>45155</v>
      </c>
      <c r="C1643" s="1" t="str">
        <f>TEXT(Table4_2[[#This Row],[Date]],"dddd")</f>
        <v>Thursday</v>
      </c>
      <c r="D1643" s="21">
        <v>19.399999999999999</v>
      </c>
      <c r="E1643" s="21">
        <v>75</v>
      </c>
      <c r="F1643" s="21">
        <v>452</v>
      </c>
      <c r="G1643" s="21">
        <v>6</v>
      </c>
      <c r="H1643">
        <v>15</v>
      </c>
      <c r="I1643">
        <v>66.92</v>
      </c>
      <c r="J1643">
        <v>0.75</v>
      </c>
      <c r="K1643" t="str" cm="1">
        <f t="array" ref="K1643">_xlfn.IFS(Table4_2[[#This Row],[Growth Days]]&lt;=14,"Seedling",Table4_2[[#This Row],[Growth Days]]&lt;=35, "Vegetative",Table4_2[[#This Row],[Growth Days]]&lt;=50, "Maturity")</f>
        <v>Vegetative</v>
      </c>
      <c r="L1643" t="str">
        <f>IF(Table4_2[[#This Row],[TDS Value (ppm)]]&lt;560, "Low", IF(Table4_2[[#This Row],[TDS Value (ppm)]]&lt;=800,"Optimal","High"))</f>
        <v>Low</v>
      </c>
    </row>
    <row r="1644" spans="1:12" x14ac:dyDescent="0.25">
      <c r="A1644">
        <v>54</v>
      </c>
      <c r="B1644" s="1">
        <v>45162</v>
      </c>
      <c r="C1644" s="1" t="str">
        <f>TEXT(Table4_2[[#This Row],[Date]],"dddd")</f>
        <v>Thursday</v>
      </c>
      <c r="D1644" s="21">
        <v>19.2</v>
      </c>
      <c r="E1644" s="21">
        <v>80</v>
      </c>
      <c r="F1644" s="21">
        <v>568</v>
      </c>
      <c r="G1644" s="21">
        <v>6</v>
      </c>
      <c r="H1644">
        <v>22</v>
      </c>
      <c r="I1644">
        <v>66.56</v>
      </c>
      <c r="J1644">
        <v>0.8</v>
      </c>
      <c r="K1644" t="str" cm="1">
        <f t="array" ref="K1644">_xlfn.IFS(Table4_2[[#This Row],[Growth Days]]&lt;=14,"Seedling",Table4_2[[#This Row],[Growth Days]]&lt;=35, "Vegetative",Table4_2[[#This Row],[Growth Days]]&lt;=50, "Maturity")</f>
        <v>Vegetative</v>
      </c>
      <c r="L1644" t="str">
        <f>IF(Table4_2[[#This Row],[TDS Value (ppm)]]&lt;560, "Low", IF(Table4_2[[#This Row],[TDS Value (ppm)]]&lt;=800,"Optimal","High"))</f>
        <v>Optimal</v>
      </c>
    </row>
    <row r="1645" spans="1:12" x14ac:dyDescent="0.25">
      <c r="A1645">
        <v>54</v>
      </c>
      <c r="B1645" s="1">
        <v>45169</v>
      </c>
      <c r="C1645" s="1" t="str">
        <f>TEXT(Table4_2[[#This Row],[Date]],"dddd")</f>
        <v>Thursday</v>
      </c>
      <c r="D1645" s="21">
        <v>18.5</v>
      </c>
      <c r="E1645" s="21">
        <v>67</v>
      </c>
      <c r="F1645" s="21">
        <v>786</v>
      </c>
      <c r="G1645" s="21">
        <v>6.7</v>
      </c>
      <c r="H1645">
        <v>29</v>
      </c>
      <c r="I1645">
        <v>65.3</v>
      </c>
      <c r="J1645">
        <v>0.67</v>
      </c>
      <c r="K1645" t="str" cm="1">
        <f t="array" ref="K1645">_xlfn.IFS(Table4_2[[#This Row],[Growth Days]]&lt;=14,"Seedling",Table4_2[[#This Row],[Growth Days]]&lt;=35, "Vegetative",Table4_2[[#This Row],[Growth Days]]&lt;=50, "Maturity")</f>
        <v>Vegetative</v>
      </c>
      <c r="L1645" t="str">
        <f>IF(Table4_2[[#This Row],[TDS Value (ppm)]]&lt;560, "Low", IF(Table4_2[[#This Row],[TDS Value (ppm)]]&lt;=800,"Optimal","High"))</f>
        <v>Optimal</v>
      </c>
    </row>
    <row r="1646" spans="1:12" x14ac:dyDescent="0.25">
      <c r="A1646">
        <v>54</v>
      </c>
      <c r="B1646" s="1">
        <v>45176</v>
      </c>
      <c r="C1646" s="1" t="str">
        <f>TEXT(Table4_2[[#This Row],[Date]],"dddd")</f>
        <v>Thursday</v>
      </c>
      <c r="D1646" s="21">
        <v>18.8</v>
      </c>
      <c r="E1646" s="21">
        <v>80</v>
      </c>
      <c r="F1646" s="21">
        <v>575</v>
      </c>
      <c r="G1646" s="21">
        <v>6.8</v>
      </c>
      <c r="H1646">
        <v>36</v>
      </c>
      <c r="I1646">
        <v>65.84</v>
      </c>
      <c r="J1646">
        <v>0.8</v>
      </c>
      <c r="K1646" t="str" cm="1">
        <f t="array" ref="K1646">_xlfn.IFS(Table4_2[[#This Row],[Growth Days]]&lt;=14,"Seedling",Table4_2[[#This Row],[Growth Days]]&lt;=35, "Vegetative",Table4_2[[#This Row],[Growth Days]]&lt;=50, "Maturity")</f>
        <v>Maturity</v>
      </c>
      <c r="L1646" t="str">
        <f>IF(Table4_2[[#This Row],[TDS Value (ppm)]]&lt;560, "Low", IF(Table4_2[[#This Row],[TDS Value (ppm)]]&lt;=800,"Optimal","High"))</f>
        <v>Optimal</v>
      </c>
    </row>
    <row r="1647" spans="1:12" x14ac:dyDescent="0.25">
      <c r="A1647">
        <v>54</v>
      </c>
      <c r="B1647" s="1">
        <v>45183</v>
      </c>
      <c r="C1647" s="1" t="str">
        <f>TEXT(Table4_2[[#This Row],[Date]],"dddd")</f>
        <v>Thursday</v>
      </c>
      <c r="D1647" s="21">
        <v>21.8</v>
      </c>
      <c r="E1647" s="21">
        <v>58</v>
      </c>
      <c r="F1647" s="21">
        <v>792</v>
      </c>
      <c r="G1647" s="21">
        <v>6.4</v>
      </c>
      <c r="H1647">
        <v>43</v>
      </c>
      <c r="I1647">
        <v>71.239999999999995</v>
      </c>
      <c r="J1647">
        <v>0.57999999999999996</v>
      </c>
      <c r="K1647" t="str" cm="1">
        <f t="array" ref="K1647">_xlfn.IFS(Table4_2[[#This Row],[Growth Days]]&lt;=14,"Seedling",Table4_2[[#This Row],[Growth Days]]&lt;=35, "Vegetative",Table4_2[[#This Row],[Growth Days]]&lt;=50, "Maturity")</f>
        <v>Maturity</v>
      </c>
      <c r="L1647" t="str">
        <f>IF(Table4_2[[#This Row],[TDS Value (ppm)]]&lt;560, "Low", IF(Table4_2[[#This Row],[TDS Value (ppm)]]&lt;=800,"Optimal","High"))</f>
        <v>Optimal</v>
      </c>
    </row>
    <row r="1648" spans="1:12" x14ac:dyDescent="0.25">
      <c r="A1648">
        <v>55</v>
      </c>
      <c r="B1648" s="1">
        <v>45141</v>
      </c>
      <c r="C1648" s="1" t="str">
        <f>TEXT(Table4_2[[#This Row],[Date]],"dddd")</f>
        <v>Thursday</v>
      </c>
      <c r="D1648" s="21">
        <v>18.7</v>
      </c>
      <c r="E1648" s="21">
        <v>65</v>
      </c>
      <c r="F1648" s="21">
        <v>603</v>
      </c>
      <c r="G1648" s="21">
        <v>6.3</v>
      </c>
      <c r="H1648">
        <v>1</v>
      </c>
      <c r="I1648">
        <v>65.66</v>
      </c>
      <c r="J1648">
        <v>0.65</v>
      </c>
      <c r="K1648" t="str" cm="1">
        <f t="array" ref="K1648">_xlfn.IFS(Table4_2[[#This Row],[Growth Days]]&lt;=14,"Seedling",Table4_2[[#This Row],[Growth Days]]&lt;=35, "Vegetative",Table4_2[[#This Row],[Growth Days]]&lt;=50, "Maturity")</f>
        <v>Seedling</v>
      </c>
      <c r="L1648" t="str">
        <f>IF(Table4_2[[#This Row],[TDS Value (ppm)]]&lt;560, "Low", IF(Table4_2[[#This Row],[TDS Value (ppm)]]&lt;=800,"Optimal","High"))</f>
        <v>Optimal</v>
      </c>
    </row>
    <row r="1649" spans="1:12" x14ac:dyDescent="0.25">
      <c r="A1649">
        <v>55</v>
      </c>
      <c r="B1649" s="1">
        <v>45148</v>
      </c>
      <c r="C1649" s="1" t="str">
        <f>TEXT(Table4_2[[#This Row],[Date]],"dddd")</f>
        <v>Thursday</v>
      </c>
      <c r="D1649" s="21">
        <v>21.6</v>
      </c>
      <c r="E1649" s="21">
        <v>70</v>
      </c>
      <c r="F1649" s="21">
        <v>652</v>
      </c>
      <c r="G1649" s="21">
        <v>6.7</v>
      </c>
      <c r="H1649">
        <v>8</v>
      </c>
      <c r="I1649">
        <v>70.88</v>
      </c>
      <c r="J1649">
        <v>0.7</v>
      </c>
      <c r="K1649" t="str" cm="1">
        <f t="array" ref="K1649">_xlfn.IFS(Table4_2[[#This Row],[Growth Days]]&lt;=14,"Seedling",Table4_2[[#This Row],[Growth Days]]&lt;=35, "Vegetative",Table4_2[[#This Row],[Growth Days]]&lt;=50, "Maturity")</f>
        <v>Seedling</v>
      </c>
      <c r="L1649" t="str">
        <f>IF(Table4_2[[#This Row],[TDS Value (ppm)]]&lt;560, "Low", IF(Table4_2[[#This Row],[TDS Value (ppm)]]&lt;=800,"Optimal","High"))</f>
        <v>Optimal</v>
      </c>
    </row>
    <row r="1650" spans="1:12" x14ac:dyDescent="0.25">
      <c r="A1650">
        <v>55</v>
      </c>
      <c r="B1650" s="1">
        <v>45155</v>
      </c>
      <c r="C1650" s="1" t="str">
        <f>TEXT(Table4_2[[#This Row],[Date]],"dddd")</f>
        <v>Thursday</v>
      </c>
      <c r="D1650" s="21">
        <v>22.2</v>
      </c>
      <c r="E1650" s="21">
        <v>69</v>
      </c>
      <c r="F1650" s="21">
        <v>455</v>
      </c>
      <c r="G1650" s="21">
        <v>6.2</v>
      </c>
      <c r="H1650">
        <v>15</v>
      </c>
      <c r="I1650">
        <v>71.959999999999994</v>
      </c>
      <c r="J1650">
        <v>0.69</v>
      </c>
      <c r="K1650" t="str" cm="1">
        <f t="array" ref="K1650">_xlfn.IFS(Table4_2[[#This Row],[Growth Days]]&lt;=14,"Seedling",Table4_2[[#This Row],[Growth Days]]&lt;=35, "Vegetative",Table4_2[[#This Row],[Growth Days]]&lt;=50, "Maturity")</f>
        <v>Vegetative</v>
      </c>
      <c r="L1650" t="str">
        <f>IF(Table4_2[[#This Row],[TDS Value (ppm)]]&lt;560, "Low", IF(Table4_2[[#This Row],[TDS Value (ppm)]]&lt;=800,"Optimal","High"))</f>
        <v>Low</v>
      </c>
    </row>
    <row r="1651" spans="1:12" x14ac:dyDescent="0.25">
      <c r="A1651">
        <v>55</v>
      </c>
      <c r="B1651" s="1">
        <v>45162</v>
      </c>
      <c r="C1651" s="1" t="str">
        <f>TEXT(Table4_2[[#This Row],[Date]],"dddd")</f>
        <v>Thursday</v>
      </c>
      <c r="D1651" s="21">
        <v>22.2</v>
      </c>
      <c r="E1651" s="21">
        <v>70</v>
      </c>
      <c r="F1651" s="21">
        <v>510</v>
      </c>
      <c r="G1651" s="21">
        <v>6</v>
      </c>
      <c r="H1651">
        <v>22</v>
      </c>
      <c r="I1651">
        <v>71.959999999999994</v>
      </c>
      <c r="J1651">
        <v>0.7</v>
      </c>
      <c r="K1651" t="str" cm="1">
        <f t="array" ref="K1651">_xlfn.IFS(Table4_2[[#This Row],[Growth Days]]&lt;=14,"Seedling",Table4_2[[#This Row],[Growth Days]]&lt;=35, "Vegetative",Table4_2[[#This Row],[Growth Days]]&lt;=50, "Maturity")</f>
        <v>Vegetative</v>
      </c>
      <c r="L1651" t="str">
        <f>IF(Table4_2[[#This Row],[TDS Value (ppm)]]&lt;560, "Low", IF(Table4_2[[#This Row],[TDS Value (ppm)]]&lt;=800,"Optimal","High"))</f>
        <v>Low</v>
      </c>
    </row>
    <row r="1652" spans="1:12" x14ac:dyDescent="0.25">
      <c r="A1652">
        <v>55</v>
      </c>
      <c r="B1652" s="1">
        <v>45169</v>
      </c>
      <c r="C1652" s="1" t="str">
        <f>TEXT(Table4_2[[#This Row],[Date]],"dddd")</f>
        <v>Thursday</v>
      </c>
      <c r="D1652" s="21">
        <v>18.5</v>
      </c>
      <c r="E1652" s="21">
        <v>54</v>
      </c>
      <c r="F1652" s="21">
        <v>596</v>
      </c>
      <c r="G1652" s="21">
        <v>6</v>
      </c>
      <c r="H1652">
        <v>29</v>
      </c>
      <c r="I1652">
        <v>65.3</v>
      </c>
      <c r="J1652">
        <v>0.54</v>
      </c>
      <c r="K1652" t="str" cm="1">
        <f t="array" ref="K1652">_xlfn.IFS(Table4_2[[#This Row],[Growth Days]]&lt;=14,"Seedling",Table4_2[[#This Row],[Growth Days]]&lt;=35, "Vegetative",Table4_2[[#This Row],[Growth Days]]&lt;=50, "Maturity")</f>
        <v>Vegetative</v>
      </c>
      <c r="L1652" t="str">
        <f>IF(Table4_2[[#This Row],[TDS Value (ppm)]]&lt;560, "Low", IF(Table4_2[[#This Row],[TDS Value (ppm)]]&lt;=800,"Optimal","High"))</f>
        <v>Optimal</v>
      </c>
    </row>
    <row r="1653" spans="1:12" x14ac:dyDescent="0.25">
      <c r="A1653">
        <v>55</v>
      </c>
      <c r="B1653" s="1">
        <v>45176</v>
      </c>
      <c r="C1653" s="1" t="str">
        <f>TEXT(Table4_2[[#This Row],[Date]],"dddd")</f>
        <v>Thursday</v>
      </c>
      <c r="D1653" s="21">
        <v>24.5</v>
      </c>
      <c r="E1653" s="21">
        <v>55</v>
      </c>
      <c r="F1653" s="21">
        <v>733</v>
      </c>
      <c r="G1653" s="21">
        <v>6.1</v>
      </c>
      <c r="H1653">
        <v>36</v>
      </c>
      <c r="I1653">
        <v>76.099999999999994</v>
      </c>
      <c r="J1653">
        <v>0.55000000000000004</v>
      </c>
      <c r="K1653" t="str" cm="1">
        <f t="array" ref="K1653">_xlfn.IFS(Table4_2[[#This Row],[Growth Days]]&lt;=14,"Seedling",Table4_2[[#This Row],[Growth Days]]&lt;=35, "Vegetative",Table4_2[[#This Row],[Growth Days]]&lt;=50, "Maturity")</f>
        <v>Maturity</v>
      </c>
      <c r="L1653" t="str">
        <f>IF(Table4_2[[#This Row],[TDS Value (ppm)]]&lt;560, "Low", IF(Table4_2[[#This Row],[TDS Value (ppm)]]&lt;=800,"Optimal","High"))</f>
        <v>Optimal</v>
      </c>
    </row>
    <row r="1654" spans="1:12" x14ac:dyDescent="0.25">
      <c r="A1654">
        <v>55</v>
      </c>
      <c r="B1654" s="1">
        <v>45183</v>
      </c>
      <c r="C1654" s="1" t="str">
        <f>TEXT(Table4_2[[#This Row],[Date]],"dddd")</f>
        <v>Thursday</v>
      </c>
      <c r="D1654" s="21">
        <v>18.100000000000001</v>
      </c>
      <c r="E1654" s="21">
        <v>76</v>
      </c>
      <c r="F1654" s="21">
        <v>712</v>
      </c>
      <c r="G1654" s="21">
        <v>6.7</v>
      </c>
      <c r="H1654">
        <v>43</v>
      </c>
      <c r="I1654">
        <v>64.58</v>
      </c>
      <c r="J1654">
        <v>0.76</v>
      </c>
      <c r="K1654" t="str" cm="1">
        <f t="array" ref="K1654">_xlfn.IFS(Table4_2[[#This Row],[Growth Days]]&lt;=14,"Seedling",Table4_2[[#This Row],[Growth Days]]&lt;=35, "Vegetative",Table4_2[[#This Row],[Growth Days]]&lt;=50, "Maturity")</f>
        <v>Maturity</v>
      </c>
      <c r="L1654" t="str">
        <f>IF(Table4_2[[#This Row],[TDS Value (ppm)]]&lt;560, "Low", IF(Table4_2[[#This Row],[TDS Value (ppm)]]&lt;=800,"Optimal","High"))</f>
        <v>Optimal</v>
      </c>
    </row>
    <row r="1655" spans="1:12" x14ac:dyDescent="0.25">
      <c r="A1655">
        <v>56</v>
      </c>
      <c r="B1655" s="1">
        <v>45141</v>
      </c>
      <c r="C1655" s="1" t="str">
        <f>TEXT(Table4_2[[#This Row],[Date]],"dddd")</f>
        <v>Thursday</v>
      </c>
      <c r="D1655" s="21">
        <v>24.9</v>
      </c>
      <c r="E1655" s="21">
        <v>73</v>
      </c>
      <c r="F1655" s="21">
        <v>728</v>
      </c>
      <c r="G1655" s="21">
        <v>6.7</v>
      </c>
      <c r="H1655">
        <v>1</v>
      </c>
      <c r="I1655">
        <v>76.819999999999993</v>
      </c>
      <c r="J1655">
        <v>0.73</v>
      </c>
      <c r="K1655" t="str" cm="1">
        <f t="array" ref="K1655">_xlfn.IFS(Table4_2[[#This Row],[Growth Days]]&lt;=14,"Seedling",Table4_2[[#This Row],[Growth Days]]&lt;=35, "Vegetative",Table4_2[[#This Row],[Growth Days]]&lt;=50, "Maturity")</f>
        <v>Seedling</v>
      </c>
      <c r="L1655" t="str">
        <f>IF(Table4_2[[#This Row],[TDS Value (ppm)]]&lt;560, "Low", IF(Table4_2[[#This Row],[TDS Value (ppm)]]&lt;=800,"Optimal","High"))</f>
        <v>Optimal</v>
      </c>
    </row>
    <row r="1656" spans="1:12" x14ac:dyDescent="0.25">
      <c r="A1656">
        <v>56</v>
      </c>
      <c r="B1656" s="1">
        <v>45148</v>
      </c>
      <c r="C1656" s="1" t="str">
        <f>TEXT(Table4_2[[#This Row],[Date]],"dddd")</f>
        <v>Thursday</v>
      </c>
      <c r="D1656" s="21">
        <v>21.2</v>
      </c>
      <c r="E1656" s="21">
        <v>75</v>
      </c>
      <c r="F1656" s="21">
        <v>484</v>
      </c>
      <c r="G1656" s="21">
        <v>6.2</v>
      </c>
      <c r="H1656">
        <v>8</v>
      </c>
      <c r="I1656">
        <v>70.16</v>
      </c>
      <c r="J1656">
        <v>0.75</v>
      </c>
      <c r="K1656" t="str" cm="1">
        <f t="array" ref="K1656">_xlfn.IFS(Table4_2[[#This Row],[Growth Days]]&lt;=14,"Seedling",Table4_2[[#This Row],[Growth Days]]&lt;=35, "Vegetative",Table4_2[[#This Row],[Growth Days]]&lt;=50, "Maturity")</f>
        <v>Seedling</v>
      </c>
      <c r="L1656" t="str">
        <f>IF(Table4_2[[#This Row],[TDS Value (ppm)]]&lt;560, "Low", IF(Table4_2[[#This Row],[TDS Value (ppm)]]&lt;=800,"Optimal","High"))</f>
        <v>Low</v>
      </c>
    </row>
    <row r="1657" spans="1:12" x14ac:dyDescent="0.25">
      <c r="A1657">
        <v>56</v>
      </c>
      <c r="B1657" s="1">
        <v>45155</v>
      </c>
      <c r="C1657" s="1" t="str">
        <f>TEXT(Table4_2[[#This Row],[Date]],"dddd")</f>
        <v>Thursday</v>
      </c>
      <c r="D1657" s="21">
        <v>20</v>
      </c>
      <c r="E1657" s="21">
        <v>78</v>
      </c>
      <c r="F1657" s="21">
        <v>501</v>
      </c>
      <c r="G1657" s="21">
        <v>6.2</v>
      </c>
      <c r="H1657">
        <v>15</v>
      </c>
      <c r="I1657">
        <v>68</v>
      </c>
      <c r="J1657">
        <v>0.78</v>
      </c>
      <c r="K1657" t="str" cm="1">
        <f t="array" ref="K1657">_xlfn.IFS(Table4_2[[#This Row],[Growth Days]]&lt;=14,"Seedling",Table4_2[[#This Row],[Growth Days]]&lt;=35, "Vegetative",Table4_2[[#This Row],[Growth Days]]&lt;=50, "Maturity")</f>
        <v>Vegetative</v>
      </c>
      <c r="L1657" t="str">
        <f>IF(Table4_2[[#This Row],[TDS Value (ppm)]]&lt;560, "Low", IF(Table4_2[[#This Row],[TDS Value (ppm)]]&lt;=800,"Optimal","High"))</f>
        <v>Low</v>
      </c>
    </row>
    <row r="1658" spans="1:12" x14ac:dyDescent="0.25">
      <c r="A1658">
        <v>56</v>
      </c>
      <c r="B1658" s="1">
        <v>45162</v>
      </c>
      <c r="C1658" s="1" t="str">
        <f>TEXT(Table4_2[[#This Row],[Date]],"dddd")</f>
        <v>Thursday</v>
      </c>
      <c r="D1658" s="21">
        <v>22.7</v>
      </c>
      <c r="E1658" s="21">
        <v>53</v>
      </c>
      <c r="F1658" s="21">
        <v>432</v>
      </c>
      <c r="G1658" s="21">
        <v>6.2</v>
      </c>
      <c r="H1658">
        <v>22</v>
      </c>
      <c r="I1658">
        <v>72.86</v>
      </c>
      <c r="J1658">
        <v>0.53</v>
      </c>
      <c r="K1658" t="str" cm="1">
        <f t="array" ref="K1658">_xlfn.IFS(Table4_2[[#This Row],[Growth Days]]&lt;=14,"Seedling",Table4_2[[#This Row],[Growth Days]]&lt;=35, "Vegetative",Table4_2[[#This Row],[Growth Days]]&lt;=50, "Maturity")</f>
        <v>Vegetative</v>
      </c>
      <c r="L1658" t="str">
        <f>IF(Table4_2[[#This Row],[TDS Value (ppm)]]&lt;560, "Low", IF(Table4_2[[#This Row],[TDS Value (ppm)]]&lt;=800,"Optimal","High"))</f>
        <v>Low</v>
      </c>
    </row>
    <row r="1659" spans="1:12" x14ac:dyDescent="0.25">
      <c r="A1659">
        <v>56</v>
      </c>
      <c r="B1659" s="1">
        <v>45169</v>
      </c>
      <c r="C1659" s="1" t="str">
        <f>TEXT(Table4_2[[#This Row],[Date]],"dddd")</f>
        <v>Thursday</v>
      </c>
      <c r="D1659" s="21">
        <v>24.4</v>
      </c>
      <c r="E1659" s="21">
        <v>67</v>
      </c>
      <c r="F1659" s="21">
        <v>425</v>
      </c>
      <c r="G1659" s="21">
        <v>6.7</v>
      </c>
      <c r="H1659">
        <v>29</v>
      </c>
      <c r="I1659">
        <v>75.92</v>
      </c>
      <c r="J1659">
        <v>0.67</v>
      </c>
      <c r="K1659" t="str" cm="1">
        <f t="array" ref="K1659">_xlfn.IFS(Table4_2[[#This Row],[Growth Days]]&lt;=14,"Seedling",Table4_2[[#This Row],[Growth Days]]&lt;=35, "Vegetative",Table4_2[[#This Row],[Growth Days]]&lt;=50, "Maturity")</f>
        <v>Vegetative</v>
      </c>
      <c r="L1659" t="str">
        <f>IF(Table4_2[[#This Row],[TDS Value (ppm)]]&lt;560, "Low", IF(Table4_2[[#This Row],[TDS Value (ppm)]]&lt;=800,"Optimal","High"))</f>
        <v>Low</v>
      </c>
    </row>
    <row r="1660" spans="1:12" x14ac:dyDescent="0.25">
      <c r="A1660">
        <v>56</v>
      </c>
      <c r="B1660" s="1">
        <v>45176</v>
      </c>
      <c r="C1660" s="1" t="str">
        <f>TEXT(Table4_2[[#This Row],[Date]],"dddd")</f>
        <v>Thursday</v>
      </c>
      <c r="D1660" s="21">
        <v>18.5</v>
      </c>
      <c r="E1660" s="21">
        <v>51</v>
      </c>
      <c r="F1660" s="21">
        <v>777</v>
      </c>
      <c r="G1660" s="21">
        <v>6.1</v>
      </c>
      <c r="H1660">
        <v>36</v>
      </c>
      <c r="I1660">
        <v>65.3</v>
      </c>
      <c r="J1660">
        <v>0.51</v>
      </c>
      <c r="K1660" t="str" cm="1">
        <f t="array" ref="K1660">_xlfn.IFS(Table4_2[[#This Row],[Growth Days]]&lt;=14,"Seedling",Table4_2[[#This Row],[Growth Days]]&lt;=35, "Vegetative",Table4_2[[#This Row],[Growth Days]]&lt;=50, "Maturity")</f>
        <v>Maturity</v>
      </c>
      <c r="L1660" t="str">
        <f>IF(Table4_2[[#This Row],[TDS Value (ppm)]]&lt;560, "Low", IF(Table4_2[[#This Row],[TDS Value (ppm)]]&lt;=800,"Optimal","High"))</f>
        <v>Optimal</v>
      </c>
    </row>
    <row r="1661" spans="1:12" x14ac:dyDescent="0.25">
      <c r="A1661">
        <v>56</v>
      </c>
      <c r="B1661" s="1">
        <v>45183</v>
      </c>
      <c r="C1661" s="1" t="str">
        <f>TEXT(Table4_2[[#This Row],[Date]],"dddd")</f>
        <v>Thursday</v>
      </c>
      <c r="D1661" s="21">
        <v>22.5</v>
      </c>
      <c r="E1661" s="21">
        <v>62</v>
      </c>
      <c r="F1661" s="21">
        <v>439</v>
      </c>
      <c r="G1661" s="21">
        <v>6.1</v>
      </c>
      <c r="H1661">
        <v>43</v>
      </c>
      <c r="I1661">
        <v>72.5</v>
      </c>
      <c r="J1661">
        <v>0.62</v>
      </c>
      <c r="K1661" t="str" cm="1">
        <f t="array" ref="K1661">_xlfn.IFS(Table4_2[[#This Row],[Growth Days]]&lt;=14,"Seedling",Table4_2[[#This Row],[Growth Days]]&lt;=35, "Vegetative",Table4_2[[#This Row],[Growth Days]]&lt;=50, "Maturity")</f>
        <v>Maturity</v>
      </c>
      <c r="L1661" t="str">
        <f>IF(Table4_2[[#This Row],[TDS Value (ppm)]]&lt;560, "Low", IF(Table4_2[[#This Row],[TDS Value (ppm)]]&lt;=800,"Optimal","High"))</f>
        <v>Low</v>
      </c>
    </row>
    <row r="1662" spans="1:12" x14ac:dyDescent="0.25">
      <c r="A1662">
        <v>57</v>
      </c>
      <c r="B1662" s="1">
        <v>45141</v>
      </c>
      <c r="C1662" s="1" t="str">
        <f>TEXT(Table4_2[[#This Row],[Date]],"dddd")</f>
        <v>Thursday</v>
      </c>
      <c r="D1662" s="21">
        <v>19.5</v>
      </c>
      <c r="E1662" s="21">
        <v>56</v>
      </c>
      <c r="F1662" s="21">
        <v>733</v>
      </c>
      <c r="G1662" s="21">
        <v>6.4</v>
      </c>
      <c r="H1662">
        <v>1</v>
      </c>
      <c r="I1662">
        <v>67.099999999999994</v>
      </c>
      <c r="J1662">
        <v>0.56000000000000005</v>
      </c>
      <c r="K1662" t="str" cm="1">
        <f t="array" ref="K1662">_xlfn.IFS(Table4_2[[#This Row],[Growth Days]]&lt;=14,"Seedling",Table4_2[[#This Row],[Growth Days]]&lt;=35, "Vegetative",Table4_2[[#This Row],[Growth Days]]&lt;=50, "Maturity")</f>
        <v>Seedling</v>
      </c>
      <c r="L1662" t="str">
        <f>IF(Table4_2[[#This Row],[TDS Value (ppm)]]&lt;560, "Low", IF(Table4_2[[#This Row],[TDS Value (ppm)]]&lt;=800,"Optimal","High"))</f>
        <v>Optimal</v>
      </c>
    </row>
    <row r="1663" spans="1:12" x14ac:dyDescent="0.25">
      <c r="A1663">
        <v>57</v>
      </c>
      <c r="B1663" s="1">
        <v>45148</v>
      </c>
      <c r="C1663" s="1" t="str">
        <f>TEXT(Table4_2[[#This Row],[Date]],"dddd")</f>
        <v>Thursday</v>
      </c>
      <c r="D1663" s="21">
        <v>22.7</v>
      </c>
      <c r="E1663" s="21">
        <v>75</v>
      </c>
      <c r="F1663" s="21">
        <v>689</v>
      </c>
      <c r="G1663" s="21">
        <v>6.3</v>
      </c>
      <c r="H1663">
        <v>8</v>
      </c>
      <c r="I1663">
        <v>72.86</v>
      </c>
      <c r="J1663">
        <v>0.75</v>
      </c>
      <c r="K1663" t="str" cm="1">
        <f t="array" ref="K1663">_xlfn.IFS(Table4_2[[#This Row],[Growth Days]]&lt;=14,"Seedling",Table4_2[[#This Row],[Growth Days]]&lt;=35, "Vegetative",Table4_2[[#This Row],[Growth Days]]&lt;=50, "Maturity")</f>
        <v>Seedling</v>
      </c>
      <c r="L1663" t="str">
        <f>IF(Table4_2[[#This Row],[TDS Value (ppm)]]&lt;560, "Low", IF(Table4_2[[#This Row],[TDS Value (ppm)]]&lt;=800,"Optimal","High"))</f>
        <v>Optimal</v>
      </c>
    </row>
    <row r="1664" spans="1:12" x14ac:dyDescent="0.25">
      <c r="A1664">
        <v>57</v>
      </c>
      <c r="B1664" s="1">
        <v>45155</v>
      </c>
      <c r="C1664" s="1" t="str">
        <f>TEXT(Table4_2[[#This Row],[Date]],"dddd")</f>
        <v>Thursday</v>
      </c>
      <c r="D1664" s="21">
        <v>21.1</v>
      </c>
      <c r="E1664" s="21">
        <v>56</v>
      </c>
      <c r="F1664" s="21">
        <v>625</v>
      </c>
      <c r="G1664" s="21">
        <v>6.7</v>
      </c>
      <c r="H1664">
        <v>15</v>
      </c>
      <c r="I1664">
        <v>69.98</v>
      </c>
      <c r="J1664">
        <v>0.56000000000000005</v>
      </c>
      <c r="K1664" t="str" cm="1">
        <f t="array" ref="K1664">_xlfn.IFS(Table4_2[[#This Row],[Growth Days]]&lt;=14,"Seedling",Table4_2[[#This Row],[Growth Days]]&lt;=35, "Vegetative",Table4_2[[#This Row],[Growth Days]]&lt;=50, "Maturity")</f>
        <v>Vegetative</v>
      </c>
      <c r="L1664" t="str">
        <f>IF(Table4_2[[#This Row],[TDS Value (ppm)]]&lt;560, "Low", IF(Table4_2[[#This Row],[TDS Value (ppm)]]&lt;=800,"Optimal","High"))</f>
        <v>Optimal</v>
      </c>
    </row>
    <row r="1665" spans="1:12" x14ac:dyDescent="0.25">
      <c r="A1665">
        <v>57</v>
      </c>
      <c r="B1665" s="1">
        <v>45162</v>
      </c>
      <c r="C1665" s="1" t="str">
        <f>TEXT(Table4_2[[#This Row],[Date]],"dddd")</f>
        <v>Thursday</v>
      </c>
      <c r="D1665" s="21">
        <v>18.100000000000001</v>
      </c>
      <c r="E1665" s="21">
        <v>50</v>
      </c>
      <c r="F1665" s="21">
        <v>408</v>
      </c>
      <c r="G1665" s="21">
        <v>6.6</v>
      </c>
      <c r="H1665">
        <v>22</v>
      </c>
      <c r="I1665">
        <v>64.58</v>
      </c>
      <c r="J1665">
        <v>0.5</v>
      </c>
      <c r="K1665" t="str" cm="1">
        <f t="array" ref="K1665">_xlfn.IFS(Table4_2[[#This Row],[Growth Days]]&lt;=14,"Seedling",Table4_2[[#This Row],[Growth Days]]&lt;=35, "Vegetative",Table4_2[[#This Row],[Growth Days]]&lt;=50, "Maturity")</f>
        <v>Vegetative</v>
      </c>
      <c r="L1665" t="str">
        <f>IF(Table4_2[[#This Row],[TDS Value (ppm)]]&lt;560, "Low", IF(Table4_2[[#This Row],[TDS Value (ppm)]]&lt;=800,"Optimal","High"))</f>
        <v>Low</v>
      </c>
    </row>
    <row r="1666" spans="1:12" x14ac:dyDescent="0.25">
      <c r="A1666">
        <v>57</v>
      </c>
      <c r="B1666" s="1">
        <v>45169</v>
      </c>
      <c r="C1666" s="1" t="str">
        <f>TEXT(Table4_2[[#This Row],[Date]],"dddd")</f>
        <v>Thursday</v>
      </c>
      <c r="D1666" s="21">
        <v>20.8</v>
      </c>
      <c r="E1666" s="21">
        <v>57</v>
      </c>
      <c r="F1666" s="21">
        <v>732</v>
      </c>
      <c r="G1666" s="21">
        <v>6.3</v>
      </c>
      <c r="H1666">
        <v>29</v>
      </c>
      <c r="I1666">
        <v>69.44</v>
      </c>
      <c r="J1666">
        <v>0.56999999999999995</v>
      </c>
      <c r="K1666" t="str" cm="1">
        <f t="array" ref="K1666">_xlfn.IFS(Table4_2[[#This Row],[Growth Days]]&lt;=14,"Seedling",Table4_2[[#This Row],[Growth Days]]&lt;=35, "Vegetative",Table4_2[[#This Row],[Growth Days]]&lt;=50, "Maturity")</f>
        <v>Vegetative</v>
      </c>
      <c r="L1666" t="str">
        <f>IF(Table4_2[[#This Row],[TDS Value (ppm)]]&lt;560, "Low", IF(Table4_2[[#This Row],[TDS Value (ppm)]]&lt;=800,"Optimal","High"))</f>
        <v>Optimal</v>
      </c>
    </row>
    <row r="1667" spans="1:12" x14ac:dyDescent="0.25">
      <c r="A1667">
        <v>57</v>
      </c>
      <c r="B1667" s="1">
        <v>45176</v>
      </c>
      <c r="C1667" s="1" t="str">
        <f>TEXT(Table4_2[[#This Row],[Date]],"dddd")</f>
        <v>Thursday</v>
      </c>
      <c r="D1667" s="21">
        <v>21.8</v>
      </c>
      <c r="E1667" s="21">
        <v>76</v>
      </c>
      <c r="F1667" s="21">
        <v>560</v>
      </c>
      <c r="G1667" s="21">
        <v>6.7</v>
      </c>
      <c r="H1667">
        <v>36</v>
      </c>
      <c r="I1667">
        <v>71.239999999999995</v>
      </c>
      <c r="J1667">
        <v>0.76</v>
      </c>
      <c r="K1667" t="str" cm="1">
        <f t="array" ref="K1667">_xlfn.IFS(Table4_2[[#This Row],[Growth Days]]&lt;=14,"Seedling",Table4_2[[#This Row],[Growth Days]]&lt;=35, "Vegetative",Table4_2[[#This Row],[Growth Days]]&lt;=50, "Maturity")</f>
        <v>Maturity</v>
      </c>
      <c r="L1667" t="str">
        <f>IF(Table4_2[[#This Row],[TDS Value (ppm)]]&lt;560, "Low", IF(Table4_2[[#This Row],[TDS Value (ppm)]]&lt;=800,"Optimal","High"))</f>
        <v>Optimal</v>
      </c>
    </row>
    <row r="1668" spans="1:12" x14ac:dyDescent="0.25">
      <c r="A1668">
        <v>57</v>
      </c>
      <c r="B1668" s="1">
        <v>45183</v>
      </c>
      <c r="C1668" s="1" t="str">
        <f>TEXT(Table4_2[[#This Row],[Date]],"dddd")</f>
        <v>Thursday</v>
      </c>
      <c r="D1668" s="21">
        <v>18.2</v>
      </c>
      <c r="E1668" s="21">
        <v>61</v>
      </c>
      <c r="F1668" s="21">
        <v>431</v>
      </c>
      <c r="G1668" s="21">
        <v>6.4</v>
      </c>
      <c r="H1668">
        <v>43</v>
      </c>
      <c r="I1668">
        <v>64.760000000000005</v>
      </c>
      <c r="J1668">
        <v>0.61</v>
      </c>
      <c r="K1668" t="str" cm="1">
        <f t="array" ref="K1668">_xlfn.IFS(Table4_2[[#This Row],[Growth Days]]&lt;=14,"Seedling",Table4_2[[#This Row],[Growth Days]]&lt;=35, "Vegetative",Table4_2[[#This Row],[Growth Days]]&lt;=50, "Maturity")</f>
        <v>Maturity</v>
      </c>
      <c r="L1668" t="str">
        <f>IF(Table4_2[[#This Row],[TDS Value (ppm)]]&lt;560, "Low", IF(Table4_2[[#This Row],[TDS Value (ppm)]]&lt;=800,"Optimal","High"))</f>
        <v>Low</v>
      </c>
    </row>
    <row r="1669" spans="1:12" x14ac:dyDescent="0.25">
      <c r="A1669">
        <v>58</v>
      </c>
      <c r="B1669" s="1">
        <v>45141</v>
      </c>
      <c r="C1669" s="1" t="str">
        <f>TEXT(Table4_2[[#This Row],[Date]],"dddd")</f>
        <v>Thursday</v>
      </c>
      <c r="D1669" s="21">
        <v>18.7</v>
      </c>
      <c r="E1669" s="21">
        <v>56</v>
      </c>
      <c r="F1669" s="21">
        <v>681</v>
      </c>
      <c r="G1669" s="21">
        <v>6.7</v>
      </c>
      <c r="H1669">
        <v>1</v>
      </c>
      <c r="I1669">
        <v>65.66</v>
      </c>
      <c r="J1669">
        <v>0.56000000000000005</v>
      </c>
      <c r="K1669" t="str" cm="1">
        <f t="array" ref="K1669">_xlfn.IFS(Table4_2[[#This Row],[Growth Days]]&lt;=14,"Seedling",Table4_2[[#This Row],[Growth Days]]&lt;=35, "Vegetative",Table4_2[[#This Row],[Growth Days]]&lt;=50, "Maturity")</f>
        <v>Seedling</v>
      </c>
      <c r="L1669" t="str">
        <f>IF(Table4_2[[#This Row],[TDS Value (ppm)]]&lt;560, "Low", IF(Table4_2[[#This Row],[TDS Value (ppm)]]&lt;=800,"Optimal","High"))</f>
        <v>Optimal</v>
      </c>
    </row>
    <row r="1670" spans="1:12" x14ac:dyDescent="0.25">
      <c r="A1670">
        <v>58</v>
      </c>
      <c r="B1670" s="1">
        <v>45148</v>
      </c>
      <c r="C1670" s="1" t="str">
        <f>TEXT(Table4_2[[#This Row],[Date]],"dddd")</f>
        <v>Thursday</v>
      </c>
      <c r="D1670" s="21">
        <v>20.5</v>
      </c>
      <c r="E1670" s="21">
        <v>74</v>
      </c>
      <c r="F1670" s="21">
        <v>487</v>
      </c>
      <c r="G1670" s="21">
        <v>6</v>
      </c>
      <c r="H1670">
        <v>8</v>
      </c>
      <c r="I1670">
        <v>68.900000000000006</v>
      </c>
      <c r="J1670">
        <v>0.74</v>
      </c>
      <c r="K1670" t="str" cm="1">
        <f t="array" ref="K1670">_xlfn.IFS(Table4_2[[#This Row],[Growth Days]]&lt;=14,"Seedling",Table4_2[[#This Row],[Growth Days]]&lt;=35, "Vegetative",Table4_2[[#This Row],[Growth Days]]&lt;=50, "Maturity")</f>
        <v>Seedling</v>
      </c>
      <c r="L1670" t="str">
        <f>IF(Table4_2[[#This Row],[TDS Value (ppm)]]&lt;560, "Low", IF(Table4_2[[#This Row],[TDS Value (ppm)]]&lt;=800,"Optimal","High"))</f>
        <v>Low</v>
      </c>
    </row>
    <row r="1671" spans="1:12" x14ac:dyDescent="0.25">
      <c r="A1671">
        <v>58</v>
      </c>
      <c r="B1671" s="1">
        <v>45155</v>
      </c>
      <c r="C1671" s="1" t="str">
        <f>TEXT(Table4_2[[#This Row],[Date]],"dddd")</f>
        <v>Thursday</v>
      </c>
      <c r="D1671" s="21">
        <v>22.7</v>
      </c>
      <c r="E1671" s="21">
        <v>66</v>
      </c>
      <c r="F1671" s="21">
        <v>503</v>
      </c>
      <c r="G1671" s="21">
        <v>6.3</v>
      </c>
      <c r="H1671">
        <v>15</v>
      </c>
      <c r="I1671">
        <v>72.86</v>
      </c>
      <c r="J1671">
        <v>0.66</v>
      </c>
      <c r="K1671" t="str" cm="1">
        <f t="array" ref="K1671">_xlfn.IFS(Table4_2[[#This Row],[Growth Days]]&lt;=14,"Seedling",Table4_2[[#This Row],[Growth Days]]&lt;=35, "Vegetative",Table4_2[[#This Row],[Growth Days]]&lt;=50, "Maturity")</f>
        <v>Vegetative</v>
      </c>
      <c r="L1671" t="str">
        <f>IF(Table4_2[[#This Row],[TDS Value (ppm)]]&lt;560, "Low", IF(Table4_2[[#This Row],[TDS Value (ppm)]]&lt;=800,"Optimal","High"))</f>
        <v>Low</v>
      </c>
    </row>
    <row r="1672" spans="1:12" x14ac:dyDescent="0.25">
      <c r="A1672">
        <v>58</v>
      </c>
      <c r="B1672" s="1">
        <v>45162</v>
      </c>
      <c r="C1672" s="1" t="str">
        <f>TEXT(Table4_2[[#This Row],[Date]],"dddd")</f>
        <v>Thursday</v>
      </c>
      <c r="D1672" s="21">
        <v>24.2</v>
      </c>
      <c r="E1672" s="21">
        <v>76</v>
      </c>
      <c r="F1672" s="21">
        <v>524</v>
      </c>
      <c r="G1672" s="21">
        <v>6</v>
      </c>
      <c r="H1672">
        <v>22</v>
      </c>
      <c r="I1672">
        <v>75.56</v>
      </c>
      <c r="J1672">
        <v>0.76</v>
      </c>
      <c r="K1672" t="str" cm="1">
        <f t="array" ref="K1672">_xlfn.IFS(Table4_2[[#This Row],[Growth Days]]&lt;=14,"Seedling",Table4_2[[#This Row],[Growth Days]]&lt;=35, "Vegetative",Table4_2[[#This Row],[Growth Days]]&lt;=50, "Maturity")</f>
        <v>Vegetative</v>
      </c>
      <c r="L1672" t="str">
        <f>IF(Table4_2[[#This Row],[TDS Value (ppm)]]&lt;560, "Low", IF(Table4_2[[#This Row],[TDS Value (ppm)]]&lt;=800,"Optimal","High"))</f>
        <v>Low</v>
      </c>
    </row>
    <row r="1673" spans="1:12" x14ac:dyDescent="0.25">
      <c r="A1673">
        <v>58</v>
      </c>
      <c r="B1673" s="1">
        <v>45169</v>
      </c>
      <c r="C1673" s="1" t="str">
        <f>TEXT(Table4_2[[#This Row],[Date]],"dddd")</f>
        <v>Thursday</v>
      </c>
      <c r="D1673" s="21">
        <v>18</v>
      </c>
      <c r="E1673" s="21">
        <v>59</v>
      </c>
      <c r="F1673" s="21">
        <v>467</v>
      </c>
      <c r="G1673" s="21">
        <v>6.1</v>
      </c>
      <c r="H1673">
        <v>29</v>
      </c>
      <c r="I1673">
        <v>64.400000000000006</v>
      </c>
      <c r="J1673">
        <v>0.59</v>
      </c>
      <c r="K1673" t="str" cm="1">
        <f t="array" ref="K1673">_xlfn.IFS(Table4_2[[#This Row],[Growth Days]]&lt;=14,"Seedling",Table4_2[[#This Row],[Growth Days]]&lt;=35, "Vegetative",Table4_2[[#This Row],[Growth Days]]&lt;=50, "Maturity")</f>
        <v>Vegetative</v>
      </c>
      <c r="L1673" t="str">
        <f>IF(Table4_2[[#This Row],[TDS Value (ppm)]]&lt;560, "Low", IF(Table4_2[[#This Row],[TDS Value (ppm)]]&lt;=800,"Optimal","High"))</f>
        <v>Low</v>
      </c>
    </row>
    <row r="1674" spans="1:12" x14ac:dyDescent="0.25">
      <c r="A1674">
        <v>58</v>
      </c>
      <c r="B1674" s="1">
        <v>45176</v>
      </c>
      <c r="C1674" s="1" t="str">
        <f>TEXT(Table4_2[[#This Row],[Date]],"dddd")</f>
        <v>Thursday</v>
      </c>
      <c r="D1674" s="21">
        <v>18.399999999999999</v>
      </c>
      <c r="E1674" s="21">
        <v>60</v>
      </c>
      <c r="F1674" s="21">
        <v>420</v>
      </c>
      <c r="G1674" s="21">
        <v>6.2</v>
      </c>
      <c r="H1674">
        <v>36</v>
      </c>
      <c r="I1674">
        <v>65.12</v>
      </c>
      <c r="J1674">
        <v>0.6</v>
      </c>
      <c r="K1674" t="str" cm="1">
        <f t="array" ref="K1674">_xlfn.IFS(Table4_2[[#This Row],[Growth Days]]&lt;=14,"Seedling",Table4_2[[#This Row],[Growth Days]]&lt;=35, "Vegetative",Table4_2[[#This Row],[Growth Days]]&lt;=50, "Maturity")</f>
        <v>Maturity</v>
      </c>
      <c r="L1674" t="str">
        <f>IF(Table4_2[[#This Row],[TDS Value (ppm)]]&lt;560, "Low", IF(Table4_2[[#This Row],[TDS Value (ppm)]]&lt;=800,"Optimal","High"))</f>
        <v>Low</v>
      </c>
    </row>
    <row r="1675" spans="1:12" x14ac:dyDescent="0.25">
      <c r="A1675">
        <v>58</v>
      </c>
      <c r="B1675" s="1">
        <v>45183</v>
      </c>
      <c r="C1675" s="1" t="str">
        <f>TEXT(Table4_2[[#This Row],[Date]],"dddd")</f>
        <v>Thursday</v>
      </c>
      <c r="D1675" s="21">
        <v>19.399999999999999</v>
      </c>
      <c r="E1675" s="21">
        <v>63</v>
      </c>
      <c r="F1675" s="21">
        <v>467</v>
      </c>
      <c r="G1675" s="21">
        <v>6.5</v>
      </c>
      <c r="H1675">
        <v>43</v>
      </c>
      <c r="I1675">
        <v>66.92</v>
      </c>
      <c r="J1675">
        <v>0.63</v>
      </c>
      <c r="K1675" t="str" cm="1">
        <f t="array" ref="K1675">_xlfn.IFS(Table4_2[[#This Row],[Growth Days]]&lt;=14,"Seedling",Table4_2[[#This Row],[Growth Days]]&lt;=35, "Vegetative",Table4_2[[#This Row],[Growth Days]]&lt;=50, "Maturity")</f>
        <v>Maturity</v>
      </c>
      <c r="L1675" t="str">
        <f>IF(Table4_2[[#This Row],[TDS Value (ppm)]]&lt;560, "Low", IF(Table4_2[[#This Row],[TDS Value (ppm)]]&lt;=800,"Optimal","High"))</f>
        <v>Low</v>
      </c>
    </row>
    <row r="1676" spans="1:12" x14ac:dyDescent="0.25">
      <c r="A1676">
        <v>59</v>
      </c>
      <c r="B1676" s="1">
        <v>45141</v>
      </c>
      <c r="C1676" s="1" t="str">
        <f>TEXT(Table4_2[[#This Row],[Date]],"dddd")</f>
        <v>Thursday</v>
      </c>
      <c r="D1676" s="21">
        <v>22.8</v>
      </c>
      <c r="E1676" s="21">
        <v>63</v>
      </c>
      <c r="F1676" s="21">
        <v>743</v>
      </c>
      <c r="G1676" s="21">
        <v>6.3</v>
      </c>
      <c r="H1676">
        <v>1</v>
      </c>
      <c r="I1676">
        <v>73.040000000000006</v>
      </c>
      <c r="J1676">
        <v>0.63</v>
      </c>
      <c r="K1676" t="str" cm="1">
        <f t="array" ref="K1676">_xlfn.IFS(Table4_2[[#This Row],[Growth Days]]&lt;=14,"Seedling",Table4_2[[#This Row],[Growth Days]]&lt;=35, "Vegetative",Table4_2[[#This Row],[Growth Days]]&lt;=50, "Maturity")</f>
        <v>Seedling</v>
      </c>
      <c r="L1676" t="str">
        <f>IF(Table4_2[[#This Row],[TDS Value (ppm)]]&lt;560, "Low", IF(Table4_2[[#This Row],[TDS Value (ppm)]]&lt;=800,"Optimal","High"))</f>
        <v>Optimal</v>
      </c>
    </row>
    <row r="1677" spans="1:12" x14ac:dyDescent="0.25">
      <c r="A1677">
        <v>59</v>
      </c>
      <c r="B1677" s="1">
        <v>45148</v>
      </c>
      <c r="C1677" s="1" t="str">
        <f>TEXT(Table4_2[[#This Row],[Date]],"dddd")</f>
        <v>Thursday</v>
      </c>
      <c r="D1677" s="21">
        <v>18.5</v>
      </c>
      <c r="E1677" s="21">
        <v>65</v>
      </c>
      <c r="F1677" s="21">
        <v>620</v>
      </c>
      <c r="G1677" s="21">
        <v>6.1</v>
      </c>
      <c r="H1677">
        <v>8</v>
      </c>
      <c r="I1677">
        <v>65.3</v>
      </c>
      <c r="J1677">
        <v>0.65</v>
      </c>
      <c r="K1677" t="str" cm="1">
        <f t="array" ref="K1677">_xlfn.IFS(Table4_2[[#This Row],[Growth Days]]&lt;=14,"Seedling",Table4_2[[#This Row],[Growth Days]]&lt;=35, "Vegetative",Table4_2[[#This Row],[Growth Days]]&lt;=50, "Maturity")</f>
        <v>Seedling</v>
      </c>
      <c r="L1677" t="str">
        <f>IF(Table4_2[[#This Row],[TDS Value (ppm)]]&lt;560, "Low", IF(Table4_2[[#This Row],[TDS Value (ppm)]]&lt;=800,"Optimal","High"))</f>
        <v>Optimal</v>
      </c>
    </row>
    <row r="1678" spans="1:12" x14ac:dyDescent="0.25">
      <c r="A1678">
        <v>59</v>
      </c>
      <c r="B1678" s="1">
        <v>45155</v>
      </c>
      <c r="C1678" s="1" t="str">
        <f>TEXT(Table4_2[[#This Row],[Date]],"dddd")</f>
        <v>Thursday</v>
      </c>
      <c r="D1678" s="21">
        <v>19.899999999999999</v>
      </c>
      <c r="E1678" s="21">
        <v>59</v>
      </c>
      <c r="F1678" s="21">
        <v>446</v>
      </c>
      <c r="G1678" s="21">
        <v>6.5</v>
      </c>
      <c r="H1678">
        <v>15</v>
      </c>
      <c r="I1678">
        <v>67.819999999999993</v>
      </c>
      <c r="J1678">
        <v>0.59</v>
      </c>
      <c r="K1678" t="str" cm="1">
        <f t="array" ref="K1678">_xlfn.IFS(Table4_2[[#This Row],[Growth Days]]&lt;=14,"Seedling",Table4_2[[#This Row],[Growth Days]]&lt;=35, "Vegetative",Table4_2[[#This Row],[Growth Days]]&lt;=50, "Maturity")</f>
        <v>Vegetative</v>
      </c>
      <c r="L1678" t="str">
        <f>IF(Table4_2[[#This Row],[TDS Value (ppm)]]&lt;560, "Low", IF(Table4_2[[#This Row],[TDS Value (ppm)]]&lt;=800,"Optimal","High"))</f>
        <v>Low</v>
      </c>
    </row>
    <row r="1679" spans="1:12" x14ac:dyDescent="0.25">
      <c r="A1679">
        <v>59</v>
      </c>
      <c r="B1679" s="1">
        <v>45162</v>
      </c>
      <c r="C1679" s="1" t="str">
        <f>TEXT(Table4_2[[#This Row],[Date]],"dddd")</f>
        <v>Thursday</v>
      </c>
      <c r="D1679" s="21">
        <v>24.2</v>
      </c>
      <c r="E1679" s="21">
        <v>58</v>
      </c>
      <c r="F1679" s="21">
        <v>599</v>
      </c>
      <c r="G1679" s="21">
        <v>6.4</v>
      </c>
      <c r="H1679">
        <v>22</v>
      </c>
      <c r="I1679">
        <v>75.56</v>
      </c>
      <c r="J1679">
        <v>0.57999999999999996</v>
      </c>
      <c r="K1679" t="str" cm="1">
        <f t="array" ref="K1679">_xlfn.IFS(Table4_2[[#This Row],[Growth Days]]&lt;=14,"Seedling",Table4_2[[#This Row],[Growth Days]]&lt;=35, "Vegetative",Table4_2[[#This Row],[Growth Days]]&lt;=50, "Maturity")</f>
        <v>Vegetative</v>
      </c>
      <c r="L1679" t="str">
        <f>IF(Table4_2[[#This Row],[TDS Value (ppm)]]&lt;560, "Low", IF(Table4_2[[#This Row],[TDS Value (ppm)]]&lt;=800,"Optimal","High"))</f>
        <v>Optimal</v>
      </c>
    </row>
    <row r="1680" spans="1:12" x14ac:dyDescent="0.25">
      <c r="A1680">
        <v>59</v>
      </c>
      <c r="B1680" s="1">
        <v>45169</v>
      </c>
      <c r="C1680" s="1" t="str">
        <f>TEXT(Table4_2[[#This Row],[Date]],"dddd")</f>
        <v>Thursday</v>
      </c>
      <c r="D1680" s="21">
        <v>24.9</v>
      </c>
      <c r="E1680" s="21">
        <v>61</v>
      </c>
      <c r="F1680" s="21">
        <v>582</v>
      </c>
      <c r="G1680" s="21">
        <v>6.3</v>
      </c>
      <c r="H1680">
        <v>29</v>
      </c>
      <c r="I1680">
        <v>76.819999999999993</v>
      </c>
      <c r="J1680">
        <v>0.61</v>
      </c>
      <c r="K1680" t="str" cm="1">
        <f t="array" ref="K1680">_xlfn.IFS(Table4_2[[#This Row],[Growth Days]]&lt;=14,"Seedling",Table4_2[[#This Row],[Growth Days]]&lt;=35, "Vegetative",Table4_2[[#This Row],[Growth Days]]&lt;=50, "Maturity")</f>
        <v>Vegetative</v>
      </c>
      <c r="L1680" t="str">
        <f>IF(Table4_2[[#This Row],[TDS Value (ppm)]]&lt;560, "Low", IF(Table4_2[[#This Row],[TDS Value (ppm)]]&lt;=800,"Optimal","High"))</f>
        <v>Optimal</v>
      </c>
    </row>
    <row r="1681" spans="1:12" x14ac:dyDescent="0.25">
      <c r="A1681">
        <v>59</v>
      </c>
      <c r="B1681" s="1">
        <v>45176</v>
      </c>
      <c r="C1681" s="1" t="str">
        <f>TEXT(Table4_2[[#This Row],[Date]],"dddd")</f>
        <v>Thursday</v>
      </c>
      <c r="D1681" s="21">
        <v>18</v>
      </c>
      <c r="E1681" s="21">
        <v>57</v>
      </c>
      <c r="F1681" s="21">
        <v>682</v>
      </c>
      <c r="G1681" s="21">
        <v>6.2</v>
      </c>
      <c r="H1681">
        <v>36</v>
      </c>
      <c r="I1681">
        <v>64.400000000000006</v>
      </c>
      <c r="J1681">
        <v>0.56999999999999995</v>
      </c>
      <c r="K1681" t="str" cm="1">
        <f t="array" ref="K1681">_xlfn.IFS(Table4_2[[#This Row],[Growth Days]]&lt;=14,"Seedling",Table4_2[[#This Row],[Growth Days]]&lt;=35, "Vegetative",Table4_2[[#This Row],[Growth Days]]&lt;=50, "Maturity")</f>
        <v>Maturity</v>
      </c>
      <c r="L1681" t="str">
        <f>IF(Table4_2[[#This Row],[TDS Value (ppm)]]&lt;560, "Low", IF(Table4_2[[#This Row],[TDS Value (ppm)]]&lt;=800,"Optimal","High"))</f>
        <v>Optimal</v>
      </c>
    </row>
    <row r="1682" spans="1:12" x14ac:dyDescent="0.25">
      <c r="A1682">
        <v>59</v>
      </c>
      <c r="B1682" s="1">
        <v>45183</v>
      </c>
      <c r="C1682" s="1" t="str">
        <f>TEXT(Table4_2[[#This Row],[Date]],"dddd")</f>
        <v>Thursday</v>
      </c>
      <c r="D1682" s="21">
        <v>22.8</v>
      </c>
      <c r="E1682" s="21">
        <v>69</v>
      </c>
      <c r="F1682" s="21">
        <v>625</v>
      </c>
      <c r="G1682" s="21">
        <v>6.5</v>
      </c>
      <c r="H1682">
        <v>43</v>
      </c>
      <c r="I1682">
        <v>73.040000000000006</v>
      </c>
      <c r="J1682">
        <v>0.69</v>
      </c>
      <c r="K1682" t="str" cm="1">
        <f t="array" ref="K1682">_xlfn.IFS(Table4_2[[#This Row],[Growth Days]]&lt;=14,"Seedling",Table4_2[[#This Row],[Growth Days]]&lt;=35, "Vegetative",Table4_2[[#This Row],[Growth Days]]&lt;=50, "Maturity")</f>
        <v>Maturity</v>
      </c>
      <c r="L1682" t="str">
        <f>IF(Table4_2[[#This Row],[TDS Value (ppm)]]&lt;560, "Low", IF(Table4_2[[#This Row],[TDS Value (ppm)]]&lt;=800,"Optimal","High"))</f>
        <v>Optimal</v>
      </c>
    </row>
    <row r="1683" spans="1:12" x14ac:dyDescent="0.25">
      <c r="A1683">
        <v>60</v>
      </c>
      <c r="B1683" s="1">
        <v>45141</v>
      </c>
      <c r="C1683" s="1" t="str">
        <f>TEXT(Table4_2[[#This Row],[Date]],"dddd")</f>
        <v>Thursday</v>
      </c>
      <c r="D1683" s="21">
        <v>20.2</v>
      </c>
      <c r="E1683" s="21">
        <v>65</v>
      </c>
      <c r="F1683" s="21">
        <v>527</v>
      </c>
      <c r="G1683" s="21">
        <v>6.5</v>
      </c>
      <c r="H1683">
        <v>1</v>
      </c>
      <c r="I1683">
        <v>68.36</v>
      </c>
      <c r="J1683">
        <v>0.65</v>
      </c>
      <c r="K1683" t="str" cm="1">
        <f t="array" ref="K1683">_xlfn.IFS(Table4_2[[#This Row],[Growth Days]]&lt;=14,"Seedling",Table4_2[[#This Row],[Growth Days]]&lt;=35, "Vegetative",Table4_2[[#This Row],[Growth Days]]&lt;=50, "Maturity")</f>
        <v>Seedling</v>
      </c>
      <c r="L1683" t="str">
        <f>IF(Table4_2[[#This Row],[TDS Value (ppm)]]&lt;560, "Low", IF(Table4_2[[#This Row],[TDS Value (ppm)]]&lt;=800,"Optimal","High"))</f>
        <v>Low</v>
      </c>
    </row>
    <row r="1684" spans="1:12" x14ac:dyDescent="0.25">
      <c r="A1684">
        <v>60</v>
      </c>
      <c r="B1684" s="1">
        <v>45148</v>
      </c>
      <c r="C1684" s="1" t="str">
        <f>TEXT(Table4_2[[#This Row],[Date]],"dddd")</f>
        <v>Thursday</v>
      </c>
      <c r="D1684" s="21">
        <v>23.3</v>
      </c>
      <c r="E1684" s="21">
        <v>72</v>
      </c>
      <c r="F1684" s="21">
        <v>666</v>
      </c>
      <c r="G1684" s="21">
        <v>6.3</v>
      </c>
      <c r="H1684">
        <v>8</v>
      </c>
      <c r="I1684">
        <v>73.94</v>
      </c>
      <c r="J1684">
        <v>0.72</v>
      </c>
      <c r="K1684" t="str" cm="1">
        <f t="array" ref="K1684">_xlfn.IFS(Table4_2[[#This Row],[Growth Days]]&lt;=14,"Seedling",Table4_2[[#This Row],[Growth Days]]&lt;=35, "Vegetative",Table4_2[[#This Row],[Growth Days]]&lt;=50, "Maturity")</f>
        <v>Seedling</v>
      </c>
      <c r="L1684" t="str">
        <f>IF(Table4_2[[#This Row],[TDS Value (ppm)]]&lt;560, "Low", IF(Table4_2[[#This Row],[TDS Value (ppm)]]&lt;=800,"Optimal","High"))</f>
        <v>Optimal</v>
      </c>
    </row>
    <row r="1685" spans="1:12" x14ac:dyDescent="0.25">
      <c r="A1685">
        <v>60</v>
      </c>
      <c r="B1685" s="1">
        <v>45155</v>
      </c>
      <c r="C1685" s="1" t="str">
        <f>TEXT(Table4_2[[#This Row],[Date]],"dddd")</f>
        <v>Thursday</v>
      </c>
      <c r="D1685" s="21">
        <v>22.4</v>
      </c>
      <c r="E1685" s="21">
        <v>65</v>
      </c>
      <c r="F1685" s="21">
        <v>800</v>
      </c>
      <c r="G1685" s="21">
        <v>6.1</v>
      </c>
      <c r="H1685">
        <v>15</v>
      </c>
      <c r="I1685">
        <v>72.319999999999993</v>
      </c>
      <c r="J1685">
        <v>0.65</v>
      </c>
      <c r="K1685" t="str" cm="1">
        <f t="array" ref="K1685">_xlfn.IFS(Table4_2[[#This Row],[Growth Days]]&lt;=14,"Seedling",Table4_2[[#This Row],[Growth Days]]&lt;=35, "Vegetative",Table4_2[[#This Row],[Growth Days]]&lt;=50, "Maturity")</f>
        <v>Vegetative</v>
      </c>
      <c r="L1685" t="str">
        <f>IF(Table4_2[[#This Row],[TDS Value (ppm)]]&lt;560, "Low", IF(Table4_2[[#This Row],[TDS Value (ppm)]]&lt;=800,"Optimal","High"))</f>
        <v>Optimal</v>
      </c>
    </row>
    <row r="1686" spans="1:12" x14ac:dyDescent="0.25">
      <c r="A1686">
        <v>60</v>
      </c>
      <c r="B1686" s="1">
        <v>45162</v>
      </c>
      <c r="C1686" s="1" t="str">
        <f>TEXT(Table4_2[[#This Row],[Date]],"dddd")</f>
        <v>Thursday</v>
      </c>
      <c r="D1686" s="21">
        <v>22.2</v>
      </c>
      <c r="E1686" s="21">
        <v>55</v>
      </c>
      <c r="F1686" s="21">
        <v>713</v>
      </c>
      <c r="G1686" s="21">
        <v>6.4</v>
      </c>
      <c r="H1686">
        <v>22</v>
      </c>
      <c r="I1686">
        <v>71.959999999999994</v>
      </c>
      <c r="J1686">
        <v>0.55000000000000004</v>
      </c>
      <c r="K1686" t="str" cm="1">
        <f t="array" ref="K1686">_xlfn.IFS(Table4_2[[#This Row],[Growth Days]]&lt;=14,"Seedling",Table4_2[[#This Row],[Growth Days]]&lt;=35, "Vegetative",Table4_2[[#This Row],[Growth Days]]&lt;=50, "Maturity")</f>
        <v>Vegetative</v>
      </c>
      <c r="L1686" t="str">
        <f>IF(Table4_2[[#This Row],[TDS Value (ppm)]]&lt;560, "Low", IF(Table4_2[[#This Row],[TDS Value (ppm)]]&lt;=800,"Optimal","High"))</f>
        <v>Optimal</v>
      </c>
    </row>
    <row r="1687" spans="1:12" x14ac:dyDescent="0.25">
      <c r="A1687">
        <v>60</v>
      </c>
      <c r="B1687" s="1">
        <v>45169</v>
      </c>
      <c r="C1687" s="1" t="str">
        <f>TEXT(Table4_2[[#This Row],[Date]],"dddd")</f>
        <v>Thursday</v>
      </c>
      <c r="D1687" s="21">
        <v>19.899999999999999</v>
      </c>
      <c r="E1687" s="21">
        <v>79</v>
      </c>
      <c r="F1687" s="21">
        <v>439</v>
      </c>
      <c r="G1687" s="21">
        <v>6.1</v>
      </c>
      <c r="H1687">
        <v>29</v>
      </c>
      <c r="I1687">
        <v>67.819999999999993</v>
      </c>
      <c r="J1687">
        <v>0.79</v>
      </c>
      <c r="K1687" t="str" cm="1">
        <f t="array" ref="K1687">_xlfn.IFS(Table4_2[[#This Row],[Growth Days]]&lt;=14,"Seedling",Table4_2[[#This Row],[Growth Days]]&lt;=35, "Vegetative",Table4_2[[#This Row],[Growth Days]]&lt;=50, "Maturity")</f>
        <v>Vegetative</v>
      </c>
      <c r="L1687" t="str">
        <f>IF(Table4_2[[#This Row],[TDS Value (ppm)]]&lt;560, "Low", IF(Table4_2[[#This Row],[TDS Value (ppm)]]&lt;=800,"Optimal","High"))</f>
        <v>Low</v>
      </c>
    </row>
    <row r="1688" spans="1:12" x14ac:dyDescent="0.25">
      <c r="A1688">
        <v>60</v>
      </c>
      <c r="B1688" s="1">
        <v>45176</v>
      </c>
      <c r="C1688" s="1" t="str">
        <f>TEXT(Table4_2[[#This Row],[Date]],"dddd")</f>
        <v>Thursday</v>
      </c>
      <c r="D1688" s="21">
        <v>20.9</v>
      </c>
      <c r="E1688" s="21">
        <v>77</v>
      </c>
      <c r="F1688" s="21">
        <v>568</v>
      </c>
      <c r="G1688" s="21">
        <v>6.7</v>
      </c>
      <c r="H1688">
        <v>36</v>
      </c>
      <c r="I1688">
        <v>69.62</v>
      </c>
      <c r="J1688">
        <v>0.77</v>
      </c>
      <c r="K1688" t="str" cm="1">
        <f t="array" ref="K1688">_xlfn.IFS(Table4_2[[#This Row],[Growth Days]]&lt;=14,"Seedling",Table4_2[[#This Row],[Growth Days]]&lt;=35, "Vegetative",Table4_2[[#This Row],[Growth Days]]&lt;=50, "Maturity")</f>
        <v>Maturity</v>
      </c>
      <c r="L1688" t="str">
        <f>IF(Table4_2[[#This Row],[TDS Value (ppm)]]&lt;560, "Low", IF(Table4_2[[#This Row],[TDS Value (ppm)]]&lt;=800,"Optimal","High"))</f>
        <v>Optimal</v>
      </c>
    </row>
    <row r="1689" spans="1:12" x14ac:dyDescent="0.25">
      <c r="A1689">
        <v>60</v>
      </c>
      <c r="B1689" s="1">
        <v>45183</v>
      </c>
      <c r="C1689" s="1" t="str">
        <f>TEXT(Table4_2[[#This Row],[Date]],"dddd")</f>
        <v>Thursday</v>
      </c>
      <c r="D1689" s="21">
        <v>20.8</v>
      </c>
      <c r="E1689" s="21">
        <v>67</v>
      </c>
      <c r="F1689" s="21">
        <v>595</v>
      </c>
      <c r="G1689" s="21">
        <v>6</v>
      </c>
      <c r="H1689">
        <v>43</v>
      </c>
      <c r="I1689">
        <v>69.44</v>
      </c>
      <c r="J1689">
        <v>0.67</v>
      </c>
      <c r="K1689" t="str" cm="1">
        <f t="array" ref="K1689">_xlfn.IFS(Table4_2[[#This Row],[Growth Days]]&lt;=14,"Seedling",Table4_2[[#This Row],[Growth Days]]&lt;=35, "Vegetative",Table4_2[[#This Row],[Growth Days]]&lt;=50, "Maturity")</f>
        <v>Maturity</v>
      </c>
      <c r="L1689" t="str">
        <f>IF(Table4_2[[#This Row],[TDS Value (ppm)]]&lt;560, "Low", IF(Table4_2[[#This Row],[TDS Value (ppm)]]&lt;=800,"Optimal","High"))</f>
        <v>Optimal</v>
      </c>
    </row>
    <row r="1690" spans="1:12" x14ac:dyDescent="0.25">
      <c r="A1690">
        <v>61</v>
      </c>
      <c r="B1690" s="1">
        <v>45141</v>
      </c>
      <c r="C1690" s="1" t="str">
        <f>TEXT(Table4_2[[#This Row],[Date]],"dddd")</f>
        <v>Thursday</v>
      </c>
      <c r="D1690" s="21">
        <v>23.1</v>
      </c>
      <c r="E1690" s="21">
        <v>59</v>
      </c>
      <c r="F1690" s="21">
        <v>702</v>
      </c>
      <c r="G1690" s="21">
        <v>6.5</v>
      </c>
      <c r="H1690">
        <v>1</v>
      </c>
      <c r="I1690">
        <v>73.58</v>
      </c>
      <c r="J1690">
        <v>0.59</v>
      </c>
      <c r="K1690" t="str" cm="1">
        <f t="array" ref="K1690">_xlfn.IFS(Table4_2[[#This Row],[Growth Days]]&lt;=14,"Seedling",Table4_2[[#This Row],[Growth Days]]&lt;=35, "Vegetative",Table4_2[[#This Row],[Growth Days]]&lt;=50, "Maturity")</f>
        <v>Seedling</v>
      </c>
      <c r="L1690" t="str">
        <f>IF(Table4_2[[#This Row],[TDS Value (ppm)]]&lt;560, "Low", IF(Table4_2[[#This Row],[TDS Value (ppm)]]&lt;=800,"Optimal","High"))</f>
        <v>Optimal</v>
      </c>
    </row>
    <row r="1691" spans="1:12" x14ac:dyDescent="0.25">
      <c r="A1691">
        <v>61</v>
      </c>
      <c r="B1691" s="1">
        <v>45148</v>
      </c>
      <c r="C1691" s="1" t="str">
        <f>TEXT(Table4_2[[#This Row],[Date]],"dddd")</f>
        <v>Thursday</v>
      </c>
      <c r="D1691" s="21">
        <v>18.7</v>
      </c>
      <c r="E1691" s="21">
        <v>78</v>
      </c>
      <c r="F1691" s="21">
        <v>786</v>
      </c>
      <c r="G1691" s="21">
        <v>6.3</v>
      </c>
      <c r="H1691">
        <v>8</v>
      </c>
      <c r="I1691">
        <v>65.66</v>
      </c>
      <c r="J1691">
        <v>0.78</v>
      </c>
      <c r="K1691" t="str" cm="1">
        <f t="array" ref="K1691">_xlfn.IFS(Table4_2[[#This Row],[Growth Days]]&lt;=14,"Seedling",Table4_2[[#This Row],[Growth Days]]&lt;=35, "Vegetative",Table4_2[[#This Row],[Growth Days]]&lt;=50, "Maturity")</f>
        <v>Seedling</v>
      </c>
      <c r="L1691" t="str">
        <f>IF(Table4_2[[#This Row],[TDS Value (ppm)]]&lt;560, "Low", IF(Table4_2[[#This Row],[TDS Value (ppm)]]&lt;=800,"Optimal","High"))</f>
        <v>Optimal</v>
      </c>
    </row>
    <row r="1692" spans="1:12" x14ac:dyDescent="0.25">
      <c r="A1692">
        <v>61</v>
      </c>
      <c r="B1692" s="1">
        <v>45155</v>
      </c>
      <c r="C1692" s="1" t="str">
        <f>TEXT(Table4_2[[#This Row],[Date]],"dddd")</f>
        <v>Thursday</v>
      </c>
      <c r="D1692" s="21">
        <v>18.399999999999999</v>
      </c>
      <c r="E1692" s="21">
        <v>80</v>
      </c>
      <c r="F1692" s="21">
        <v>494</v>
      </c>
      <c r="G1692" s="21">
        <v>6.5</v>
      </c>
      <c r="H1692">
        <v>15</v>
      </c>
      <c r="I1692">
        <v>65.12</v>
      </c>
      <c r="J1692">
        <v>0.8</v>
      </c>
      <c r="K1692" t="str" cm="1">
        <f t="array" ref="K1692">_xlfn.IFS(Table4_2[[#This Row],[Growth Days]]&lt;=14,"Seedling",Table4_2[[#This Row],[Growth Days]]&lt;=35, "Vegetative",Table4_2[[#This Row],[Growth Days]]&lt;=50, "Maturity")</f>
        <v>Vegetative</v>
      </c>
      <c r="L1692" t="str">
        <f>IF(Table4_2[[#This Row],[TDS Value (ppm)]]&lt;560, "Low", IF(Table4_2[[#This Row],[TDS Value (ppm)]]&lt;=800,"Optimal","High"))</f>
        <v>Low</v>
      </c>
    </row>
    <row r="1693" spans="1:12" x14ac:dyDescent="0.25">
      <c r="A1693">
        <v>61</v>
      </c>
      <c r="B1693" s="1">
        <v>45162</v>
      </c>
      <c r="C1693" s="1" t="str">
        <f>TEXT(Table4_2[[#This Row],[Date]],"dddd")</f>
        <v>Thursday</v>
      </c>
      <c r="D1693" s="21">
        <v>18.899999999999999</v>
      </c>
      <c r="E1693" s="21">
        <v>55</v>
      </c>
      <c r="F1693" s="21">
        <v>728</v>
      </c>
      <c r="G1693" s="21">
        <v>6.3</v>
      </c>
      <c r="H1693">
        <v>22</v>
      </c>
      <c r="I1693">
        <v>66.02</v>
      </c>
      <c r="J1693">
        <v>0.55000000000000004</v>
      </c>
      <c r="K1693" t="str" cm="1">
        <f t="array" ref="K1693">_xlfn.IFS(Table4_2[[#This Row],[Growth Days]]&lt;=14,"Seedling",Table4_2[[#This Row],[Growth Days]]&lt;=35, "Vegetative",Table4_2[[#This Row],[Growth Days]]&lt;=50, "Maturity")</f>
        <v>Vegetative</v>
      </c>
      <c r="L1693" t="str">
        <f>IF(Table4_2[[#This Row],[TDS Value (ppm)]]&lt;560, "Low", IF(Table4_2[[#This Row],[TDS Value (ppm)]]&lt;=800,"Optimal","High"))</f>
        <v>Optimal</v>
      </c>
    </row>
    <row r="1694" spans="1:12" x14ac:dyDescent="0.25">
      <c r="A1694">
        <v>61</v>
      </c>
      <c r="B1694" s="1">
        <v>45169</v>
      </c>
      <c r="C1694" s="1" t="str">
        <f>TEXT(Table4_2[[#This Row],[Date]],"dddd")</f>
        <v>Thursday</v>
      </c>
      <c r="D1694" s="21">
        <v>22.4</v>
      </c>
      <c r="E1694" s="21">
        <v>80</v>
      </c>
      <c r="F1694" s="21">
        <v>773</v>
      </c>
      <c r="G1694" s="21">
        <v>6.6</v>
      </c>
      <c r="H1694">
        <v>29</v>
      </c>
      <c r="I1694">
        <v>72.319999999999993</v>
      </c>
      <c r="J1694">
        <v>0.8</v>
      </c>
      <c r="K1694" t="str" cm="1">
        <f t="array" ref="K1694">_xlfn.IFS(Table4_2[[#This Row],[Growth Days]]&lt;=14,"Seedling",Table4_2[[#This Row],[Growth Days]]&lt;=35, "Vegetative",Table4_2[[#This Row],[Growth Days]]&lt;=50, "Maturity")</f>
        <v>Vegetative</v>
      </c>
      <c r="L1694" t="str">
        <f>IF(Table4_2[[#This Row],[TDS Value (ppm)]]&lt;560, "Low", IF(Table4_2[[#This Row],[TDS Value (ppm)]]&lt;=800,"Optimal","High"))</f>
        <v>Optimal</v>
      </c>
    </row>
    <row r="1695" spans="1:12" x14ac:dyDescent="0.25">
      <c r="A1695">
        <v>61</v>
      </c>
      <c r="B1695" s="1">
        <v>45176</v>
      </c>
      <c r="C1695" s="1" t="str">
        <f>TEXT(Table4_2[[#This Row],[Date]],"dddd")</f>
        <v>Thursday</v>
      </c>
      <c r="D1695" s="21">
        <v>19</v>
      </c>
      <c r="E1695" s="21">
        <v>65</v>
      </c>
      <c r="F1695" s="21">
        <v>502</v>
      </c>
      <c r="G1695" s="21">
        <v>6.2</v>
      </c>
      <c r="H1695">
        <v>36</v>
      </c>
      <c r="I1695">
        <v>66.2</v>
      </c>
      <c r="J1695">
        <v>0.65</v>
      </c>
      <c r="K1695" t="str" cm="1">
        <f t="array" ref="K1695">_xlfn.IFS(Table4_2[[#This Row],[Growth Days]]&lt;=14,"Seedling",Table4_2[[#This Row],[Growth Days]]&lt;=35, "Vegetative",Table4_2[[#This Row],[Growth Days]]&lt;=50, "Maturity")</f>
        <v>Maturity</v>
      </c>
      <c r="L1695" t="str">
        <f>IF(Table4_2[[#This Row],[TDS Value (ppm)]]&lt;560, "Low", IF(Table4_2[[#This Row],[TDS Value (ppm)]]&lt;=800,"Optimal","High"))</f>
        <v>Low</v>
      </c>
    </row>
    <row r="1696" spans="1:12" x14ac:dyDescent="0.25">
      <c r="A1696">
        <v>61</v>
      </c>
      <c r="B1696" s="1">
        <v>45183</v>
      </c>
      <c r="C1696" s="1" t="str">
        <f>TEXT(Table4_2[[#This Row],[Date]],"dddd")</f>
        <v>Thursday</v>
      </c>
      <c r="D1696" s="21">
        <v>18.100000000000001</v>
      </c>
      <c r="E1696" s="21">
        <v>58</v>
      </c>
      <c r="F1696" s="21">
        <v>795</v>
      </c>
      <c r="G1696" s="21">
        <v>6.2</v>
      </c>
      <c r="H1696">
        <v>43</v>
      </c>
      <c r="I1696">
        <v>64.58</v>
      </c>
      <c r="J1696">
        <v>0.57999999999999996</v>
      </c>
      <c r="K1696" t="str" cm="1">
        <f t="array" ref="K1696">_xlfn.IFS(Table4_2[[#This Row],[Growth Days]]&lt;=14,"Seedling",Table4_2[[#This Row],[Growth Days]]&lt;=35, "Vegetative",Table4_2[[#This Row],[Growth Days]]&lt;=50, "Maturity")</f>
        <v>Maturity</v>
      </c>
      <c r="L1696" t="str">
        <f>IF(Table4_2[[#This Row],[TDS Value (ppm)]]&lt;560, "Low", IF(Table4_2[[#This Row],[TDS Value (ppm)]]&lt;=800,"Optimal","High"))</f>
        <v>Optimal</v>
      </c>
    </row>
    <row r="1697" spans="1:12" x14ac:dyDescent="0.25">
      <c r="A1697">
        <v>62</v>
      </c>
      <c r="B1697" s="1">
        <v>45141</v>
      </c>
      <c r="C1697" s="1" t="str">
        <f>TEXT(Table4_2[[#This Row],[Date]],"dddd")</f>
        <v>Thursday</v>
      </c>
      <c r="D1697" s="21">
        <v>19.3</v>
      </c>
      <c r="E1697" s="21">
        <v>61</v>
      </c>
      <c r="F1697" s="21">
        <v>483</v>
      </c>
      <c r="G1697" s="21">
        <v>6.7</v>
      </c>
      <c r="H1697">
        <v>1</v>
      </c>
      <c r="I1697">
        <v>66.739999999999995</v>
      </c>
      <c r="J1697">
        <v>0.61</v>
      </c>
      <c r="K1697" t="str" cm="1">
        <f t="array" ref="K1697">_xlfn.IFS(Table4_2[[#This Row],[Growth Days]]&lt;=14,"Seedling",Table4_2[[#This Row],[Growth Days]]&lt;=35, "Vegetative",Table4_2[[#This Row],[Growth Days]]&lt;=50, "Maturity")</f>
        <v>Seedling</v>
      </c>
      <c r="L1697" t="str">
        <f>IF(Table4_2[[#This Row],[TDS Value (ppm)]]&lt;560, "Low", IF(Table4_2[[#This Row],[TDS Value (ppm)]]&lt;=800,"Optimal","High"))</f>
        <v>Low</v>
      </c>
    </row>
    <row r="1698" spans="1:12" x14ac:dyDescent="0.25">
      <c r="A1698">
        <v>62</v>
      </c>
      <c r="B1698" s="1">
        <v>45148</v>
      </c>
      <c r="C1698" s="1" t="str">
        <f>TEXT(Table4_2[[#This Row],[Date]],"dddd")</f>
        <v>Thursday</v>
      </c>
      <c r="D1698" s="21">
        <v>23.9</v>
      </c>
      <c r="E1698" s="21">
        <v>76</v>
      </c>
      <c r="F1698" s="21">
        <v>734</v>
      </c>
      <c r="G1698" s="21">
        <v>6.2</v>
      </c>
      <c r="H1698">
        <v>8</v>
      </c>
      <c r="I1698">
        <v>75.02</v>
      </c>
      <c r="J1698">
        <v>0.76</v>
      </c>
      <c r="K1698" t="str" cm="1">
        <f t="array" ref="K1698">_xlfn.IFS(Table4_2[[#This Row],[Growth Days]]&lt;=14,"Seedling",Table4_2[[#This Row],[Growth Days]]&lt;=35, "Vegetative",Table4_2[[#This Row],[Growth Days]]&lt;=50, "Maturity")</f>
        <v>Seedling</v>
      </c>
      <c r="L1698" t="str">
        <f>IF(Table4_2[[#This Row],[TDS Value (ppm)]]&lt;560, "Low", IF(Table4_2[[#This Row],[TDS Value (ppm)]]&lt;=800,"Optimal","High"))</f>
        <v>Optimal</v>
      </c>
    </row>
    <row r="1699" spans="1:12" x14ac:dyDescent="0.25">
      <c r="A1699">
        <v>62</v>
      </c>
      <c r="B1699" s="1">
        <v>45155</v>
      </c>
      <c r="C1699" s="1" t="str">
        <f>TEXT(Table4_2[[#This Row],[Date]],"dddd")</f>
        <v>Thursday</v>
      </c>
      <c r="D1699" s="21">
        <v>24</v>
      </c>
      <c r="E1699" s="21">
        <v>51</v>
      </c>
      <c r="F1699" s="21">
        <v>570</v>
      </c>
      <c r="G1699" s="21">
        <v>6.3</v>
      </c>
      <c r="H1699">
        <v>15</v>
      </c>
      <c r="I1699">
        <v>75.2</v>
      </c>
      <c r="J1699">
        <v>0.51</v>
      </c>
      <c r="K1699" t="str" cm="1">
        <f t="array" ref="K1699">_xlfn.IFS(Table4_2[[#This Row],[Growth Days]]&lt;=14,"Seedling",Table4_2[[#This Row],[Growth Days]]&lt;=35, "Vegetative",Table4_2[[#This Row],[Growth Days]]&lt;=50, "Maturity")</f>
        <v>Vegetative</v>
      </c>
      <c r="L1699" t="str">
        <f>IF(Table4_2[[#This Row],[TDS Value (ppm)]]&lt;560, "Low", IF(Table4_2[[#This Row],[TDS Value (ppm)]]&lt;=800,"Optimal","High"))</f>
        <v>Optimal</v>
      </c>
    </row>
    <row r="1700" spans="1:12" x14ac:dyDescent="0.25">
      <c r="A1700">
        <v>62</v>
      </c>
      <c r="B1700" s="1">
        <v>45162</v>
      </c>
      <c r="C1700" s="1" t="str">
        <f>TEXT(Table4_2[[#This Row],[Date]],"dddd")</f>
        <v>Thursday</v>
      </c>
      <c r="D1700" s="21">
        <v>22.5</v>
      </c>
      <c r="E1700" s="21">
        <v>56</v>
      </c>
      <c r="F1700" s="21">
        <v>737</v>
      </c>
      <c r="G1700" s="21">
        <v>6.5</v>
      </c>
      <c r="H1700">
        <v>22</v>
      </c>
      <c r="I1700">
        <v>72.5</v>
      </c>
      <c r="J1700">
        <v>0.56000000000000005</v>
      </c>
      <c r="K1700" t="str" cm="1">
        <f t="array" ref="K1700">_xlfn.IFS(Table4_2[[#This Row],[Growth Days]]&lt;=14,"Seedling",Table4_2[[#This Row],[Growth Days]]&lt;=35, "Vegetative",Table4_2[[#This Row],[Growth Days]]&lt;=50, "Maturity")</f>
        <v>Vegetative</v>
      </c>
      <c r="L1700" t="str">
        <f>IF(Table4_2[[#This Row],[TDS Value (ppm)]]&lt;560, "Low", IF(Table4_2[[#This Row],[TDS Value (ppm)]]&lt;=800,"Optimal","High"))</f>
        <v>Optimal</v>
      </c>
    </row>
    <row r="1701" spans="1:12" x14ac:dyDescent="0.25">
      <c r="A1701">
        <v>62</v>
      </c>
      <c r="B1701" s="1">
        <v>45169</v>
      </c>
      <c r="C1701" s="1" t="str">
        <f>TEXT(Table4_2[[#This Row],[Date]],"dddd")</f>
        <v>Thursday</v>
      </c>
      <c r="D1701" s="21">
        <v>18.899999999999999</v>
      </c>
      <c r="E1701" s="21">
        <v>68</v>
      </c>
      <c r="F1701" s="21">
        <v>585</v>
      </c>
      <c r="G1701" s="21">
        <v>6.1</v>
      </c>
      <c r="H1701">
        <v>29</v>
      </c>
      <c r="I1701">
        <v>66.02</v>
      </c>
      <c r="J1701">
        <v>0.68</v>
      </c>
      <c r="K1701" t="str" cm="1">
        <f t="array" ref="K1701">_xlfn.IFS(Table4_2[[#This Row],[Growth Days]]&lt;=14,"Seedling",Table4_2[[#This Row],[Growth Days]]&lt;=35, "Vegetative",Table4_2[[#This Row],[Growth Days]]&lt;=50, "Maturity")</f>
        <v>Vegetative</v>
      </c>
      <c r="L1701" t="str">
        <f>IF(Table4_2[[#This Row],[TDS Value (ppm)]]&lt;560, "Low", IF(Table4_2[[#This Row],[TDS Value (ppm)]]&lt;=800,"Optimal","High"))</f>
        <v>Optimal</v>
      </c>
    </row>
    <row r="1702" spans="1:12" x14ac:dyDescent="0.25">
      <c r="A1702">
        <v>62</v>
      </c>
      <c r="B1702" s="1">
        <v>45176</v>
      </c>
      <c r="C1702" s="1" t="str">
        <f>TEXT(Table4_2[[#This Row],[Date]],"dddd")</f>
        <v>Thursday</v>
      </c>
      <c r="D1702" s="21">
        <v>20.399999999999999</v>
      </c>
      <c r="E1702" s="21">
        <v>72</v>
      </c>
      <c r="F1702" s="21">
        <v>564</v>
      </c>
      <c r="G1702" s="21">
        <v>6.1</v>
      </c>
      <c r="H1702">
        <v>36</v>
      </c>
      <c r="I1702">
        <v>68.72</v>
      </c>
      <c r="J1702">
        <v>0.72</v>
      </c>
      <c r="K1702" t="str" cm="1">
        <f t="array" ref="K1702">_xlfn.IFS(Table4_2[[#This Row],[Growth Days]]&lt;=14,"Seedling",Table4_2[[#This Row],[Growth Days]]&lt;=35, "Vegetative",Table4_2[[#This Row],[Growth Days]]&lt;=50, "Maturity")</f>
        <v>Maturity</v>
      </c>
      <c r="L1702" t="str">
        <f>IF(Table4_2[[#This Row],[TDS Value (ppm)]]&lt;560, "Low", IF(Table4_2[[#This Row],[TDS Value (ppm)]]&lt;=800,"Optimal","High"))</f>
        <v>Optimal</v>
      </c>
    </row>
    <row r="1703" spans="1:12" x14ac:dyDescent="0.25">
      <c r="A1703">
        <v>62</v>
      </c>
      <c r="B1703" s="1">
        <v>45183</v>
      </c>
      <c r="C1703" s="1" t="str">
        <f>TEXT(Table4_2[[#This Row],[Date]],"dddd")</f>
        <v>Thursday</v>
      </c>
      <c r="D1703" s="21">
        <v>19.899999999999999</v>
      </c>
      <c r="E1703" s="21">
        <v>67</v>
      </c>
      <c r="F1703" s="21">
        <v>754</v>
      </c>
      <c r="G1703" s="21">
        <v>6.8</v>
      </c>
      <c r="H1703">
        <v>43</v>
      </c>
      <c r="I1703">
        <v>67.819999999999993</v>
      </c>
      <c r="J1703">
        <v>0.67</v>
      </c>
      <c r="K1703" t="str" cm="1">
        <f t="array" ref="K1703">_xlfn.IFS(Table4_2[[#This Row],[Growth Days]]&lt;=14,"Seedling",Table4_2[[#This Row],[Growth Days]]&lt;=35, "Vegetative",Table4_2[[#This Row],[Growth Days]]&lt;=50, "Maturity")</f>
        <v>Maturity</v>
      </c>
      <c r="L1703" t="str">
        <f>IF(Table4_2[[#This Row],[TDS Value (ppm)]]&lt;560, "Low", IF(Table4_2[[#This Row],[TDS Value (ppm)]]&lt;=800,"Optimal","High"))</f>
        <v>Optimal</v>
      </c>
    </row>
    <row r="1704" spans="1:12" x14ac:dyDescent="0.25">
      <c r="A1704">
        <v>63</v>
      </c>
      <c r="B1704" s="1">
        <v>45141</v>
      </c>
      <c r="C1704" s="1" t="str">
        <f>TEXT(Table4_2[[#This Row],[Date]],"dddd")</f>
        <v>Thursday</v>
      </c>
      <c r="D1704" s="21">
        <v>21.9</v>
      </c>
      <c r="E1704" s="21">
        <v>50</v>
      </c>
      <c r="F1704" s="21">
        <v>728</v>
      </c>
      <c r="G1704" s="21">
        <v>6.2</v>
      </c>
      <c r="H1704">
        <v>1</v>
      </c>
      <c r="I1704">
        <v>71.42</v>
      </c>
      <c r="J1704">
        <v>0.5</v>
      </c>
      <c r="K1704" t="str" cm="1">
        <f t="array" ref="K1704">_xlfn.IFS(Table4_2[[#This Row],[Growth Days]]&lt;=14,"Seedling",Table4_2[[#This Row],[Growth Days]]&lt;=35, "Vegetative",Table4_2[[#This Row],[Growth Days]]&lt;=50, "Maturity")</f>
        <v>Seedling</v>
      </c>
      <c r="L1704" t="str">
        <f>IF(Table4_2[[#This Row],[TDS Value (ppm)]]&lt;560, "Low", IF(Table4_2[[#This Row],[TDS Value (ppm)]]&lt;=800,"Optimal","High"))</f>
        <v>Optimal</v>
      </c>
    </row>
    <row r="1705" spans="1:12" x14ac:dyDescent="0.25">
      <c r="A1705">
        <v>63</v>
      </c>
      <c r="B1705" s="1">
        <v>45148</v>
      </c>
      <c r="C1705" s="1" t="str">
        <f>TEXT(Table4_2[[#This Row],[Date]],"dddd")</f>
        <v>Thursday</v>
      </c>
      <c r="D1705" s="21">
        <v>20.8</v>
      </c>
      <c r="E1705" s="21">
        <v>70</v>
      </c>
      <c r="F1705" s="21">
        <v>782</v>
      </c>
      <c r="G1705" s="21">
        <v>6.7</v>
      </c>
      <c r="H1705">
        <v>8</v>
      </c>
      <c r="I1705">
        <v>69.44</v>
      </c>
      <c r="J1705">
        <v>0.7</v>
      </c>
      <c r="K1705" t="str" cm="1">
        <f t="array" ref="K1705">_xlfn.IFS(Table4_2[[#This Row],[Growth Days]]&lt;=14,"Seedling",Table4_2[[#This Row],[Growth Days]]&lt;=35, "Vegetative",Table4_2[[#This Row],[Growth Days]]&lt;=50, "Maturity")</f>
        <v>Seedling</v>
      </c>
      <c r="L1705" t="str">
        <f>IF(Table4_2[[#This Row],[TDS Value (ppm)]]&lt;560, "Low", IF(Table4_2[[#This Row],[TDS Value (ppm)]]&lt;=800,"Optimal","High"))</f>
        <v>Optimal</v>
      </c>
    </row>
    <row r="1706" spans="1:12" x14ac:dyDescent="0.25">
      <c r="A1706">
        <v>63</v>
      </c>
      <c r="B1706" s="1">
        <v>45155</v>
      </c>
      <c r="C1706" s="1" t="str">
        <f>TEXT(Table4_2[[#This Row],[Date]],"dddd")</f>
        <v>Thursday</v>
      </c>
      <c r="D1706" s="21">
        <v>18.3</v>
      </c>
      <c r="E1706" s="21">
        <v>65</v>
      </c>
      <c r="F1706" s="21">
        <v>458</v>
      </c>
      <c r="G1706" s="21">
        <v>6.3</v>
      </c>
      <c r="H1706">
        <v>15</v>
      </c>
      <c r="I1706">
        <v>64.94</v>
      </c>
      <c r="J1706">
        <v>0.65</v>
      </c>
      <c r="K1706" t="str" cm="1">
        <f t="array" ref="K1706">_xlfn.IFS(Table4_2[[#This Row],[Growth Days]]&lt;=14,"Seedling",Table4_2[[#This Row],[Growth Days]]&lt;=35, "Vegetative",Table4_2[[#This Row],[Growth Days]]&lt;=50, "Maturity")</f>
        <v>Vegetative</v>
      </c>
      <c r="L1706" t="str">
        <f>IF(Table4_2[[#This Row],[TDS Value (ppm)]]&lt;560, "Low", IF(Table4_2[[#This Row],[TDS Value (ppm)]]&lt;=800,"Optimal","High"))</f>
        <v>Low</v>
      </c>
    </row>
    <row r="1707" spans="1:12" x14ac:dyDescent="0.25">
      <c r="A1707">
        <v>63</v>
      </c>
      <c r="B1707" s="1">
        <v>45162</v>
      </c>
      <c r="C1707" s="1" t="str">
        <f>TEXT(Table4_2[[#This Row],[Date]],"dddd")</f>
        <v>Thursday</v>
      </c>
      <c r="D1707" s="21">
        <v>18.8</v>
      </c>
      <c r="E1707" s="21">
        <v>65</v>
      </c>
      <c r="F1707" s="21">
        <v>750</v>
      </c>
      <c r="G1707" s="21">
        <v>6.4</v>
      </c>
      <c r="H1707">
        <v>22</v>
      </c>
      <c r="I1707">
        <v>65.84</v>
      </c>
      <c r="J1707">
        <v>0.65</v>
      </c>
      <c r="K1707" t="str" cm="1">
        <f t="array" ref="K1707">_xlfn.IFS(Table4_2[[#This Row],[Growth Days]]&lt;=14,"Seedling",Table4_2[[#This Row],[Growth Days]]&lt;=35, "Vegetative",Table4_2[[#This Row],[Growth Days]]&lt;=50, "Maturity")</f>
        <v>Vegetative</v>
      </c>
      <c r="L1707" t="str">
        <f>IF(Table4_2[[#This Row],[TDS Value (ppm)]]&lt;560, "Low", IF(Table4_2[[#This Row],[TDS Value (ppm)]]&lt;=800,"Optimal","High"))</f>
        <v>Optimal</v>
      </c>
    </row>
    <row r="1708" spans="1:12" x14ac:dyDescent="0.25">
      <c r="A1708">
        <v>63</v>
      </c>
      <c r="B1708" s="1">
        <v>45169</v>
      </c>
      <c r="C1708" s="1" t="str">
        <f>TEXT(Table4_2[[#This Row],[Date]],"dddd")</f>
        <v>Thursday</v>
      </c>
      <c r="D1708" s="21">
        <v>22.2</v>
      </c>
      <c r="E1708" s="21">
        <v>57</v>
      </c>
      <c r="F1708" s="21">
        <v>729</v>
      </c>
      <c r="G1708" s="21">
        <v>6.6</v>
      </c>
      <c r="H1708">
        <v>29</v>
      </c>
      <c r="I1708">
        <v>71.959999999999994</v>
      </c>
      <c r="J1708">
        <v>0.56999999999999995</v>
      </c>
      <c r="K1708" t="str" cm="1">
        <f t="array" ref="K1708">_xlfn.IFS(Table4_2[[#This Row],[Growth Days]]&lt;=14,"Seedling",Table4_2[[#This Row],[Growth Days]]&lt;=35, "Vegetative",Table4_2[[#This Row],[Growth Days]]&lt;=50, "Maturity")</f>
        <v>Vegetative</v>
      </c>
      <c r="L1708" t="str">
        <f>IF(Table4_2[[#This Row],[TDS Value (ppm)]]&lt;560, "Low", IF(Table4_2[[#This Row],[TDS Value (ppm)]]&lt;=800,"Optimal","High"))</f>
        <v>Optimal</v>
      </c>
    </row>
    <row r="1709" spans="1:12" x14ac:dyDescent="0.25">
      <c r="A1709">
        <v>63</v>
      </c>
      <c r="B1709" s="1">
        <v>45176</v>
      </c>
      <c r="C1709" s="1" t="str">
        <f>TEXT(Table4_2[[#This Row],[Date]],"dddd")</f>
        <v>Thursday</v>
      </c>
      <c r="D1709" s="21">
        <v>20.6</v>
      </c>
      <c r="E1709" s="21">
        <v>77</v>
      </c>
      <c r="F1709" s="21">
        <v>537</v>
      </c>
      <c r="G1709" s="21">
        <v>6.4</v>
      </c>
      <c r="H1709">
        <v>36</v>
      </c>
      <c r="I1709">
        <v>69.08</v>
      </c>
      <c r="J1709">
        <v>0.77</v>
      </c>
      <c r="K1709" t="str" cm="1">
        <f t="array" ref="K1709">_xlfn.IFS(Table4_2[[#This Row],[Growth Days]]&lt;=14,"Seedling",Table4_2[[#This Row],[Growth Days]]&lt;=35, "Vegetative",Table4_2[[#This Row],[Growth Days]]&lt;=50, "Maturity")</f>
        <v>Maturity</v>
      </c>
      <c r="L1709" t="str">
        <f>IF(Table4_2[[#This Row],[TDS Value (ppm)]]&lt;560, "Low", IF(Table4_2[[#This Row],[TDS Value (ppm)]]&lt;=800,"Optimal","High"))</f>
        <v>Low</v>
      </c>
    </row>
    <row r="1710" spans="1:12" x14ac:dyDescent="0.25">
      <c r="A1710">
        <v>63</v>
      </c>
      <c r="B1710" s="1">
        <v>45183</v>
      </c>
      <c r="C1710" s="1" t="str">
        <f>TEXT(Table4_2[[#This Row],[Date]],"dddd")</f>
        <v>Thursday</v>
      </c>
      <c r="D1710" s="21">
        <v>22.1</v>
      </c>
      <c r="E1710" s="21">
        <v>65</v>
      </c>
      <c r="F1710" s="21">
        <v>723</v>
      </c>
      <c r="G1710" s="21">
        <v>6.5</v>
      </c>
      <c r="H1710">
        <v>43</v>
      </c>
      <c r="I1710">
        <v>71.78</v>
      </c>
      <c r="J1710">
        <v>0.65</v>
      </c>
      <c r="K1710" t="str" cm="1">
        <f t="array" ref="K1710">_xlfn.IFS(Table4_2[[#This Row],[Growth Days]]&lt;=14,"Seedling",Table4_2[[#This Row],[Growth Days]]&lt;=35, "Vegetative",Table4_2[[#This Row],[Growth Days]]&lt;=50, "Maturity")</f>
        <v>Maturity</v>
      </c>
      <c r="L1710" t="str">
        <f>IF(Table4_2[[#This Row],[TDS Value (ppm)]]&lt;560, "Low", IF(Table4_2[[#This Row],[TDS Value (ppm)]]&lt;=800,"Optimal","High"))</f>
        <v>Optimal</v>
      </c>
    </row>
    <row r="1711" spans="1:12" x14ac:dyDescent="0.25">
      <c r="A1711">
        <v>64</v>
      </c>
      <c r="B1711" s="1">
        <v>45141</v>
      </c>
      <c r="C1711" s="1" t="str">
        <f>TEXT(Table4_2[[#This Row],[Date]],"dddd")</f>
        <v>Thursday</v>
      </c>
      <c r="D1711" s="21">
        <v>18.2</v>
      </c>
      <c r="E1711" s="21">
        <v>52</v>
      </c>
      <c r="F1711" s="21">
        <v>549</v>
      </c>
      <c r="G1711" s="21">
        <v>6.5</v>
      </c>
      <c r="H1711">
        <v>1</v>
      </c>
      <c r="I1711">
        <v>64.760000000000005</v>
      </c>
      <c r="J1711">
        <v>0.52</v>
      </c>
      <c r="K1711" t="str" cm="1">
        <f t="array" ref="K1711">_xlfn.IFS(Table4_2[[#This Row],[Growth Days]]&lt;=14,"Seedling",Table4_2[[#This Row],[Growth Days]]&lt;=35, "Vegetative",Table4_2[[#This Row],[Growth Days]]&lt;=50, "Maturity")</f>
        <v>Seedling</v>
      </c>
      <c r="L1711" t="str">
        <f>IF(Table4_2[[#This Row],[TDS Value (ppm)]]&lt;560, "Low", IF(Table4_2[[#This Row],[TDS Value (ppm)]]&lt;=800,"Optimal","High"))</f>
        <v>Low</v>
      </c>
    </row>
    <row r="1712" spans="1:12" x14ac:dyDescent="0.25">
      <c r="A1712">
        <v>64</v>
      </c>
      <c r="B1712" s="1">
        <v>45148</v>
      </c>
      <c r="C1712" s="1" t="str">
        <f>TEXT(Table4_2[[#This Row],[Date]],"dddd")</f>
        <v>Thursday</v>
      </c>
      <c r="D1712" s="21">
        <v>22.6</v>
      </c>
      <c r="E1712" s="21">
        <v>76</v>
      </c>
      <c r="F1712" s="21">
        <v>419</v>
      </c>
      <c r="G1712" s="21">
        <v>6.3</v>
      </c>
      <c r="H1712">
        <v>8</v>
      </c>
      <c r="I1712">
        <v>72.680000000000007</v>
      </c>
      <c r="J1712">
        <v>0.76</v>
      </c>
      <c r="K1712" t="str" cm="1">
        <f t="array" ref="K1712">_xlfn.IFS(Table4_2[[#This Row],[Growth Days]]&lt;=14,"Seedling",Table4_2[[#This Row],[Growth Days]]&lt;=35, "Vegetative",Table4_2[[#This Row],[Growth Days]]&lt;=50, "Maturity")</f>
        <v>Seedling</v>
      </c>
      <c r="L1712" t="str">
        <f>IF(Table4_2[[#This Row],[TDS Value (ppm)]]&lt;560, "Low", IF(Table4_2[[#This Row],[TDS Value (ppm)]]&lt;=800,"Optimal","High"))</f>
        <v>Low</v>
      </c>
    </row>
    <row r="1713" spans="1:12" x14ac:dyDescent="0.25">
      <c r="A1713">
        <v>64</v>
      </c>
      <c r="B1713" s="1">
        <v>45155</v>
      </c>
      <c r="C1713" s="1" t="str">
        <f>TEXT(Table4_2[[#This Row],[Date]],"dddd")</f>
        <v>Thursday</v>
      </c>
      <c r="D1713" s="21">
        <v>25</v>
      </c>
      <c r="E1713" s="21">
        <v>76</v>
      </c>
      <c r="F1713" s="21">
        <v>766</v>
      </c>
      <c r="G1713" s="21">
        <v>6.4</v>
      </c>
      <c r="H1713">
        <v>15</v>
      </c>
      <c r="I1713">
        <v>77</v>
      </c>
      <c r="J1713">
        <v>0.76</v>
      </c>
      <c r="K1713" t="str" cm="1">
        <f t="array" ref="K1713">_xlfn.IFS(Table4_2[[#This Row],[Growth Days]]&lt;=14,"Seedling",Table4_2[[#This Row],[Growth Days]]&lt;=35, "Vegetative",Table4_2[[#This Row],[Growth Days]]&lt;=50, "Maturity")</f>
        <v>Vegetative</v>
      </c>
      <c r="L1713" t="str">
        <f>IF(Table4_2[[#This Row],[TDS Value (ppm)]]&lt;560, "Low", IF(Table4_2[[#This Row],[TDS Value (ppm)]]&lt;=800,"Optimal","High"))</f>
        <v>Optimal</v>
      </c>
    </row>
    <row r="1714" spans="1:12" x14ac:dyDescent="0.25">
      <c r="A1714">
        <v>64</v>
      </c>
      <c r="B1714" s="1">
        <v>45162</v>
      </c>
      <c r="C1714" s="1" t="str">
        <f>TEXT(Table4_2[[#This Row],[Date]],"dddd")</f>
        <v>Thursday</v>
      </c>
      <c r="D1714" s="21">
        <v>23.2</v>
      </c>
      <c r="E1714" s="21">
        <v>71</v>
      </c>
      <c r="F1714" s="21">
        <v>625</v>
      </c>
      <c r="G1714" s="21">
        <v>6.6</v>
      </c>
      <c r="H1714">
        <v>22</v>
      </c>
      <c r="I1714">
        <v>73.760000000000005</v>
      </c>
      <c r="J1714">
        <v>0.71</v>
      </c>
      <c r="K1714" t="str" cm="1">
        <f t="array" ref="K1714">_xlfn.IFS(Table4_2[[#This Row],[Growth Days]]&lt;=14,"Seedling",Table4_2[[#This Row],[Growth Days]]&lt;=35, "Vegetative",Table4_2[[#This Row],[Growth Days]]&lt;=50, "Maturity")</f>
        <v>Vegetative</v>
      </c>
      <c r="L1714" t="str">
        <f>IF(Table4_2[[#This Row],[TDS Value (ppm)]]&lt;560, "Low", IF(Table4_2[[#This Row],[TDS Value (ppm)]]&lt;=800,"Optimal","High"))</f>
        <v>Optimal</v>
      </c>
    </row>
    <row r="1715" spans="1:12" x14ac:dyDescent="0.25">
      <c r="A1715">
        <v>64</v>
      </c>
      <c r="B1715" s="1">
        <v>45169</v>
      </c>
      <c r="C1715" s="1" t="str">
        <f>TEXT(Table4_2[[#This Row],[Date]],"dddd")</f>
        <v>Thursday</v>
      </c>
      <c r="D1715" s="21">
        <v>21.2</v>
      </c>
      <c r="E1715" s="21">
        <v>62</v>
      </c>
      <c r="F1715" s="21">
        <v>607</v>
      </c>
      <c r="G1715" s="21">
        <v>6.7</v>
      </c>
      <c r="H1715">
        <v>29</v>
      </c>
      <c r="I1715">
        <v>70.16</v>
      </c>
      <c r="J1715">
        <v>0.62</v>
      </c>
      <c r="K1715" t="str" cm="1">
        <f t="array" ref="K1715">_xlfn.IFS(Table4_2[[#This Row],[Growth Days]]&lt;=14,"Seedling",Table4_2[[#This Row],[Growth Days]]&lt;=35, "Vegetative",Table4_2[[#This Row],[Growth Days]]&lt;=50, "Maturity")</f>
        <v>Vegetative</v>
      </c>
      <c r="L1715" t="str">
        <f>IF(Table4_2[[#This Row],[TDS Value (ppm)]]&lt;560, "Low", IF(Table4_2[[#This Row],[TDS Value (ppm)]]&lt;=800,"Optimal","High"))</f>
        <v>Optimal</v>
      </c>
    </row>
    <row r="1716" spans="1:12" x14ac:dyDescent="0.25">
      <c r="A1716">
        <v>64</v>
      </c>
      <c r="B1716" s="1">
        <v>45176</v>
      </c>
      <c r="C1716" s="1" t="str">
        <f>TEXT(Table4_2[[#This Row],[Date]],"dddd")</f>
        <v>Thursday</v>
      </c>
      <c r="D1716" s="21">
        <v>20.3</v>
      </c>
      <c r="E1716" s="21">
        <v>69</v>
      </c>
      <c r="F1716" s="21">
        <v>615</v>
      </c>
      <c r="G1716" s="21">
        <v>6.1</v>
      </c>
      <c r="H1716">
        <v>36</v>
      </c>
      <c r="I1716">
        <v>68.540000000000006</v>
      </c>
      <c r="J1716">
        <v>0.69</v>
      </c>
      <c r="K1716" t="str" cm="1">
        <f t="array" ref="K1716">_xlfn.IFS(Table4_2[[#This Row],[Growth Days]]&lt;=14,"Seedling",Table4_2[[#This Row],[Growth Days]]&lt;=35, "Vegetative",Table4_2[[#This Row],[Growth Days]]&lt;=50, "Maturity")</f>
        <v>Maturity</v>
      </c>
      <c r="L1716" t="str">
        <f>IF(Table4_2[[#This Row],[TDS Value (ppm)]]&lt;560, "Low", IF(Table4_2[[#This Row],[TDS Value (ppm)]]&lt;=800,"Optimal","High"))</f>
        <v>Optimal</v>
      </c>
    </row>
    <row r="1717" spans="1:12" x14ac:dyDescent="0.25">
      <c r="A1717">
        <v>64</v>
      </c>
      <c r="B1717" s="1">
        <v>45183</v>
      </c>
      <c r="C1717" s="1" t="str">
        <f>TEXT(Table4_2[[#This Row],[Date]],"dddd")</f>
        <v>Thursday</v>
      </c>
      <c r="D1717" s="21">
        <v>21.7</v>
      </c>
      <c r="E1717" s="21">
        <v>52</v>
      </c>
      <c r="F1717" s="21">
        <v>438</v>
      </c>
      <c r="G1717" s="21">
        <v>6</v>
      </c>
      <c r="H1717">
        <v>43</v>
      </c>
      <c r="I1717">
        <v>71.06</v>
      </c>
      <c r="J1717">
        <v>0.52</v>
      </c>
      <c r="K1717" t="str" cm="1">
        <f t="array" ref="K1717">_xlfn.IFS(Table4_2[[#This Row],[Growth Days]]&lt;=14,"Seedling",Table4_2[[#This Row],[Growth Days]]&lt;=35, "Vegetative",Table4_2[[#This Row],[Growth Days]]&lt;=50, "Maturity")</f>
        <v>Maturity</v>
      </c>
      <c r="L1717" t="str">
        <f>IF(Table4_2[[#This Row],[TDS Value (ppm)]]&lt;560, "Low", IF(Table4_2[[#This Row],[TDS Value (ppm)]]&lt;=800,"Optimal","High"))</f>
        <v>Low</v>
      </c>
    </row>
    <row r="1718" spans="1:12" x14ac:dyDescent="0.25">
      <c r="A1718">
        <v>65</v>
      </c>
      <c r="B1718" s="1">
        <v>45141</v>
      </c>
      <c r="C1718" s="1" t="str">
        <f>TEXT(Table4_2[[#This Row],[Date]],"dddd")</f>
        <v>Thursday</v>
      </c>
      <c r="D1718" s="21">
        <v>21.9</v>
      </c>
      <c r="E1718" s="21">
        <v>77</v>
      </c>
      <c r="F1718" s="21">
        <v>605</v>
      </c>
      <c r="G1718" s="21">
        <v>6.7</v>
      </c>
      <c r="H1718">
        <v>1</v>
      </c>
      <c r="I1718">
        <v>71.42</v>
      </c>
      <c r="J1718">
        <v>0.77</v>
      </c>
      <c r="K1718" t="str" cm="1">
        <f t="array" ref="K1718">_xlfn.IFS(Table4_2[[#This Row],[Growth Days]]&lt;=14,"Seedling",Table4_2[[#This Row],[Growth Days]]&lt;=35, "Vegetative",Table4_2[[#This Row],[Growth Days]]&lt;=50, "Maturity")</f>
        <v>Seedling</v>
      </c>
      <c r="L1718" t="str">
        <f>IF(Table4_2[[#This Row],[TDS Value (ppm)]]&lt;560, "Low", IF(Table4_2[[#This Row],[TDS Value (ppm)]]&lt;=800,"Optimal","High"))</f>
        <v>Optimal</v>
      </c>
    </row>
    <row r="1719" spans="1:12" x14ac:dyDescent="0.25">
      <c r="A1719">
        <v>65</v>
      </c>
      <c r="B1719" s="1">
        <v>45148</v>
      </c>
      <c r="C1719" s="1" t="str">
        <f>TEXT(Table4_2[[#This Row],[Date]],"dddd")</f>
        <v>Thursday</v>
      </c>
      <c r="D1719" s="21">
        <v>22.7</v>
      </c>
      <c r="E1719" s="21">
        <v>55</v>
      </c>
      <c r="F1719" s="21">
        <v>711</v>
      </c>
      <c r="G1719" s="21">
        <v>6.5</v>
      </c>
      <c r="H1719">
        <v>8</v>
      </c>
      <c r="I1719">
        <v>72.86</v>
      </c>
      <c r="J1719">
        <v>0.55000000000000004</v>
      </c>
      <c r="K1719" t="str" cm="1">
        <f t="array" ref="K1719">_xlfn.IFS(Table4_2[[#This Row],[Growth Days]]&lt;=14,"Seedling",Table4_2[[#This Row],[Growth Days]]&lt;=35, "Vegetative",Table4_2[[#This Row],[Growth Days]]&lt;=50, "Maturity")</f>
        <v>Seedling</v>
      </c>
      <c r="L1719" t="str">
        <f>IF(Table4_2[[#This Row],[TDS Value (ppm)]]&lt;560, "Low", IF(Table4_2[[#This Row],[TDS Value (ppm)]]&lt;=800,"Optimal","High"))</f>
        <v>Optimal</v>
      </c>
    </row>
    <row r="1720" spans="1:12" x14ac:dyDescent="0.25">
      <c r="A1720">
        <v>65</v>
      </c>
      <c r="B1720" s="1">
        <v>45155</v>
      </c>
      <c r="C1720" s="1" t="str">
        <f>TEXT(Table4_2[[#This Row],[Date]],"dddd")</f>
        <v>Thursday</v>
      </c>
      <c r="D1720" s="21">
        <v>25</v>
      </c>
      <c r="E1720" s="21">
        <v>59</v>
      </c>
      <c r="F1720" s="21">
        <v>485</v>
      </c>
      <c r="G1720" s="21">
        <v>6.6</v>
      </c>
      <c r="H1720">
        <v>15</v>
      </c>
      <c r="I1720">
        <v>77</v>
      </c>
      <c r="J1720">
        <v>0.59</v>
      </c>
      <c r="K1720" t="str" cm="1">
        <f t="array" ref="K1720">_xlfn.IFS(Table4_2[[#This Row],[Growth Days]]&lt;=14,"Seedling",Table4_2[[#This Row],[Growth Days]]&lt;=35, "Vegetative",Table4_2[[#This Row],[Growth Days]]&lt;=50, "Maturity")</f>
        <v>Vegetative</v>
      </c>
      <c r="L1720" t="str">
        <f>IF(Table4_2[[#This Row],[TDS Value (ppm)]]&lt;560, "Low", IF(Table4_2[[#This Row],[TDS Value (ppm)]]&lt;=800,"Optimal","High"))</f>
        <v>Low</v>
      </c>
    </row>
    <row r="1721" spans="1:12" x14ac:dyDescent="0.25">
      <c r="A1721">
        <v>65</v>
      </c>
      <c r="B1721" s="1">
        <v>45162</v>
      </c>
      <c r="C1721" s="1" t="str">
        <f>TEXT(Table4_2[[#This Row],[Date]],"dddd")</f>
        <v>Thursday</v>
      </c>
      <c r="D1721" s="21">
        <v>20.7</v>
      </c>
      <c r="E1721" s="21">
        <v>76</v>
      </c>
      <c r="F1721" s="21">
        <v>788</v>
      </c>
      <c r="G1721" s="21">
        <v>6.2</v>
      </c>
      <c r="H1721">
        <v>22</v>
      </c>
      <c r="I1721">
        <v>69.260000000000005</v>
      </c>
      <c r="J1721">
        <v>0.76</v>
      </c>
      <c r="K1721" t="str" cm="1">
        <f t="array" ref="K1721">_xlfn.IFS(Table4_2[[#This Row],[Growth Days]]&lt;=14,"Seedling",Table4_2[[#This Row],[Growth Days]]&lt;=35, "Vegetative",Table4_2[[#This Row],[Growth Days]]&lt;=50, "Maturity")</f>
        <v>Vegetative</v>
      </c>
      <c r="L1721" t="str">
        <f>IF(Table4_2[[#This Row],[TDS Value (ppm)]]&lt;560, "Low", IF(Table4_2[[#This Row],[TDS Value (ppm)]]&lt;=800,"Optimal","High"))</f>
        <v>Optimal</v>
      </c>
    </row>
    <row r="1722" spans="1:12" x14ac:dyDescent="0.25">
      <c r="A1722">
        <v>65</v>
      </c>
      <c r="B1722" s="1">
        <v>45169</v>
      </c>
      <c r="C1722" s="1" t="str">
        <f>TEXT(Table4_2[[#This Row],[Date]],"dddd")</f>
        <v>Thursday</v>
      </c>
      <c r="D1722" s="21">
        <v>23.8</v>
      </c>
      <c r="E1722" s="21">
        <v>51</v>
      </c>
      <c r="F1722" s="21">
        <v>446</v>
      </c>
      <c r="G1722" s="21">
        <v>6</v>
      </c>
      <c r="H1722">
        <v>29</v>
      </c>
      <c r="I1722">
        <v>74.84</v>
      </c>
      <c r="J1722">
        <v>0.51</v>
      </c>
      <c r="K1722" t="str" cm="1">
        <f t="array" ref="K1722">_xlfn.IFS(Table4_2[[#This Row],[Growth Days]]&lt;=14,"Seedling",Table4_2[[#This Row],[Growth Days]]&lt;=35, "Vegetative",Table4_2[[#This Row],[Growth Days]]&lt;=50, "Maturity")</f>
        <v>Vegetative</v>
      </c>
      <c r="L1722" t="str">
        <f>IF(Table4_2[[#This Row],[TDS Value (ppm)]]&lt;560, "Low", IF(Table4_2[[#This Row],[TDS Value (ppm)]]&lt;=800,"Optimal","High"))</f>
        <v>Low</v>
      </c>
    </row>
    <row r="1723" spans="1:12" x14ac:dyDescent="0.25">
      <c r="A1723">
        <v>65</v>
      </c>
      <c r="B1723" s="1">
        <v>45176</v>
      </c>
      <c r="C1723" s="1" t="str">
        <f>TEXT(Table4_2[[#This Row],[Date]],"dddd")</f>
        <v>Thursday</v>
      </c>
      <c r="D1723" s="21">
        <v>21.7</v>
      </c>
      <c r="E1723" s="21">
        <v>61</v>
      </c>
      <c r="F1723" s="21">
        <v>711</v>
      </c>
      <c r="G1723" s="21">
        <v>6.8</v>
      </c>
      <c r="H1723">
        <v>36</v>
      </c>
      <c r="I1723">
        <v>71.06</v>
      </c>
      <c r="J1723">
        <v>0.61</v>
      </c>
      <c r="K1723" t="str" cm="1">
        <f t="array" ref="K1723">_xlfn.IFS(Table4_2[[#This Row],[Growth Days]]&lt;=14,"Seedling",Table4_2[[#This Row],[Growth Days]]&lt;=35, "Vegetative",Table4_2[[#This Row],[Growth Days]]&lt;=50, "Maturity")</f>
        <v>Maturity</v>
      </c>
      <c r="L1723" t="str">
        <f>IF(Table4_2[[#This Row],[TDS Value (ppm)]]&lt;560, "Low", IF(Table4_2[[#This Row],[TDS Value (ppm)]]&lt;=800,"Optimal","High"))</f>
        <v>Optimal</v>
      </c>
    </row>
    <row r="1724" spans="1:12" x14ac:dyDescent="0.25">
      <c r="A1724">
        <v>65</v>
      </c>
      <c r="B1724" s="1">
        <v>45183</v>
      </c>
      <c r="C1724" s="1" t="str">
        <f>TEXT(Table4_2[[#This Row],[Date]],"dddd")</f>
        <v>Thursday</v>
      </c>
      <c r="D1724" s="21">
        <v>23.5</v>
      </c>
      <c r="E1724" s="21">
        <v>67</v>
      </c>
      <c r="F1724" s="21">
        <v>775</v>
      </c>
      <c r="G1724" s="21">
        <v>6.7</v>
      </c>
      <c r="H1724">
        <v>43</v>
      </c>
      <c r="I1724">
        <v>74.3</v>
      </c>
      <c r="J1724">
        <v>0.67</v>
      </c>
      <c r="K1724" t="str" cm="1">
        <f t="array" ref="K1724">_xlfn.IFS(Table4_2[[#This Row],[Growth Days]]&lt;=14,"Seedling",Table4_2[[#This Row],[Growth Days]]&lt;=35, "Vegetative",Table4_2[[#This Row],[Growth Days]]&lt;=50, "Maturity")</f>
        <v>Maturity</v>
      </c>
      <c r="L1724" t="str">
        <f>IF(Table4_2[[#This Row],[TDS Value (ppm)]]&lt;560, "Low", IF(Table4_2[[#This Row],[TDS Value (ppm)]]&lt;=800,"Optimal","High"))</f>
        <v>Optimal</v>
      </c>
    </row>
    <row r="1725" spans="1:12" x14ac:dyDescent="0.25">
      <c r="A1725">
        <v>66</v>
      </c>
      <c r="B1725" s="1">
        <v>45141</v>
      </c>
      <c r="C1725" s="1" t="str">
        <f>TEXT(Table4_2[[#This Row],[Date]],"dddd")</f>
        <v>Thursday</v>
      </c>
      <c r="D1725" s="21">
        <v>19.5</v>
      </c>
      <c r="E1725" s="21">
        <v>72</v>
      </c>
      <c r="F1725" s="21">
        <v>445</v>
      </c>
      <c r="G1725" s="21">
        <v>6.6</v>
      </c>
      <c r="H1725">
        <v>1</v>
      </c>
      <c r="I1725">
        <v>67.099999999999994</v>
      </c>
      <c r="J1725">
        <v>0.72</v>
      </c>
      <c r="K1725" t="str" cm="1">
        <f t="array" ref="K1725">_xlfn.IFS(Table4_2[[#This Row],[Growth Days]]&lt;=14,"Seedling",Table4_2[[#This Row],[Growth Days]]&lt;=35, "Vegetative",Table4_2[[#This Row],[Growth Days]]&lt;=50, "Maturity")</f>
        <v>Seedling</v>
      </c>
      <c r="L1725" t="str">
        <f>IF(Table4_2[[#This Row],[TDS Value (ppm)]]&lt;560, "Low", IF(Table4_2[[#This Row],[TDS Value (ppm)]]&lt;=800,"Optimal","High"))</f>
        <v>Low</v>
      </c>
    </row>
    <row r="1726" spans="1:12" x14ac:dyDescent="0.25">
      <c r="A1726">
        <v>66</v>
      </c>
      <c r="B1726" s="1">
        <v>45148</v>
      </c>
      <c r="C1726" s="1" t="str">
        <f>TEXT(Table4_2[[#This Row],[Date]],"dddd")</f>
        <v>Thursday</v>
      </c>
      <c r="D1726" s="21">
        <v>23.8</v>
      </c>
      <c r="E1726" s="21">
        <v>70</v>
      </c>
      <c r="F1726" s="21">
        <v>461</v>
      </c>
      <c r="G1726" s="21">
        <v>6</v>
      </c>
      <c r="H1726">
        <v>8</v>
      </c>
      <c r="I1726">
        <v>74.84</v>
      </c>
      <c r="J1726">
        <v>0.7</v>
      </c>
      <c r="K1726" t="str" cm="1">
        <f t="array" ref="K1726">_xlfn.IFS(Table4_2[[#This Row],[Growth Days]]&lt;=14,"Seedling",Table4_2[[#This Row],[Growth Days]]&lt;=35, "Vegetative",Table4_2[[#This Row],[Growth Days]]&lt;=50, "Maturity")</f>
        <v>Seedling</v>
      </c>
      <c r="L1726" t="str">
        <f>IF(Table4_2[[#This Row],[TDS Value (ppm)]]&lt;560, "Low", IF(Table4_2[[#This Row],[TDS Value (ppm)]]&lt;=800,"Optimal","High"))</f>
        <v>Low</v>
      </c>
    </row>
    <row r="1727" spans="1:12" x14ac:dyDescent="0.25">
      <c r="A1727">
        <v>66</v>
      </c>
      <c r="B1727" s="1">
        <v>45155</v>
      </c>
      <c r="C1727" s="1" t="str">
        <f>TEXT(Table4_2[[#This Row],[Date]],"dddd")</f>
        <v>Thursday</v>
      </c>
      <c r="D1727" s="21">
        <v>23.2</v>
      </c>
      <c r="E1727" s="21">
        <v>57</v>
      </c>
      <c r="F1727" s="21">
        <v>440</v>
      </c>
      <c r="G1727" s="21">
        <v>6.3</v>
      </c>
      <c r="H1727">
        <v>15</v>
      </c>
      <c r="I1727">
        <v>73.760000000000005</v>
      </c>
      <c r="J1727">
        <v>0.56999999999999995</v>
      </c>
      <c r="K1727" t="str" cm="1">
        <f t="array" ref="K1727">_xlfn.IFS(Table4_2[[#This Row],[Growth Days]]&lt;=14,"Seedling",Table4_2[[#This Row],[Growth Days]]&lt;=35, "Vegetative",Table4_2[[#This Row],[Growth Days]]&lt;=50, "Maturity")</f>
        <v>Vegetative</v>
      </c>
      <c r="L1727" t="str">
        <f>IF(Table4_2[[#This Row],[TDS Value (ppm)]]&lt;560, "Low", IF(Table4_2[[#This Row],[TDS Value (ppm)]]&lt;=800,"Optimal","High"))</f>
        <v>Low</v>
      </c>
    </row>
    <row r="1728" spans="1:12" x14ac:dyDescent="0.25">
      <c r="A1728">
        <v>66</v>
      </c>
      <c r="B1728" s="1">
        <v>45162</v>
      </c>
      <c r="C1728" s="1" t="str">
        <f>TEXT(Table4_2[[#This Row],[Date]],"dddd")</f>
        <v>Thursday</v>
      </c>
      <c r="D1728" s="21">
        <v>20.7</v>
      </c>
      <c r="E1728" s="21">
        <v>64</v>
      </c>
      <c r="F1728" s="21">
        <v>636</v>
      </c>
      <c r="G1728" s="21">
        <v>6</v>
      </c>
      <c r="H1728">
        <v>22</v>
      </c>
      <c r="I1728">
        <v>69.260000000000005</v>
      </c>
      <c r="J1728">
        <v>0.64</v>
      </c>
      <c r="K1728" t="str" cm="1">
        <f t="array" ref="K1728">_xlfn.IFS(Table4_2[[#This Row],[Growth Days]]&lt;=14,"Seedling",Table4_2[[#This Row],[Growth Days]]&lt;=35, "Vegetative",Table4_2[[#This Row],[Growth Days]]&lt;=50, "Maturity")</f>
        <v>Vegetative</v>
      </c>
      <c r="L1728" t="str">
        <f>IF(Table4_2[[#This Row],[TDS Value (ppm)]]&lt;560, "Low", IF(Table4_2[[#This Row],[TDS Value (ppm)]]&lt;=800,"Optimal","High"))</f>
        <v>Optimal</v>
      </c>
    </row>
    <row r="1729" spans="1:12" x14ac:dyDescent="0.25">
      <c r="A1729">
        <v>66</v>
      </c>
      <c r="B1729" s="1">
        <v>45169</v>
      </c>
      <c r="C1729" s="1" t="str">
        <f>TEXT(Table4_2[[#This Row],[Date]],"dddd")</f>
        <v>Thursday</v>
      </c>
      <c r="D1729" s="21">
        <v>19.8</v>
      </c>
      <c r="E1729" s="21">
        <v>52</v>
      </c>
      <c r="F1729" s="21">
        <v>453</v>
      </c>
      <c r="G1729" s="21">
        <v>6.6</v>
      </c>
      <c r="H1729">
        <v>29</v>
      </c>
      <c r="I1729">
        <v>67.64</v>
      </c>
      <c r="J1729">
        <v>0.52</v>
      </c>
      <c r="K1729" t="str" cm="1">
        <f t="array" ref="K1729">_xlfn.IFS(Table4_2[[#This Row],[Growth Days]]&lt;=14,"Seedling",Table4_2[[#This Row],[Growth Days]]&lt;=35, "Vegetative",Table4_2[[#This Row],[Growth Days]]&lt;=50, "Maturity")</f>
        <v>Vegetative</v>
      </c>
      <c r="L1729" t="str">
        <f>IF(Table4_2[[#This Row],[TDS Value (ppm)]]&lt;560, "Low", IF(Table4_2[[#This Row],[TDS Value (ppm)]]&lt;=800,"Optimal","High"))</f>
        <v>Low</v>
      </c>
    </row>
    <row r="1730" spans="1:12" x14ac:dyDescent="0.25">
      <c r="A1730">
        <v>66</v>
      </c>
      <c r="B1730" s="1">
        <v>45176</v>
      </c>
      <c r="C1730" s="1" t="str">
        <f>TEXT(Table4_2[[#This Row],[Date]],"dddd")</f>
        <v>Thursday</v>
      </c>
      <c r="D1730" s="21">
        <v>22.5</v>
      </c>
      <c r="E1730" s="21">
        <v>50</v>
      </c>
      <c r="F1730" s="21">
        <v>610</v>
      </c>
      <c r="G1730" s="21">
        <v>6.2</v>
      </c>
      <c r="H1730">
        <v>36</v>
      </c>
      <c r="I1730">
        <v>72.5</v>
      </c>
      <c r="J1730">
        <v>0.5</v>
      </c>
      <c r="K1730" t="str" cm="1">
        <f t="array" ref="K1730">_xlfn.IFS(Table4_2[[#This Row],[Growth Days]]&lt;=14,"Seedling",Table4_2[[#This Row],[Growth Days]]&lt;=35, "Vegetative",Table4_2[[#This Row],[Growth Days]]&lt;=50, "Maturity")</f>
        <v>Maturity</v>
      </c>
      <c r="L1730" t="str">
        <f>IF(Table4_2[[#This Row],[TDS Value (ppm)]]&lt;560, "Low", IF(Table4_2[[#This Row],[TDS Value (ppm)]]&lt;=800,"Optimal","High"))</f>
        <v>Optimal</v>
      </c>
    </row>
    <row r="1731" spans="1:12" x14ac:dyDescent="0.25">
      <c r="A1731">
        <v>66</v>
      </c>
      <c r="B1731" s="1">
        <v>45183</v>
      </c>
      <c r="C1731" s="1" t="str">
        <f>TEXT(Table4_2[[#This Row],[Date]],"dddd")</f>
        <v>Thursday</v>
      </c>
      <c r="D1731" s="21">
        <v>21.9</v>
      </c>
      <c r="E1731" s="21">
        <v>79</v>
      </c>
      <c r="F1731" s="21">
        <v>503</v>
      </c>
      <c r="G1731" s="21">
        <v>6</v>
      </c>
      <c r="H1731">
        <v>43</v>
      </c>
      <c r="I1731">
        <v>71.42</v>
      </c>
      <c r="J1731">
        <v>0.79</v>
      </c>
      <c r="K1731" t="str" cm="1">
        <f t="array" ref="K1731">_xlfn.IFS(Table4_2[[#This Row],[Growth Days]]&lt;=14,"Seedling",Table4_2[[#This Row],[Growth Days]]&lt;=35, "Vegetative",Table4_2[[#This Row],[Growth Days]]&lt;=50, "Maturity")</f>
        <v>Maturity</v>
      </c>
      <c r="L1731" t="str">
        <f>IF(Table4_2[[#This Row],[TDS Value (ppm)]]&lt;560, "Low", IF(Table4_2[[#This Row],[TDS Value (ppm)]]&lt;=800,"Optimal","High"))</f>
        <v>Low</v>
      </c>
    </row>
    <row r="1732" spans="1:12" x14ac:dyDescent="0.25">
      <c r="A1732">
        <v>67</v>
      </c>
      <c r="B1732" s="1">
        <v>45141</v>
      </c>
      <c r="C1732" s="1" t="str">
        <f>TEXT(Table4_2[[#This Row],[Date]],"dddd")</f>
        <v>Thursday</v>
      </c>
      <c r="D1732" s="21">
        <v>22</v>
      </c>
      <c r="E1732" s="21">
        <v>68</v>
      </c>
      <c r="F1732" s="21">
        <v>782</v>
      </c>
      <c r="G1732" s="21">
        <v>6.1</v>
      </c>
      <c r="H1732">
        <v>1</v>
      </c>
      <c r="I1732">
        <v>71.599999999999994</v>
      </c>
      <c r="J1732">
        <v>0.68</v>
      </c>
      <c r="K1732" t="str" cm="1">
        <f t="array" ref="K1732">_xlfn.IFS(Table4_2[[#This Row],[Growth Days]]&lt;=14,"Seedling",Table4_2[[#This Row],[Growth Days]]&lt;=35, "Vegetative",Table4_2[[#This Row],[Growth Days]]&lt;=50, "Maturity")</f>
        <v>Seedling</v>
      </c>
      <c r="L1732" t="str">
        <f>IF(Table4_2[[#This Row],[TDS Value (ppm)]]&lt;560, "Low", IF(Table4_2[[#This Row],[TDS Value (ppm)]]&lt;=800,"Optimal","High"))</f>
        <v>Optimal</v>
      </c>
    </row>
    <row r="1733" spans="1:12" x14ac:dyDescent="0.25">
      <c r="A1733">
        <v>67</v>
      </c>
      <c r="B1733" s="1">
        <v>45148</v>
      </c>
      <c r="C1733" s="1" t="str">
        <f>TEXT(Table4_2[[#This Row],[Date]],"dddd")</f>
        <v>Thursday</v>
      </c>
      <c r="D1733" s="21">
        <v>19</v>
      </c>
      <c r="E1733" s="21">
        <v>57</v>
      </c>
      <c r="F1733" s="21">
        <v>568</v>
      </c>
      <c r="G1733" s="21">
        <v>6.7</v>
      </c>
      <c r="H1733">
        <v>8</v>
      </c>
      <c r="I1733">
        <v>66.2</v>
      </c>
      <c r="J1733">
        <v>0.56999999999999995</v>
      </c>
      <c r="K1733" t="str" cm="1">
        <f t="array" ref="K1733">_xlfn.IFS(Table4_2[[#This Row],[Growth Days]]&lt;=14,"Seedling",Table4_2[[#This Row],[Growth Days]]&lt;=35, "Vegetative",Table4_2[[#This Row],[Growth Days]]&lt;=50, "Maturity")</f>
        <v>Seedling</v>
      </c>
      <c r="L1733" t="str">
        <f>IF(Table4_2[[#This Row],[TDS Value (ppm)]]&lt;560, "Low", IF(Table4_2[[#This Row],[TDS Value (ppm)]]&lt;=800,"Optimal","High"))</f>
        <v>Optimal</v>
      </c>
    </row>
    <row r="1734" spans="1:12" x14ac:dyDescent="0.25">
      <c r="A1734">
        <v>67</v>
      </c>
      <c r="B1734" s="1">
        <v>45155</v>
      </c>
      <c r="C1734" s="1" t="str">
        <f>TEXT(Table4_2[[#This Row],[Date]],"dddd")</f>
        <v>Thursday</v>
      </c>
      <c r="D1734" s="21">
        <v>22.3</v>
      </c>
      <c r="E1734" s="21">
        <v>59</v>
      </c>
      <c r="F1734" s="21">
        <v>478</v>
      </c>
      <c r="G1734" s="21">
        <v>6.7</v>
      </c>
      <c r="H1734">
        <v>15</v>
      </c>
      <c r="I1734">
        <v>72.14</v>
      </c>
      <c r="J1734">
        <v>0.59</v>
      </c>
      <c r="K1734" t="str" cm="1">
        <f t="array" ref="K1734">_xlfn.IFS(Table4_2[[#This Row],[Growth Days]]&lt;=14,"Seedling",Table4_2[[#This Row],[Growth Days]]&lt;=35, "Vegetative",Table4_2[[#This Row],[Growth Days]]&lt;=50, "Maturity")</f>
        <v>Vegetative</v>
      </c>
      <c r="L1734" t="str">
        <f>IF(Table4_2[[#This Row],[TDS Value (ppm)]]&lt;560, "Low", IF(Table4_2[[#This Row],[TDS Value (ppm)]]&lt;=800,"Optimal","High"))</f>
        <v>Low</v>
      </c>
    </row>
    <row r="1735" spans="1:12" x14ac:dyDescent="0.25">
      <c r="A1735">
        <v>67</v>
      </c>
      <c r="B1735" s="1">
        <v>45162</v>
      </c>
      <c r="C1735" s="1" t="str">
        <f>TEXT(Table4_2[[#This Row],[Date]],"dddd")</f>
        <v>Thursday</v>
      </c>
      <c r="D1735" s="21">
        <v>24.5</v>
      </c>
      <c r="E1735" s="21">
        <v>54</v>
      </c>
      <c r="F1735" s="21">
        <v>470</v>
      </c>
      <c r="G1735" s="21">
        <v>6.4</v>
      </c>
      <c r="H1735">
        <v>22</v>
      </c>
      <c r="I1735">
        <v>76.099999999999994</v>
      </c>
      <c r="J1735">
        <v>0.54</v>
      </c>
      <c r="K1735" t="str" cm="1">
        <f t="array" ref="K1735">_xlfn.IFS(Table4_2[[#This Row],[Growth Days]]&lt;=14,"Seedling",Table4_2[[#This Row],[Growth Days]]&lt;=35, "Vegetative",Table4_2[[#This Row],[Growth Days]]&lt;=50, "Maturity")</f>
        <v>Vegetative</v>
      </c>
      <c r="L1735" t="str">
        <f>IF(Table4_2[[#This Row],[TDS Value (ppm)]]&lt;560, "Low", IF(Table4_2[[#This Row],[TDS Value (ppm)]]&lt;=800,"Optimal","High"))</f>
        <v>Low</v>
      </c>
    </row>
    <row r="1736" spans="1:12" x14ac:dyDescent="0.25">
      <c r="A1736">
        <v>67</v>
      </c>
      <c r="B1736" s="1">
        <v>45169</v>
      </c>
      <c r="C1736" s="1" t="str">
        <f>TEXT(Table4_2[[#This Row],[Date]],"dddd")</f>
        <v>Thursday</v>
      </c>
      <c r="D1736" s="21">
        <v>19</v>
      </c>
      <c r="E1736" s="21">
        <v>70</v>
      </c>
      <c r="F1736" s="21">
        <v>739</v>
      </c>
      <c r="G1736" s="21">
        <v>6.4</v>
      </c>
      <c r="H1736">
        <v>29</v>
      </c>
      <c r="I1736">
        <v>66.2</v>
      </c>
      <c r="J1736">
        <v>0.7</v>
      </c>
      <c r="K1736" t="str" cm="1">
        <f t="array" ref="K1736">_xlfn.IFS(Table4_2[[#This Row],[Growth Days]]&lt;=14,"Seedling",Table4_2[[#This Row],[Growth Days]]&lt;=35, "Vegetative",Table4_2[[#This Row],[Growth Days]]&lt;=50, "Maturity")</f>
        <v>Vegetative</v>
      </c>
      <c r="L1736" t="str">
        <f>IF(Table4_2[[#This Row],[TDS Value (ppm)]]&lt;560, "Low", IF(Table4_2[[#This Row],[TDS Value (ppm)]]&lt;=800,"Optimal","High"))</f>
        <v>Optimal</v>
      </c>
    </row>
    <row r="1737" spans="1:12" x14ac:dyDescent="0.25">
      <c r="A1737">
        <v>67</v>
      </c>
      <c r="B1737" s="1">
        <v>45176</v>
      </c>
      <c r="C1737" s="1" t="str">
        <f>TEXT(Table4_2[[#This Row],[Date]],"dddd")</f>
        <v>Thursday</v>
      </c>
      <c r="D1737" s="21">
        <v>18.5</v>
      </c>
      <c r="E1737" s="21">
        <v>55</v>
      </c>
      <c r="F1737" s="21">
        <v>527</v>
      </c>
      <c r="G1737" s="21">
        <v>6.3</v>
      </c>
      <c r="H1737">
        <v>36</v>
      </c>
      <c r="I1737">
        <v>65.3</v>
      </c>
      <c r="J1737">
        <v>0.55000000000000004</v>
      </c>
      <c r="K1737" t="str" cm="1">
        <f t="array" ref="K1737">_xlfn.IFS(Table4_2[[#This Row],[Growth Days]]&lt;=14,"Seedling",Table4_2[[#This Row],[Growth Days]]&lt;=35, "Vegetative",Table4_2[[#This Row],[Growth Days]]&lt;=50, "Maturity")</f>
        <v>Maturity</v>
      </c>
      <c r="L1737" t="str">
        <f>IF(Table4_2[[#This Row],[TDS Value (ppm)]]&lt;560, "Low", IF(Table4_2[[#This Row],[TDS Value (ppm)]]&lt;=800,"Optimal","High"))</f>
        <v>Low</v>
      </c>
    </row>
    <row r="1738" spans="1:12" x14ac:dyDescent="0.25">
      <c r="A1738">
        <v>67</v>
      </c>
      <c r="B1738" s="1">
        <v>45183</v>
      </c>
      <c r="C1738" s="1" t="str">
        <f>TEXT(Table4_2[[#This Row],[Date]],"dddd")</f>
        <v>Thursday</v>
      </c>
      <c r="D1738" s="21">
        <v>21.5</v>
      </c>
      <c r="E1738" s="21">
        <v>72</v>
      </c>
      <c r="F1738" s="21">
        <v>443</v>
      </c>
      <c r="G1738" s="21">
        <v>6.6</v>
      </c>
      <c r="H1738">
        <v>43</v>
      </c>
      <c r="I1738">
        <v>70.7</v>
      </c>
      <c r="J1738">
        <v>0.72</v>
      </c>
      <c r="K1738" t="str" cm="1">
        <f t="array" ref="K1738">_xlfn.IFS(Table4_2[[#This Row],[Growth Days]]&lt;=14,"Seedling",Table4_2[[#This Row],[Growth Days]]&lt;=35, "Vegetative",Table4_2[[#This Row],[Growth Days]]&lt;=50, "Maturity")</f>
        <v>Maturity</v>
      </c>
      <c r="L1738" t="str">
        <f>IF(Table4_2[[#This Row],[TDS Value (ppm)]]&lt;560, "Low", IF(Table4_2[[#This Row],[TDS Value (ppm)]]&lt;=800,"Optimal","High"))</f>
        <v>Low</v>
      </c>
    </row>
    <row r="1739" spans="1:12" x14ac:dyDescent="0.25">
      <c r="A1739">
        <v>68</v>
      </c>
      <c r="B1739" s="1">
        <v>45141</v>
      </c>
      <c r="C1739" s="1" t="str">
        <f>TEXT(Table4_2[[#This Row],[Date]],"dddd")</f>
        <v>Thursday</v>
      </c>
      <c r="D1739" s="21">
        <v>19.7</v>
      </c>
      <c r="E1739" s="21">
        <v>56</v>
      </c>
      <c r="F1739" s="21">
        <v>716</v>
      </c>
      <c r="G1739" s="21">
        <v>6.5</v>
      </c>
      <c r="H1739">
        <v>1</v>
      </c>
      <c r="I1739">
        <v>67.459999999999994</v>
      </c>
      <c r="J1739">
        <v>0.56000000000000005</v>
      </c>
      <c r="K1739" t="str" cm="1">
        <f t="array" ref="K1739">_xlfn.IFS(Table4_2[[#This Row],[Growth Days]]&lt;=14,"Seedling",Table4_2[[#This Row],[Growth Days]]&lt;=35, "Vegetative",Table4_2[[#This Row],[Growth Days]]&lt;=50, "Maturity")</f>
        <v>Seedling</v>
      </c>
      <c r="L1739" t="str">
        <f>IF(Table4_2[[#This Row],[TDS Value (ppm)]]&lt;560, "Low", IF(Table4_2[[#This Row],[TDS Value (ppm)]]&lt;=800,"Optimal","High"))</f>
        <v>Optimal</v>
      </c>
    </row>
    <row r="1740" spans="1:12" x14ac:dyDescent="0.25">
      <c r="A1740">
        <v>68</v>
      </c>
      <c r="B1740" s="1">
        <v>45148</v>
      </c>
      <c r="C1740" s="1" t="str">
        <f>TEXT(Table4_2[[#This Row],[Date]],"dddd")</f>
        <v>Thursday</v>
      </c>
      <c r="D1740" s="21">
        <v>21.3</v>
      </c>
      <c r="E1740" s="21">
        <v>74</v>
      </c>
      <c r="F1740" s="21">
        <v>663</v>
      </c>
      <c r="G1740" s="21">
        <v>6.7</v>
      </c>
      <c r="H1740">
        <v>8</v>
      </c>
      <c r="I1740">
        <v>70.34</v>
      </c>
      <c r="J1740">
        <v>0.74</v>
      </c>
      <c r="K1740" t="str" cm="1">
        <f t="array" ref="K1740">_xlfn.IFS(Table4_2[[#This Row],[Growth Days]]&lt;=14,"Seedling",Table4_2[[#This Row],[Growth Days]]&lt;=35, "Vegetative",Table4_2[[#This Row],[Growth Days]]&lt;=50, "Maturity")</f>
        <v>Seedling</v>
      </c>
      <c r="L1740" t="str">
        <f>IF(Table4_2[[#This Row],[TDS Value (ppm)]]&lt;560, "Low", IF(Table4_2[[#This Row],[TDS Value (ppm)]]&lt;=800,"Optimal","High"))</f>
        <v>Optimal</v>
      </c>
    </row>
    <row r="1741" spans="1:12" x14ac:dyDescent="0.25">
      <c r="A1741">
        <v>68</v>
      </c>
      <c r="B1741" s="1">
        <v>45155</v>
      </c>
      <c r="C1741" s="1" t="str">
        <f>TEXT(Table4_2[[#This Row],[Date]],"dddd")</f>
        <v>Thursday</v>
      </c>
      <c r="D1741" s="21">
        <v>20</v>
      </c>
      <c r="E1741" s="21">
        <v>51</v>
      </c>
      <c r="F1741" s="21">
        <v>566</v>
      </c>
      <c r="G1741" s="21">
        <v>6.4</v>
      </c>
      <c r="H1741">
        <v>15</v>
      </c>
      <c r="I1741">
        <v>68</v>
      </c>
      <c r="J1741">
        <v>0.51</v>
      </c>
      <c r="K1741" t="str" cm="1">
        <f t="array" ref="K1741">_xlfn.IFS(Table4_2[[#This Row],[Growth Days]]&lt;=14,"Seedling",Table4_2[[#This Row],[Growth Days]]&lt;=35, "Vegetative",Table4_2[[#This Row],[Growth Days]]&lt;=50, "Maturity")</f>
        <v>Vegetative</v>
      </c>
      <c r="L1741" t="str">
        <f>IF(Table4_2[[#This Row],[TDS Value (ppm)]]&lt;560, "Low", IF(Table4_2[[#This Row],[TDS Value (ppm)]]&lt;=800,"Optimal","High"))</f>
        <v>Optimal</v>
      </c>
    </row>
    <row r="1742" spans="1:12" x14ac:dyDescent="0.25">
      <c r="A1742">
        <v>68</v>
      </c>
      <c r="B1742" s="1">
        <v>45162</v>
      </c>
      <c r="C1742" s="1" t="str">
        <f>TEXT(Table4_2[[#This Row],[Date]],"dddd")</f>
        <v>Thursday</v>
      </c>
      <c r="D1742" s="21">
        <v>20</v>
      </c>
      <c r="E1742" s="21">
        <v>69</v>
      </c>
      <c r="F1742" s="21">
        <v>708</v>
      </c>
      <c r="G1742" s="21">
        <v>6.4</v>
      </c>
      <c r="H1742">
        <v>22</v>
      </c>
      <c r="I1742">
        <v>68</v>
      </c>
      <c r="J1742">
        <v>0.69</v>
      </c>
      <c r="K1742" t="str" cm="1">
        <f t="array" ref="K1742">_xlfn.IFS(Table4_2[[#This Row],[Growth Days]]&lt;=14,"Seedling",Table4_2[[#This Row],[Growth Days]]&lt;=35, "Vegetative",Table4_2[[#This Row],[Growth Days]]&lt;=50, "Maturity")</f>
        <v>Vegetative</v>
      </c>
      <c r="L1742" t="str">
        <f>IF(Table4_2[[#This Row],[TDS Value (ppm)]]&lt;560, "Low", IF(Table4_2[[#This Row],[TDS Value (ppm)]]&lt;=800,"Optimal","High"))</f>
        <v>Optimal</v>
      </c>
    </row>
    <row r="1743" spans="1:12" x14ac:dyDescent="0.25">
      <c r="A1743">
        <v>68</v>
      </c>
      <c r="B1743" s="1">
        <v>45169</v>
      </c>
      <c r="C1743" s="1" t="str">
        <f>TEXT(Table4_2[[#This Row],[Date]],"dddd")</f>
        <v>Thursday</v>
      </c>
      <c r="D1743" s="21">
        <v>18.3</v>
      </c>
      <c r="E1743" s="21">
        <v>78</v>
      </c>
      <c r="F1743" s="21">
        <v>663</v>
      </c>
      <c r="G1743" s="21">
        <v>6.2</v>
      </c>
      <c r="H1743">
        <v>29</v>
      </c>
      <c r="I1743">
        <v>64.94</v>
      </c>
      <c r="J1743">
        <v>0.78</v>
      </c>
      <c r="K1743" t="str" cm="1">
        <f t="array" ref="K1743">_xlfn.IFS(Table4_2[[#This Row],[Growth Days]]&lt;=14,"Seedling",Table4_2[[#This Row],[Growth Days]]&lt;=35, "Vegetative",Table4_2[[#This Row],[Growth Days]]&lt;=50, "Maturity")</f>
        <v>Vegetative</v>
      </c>
      <c r="L1743" t="str">
        <f>IF(Table4_2[[#This Row],[TDS Value (ppm)]]&lt;560, "Low", IF(Table4_2[[#This Row],[TDS Value (ppm)]]&lt;=800,"Optimal","High"))</f>
        <v>Optimal</v>
      </c>
    </row>
    <row r="1744" spans="1:12" x14ac:dyDescent="0.25">
      <c r="A1744">
        <v>68</v>
      </c>
      <c r="B1744" s="1">
        <v>45176</v>
      </c>
      <c r="C1744" s="1" t="str">
        <f>TEXT(Table4_2[[#This Row],[Date]],"dddd")</f>
        <v>Thursday</v>
      </c>
      <c r="D1744" s="21">
        <v>24.3</v>
      </c>
      <c r="E1744" s="21">
        <v>53</v>
      </c>
      <c r="F1744" s="21">
        <v>434</v>
      </c>
      <c r="G1744" s="21">
        <v>6.1</v>
      </c>
      <c r="H1744">
        <v>36</v>
      </c>
      <c r="I1744">
        <v>75.739999999999995</v>
      </c>
      <c r="J1744">
        <v>0.53</v>
      </c>
      <c r="K1744" t="str" cm="1">
        <f t="array" ref="K1744">_xlfn.IFS(Table4_2[[#This Row],[Growth Days]]&lt;=14,"Seedling",Table4_2[[#This Row],[Growth Days]]&lt;=35, "Vegetative",Table4_2[[#This Row],[Growth Days]]&lt;=50, "Maturity")</f>
        <v>Maturity</v>
      </c>
      <c r="L1744" t="str">
        <f>IF(Table4_2[[#This Row],[TDS Value (ppm)]]&lt;560, "Low", IF(Table4_2[[#This Row],[TDS Value (ppm)]]&lt;=800,"Optimal","High"))</f>
        <v>Low</v>
      </c>
    </row>
    <row r="1745" spans="1:12" x14ac:dyDescent="0.25">
      <c r="A1745">
        <v>68</v>
      </c>
      <c r="B1745" s="1">
        <v>45183</v>
      </c>
      <c r="C1745" s="1" t="str">
        <f>TEXT(Table4_2[[#This Row],[Date]],"dddd")</f>
        <v>Thursday</v>
      </c>
      <c r="D1745" s="21">
        <v>20.6</v>
      </c>
      <c r="E1745" s="21">
        <v>57</v>
      </c>
      <c r="F1745" s="21">
        <v>494</v>
      </c>
      <c r="G1745" s="21">
        <v>6.6</v>
      </c>
      <c r="H1745">
        <v>43</v>
      </c>
      <c r="I1745">
        <v>69.08</v>
      </c>
      <c r="J1745">
        <v>0.56999999999999995</v>
      </c>
      <c r="K1745" t="str" cm="1">
        <f t="array" ref="K1745">_xlfn.IFS(Table4_2[[#This Row],[Growth Days]]&lt;=14,"Seedling",Table4_2[[#This Row],[Growth Days]]&lt;=35, "Vegetative",Table4_2[[#This Row],[Growth Days]]&lt;=50, "Maturity")</f>
        <v>Maturity</v>
      </c>
      <c r="L1745" t="str">
        <f>IF(Table4_2[[#This Row],[TDS Value (ppm)]]&lt;560, "Low", IF(Table4_2[[#This Row],[TDS Value (ppm)]]&lt;=800,"Optimal","High"))</f>
        <v>Low</v>
      </c>
    </row>
    <row r="1746" spans="1:12" x14ac:dyDescent="0.25">
      <c r="A1746">
        <v>69</v>
      </c>
      <c r="B1746" s="1">
        <v>45141</v>
      </c>
      <c r="C1746" s="1" t="str">
        <f>TEXT(Table4_2[[#This Row],[Date]],"dddd")</f>
        <v>Thursday</v>
      </c>
      <c r="D1746" s="21">
        <v>20.100000000000001</v>
      </c>
      <c r="E1746" s="21">
        <v>75</v>
      </c>
      <c r="F1746" s="21">
        <v>478</v>
      </c>
      <c r="G1746" s="21">
        <v>6.1</v>
      </c>
      <c r="H1746">
        <v>1</v>
      </c>
      <c r="I1746">
        <v>68.180000000000007</v>
      </c>
      <c r="J1746">
        <v>0.75</v>
      </c>
      <c r="K1746" t="str" cm="1">
        <f t="array" ref="K1746">_xlfn.IFS(Table4_2[[#This Row],[Growth Days]]&lt;=14,"Seedling",Table4_2[[#This Row],[Growth Days]]&lt;=35, "Vegetative",Table4_2[[#This Row],[Growth Days]]&lt;=50, "Maturity")</f>
        <v>Seedling</v>
      </c>
      <c r="L1746" t="str">
        <f>IF(Table4_2[[#This Row],[TDS Value (ppm)]]&lt;560, "Low", IF(Table4_2[[#This Row],[TDS Value (ppm)]]&lt;=800,"Optimal","High"))</f>
        <v>Low</v>
      </c>
    </row>
    <row r="1747" spans="1:12" x14ac:dyDescent="0.25">
      <c r="A1747">
        <v>69</v>
      </c>
      <c r="B1747" s="1">
        <v>45148</v>
      </c>
      <c r="C1747" s="1" t="str">
        <f>TEXT(Table4_2[[#This Row],[Date]],"dddd")</f>
        <v>Thursday</v>
      </c>
      <c r="D1747" s="21">
        <v>19.5</v>
      </c>
      <c r="E1747" s="21">
        <v>69</v>
      </c>
      <c r="F1747" s="21">
        <v>614</v>
      </c>
      <c r="G1747" s="21">
        <v>6.8</v>
      </c>
      <c r="H1747">
        <v>8</v>
      </c>
      <c r="I1747">
        <v>67.099999999999994</v>
      </c>
      <c r="J1747">
        <v>0.69</v>
      </c>
      <c r="K1747" t="str" cm="1">
        <f t="array" ref="K1747">_xlfn.IFS(Table4_2[[#This Row],[Growth Days]]&lt;=14,"Seedling",Table4_2[[#This Row],[Growth Days]]&lt;=35, "Vegetative",Table4_2[[#This Row],[Growth Days]]&lt;=50, "Maturity")</f>
        <v>Seedling</v>
      </c>
      <c r="L1747" t="str">
        <f>IF(Table4_2[[#This Row],[TDS Value (ppm)]]&lt;560, "Low", IF(Table4_2[[#This Row],[TDS Value (ppm)]]&lt;=800,"Optimal","High"))</f>
        <v>Optimal</v>
      </c>
    </row>
    <row r="1748" spans="1:12" x14ac:dyDescent="0.25">
      <c r="A1748">
        <v>69</v>
      </c>
      <c r="B1748" s="1">
        <v>45155</v>
      </c>
      <c r="C1748" s="1" t="str">
        <f>TEXT(Table4_2[[#This Row],[Date]],"dddd")</f>
        <v>Thursday</v>
      </c>
      <c r="D1748" s="21">
        <v>20.6</v>
      </c>
      <c r="E1748" s="21">
        <v>53</v>
      </c>
      <c r="F1748" s="21">
        <v>592</v>
      </c>
      <c r="G1748" s="21">
        <v>6.3</v>
      </c>
      <c r="H1748">
        <v>15</v>
      </c>
      <c r="I1748">
        <v>69.08</v>
      </c>
      <c r="J1748">
        <v>0.53</v>
      </c>
      <c r="K1748" t="str" cm="1">
        <f t="array" ref="K1748">_xlfn.IFS(Table4_2[[#This Row],[Growth Days]]&lt;=14,"Seedling",Table4_2[[#This Row],[Growth Days]]&lt;=35, "Vegetative",Table4_2[[#This Row],[Growth Days]]&lt;=50, "Maturity")</f>
        <v>Vegetative</v>
      </c>
      <c r="L1748" t="str">
        <f>IF(Table4_2[[#This Row],[TDS Value (ppm)]]&lt;560, "Low", IF(Table4_2[[#This Row],[TDS Value (ppm)]]&lt;=800,"Optimal","High"))</f>
        <v>Optimal</v>
      </c>
    </row>
    <row r="1749" spans="1:12" x14ac:dyDescent="0.25">
      <c r="A1749">
        <v>69</v>
      </c>
      <c r="B1749" s="1">
        <v>45162</v>
      </c>
      <c r="C1749" s="1" t="str">
        <f>TEXT(Table4_2[[#This Row],[Date]],"dddd")</f>
        <v>Thursday</v>
      </c>
      <c r="D1749" s="21">
        <v>22.5</v>
      </c>
      <c r="E1749" s="21">
        <v>54</v>
      </c>
      <c r="F1749" s="21">
        <v>428</v>
      </c>
      <c r="G1749" s="21">
        <v>6.7</v>
      </c>
      <c r="H1749">
        <v>22</v>
      </c>
      <c r="I1749">
        <v>72.5</v>
      </c>
      <c r="J1749">
        <v>0.54</v>
      </c>
      <c r="K1749" t="str" cm="1">
        <f t="array" ref="K1749">_xlfn.IFS(Table4_2[[#This Row],[Growth Days]]&lt;=14,"Seedling",Table4_2[[#This Row],[Growth Days]]&lt;=35, "Vegetative",Table4_2[[#This Row],[Growth Days]]&lt;=50, "Maturity")</f>
        <v>Vegetative</v>
      </c>
      <c r="L1749" t="str">
        <f>IF(Table4_2[[#This Row],[TDS Value (ppm)]]&lt;560, "Low", IF(Table4_2[[#This Row],[TDS Value (ppm)]]&lt;=800,"Optimal","High"))</f>
        <v>Low</v>
      </c>
    </row>
    <row r="1750" spans="1:12" x14ac:dyDescent="0.25">
      <c r="A1750">
        <v>69</v>
      </c>
      <c r="B1750" s="1">
        <v>45169</v>
      </c>
      <c r="C1750" s="1" t="str">
        <f>TEXT(Table4_2[[#This Row],[Date]],"dddd")</f>
        <v>Thursday</v>
      </c>
      <c r="D1750" s="21">
        <v>20.5</v>
      </c>
      <c r="E1750" s="21">
        <v>56</v>
      </c>
      <c r="F1750" s="21">
        <v>404</v>
      </c>
      <c r="G1750" s="21">
        <v>6.5</v>
      </c>
      <c r="H1750">
        <v>29</v>
      </c>
      <c r="I1750">
        <v>68.900000000000006</v>
      </c>
      <c r="J1750">
        <v>0.56000000000000005</v>
      </c>
      <c r="K1750" t="str" cm="1">
        <f t="array" ref="K1750">_xlfn.IFS(Table4_2[[#This Row],[Growth Days]]&lt;=14,"Seedling",Table4_2[[#This Row],[Growth Days]]&lt;=35, "Vegetative",Table4_2[[#This Row],[Growth Days]]&lt;=50, "Maturity")</f>
        <v>Vegetative</v>
      </c>
      <c r="L1750" t="str">
        <f>IF(Table4_2[[#This Row],[TDS Value (ppm)]]&lt;560, "Low", IF(Table4_2[[#This Row],[TDS Value (ppm)]]&lt;=800,"Optimal","High"))</f>
        <v>Low</v>
      </c>
    </row>
    <row r="1751" spans="1:12" x14ac:dyDescent="0.25">
      <c r="A1751">
        <v>69</v>
      </c>
      <c r="B1751" s="1">
        <v>45176</v>
      </c>
      <c r="C1751" s="1" t="str">
        <f>TEXT(Table4_2[[#This Row],[Date]],"dddd")</f>
        <v>Thursday</v>
      </c>
      <c r="D1751" s="21">
        <v>18.5</v>
      </c>
      <c r="E1751" s="21">
        <v>69</v>
      </c>
      <c r="F1751" s="21">
        <v>790</v>
      </c>
      <c r="G1751" s="21">
        <v>6.7</v>
      </c>
      <c r="H1751">
        <v>36</v>
      </c>
      <c r="I1751">
        <v>65.3</v>
      </c>
      <c r="J1751">
        <v>0.69</v>
      </c>
      <c r="K1751" t="str" cm="1">
        <f t="array" ref="K1751">_xlfn.IFS(Table4_2[[#This Row],[Growth Days]]&lt;=14,"Seedling",Table4_2[[#This Row],[Growth Days]]&lt;=35, "Vegetative",Table4_2[[#This Row],[Growth Days]]&lt;=50, "Maturity")</f>
        <v>Maturity</v>
      </c>
      <c r="L1751" t="str">
        <f>IF(Table4_2[[#This Row],[TDS Value (ppm)]]&lt;560, "Low", IF(Table4_2[[#This Row],[TDS Value (ppm)]]&lt;=800,"Optimal","High"))</f>
        <v>Optimal</v>
      </c>
    </row>
    <row r="1752" spans="1:12" x14ac:dyDescent="0.25">
      <c r="A1752">
        <v>69</v>
      </c>
      <c r="B1752" s="1">
        <v>45183</v>
      </c>
      <c r="C1752" s="1" t="str">
        <f>TEXT(Table4_2[[#This Row],[Date]],"dddd")</f>
        <v>Thursday</v>
      </c>
      <c r="D1752" s="21">
        <v>24.9</v>
      </c>
      <c r="E1752" s="21">
        <v>59</v>
      </c>
      <c r="F1752" s="21">
        <v>494</v>
      </c>
      <c r="G1752" s="21">
        <v>6.8</v>
      </c>
      <c r="H1752">
        <v>43</v>
      </c>
      <c r="I1752">
        <v>76.819999999999993</v>
      </c>
      <c r="J1752">
        <v>0.59</v>
      </c>
      <c r="K1752" t="str" cm="1">
        <f t="array" ref="K1752">_xlfn.IFS(Table4_2[[#This Row],[Growth Days]]&lt;=14,"Seedling",Table4_2[[#This Row],[Growth Days]]&lt;=35, "Vegetative",Table4_2[[#This Row],[Growth Days]]&lt;=50, "Maturity")</f>
        <v>Maturity</v>
      </c>
      <c r="L1752" t="str">
        <f>IF(Table4_2[[#This Row],[TDS Value (ppm)]]&lt;560, "Low", IF(Table4_2[[#This Row],[TDS Value (ppm)]]&lt;=800,"Optimal","High"))</f>
        <v>Low</v>
      </c>
    </row>
    <row r="1753" spans="1:12" x14ac:dyDescent="0.25">
      <c r="A1753">
        <v>70</v>
      </c>
      <c r="B1753" s="1">
        <v>45141</v>
      </c>
      <c r="C1753" s="1" t="str">
        <f>TEXT(Table4_2[[#This Row],[Date]],"dddd")</f>
        <v>Thursday</v>
      </c>
      <c r="D1753" s="21">
        <v>24.7</v>
      </c>
      <c r="E1753" s="21">
        <v>65</v>
      </c>
      <c r="F1753" s="21">
        <v>752</v>
      </c>
      <c r="G1753" s="21">
        <v>6.3</v>
      </c>
      <c r="H1753">
        <v>1</v>
      </c>
      <c r="I1753">
        <v>76.459999999999994</v>
      </c>
      <c r="J1753">
        <v>0.65</v>
      </c>
      <c r="K1753" t="str" cm="1">
        <f t="array" ref="K1753">_xlfn.IFS(Table4_2[[#This Row],[Growth Days]]&lt;=14,"Seedling",Table4_2[[#This Row],[Growth Days]]&lt;=35, "Vegetative",Table4_2[[#This Row],[Growth Days]]&lt;=50, "Maturity")</f>
        <v>Seedling</v>
      </c>
      <c r="L1753" t="str">
        <f>IF(Table4_2[[#This Row],[TDS Value (ppm)]]&lt;560, "Low", IF(Table4_2[[#This Row],[TDS Value (ppm)]]&lt;=800,"Optimal","High"))</f>
        <v>Optimal</v>
      </c>
    </row>
    <row r="1754" spans="1:12" x14ac:dyDescent="0.25">
      <c r="A1754">
        <v>70</v>
      </c>
      <c r="B1754" s="1">
        <v>45148</v>
      </c>
      <c r="C1754" s="1" t="str">
        <f>TEXT(Table4_2[[#This Row],[Date]],"dddd")</f>
        <v>Thursday</v>
      </c>
      <c r="D1754" s="21">
        <v>19.3</v>
      </c>
      <c r="E1754" s="21">
        <v>74</v>
      </c>
      <c r="F1754" s="21">
        <v>645</v>
      </c>
      <c r="G1754" s="21">
        <v>6.5</v>
      </c>
      <c r="H1754">
        <v>8</v>
      </c>
      <c r="I1754">
        <v>66.739999999999995</v>
      </c>
      <c r="J1754">
        <v>0.74</v>
      </c>
      <c r="K1754" t="str" cm="1">
        <f t="array" ref="K1754">_xlfn.IFS(Table4_2[[#This Row],[Growth Days]]&lt;=14,"Seedling",Table4_2[[#This Row],[Growth Days]]&lt;=35, "Vegetative",Table4_2[[#This Row],[Growth Days]]&lt;=50, "Maturity")</f>
        <v>Seedling</v>
      </c>
      <c r="L1754" t="str">
        <f>IF(Table4_2[[#This Row],[TDS Value (ppm)]]&lt;560, "Low", IF(Table4_2[[#This Row],[TDS Value (ppm)]]&lt;=800,"Optimal","High"))</f>
        <v>Optimal</v>
      </c>
    </row>
    <row r="1755" spans="1:12" x14ac:dyDescent="0.25">
      <c r="A1755">
        <v>70</v>
      </c>
      <c r="B1755" s="1">
        <v>45155</v>
      </c>
      <c r="C1755" s="1" t="str">
        <f>TEXT(Table4_2[[#This Row],[Date]],"dddd")</f>
        <v>Thursday</v>
      </c>
      <c r="D1755" s="21">
        <v>19.5</v>
      </c>
      <c r="E1755" s="21">
        <v>77</v>
      </c>
      <c r="F1755" s="21">
        <v>791</v>
      </c>
      <c r="G1755" s="21">
        <v>6.4</v>
      </c>
      <c r="H1755">
        <v>15</v>
      </c>
      <c r="I1755">
        <v>67.099999999999994</v>
      </c>
      <c r="J1755">
        <v>0.77</v>
      </c>
      <c r="K1755" t="str" cm="1">
        <f t="array" ref="K1755">_xlfn.IFS(Table4_2[[#This Row],[Growth Days]]&lt;=14,"Seedling",Table4_2[[#This Row],[Growth Days]]&lt;=35, "Vegetative",Table4_2[[#This Row],[Growth Days]]&lt;=50, "Maturity")</f>
        <v>Vegetative</v>
      </c>
      <c r="L1755" t="str">
        <f>IF(Table4_2[[#This Row],[TDS Value (ppm)]]&lt;560, "Low", IF(Table4_2[[#This Row],[TDS Value (ppm)]]&lt;=800,"Optimal","High"))</f>
        <v>Optimal</v>
      </c>
    </row>
    <row r="1756" spans="1:12" x14ac:dyDescent="0.25">
      <c r="A1756">
        <v>70</v>
      </c>
      <c r="B1756" s="1">
        <v>45162</v>
      </c>
      <c r="C1756" s="1" t="str">
        <f>TEXT(Table4_2[[#This Row],[Date]],"dddd")</f>
        <v>Thursday</v>
      </c>
      <c r="D1756" s="21">
        <v>19.2</v>
      </c>
      <c r="E1756" s="21">
        <v>56</v>
      </c>
      <c r="F1756" s="21">
        <v>515</v>
      </c>
      <c r="G1756" s="21">
        <v>6.4</v>
      </c>
      <c r="H1756">
        <v>22</v>
      </c>
      <c r="I1756">
        <v>66.56</v>
      </c>
      <c r="J1756">
        <v>0.56000000000000005</v>
      </c>
      <c r="K1756" t="str" cm="1">
        <f t="array" ref="K1756">_xlfn.IFS(Table4_2[[#This Row],[Growth Days]]&lt;=14,"Seedling",Table4_2[[#This Row],[Growth Days]]&lt;=35, "Vegetative",Table4_2[[#This Row],[Growth Days]]&lt;=50, "Maturity")</f>
        <v>Vegetative</v>
      </c>
      <c r="L1756" t="str">
        <f>IF(Table4_2[[#This Row],[TDS Value (ppm)]]&lt;560, "Low", IF(Table4_2[[#This Row],[TDS Value (ppm)]]&lt;=800,"Optimal","High"))</f>
        <v>Low</v>
      </c>
    </row>
    <row r="1757" spans="1:12" x14ac:dyDescent="0.25">
      <c r="A1757">
        <v>70</v>
      </c>
      <c r="B1757" s="1">
        <v>45169</v>
      </c>
      <c r="C1757" s="1" t="str">
        <f>TEXT(Table4_2[[#This Row],[Date]],"dddd")</f>
        <v>Thursday</v>
      </c>
      <c r="D1757" s="21">
        <v>23.6</v>
      </c>
      <c r="E1757" s="21">
        <v>58</v>
      </c>
      <c r="F1757" s="21">
        <v>404</v>
      </c>
      <c r="G1757" s="21">
        <v>6.1</v>
      </c>
      <c r="H1757">
        <v>29</v>
      </c>
      <c r="I1757">
        <v>74.48</v>
      </c>
      <c r="J1757">
        <v>0.57999999999999996</v>
      </c>
      <c r="K1757" t="str" cm="1">
        <f t="array" ref="K1757">_xlfn.IFS(Table4_2[[#This Row],[Growth Days]]&lt;=14,"Seedling",Table4_2[[#This Row],[Growth Days]]&lt;=35, "Vegetative",Table4_2[[#This Row],[Growth Days]]&lt;=50, "Maturity")</f>
        <v>Vegetative</v>
      </c>
      <c r="L1757" t="str">
        <f>IF(Table4_2[[#This Row],[TDS Value (ppm)]]&lt;560, "Low", IF(Table4_2[[#This Row],[TDS Value (ppm)]]&lt;=800,"Optimal","High"))</f>
        <v>Low</v>
      </c>
    </row>
    <row r="1758" spans="1:12" x14ac:dyDescent="0.25">
      <c r="A1758">
        <v>70</v>
      </c>
      <c r="B1758" s="1">
        <v>45176</v>
      </c>
      <c r="C1758" s="1" t="str">
        <f>TEXT(Table4_2[[#This Row],[Date]],"dddd")</f>
        <v>Thursday</v>
      </c>
      <c r="D1758" s="21">
        <v>24.5</v>
      </c>
      <c r="E1758" s="21">
        <v>79</v>
      </c>
      <c r="F1758" s="21">
        <v>549</v>
      </c>
      <c r="G1758" s="21">
        <v>6.5</v>
      </c>
      <c r="H1758">
        <v>36</v>
      </c>
      <c r="I1758">
        <v>76.099999999999994</v>
      </c>
      <c r="J1758">
        <v>0.79</v>
      </c>
      <c r="K1758" t="str" cm="1">
        <f t="array" ref="K1758">_xlfn.IFS(Table4_2[[#This Row],[Growth Days]]&lt;=14,"Seedling",Table4_2[[#This Row],[Growth Days]]&lt;=35, "Vegetative",Table4_2[[#This Row],[Growth Days]]&lt;=50, "Maturity")</f>
        <v>Maturity</v>
      </c>
      <c r="L1758" t="str">
        <f>IF(Table4_2[[#This Row],[TDS Value (ppm)]]&lt;560, "Low", IF(Table4_2[[#This Row],[TDS Value (ppm)]]&lt;=800,"Optimal","High"))</f>
        <v>Low</v>
      </c>
    </row>
    <row r="1759" spans="1:12" x14ac:dyDescent="0.25">
      <c r="A1759">
        <v>70</v>
      </c>
      <c r="B1759" s="1">
        <v>45183</v>
      </c>
      <c r="C1759" s="1" t="str">
        <f>TEXT(Table4_2[[#This Row],[Date]],"dddd")</f>
        <v>Thursday</v>
      </c>
      <c r="D1759" s="21">
        <v>22.5</v>
      </c>
      <c r="E1759" s="21">
        <v>80</v>
      </c>
      <c r="F1759" s="21">
        <v>668</v>
      </c>
      <c r="G1759" s="21">
        <v>6.7</v>
      </c>
      <c r="H1759">
        <v>43</v>
      </c>
      <c r="I1759">
        <v>72.5</v>
      </c>
      <c r="J1759">
        <v>0.8</v>
      </c>
      <c r="K1759" t="str" cm="1">
        <f t="array" ref="K1759">_xlfn.IFS(Table4_2[[#This Row],[Growth Days]]&lt;=14,"Seedling",Table4_2[[#This Row],[Growth Days]]&lt;=35, "Vegetative",Table4_2[[#This Row],[Growth Days]]&lt;=50, "Maturity")</f>
        <v>Maturity</v>
      </c>
      <c r="L1759" t="str">
        <f>IF(Table4_2[[#This Row],[TDS Value (ppm)]]&lt;560, "Low", IF(Table4_2[[#This Row],[TDS Value (ppm)]]&lt;=800,"Optimal","High"))</f>
        <v>Optimal</v>
      </c>
    </row>
    <row r="1760" spans="1:12" x14ac:dyDescent="0.25">
      <c r="A1760">
        <v>1</v>
      </c>
      <c r="B1760" s="1">
        <v>45142</v>
      </c>
      <c r="C1760" s="1" t="str">
        <f>TEXT(Table4_2[[#This Row],[Date]],"dddd")</f>
        <v>Friday</v>
      </c>
      <c r="D1760" s="21">
        <v>33.5</v>
      </c>
      <c r="E1760" s="21">
        <v>53</v>
      </c>
      <c r="F1760" s="21">
        <v>451</v>
      </c>
      <c r="G1760" s="21">
        <v>6.1</v>
      </c>
      <c r="H1760">
        <v>2</v>
      </c>
      <c r="I1760">
        <v>92.3</v>
      </c>
      <c r="J1760">
        <v>0.53</v>
      </c>
      <c r="K1760" t="str" cm="1">
        <f t="array" ref="K1760">_xlfn.IFS(Table4_2[[#This Row],[Growth Days]]&lt;=14,"Seedling",Table4_2[[#This Row],[Growth Days]]&lt;=35, "Vegetative",Table4_2[[#This Row],[Growth Days]]&lt;=50, "Maturity")</f>
        <v>Seedling</v>
      </c>
      <c r="L1760" t="str">
        <f>IF(Table4_2[[#This Row],[TDS Value (ppm)]]&lt;560, "Low", IF(Table4_2[[#This Row],[TDS Value (ppm)]]&lt;=800,"Optimal","High"))</f>
        <v>Low</v>
      </c>
    </row>
    <row r="1761" spans="1:12" x14ac:dyDescent="0.25">
      <c r="A1761">
        <v>1</v>
      </c>
      <c r="B1761" s="1">
        <v>45149</v>
      </c>
      <c r="C1761" s="1" t="str">
        <f>TEXT(Table4_2[[#This Row],[Date]],"dddd")</f>
        <v>Friday</v>
      </c>
      <c r="D1761" s="21">
        <v>31.9</v>
      </c>
      <c r="E1761" s="21">
        <v>69</v>
      </c>
      <c r="F1761" s="21">
        <v>662</v>
      </c>
      <c r="G1761" s="21">
        <v>6.1</v>
      </c>
      <c r="H1761">
        <v>9</v>
      </c>
      <c r="I1761">
        <v>89.42</v>
      </c>
      <c r="J1761">
        <v>0.69</v>
      </c>
      <c r="K1761" t="str" cm="1">
        <f t="array" ref="K1761">_xlfn.IFS(Table4_2[[#This Row],[Growth Days]]&lt;=14,"Seedling",Table4_2[[#This Row],[Growth Days]]&lt;=35, "Vegetative",Table4_2[[#This Row],[Growth Days]]&lt;=50, "Maturity")</f>
        <v>Seedling</v>
      </c>
      <c r="L1761" t="str">
        <f>IF(Table4_2[[#This Row],[TDS Value (ppm)]]&lt;560, "Low", IF(Table4_2[[#This Row],[TDS Value (ppm)]]&lt;=800,"Optimal","High"))</f>
        <v>Optimal</v>
      </c>
    </row>
    <row r="1762" spans="1:12" x14ac:dyDescent="0.25">
      <c r="A1762">
        <v>1</v>
      </c>
      <c r="B1762" s="1">
        <v>45156</v>
      </c>
      <c r="C1762" s="1" t="str">
        <f>TEXT(Table4_2[[#This Row],[Date]],"dddd")</f>
        <v>Friday</v>
      </c>
      <c r="D1762" s="21">
        <v>30.9</v>
      </c>
      <c r="E1762" s="21">
        <v>70</v>
      </c>
      <c r="F1762" s="21">
        <v>742</v>
      </c>
      <c r="G1762" s="21">
        <v>6.1</v>
      </c>
      <c r="H1762">
        <v>16</v>
      </c>
      <c r="I1762">
        <v>87.62</v>
      </c>
      <c r="J1762">
        <v>0.7</v>
      </c>
      <c r="K1762" t="str" cm="1">
        <f t="array" ref="K1762">_xlfn.IFS(Table4_2[[#This Row],[Growth Days]]&lt;=14,"Seedling",Table4_2[[#This Row],[Growth Days]]&lt;=35, "Vegetative",Table4_2[[#This Row],[Growth Days]]&lt;=50, "Maturity")</f>
        <v>Vegetative</v>
      </c>
      <c r="L1762" t="str">
        <f>IF(Table4_2[[#This Row],[TDS Value (ppm)]]&lt;560, "Low", IF(Table4_2[[#This Row],[TDS Value (ppm)]]&lt;=800,"Optimal","High"))</f>
        <v>Optimal</v>
      </c>
    </row>
    <row r="1763" spans="1:12" x14ac:dyDescent="0.25">
      <c r="A1763">
        <v>1</v>
      </c>
      <c r="B1763" s="1">
        <v>45163</v>
      </c>
      <c r="C1763" s="1" t="str">
        <f>TEXT(Table4_2[[#This Row],[Date]],"dddd")</f>
        <v>Friday</v>
      </c>
      <c r="D1763" s="21">
        <v>31.4</v>
      </c>
      <c r="E1763" s="21">
        <v>52</v>
      </c>
      <c r="F1763" s="21">
        <v>744</v>
      </c>
      <c r="G1763" s="21">
        <v>6.8</v>
      </c>
      <c r="H1763">
        <v>23</v>
      </c>
      <c r="I1763">
        <v>88.52</v>
      </c>
      <c r="J1763">
        <v>0.52</v>
      </c>
      <c r="K1763" t="str" cm="1">
        <f t="array" ref="K1763">_xlfn.IFS(Table4_2[[#This Row],[Growth Days]]&lt;=14,"Seedling",Table4_2[[#This Row],[Growth Days]]&lt;=35, "Vegetative",Table4_2[[#This Row],[Growth Days]]&lt;=50, "Maturity")</f>
        <v>Vegetative</v>
      </c>
      <c r="L1763" t="str">
        <f>IF(Table4_2[[#This Row],[TDS Value (ppm)]]&lt;560, "Low", IF(Table4_2[[#This Row],[TDS Value (ppm)]]&lt;=800,"Optimal","High"))</f>
        <v>Optimal</v>
      </c>
    </row>
    <row r="1764" spans="1:12" x14ac:dyDescent="0.25">
      <c r="A1764">
        <v>1</v>
      </c>
      <c r="B1764" s="1">
        <v>45170</v>
      </c>
      <c r="C1764" s="1" t="str">
        <f>TEXT(Table4_2[[#This Row],[Date]],"dddd")</f>
        <v>Friday</v>
      </c>
      <c r="D1764" s="21">
        <v>31.7</v>
      </c>
      <c r="E1764" s="21">
        <v>50</v>
      </c>
      <c r="F1764" s="21">
        <v>601</v>
      </c>
      <c r="G1764" s="21">
        <v>6.4</v>
      </c>
      <c r="H1764">
        <v>30</v>
      </c>
      <c r="I1764">
        <v>89.06</v>
      </c>
      <c r="J1764">
        <v>0.5</v>
      </c>
      <c r="K1764" t="str" cm="1">
        <f t="array" ref="K1764">_xlfn.IFS(Table4_2[[#This Row],[Growth Days]]&lt;=14,"Seedling",Table4_2[[#This Row],[Growth Days]]&lt;=35, "Vegetative",Table4_2[[#This Row],[Growth Days]]&lt;=50, "Maturity")</f>
        <v>Vegetative</v>
      </c>
      <c r="L1764" t="str">
        <f>IF(Table4_2[[#This Row],[TDS Value (ppm)]]&lt;560, "Low", IF(Table4_2[[#This Row],[TDS Value (ppm)]]&lt;=800,"Optimal","High"))</f>
        <v>Optimal</v>
      </c>
    </row>
    <row r="1765" spans="1:12" x14ac:dyDescent="0.25">
      <c r="A1765">
        <v>1</v>
      </c>
      <c r="B1765" s="1">
        <v>45177</v>
      </c>
      <c r="C1765" s="1" t="str">
        <f>TEXT(Table4_2[[#This Row],[Date]],"dddd")</f>
        <v>Friday</v>
      </c>
      <c r="D1765" s="21">
        <v>29.8</v>
      </c>
      <c r="E1765" s="21">
        <v>68</v>
      </c>
      <c r="F1765" s="21">
        <v>577</v>
      </c>
      <c r="G1765" s="21">
        <v>6.3</v>
      </c>
      <c r="H1765">
        <v>37</v>
      </c>
      <c r="I1765">
        <v>85.64</v>
      </c>
      <c r="J1765">
        <v>0.68</v>
      </c>
      <c r="K1765" t="str" cm="1">
        <f t="array" ref="K1765">_xlfn.IFS(Table4_2[[#This Row],[Growth Days]]&lt;=14,"Seedling",Table4_2[[#This Row],[Growth Days]]&lt;=35, "Vegetative",Table4_2[[#This Row],[Growth Days]]&lt;=50, "Maturity")</f>
        <v>Maturity</v>
      </c>
      <c r="L1765" t="str">
        <f>IF(Table4_2[[#This Row],[TDS Value (ppm)]]&lt;560, "Low", IF(Table4_2[[#This Row],[TDS Value (ppm)]]&lt;=800,"Optimal","High"))</f>
        <v>Optimal</v>
      </c>
    </row>
    <row r="1766" spans="1:12" x14ac:dyDescent="0.25">
      <c r="A1766">
        <v>1</v>
      </c>
      <c r="B1766" s="1">
        <v>45184</v>
      </c>
      <c r="C1766" s="1" t="str">
        <f>TEXT(Table4_2[[#This Row],[Date]],"dddd")</f>
        <v>Friday</v>
      </c>
      <c r="D1766" s="21">
        <v>30.6</v>
      </c>
      <c r="E1766" s="21">
        <v>55</v>
      </c>
      <c r="F1766" s="21">
        <v>688</v>
      </c>
      <c r="G1766" s="21">
        <v>6.6</v>
      </c>
      <c r="H1766">
        <v>44</v>
      </c>
      <c r="I1766">
        <v>87.08</v>
      </c>
      <c r="J1766">
        <v>0.55000000000000004</v>
      </c>
      <c r="K1766" t="str" cm="1">
        <f t="array" ref="K1766">_xlfn.IFS(Table4_2[[#This Row],[Growth Days]]&lt;=14,"Seedling",Table4_2[[#This Row],[Growth Days]]&lt;=35, "Vegetative",Table4_2[[#This Row],[Growth Days]]&lt;=50, "Maturity")</f>
        <v>Maturity</v>
      </c>
      <c r="L1766" t="str">
        <f>IF(Table4_2[[#This Row],[TDS Value (ppm)]]&lt;560, "Low", IF(Table4_2[[#This Row],[TDS Value (ppm)]]&lt;=800,"Optimal","High"))</f>
        <v>Optimal</v>
      </c>
    </row>
    <row r="1767" spans="1:12" x14ac:dyDescent="0.25">
      <c r="A1767">
        <v>2</v>
      </c>
      <c r="B1767" s="1">
        <v>45142</v>
      </c>
      <c r="C1767" s="1" t="str">
        <f>TEXT(Table4_2[[#This Row],[Date]],"dddd")</f>
        <v>Friday</v>
      </c>
      <c r="D1767" s="21">
        <v>33.5</v>
      </c>
      <c r="E1767" s="21">
        <v>65</v>
      </c>
      <c r="F1767" s="21">
        <v>433</v>
      </c>
      <c r="G1767" s="21">
        <v>6.8</v>
      </c>
      <c r="H1767">
        <v>2</v>
      </c>
      <c r="I1767">
        <v>92.3</v>
      </c>
      <c r="J1767">
        <v>0.65</v>
      </c>
      <c r="K1767" t="str" cm="1">
        <f t="array" ref="K1767">_xlfn.IFS(Table4_2[[#This Row],[Growth Days]]&lt;=14,"Seedling",Table4_2[[#This Row],[Growth Days]]&lt;=35, "Vegetative",Table4_2[[#This Row],[Growth Days]]&lt;=50, "Maturity")</f>
        <v>Seedling</v>
      </c>
      <c r="L1767" t="str">
        <f>IF(Table4_2[[#This Row],[TDS Value (ppm)]]&lt;560, "Low", IF(Table4_2[[#This Row],[TDS Value (ppm)]]&lt;=800,"Optimal","High"))</f>
        <v>Low</v>
      </c>
    </row>
    <row r="1768" spans="1:12" x14ac:dyDescent="0.25">
      <c r="A1768">
        <v>2</v>
      </c>
      <c r="B1768" s="1">
        <v>45149</v>
      </c>
      <c r="C1768" s="1" t="str">
        <f>TEXT(Table4_2[[#This Row],[Date]],"dddd")</f>
        <v>Friday</v>
      </c>
      <c r="D1768" s="21">
        <v>31.9</v>
      </c>
      <c r="E1768" s="21">
        <v>73</v>
      </c>
      <c r="F1768" s="21">
        <v>564</v>
      </c>
      <c r="G1768" s="21">
        <v>6.1</v>
      </c>
      <c r="H1768">
        <v>9</v>
      </c>
      <c r="I1768">
        <v>89.42</v>
      </c>
      <c r="J1768">
        <v>0.73</v>
      </c>
      <c r="K1768" t="str" cm="1">
        <f t="array" ref="K1768">_xlfn.IFS(Table4_2[[#This Row],[Growth Days]]&lt;=14,"Seedling",Table4_2[[#This Row],[Growth Days]]&lt;=35, "Vegetative",Table4_2[[#This Row],[Growth Days]]&lt;=50, "Maturity")</f>
        <v>Seedling</v>
      </c>
      <c r="L1768" t="str">
        <f>IF(Table4_2[[#This Row],[TDS Value (ppm)]]&lt;560, "Low", IF(Table4_2[[#This Row],[TDS Value (ppm)]]&lt;=800,"Optimal","High"))</f>
        <v>Optimal</v>
      </c>
    </row>
    <row r="1769" spans="1:12" x14ac:dyDescent="0.25">
      <c r="A1769">
        <v>2</v>
      </c>
      <c r="B1769" s="1">
        <v>45156</v>
      </c>
      <c r="C1769" s="1" t="str">
        <f>TEXT(Table4_2[[#This Row],[Date]],"dddd")</f>
        <v>Friday</v>
      </c>
      <c r="D1769" s="21">
        <v>30.9</v>
      </c>
      <c r="E1769" s="21">
        <v>79</v>
      </c>
      <c r="F1769" s="21">
        <v>564</v>
      </c>
      <c r="G1769" s="21">
        <v>6.2</v>
      </c>
      <c r="H1769">
        <v>16</v>
      </c>
      <c r="I1769">
        <v>87.62</v>
      </c>
      <c r="J1769">
        <v>0.79</v>
      </c>
      <c r="K1769" t="str" cm="1">
        <f t="array" ref="K1769">_xlfn.IFS(Table4_2[[#This Row],[Growth Days]]&lt;=14,"Seedling",Table4_2[[#This Row],[Growth Days]]&lt;=35, "Vegetative",Table4_2[[#This Row],[Growth Days]]&lt;=50, "Maturity")</f>
        <v>Vegetative</v>
      </c>
      <c r="L1769" t="str">
        <f>IF(Table4_2[[#This Row],[TDS Value (ppm)]]&lt;560, "Low", IF(Table4_2[[#This Row],[TDS Value (ppm)]]&lt;=800,"Optimal","High"))</f>
        <v>Optimal</v>
      </c>
    </row>
    <row r="1770" spans="1:12" x14ac:dyDescent="0.25">
      <c r="A1770">
        <v>2</v>
      </c>
      <c r="B1770" s="1">
        <v>45163</v>
      </c>
      <c r="C1770" s="1" t="str">
        <f>TEXT(Table4_2[[#This Row],[Date]],"dddd")</f>
        <v>Friday</v>
      </c>
      <c r="D1770" s="21">
        <v>31.4</v>
      </c>
      <c r="E1770" s="21">
        <v>58</v>
      </c>
      <c r="F1770" s="21">
        <v>687</v>
      </c>
      <c r="G1770" s="21">
        <v>6.3</v>
      </c>
      <c r="H1770">
        <v>23</v>
      </c>
      <c r="I1770">
        <v>88.52</v>
      </c>
      <c r="J1770">
        <v>0.57999999999999996</v>
      </c>
      <c r="K1770" t="str" cm="1">
        <f t="array" ref="K1770">_xlfn.IFS(Table4_2[[#This Row],[Growth Days]]&lt;=14,"Seedling",Table4_2[[#This Row],[Growth Days]]&lt;=35, "Vegetative",Table4_2[[#This Row],[Growth Days]]&lt;=50, "Maturity")</f>
        <v>Vegetative</v>
      </c>
      <c r="L1770" t="str">
        <f>IF(Table4_2[[#This Row],[TDS Value (ppm)]]&lt;560, "Low", IF(Table4_2[[#This Row],[TDS Value (ppm)]]&lt;=800,"Optimal","High"))</f>
        <v>Optimal</v>
      </c>
    </row>
    <row r="1771" spans="1:12" x14ac:dyDescent="0.25">
      <c r="A1771">
        <v>2</v>
      </c>
      <c r="B1771" s="1">
        <v>45170</v>
      </c>
      <c r="C1771" s="1" t="str">
        <f>TEXT(Table4_2[[#This Row],[Date]],"dddd")</f>
        <v>Friday</v>
      </c>
      <c r="D1771" s="21">
        <v>31.7</v>
      </c>
      <c r="E1771" s="21">
        <v>56</v>
      </c>
      <c r="F1771" s="21">
        <v>622</v>
      </c>
      <c r="G1771" s="21">
        <v>6.4</v>
      </c>
      <c r="H1771">
        <v>30</v>
      </c>
      <c r="I1771">
        <v>89.06</v>
      </c>
      <c r="J1771">
        <v>0.56000000000000005</v>
      </c>
      <c r="K1771" t="str" cm="1">
        <f t="array" ref="K1771">_xlfn.IFS(Table4_2[[#This Row],[Growth Days]]&lt;=14,"Seedling",Table4_2[[#This Row],[Growth Days]]&lt;=35, "Vegetative",Table4_2[[#This Row],[Growth Days]]&lt;=50, "Maturity")</f>
        <v>Vegetative</v>
      </c>
      <c r="L1771" t="str">
        <f>IF(Table4_2[[#This Row],[TDS Value (ppm)]]&lt;560, "Low", IF(Table4_2[[#This Row],[TDS Value (ppm)]]&lt;=800,"Optimal","High"))</f>
        <v>Optimal</v>
      </c>
    </row>
    <row r="1772" spans="1:12" x14ac:dyDescent="0.25">
      <c r="A1772">
        <v>2</v>
      </c>
      <c r="B1772" s="1">
        <v>45177</v>
      </c>
      <c r="C1772" s="1" t="str">
        <f>TEXT(Table4_2[[#This Row],[Date]],"dddd")</f>
        <v>Friday</v>
      </c>
      <c r="D1772" s="21">
        <v>29.8</v>
      </c>
      <c r="E1772" s="21">
        <v>61</v>
      </c>
      <c r="F1772" s="21">
        <v>537</v>
      </c>
      <c r="G1772" s="21">
        <v>6.6</v>
      </c>
      <c r="H1772">
        <v>37</v>
      </c>
      <c r="I1772">
        <v>85.64</v>
      </c>
      <c r="J1772">
        <v>0.61</v>
      </c>
      <c r="K1772" t="str" cm="1">
        <f t="array" ref="K1772">_xlfn.IFS(Table4_2[[#This Row],[Growth Days]]&lt;=14,"Seedling",Table4_2[[#This Row],[Growth Days]]&lt;=35, "Vegetative",Table4_2[[#This Row],[Growth Days]]&lt;=50, "Maturity")</f>
        <v>Maturity</v>
      </c>
      <c r="L1772" t="str">
        <f>IF(Table4_2[[#This Row],[TDS Value (ppm)]]&lt;560, "Low", IF(Table4_2[[#This Row],[TDS Value (ppm)]]&lt;=800,"Optimal","High"))</f>
        <v>Low</v>
      </c>
    </row>
    <row r="1773" spans="1:12" x14ac:dyDescent="0.25">
      <c r="A1773">
        <v>2</v>
      </c>
      <c r="B1773" s="1">
        <v>45184</v>
      </c>
      <c r="C1773" s="1" t="str">
        <f>TEXT(Table4_2[[#This Row],[Date]],"dddd")</f>
        <v>Friday</v>
      </c>
      <c r="D1773" s="21">
        <v>30.6</v>
      </c>
      <c r="E1773" s="21">
        <v>52</v>
      </c>
      <c r="F1773" s="21">
        <v>681</v>
      </c>
      <c r="G1773" s="21">
        <v>6.3</v>
      </c>
      <c r="H1773">
        <v>44</v>
      </c>
      <c r="I1773">
        <v>87.08</v>
      </c>
      <c r="J1773">
        <v>0.52</v>
      </c>
      <c r="K1773" t="str" cm="1">
        <f t="array" ref="K1773">_xlfn.IFS(Table4_2[[#This Row],[Growth Days]]&lt;=14,"Seedling",Table4_2[[#This Row],[Growth Days]]&lt;=35, "Vegetative",Table4_2[[#This Row],[Growth Days]]&lt;=50, "Maturity")</f>
        <v>Maturity</v>
      </c>
      <c r="L1773" t="str">
        <f>IF(Table4_2[[#This Row],[TDS Value (ppm)]]&lt;560, "Low", IF(Table4_2[[#This Row],[TDS Value (ppm)]]&lt;=800,"Optimal","High"))</f>
        <v>Optimal</v>
      </c>
    </row>
    <row r="1774" spans="1:12" x14ac:dyDescent="0.25">
      <c r="A1774">
        <v>3</v>
      </c>
      <c r="B1774" s="1">
        <v>45142</v>
      </c>
      <c r="C1774" s="1" t="str">
        <f>TEXT(Table4_2[[#This Row],[Date]],"dddd")</f>
        <v>Friday</v>
      </c>
      <c r="D1774" s="21">
        <v>33.5</v>
      </c>
      <c r="E1774" s="21">
        <v>63</v>
      </c>
      <c r="F1774" s="21">
        <v>632</v>
      </c>
      <c r="G1774" s="21">
        <v>6.1</v>
      </c>
      <c r="H1774">
        <v>2</v>
      </c>
      <c r="I1774">
        <v>92.3</v>
      </c>
      <c r="J1774">
        <v>0.63</v>
      </c>
      <c r="K1774" t="str" cm="1">
        <f t="array" ref="K1774">_xlfn.IFS(Table4_2[[#This Row],[Growth Days]]&lt;=14,"Seedling",Table4_2[[#This Row],[Growth Days]]&lt;=35, "Vegetative",Table4_2[[#This Row],[Growth Days]]&lt;=50, "Maturity")</f>
        <v>Seedling</v>
      </c>
      <c r="L1774" t="str">
        <f>IF(Table4_2[[#This Row],[TDS Value (ppm)]]&lt;560, "Low", IF(Table4_2[[#This Row],[TDS Value (ppm)]]&lt;=800,"Optimal","High"))</f>
        <v>Optimal</v>
      </c>
    </row>
    <row r="1775" spans="1:12" x14ac:dyDescent="0.25">
      <c r="A1775">
        <v>3</v>
      </c>
      <c r="B1775" s="1">
        <v>45149</v>
      </c>
      <c r="C1775" s="1" t="str">
        <f>TEXT(Table4_2[[#This Row],[Date]],"dddd")</f>
        <v>Friday</v>
      </c>
      <c r="D1775" s="21">
        <v>31.9</v>
      </c>
      <c r="E1775" s="21">
        <v>62</v>
      </c>
      <c r="F1775" s="21">
        <v>531</v>
      </c>
      <c r="G1775" s="21">
        <v>6.7</v>
      </c>
      <c r="H1775">
        <v>9</v>
      </c>
      <c r="I1775">
        <v>89.42</v>
      </c>
      <c r="J1775">
        <v>0.62</v>
      </c>
      <c r="K1775" t="str" cm="1">
        <f t="array" ref="K1775">_xlfn.IFS(Table4_2[[#This Row],[Growth Days]]&lt;=14,"Seedling",Table4_2[[#This Row],[Growth Days]]&lt;=35, "Vegetative",Table4_2[[#This Row],[Growth Days]]&lt;=50, "Maturity")</f>
        <v>Seedling</v>
      </c>
      <c r="L1775" t="str">
        <f>IF(Table4_2[[#This Row],[TDS Value (ppm)]]&lt;560, "Low", IF(Table4_2[[#This Row],[TDS Value (ppm)]]&lt;=800,"Optimal","High"))</f>
        <v>Low</v>
      </c>
    </row>
    <row r="1776" spans="1:12" x14ac:dyDescent="0.25">
      <c r="A1776">
        <v>3</v>
      </c>
      <c r="B1776" s="1">
        <v>45156</v>
      </c>
      <c r="C1776" s="1" t="str">
        <f>TEXT(Table4_2[[#This Row],[Date]],"dddd")</f>
        <v>Friday</v>
      </c>
      <c r="D1776" s="21">
        <v>30.9</v>
      </c>
      <c r="E1776" s="21">
        <v>58</v>
      </c>
      <c r="F1776" s="21">
        <v>643</v>
      </c>
      <c r="G1776" s="21">
        <v>6.4</v>
      </c>
      <c r="H1776">
        <v>16</v>
      </c>
      <c r="I1776">
        <v>87.62</v>
      </c>
      <c r="J1776">
        <v>0.57999999999999996</v>
      </c>
      <c r="K1776" t="str" cm="1">
        <f t="array" ref="K1776">_xlfn.IFS(Table4_2[[#This Row],[Growth Days]]&lt;=14,"Seedling",Table4_2[[#This Row],[Growth Days]]&lt;=35, "Vegetative",Table4_2[[#This Row],[Growth Days]]&lt;=50, "Maturity")</f>
        <v>Vegetative</v>
      </c>
      <c r="L1776" t="str">
        <f>IF(Table4_2[[#This Row],[TDS Value (ppm)]]&lt;560, "Low", IF(Table4_2[[#This Row],[TDS Value (ppm)]]&lt;=800,"Optimal","High"))</f>
        <v>Optimal</v>
      </c>
    </row>
    <row r="1777" spans="1:12" x14ac:dyDescent="0.25">
      <c r="A1777">
        <v>3</v>
      </c>
      <c r="B1777" s="1">
        <v>45163</v>
      </c>
      <c r="C1777" s="1" t="str">
        <f>TEXT(Table4_2[[#This Row],[Date]],"dddd")</f>
        <v>Friday</v>
      </c>
      <c r="D1777" s="21">
        <v>31.4</v>
      </c>
      <c r="E1777" s="21">
        <v>74</v>
      </c>
      <c r="F1777" s="21">
        <v>630</v>
      </c>
      <c r="G1777" s="21">
        <v>6.6</v>
      </c>
      <c r="H1777">
        <v>23</v>
      </c>
      <c r="I1777">
        <v>88.52</v>
      </c>
      <c r="J1777">
        <v>0.74</v>
      </c>
      <c r="K1777" t="str" cm="1">
        <f t="array" ref="K1777">_xlfn.IFS(Table4_2[[#This Row],[Growth Days]]&lt;=14,"Seedling",Table4_2[[#This Row],[Growth Days]]&lt;=35, "Vegetative",Table4_2[[#This Row],[Growth Days]]&lt;=50, "Maturity")</f>
        <v>Vegetative</v>
      </c>
      <c r="L1777" t="str">
        <f>IF(Table4_2[[#This Row],[TDS Value (ppm)]]&lt;560, "Low", IF(Table4_2[[#This Row],[TDS Value (ppm)]]&lt;=800,"Optimal","High"))</f>
        <v>Optimal</v>
      </c>
    </row>
    <row r="1778" spans="1:12" x14ac:dyDescent="0.25">
      <c r="A1778">
        <v>3</v>
      </c>
      <c r="B1778" s="1">
        <v>45170</v>
      </c>
      <c r="C1778" s="1" t="str">
        <f>TEXT(Table4_2[[#This Row],[Date]],"dddd")</f>
        <v>Friday</v>
      </c>
      <c r="D1778" s="21">
        <v>31.7</v>
      </c>
      <c r="E1778" s="21">
        <v>76</v>
      </c>
      <c r="F1778" s="21">
        <v>799</v>
      </c>
      <c r="G1778" s="21">
        <v>6.3</v>
      </c>
      <c r="H1778">
        <v>30</v>
      </c>
      <c r="I1778">
        <v>89.06</v>
      </c>
      <c r="J1778">
        <v>0.76</v>
      </c>
      <c r="K1778" t="str" cm="1">
        <f t="array" ref="K1778">_xlfn.IFS(Table4_2[[#This Row],[Growth Days]]&lt;=14,"Seedling",Table4_2[[#This Row],[Growth Days]]&lt;=35, "Vegetative",Table4_2[[#This Row],[Growth Days]]&lt;=50, "Maturity")</f>
        <v>Vegetative</v>
      </c>
      <c r="L1778" t="str">
        <f>IF(Table4_2[[#This Row],[TDS Value (ppm)]]&lt;560, "Low", IF(Table4_2[[#This Row],[TDS Value (ppm)]]&lt;=800,"Optimal","High"))</f>
        <v>Optimal</v>
      </c>
    </row>
    <row r="1779" spans="1:12" x14ac:dyDescent="0.25">
      <c r="A1779">
        <v>3</v>
      </c>
      <c r="B1779" s="1">
        <v>45177</v>
      </c>
      <c r="C1779" s="1" t="str">
        <f>TEXT(Table4_2[[#This Row],[Date]],"dddd")</f>
        <v>Friday</v>
      </c>
      <c r="D1779" s="21">
        <v>29.8</v>
      </c>
      <c r="E1779" s="21">
        <v>78</v>
      </c>
      <c r="F1779" s="21">
        <v>525</v>
      </c>
      <c r="G1779" s="21">
        <v>6</v>
      </c>
      <c r="H1779">
        <v>37</v>
      </c>
      <c r="I1779">
        <v>85.64</v>
      </c>
      <c r="J1779">
        <v>0.78</v>
      </c>
      <c r="K1779" t="str" cm="1">
        <f t="array" ref="K1779">_xlfn.IFS(Table4_2[[#This Row],[Growth Days]]&lt;=14,"Seedling",Table4_2[[#This Row],[Growth Days]]&lt;=35, "Vegetative",Table4_2[[#This Row],[Growth Days]]&lt;=50, "Maturity")</f>
        <v>Maturity</v>
      </c>
      <c r="L1779" t="str">
        <f>IF(Table4_2[[#This Row],[TDS Value (ppm)]]&lt;560, "Low", IF(Table4_2[[#This Row],[TDS Value (ppm)]]&lt;=800,"Optimal","High"))</f>
        <v>Low</v>
      </c>
    </row>
    <row r="1780" spans="1:12" x14ac:dyDescent="0.25">
      <c r="A1780">
        <v>3</v>
      </c>
      <c r="B1780" s="1">
        <v>45184</v>
      </c>
      <c r="C1780" s="1" t="str">
        <f>TEXT(Table4_2[[#This Row],[Date]],"dddd")</f>
        <v>Friday</v>
      </c>
      <c r="D1780" s="21">
        <v>30.6</v>
      </c>
      <c r="E1780" s="21">
        <v>58</v>
      </c>
      <c r="F1780" s="21">
        <v>479</v>
      </c>
      <c r="G1780" s="21">
        <v>6.7</v>
      </c>
      <c r="H1780">
        <v>44</v>
      </c>
      <c r="I1780">
        <v>87.08</v>
      </c>
      <c r="J1780">
        <v>0.57999999999999996</v>
      </c>
      <c r="K1780" t="str" cm="1">
        <f t="array" ref="K1780">_xlfn.IFS(Table4_2[[#This Row],[Growth Days]]&lt;=14,"Seedling",Table4_2[[#This Row],[Growth Days]]&lt;=35, "Vegetative",Table4_2[[#This Row],[Growth Days]]&lt;=50, "Maturity")</f>
        <v>Maturity</v>
      </c>
      <c r="L1780" t="str">
        <f>IF(Table4_2[[#This Row],[TDS Value (ppm)]]&lt;560, "Low", IF(Table4_2[[#This Row],[TDS Value (ppm)]]&lt;=800,"Optimal","High"))</f>
        <v>Low</v>
      </c>
    </row>
    <row r="1781" spans="1:12" x14ac:dyDescent="0.25">
      <c r="A1781">
        <v>4</v>
      </c>
      <c r="B1781" s="1">
        <v>45142</v>
      </c>
      <c r="C1781" s="1" t="str">
        <f>TEXT(Table4_2[[#This Row],[Date]],"dddd")</f>
        <v>Friday</v>
      </c>
      <c r="D1781" s="21">
        <v>33.5</v>
      </c>
      <c r="E1781" s="21">
        <v>54</v>
      </c>
      <c r="F1781" s="21">
        <v>609</v>
      </c>
      <c r="G1781" s="21">
        <v>6.7</v>
      </c>
      <c r="H1781">
        <v>2</v>
      </c>
      <c r="I1781">
        <v>92.3</v>
      </c>
      <c r="J1781">
        <v>0.54</v>
      </c>
      <c r="K1781" t="str" cm="1">
        <f t="array" ref="K1781">_xlfn.IFS(Table4_2[[#This Row],[Growth Days]]&lt;=14,"Seedling",Table4_2[[#This Row],[Growth Days]]&lt;=35, "Vegetative",Table4_2[[#This Row],[Growth Days]]&lt;=50, "Maturity")</f>
        <v>Seedling</v>
      </c>
      <c r="L1781" t="str">
        <f>IF(Table4_2[[#This Row],[TDS Value (ppm)]]&lt;560, "Low", IF(Table4_2[[#This Row],[TDS Value (ppm)]]&lt;=800,"Optimal","High"))</f>
        <v>Optimal</v>
      </c>
    </row>
    <row r="1782" spans="1:12" x14ac:dyDescent="0.25">
      <c r="A1782">
        <v>4</v>
      </c>
      <c r="B1782" s="1">
        <v>45149</v>
      </c>
      <c r="C1782" s="1" t="str">
        <f>TEXT(Table4_2[[#This Row],[Date]],"dddd")</f>
        <v>Friday</v>
      </c>
      <c r="D1782" s="21">
        <v>31.9</v>
      </c>
      <c r="E1782" s="21">
        <v>69</v>
      </c>
      <c r="F1782" s="21">
        <v>785</v>
      </c>
      <c r="G1782" s="21">
        <v>6.7</v>
      </c>
      <c r="H1782">
        <v>9</v>
      </c>
      <c r="I1782">
        <v>89.42</v>
      </c>
      <c r="J1782">
        <v>0.69</v>
      </c>
      <c r="K1782" t="str" cm="1">
        <f t="array" ref="K1782">_xlfn.IFS(Table4_2[[#This Row],[Growth Days]]&lt;=14,"Seedling",Table4_2[[#This Row],[Growth Days]]&lt;=35, "Vegetative",Table4_2[[#This Row],[Growth Days]]&lt;=50, "Maturity")</f>
        <v>Seedling</v>
      </c>
      <c r="L1782" t="str">
        <f>IF(Table4_2[[#This Row],[TDS Value (ppm)]]&lt;560, "Low", IF(Table4_2[[#This Row],[TDS Value (ppm)]]&lt;=800,"Optimal","High"))</f>
        <v>Optimal</v>
      </c>
    </row>
    <row r="1783" spans="1:12" x14ac:dyDescent="0.25">
      <c r="A1783">
        <v>4</v>
      </c>
      <c r="B1783" s="1">
        <v>45156</v>
      </c>
      <c r="C1783" s="1" t="str">
        <f>TEXT(Table4_2[[#This Row],[Date]],"dddd")</f>
        <v>Friday</v>
      </c>
      <c r="D1783" s="21">
        <v>30.9</v>
      </c>
      <c r="E1783" s="21">
        <v>57</v>
      </c>
      <c r="F1783" s="21">
        <v>747</v>
      </c>
      <c r="G1783" s="21">
        <v>6.7</v>
      </c>
      <c r="H1783">
        <v>16</v>
      </c>
      <c r="I1783">
        <v>87.62</v>
      </c>
      <c r="J1783">
        <v>0.56999999999999995</v>
      </c>
      <c r="K1783" t="str" cm="1">
        <f t="array" ref="K1783">_xlfn.IFS(Table4_2[[#This Row],[Growth Days]]&lt;=14,"Seedling",Table4_2[[#This Row],[Growth Days]]&lt;=35, "Vegetative",Table4_2[[#This Row],[Growth Days]]&lt;=50, "Maturity")</f>
        <v>Vegetative</v>
      </c>
      <c r="L1783" t="str">
        <f>IF(Table4_2[[#This Row],[TDS Value (ppm)]]&lt;560, "Low", IF(Table4_2[[#This Row],[TDS Value (ppm)]]&lt;=800,"Optimal","High"))</f>
        <v>Optimal</v>
      </c>
    </row>
    <row r="1784" spans="1:12" x14ac:dyDescent="0.25">
      <c r="A1784">
        <v>4</v>
      </c>
      <c r="B1784" s="1">
        <v>45163</v>
      </c>
      <c r="C1784" s="1" t="str">
        <f>TEXT(Table4_2[[#This Row],[Date]],"dddd")</f>
        <v>Friday</v>
      </c>
      <c r="D1784" s="21">
        <v>31.4</v>
      </c>
      <c r="E1784" s="21">
        <v>63</v>
      </c>
      <c r="F1784" s="21">
        <v>740</v>
      </c>
      <c r="G1784" s="21">
        <v>6.1</v>
      </c>
      <c r="H1784">
        <v>23</v>
      </c>
      <c r="I1784">
        <v>88.52</v>
      </c>
      <c r="J1784">
        <v>0.63</v>
      </c>
      <c r="K1784" t="str" cm="1">
        <f t="array" ref="K1784">_xlfn.IFS(Table4_2[[#This Row],[Growth Days]]&lt;=14,"Seedling",Table4_2[[#This Row],[Growth Days]]&lt;=35, "Vegetative",Table4_2[[#This Row],[Growth Days]]&lt;=50, "Maturity")</f>
        <v>Vegetative</v>
      </c>
      <c r="L1784" t="str">
        <f>IF(Table4_2[[#This Row],[TDS Value (ppm)]]&lt;560, "Low", IF(Table4_2[[#This Row],[TDS Value (ppm)]]&lt;=800,"Optimal","High"))</f>
        <v>Optimal</v>
      </c>
    </row>
    <row r="1785" spans="1:12" x14ac:dyDescent="0.25">
      <c r="A1785">
        <v>4</v>
      </c>
      <c r="B1785" s="1">
        <v>45170</v>
      </c>
      <c r="C1785" s="1" t="str">
        <f>TEXT(Table4_2[[#This Row],[Date]],"dddd")</f>
        <v>Friday</v>
      </c>
      <c r="D1785" s="21">
        <v>31.7</v>
      </c>
      <c r="E1785" s="21">
        <v>68</v>
      </c>
      <c r="F1785" s="21">
        <v>787</v>
      </c>
      <c r="G1785" s="21">
        <v>6.6</v>
      </c>
      <c r="H1785">
        <v>30</v>
      </c>
      <c r="I1785">
        <v>89.06</v>
      </c>
      <c r="J1785">
        <v>0.68</v>
      </c>
      <c r="K1785" t="str" cm="1">
        <f t="array" ref="K1785">_xlfn.IFS(Table4_2[[#This Row],[Growth Days]]&lt;=14,"Seedling",Table4_2[[#This Row],[Growth Days]]&lt;=35, "Vegetative",Table4_2[[#This Row],[Growth Days]]&lt;=50, "Maturity")</f>
        <v>Vegetative</v>
      </c>
      <c r="L1785" t="str">
        <f>IF(Table4_2[[#This Row],[TDS Value (ppm)]]&lt;560, "Low", IF(Table4_2[[#This Row],[TDS Value (ppm)]]&lt;=800,"Optimal","High"))</f>
        <v>Optimal</v>
      </c>
    </row>
    <row r="1786" spans="1:12" x14ac:dyDescent="0.25">
      <c r="A1786">
        <v>4</v>
      </c>
      <c r="B1786" s="1">
        <v>45177</v>
      </c>
      <c r="C1786" s="1" t="str">
        <f>TEXT(Table4_2[[#This Row],[Date]],"dddd")</f>
        <v>Friday</v>
      </c>
      <c r="D1786" s="21">
        <v>29.8</v>
      </c>
      <c r="E1786" s="21">
        <v>78</v>
      </c>
      <c r="F1786" s="21">
        <v>564</v>
      </c>
      <c r="G1786" s="21">
        <v>6.2</v>
      </c>
      <c r="H1786">
        <v>37</v>
      </c>
      <c r="I1786">
        <v>85.64</v>
      </c>
      <c r="J1786">
        <v>0.78</v>
      </c>
      <c r="K1786" t="str" cm="1">
        <f t="array" ref="K1786">_xlfn.IFS(Table4_2[[#This Row],[Growth Days]]&lt;=14,"Seedling",Table4_2[[#This Row],[Growth Days]]&lt;=35, "Vegetative",Table4_2[[#This Row],[Growth Days]]&lt;=50, "Maturity")</f>
        <v>Maturity</v>
      </c>
      <c r="L1786" t="str">
        <f>IF(Table4_2[[#This Row],[TDS Value (ppm)]]&lt;560, "Low", IF(Table4_2[[#This Row],[TDS Value (ppm)]]&lt;=800,"Optimal","High"))</f>
        <v>Optimal</v>
      </c>
    </row>
    <row r="1787" spans="1:12" x14ac:dyDescent="0.25">
      <c r="A1787">
        <v>4</v>
      </c>
      <c r="B1787" s="1">
        <v>45184</v>
      </c>
      <c r="C1787" s="1" t="str">
        <f>TEXT(Table4_2[[#This Row],[Date]],"dddd")</f>
        <v>Friday</v>
      </c>
      <c r="D1787" s="21">
        <v>30.6</v>
      </c>
      <c r="E1787" s="21">
        <v>58</v>
      </c>
      <c r="F1787" s="21">
        <v>764</v>
      </c>
      <c r="G1787" s="21">
        <v>6.4</v>
      </c>
      <c r="H1787">
        <v>44</v>
      </c>
      <c r="I1787">
        <v>87.08</v>
      </c>
      <c r="J1787">
        <v>0.57999999999999996</v>
      </c>
      <c r="K1787" t="str" cm="1">
        <f t="array" ref="K1787">_xlfn.IFS(Table4_2[[#This Row],[Growth Days]]&lt;=14,"Seedling",Table4_2[[#This Row],[Growth Days]]&lt;=35, "Vegetative",Table4_2[[#This Row],[Growth Days]]&lt;=50, "Maturity")</f>
        <v>Maturity</v>
      </c>
      <c r="L1787" t="str">
        <f>IF(Table4_2[[#This Row],[TDS Value (ppm)]]&lt;560, "Low", IF(Table4_2[[#This Row],[TDS Value (ppm)]]&lt;=800,"Optimal","High"))</f>
        <v>Optimal</v>
      </c>
    </row>
    <row r="1788" spans="1:12" x14ac:dyDescent="0.25">
      <c r="A1788">
        <v>5</v>
      </c>
      <c r="B1788" s="1">
        <v>45142</v>
      </c>
      <c r="C1788" s="1" t="str">
        <f>TEXT(Table4_2[[#This Row],[Date]],"dddd")</f>
        <v>Friday</v>
      </c>
      <c r="D1788" s="21">
        <v>33.5</v>
      </c>
      <c r="E1788" s="21">
        <v>53</v>
      </c>
      <c r="F1788" s="21">
        <v>684</v>
      </c>
      <c r="G1788" s="21">
        <v>6.6</v>
      </c>
      <c r="H1788">
        <v>2</v>
      </c>
      <c r="I1788">
        <v>92.3</v>
      </c>
      <c r="J1788">
        <v>0.53</v>
      </c>
      <c r="K1788" t="str" cm="1">
        <f t="array" ref="K1788">_xlfn.IFS(Table4_2[[#This Row],[Growth Days]]&lt;=14,"Seedling",Table4_2[[#This Row],[Growth Days]]&lt;=35, "Vegetative",Table4_2[[#This Row],[Growth Days]]&lt;=50, "Maturity")</f>
        <v>Seedling</v>
      </c>
      <c r="L1788" t="str">
        <f>IF(Table4_2[[#This Row],[TDS Value (ppm)]]&lt;560, "Low", IF(Table4_2[[#This Row],[TDS Value (ppm)]]&lt;=800,"Optimal","High"))</f>
        <v>Optimal</v>
      </c>
    </row>
    <row r="1789" spans="1:12" x14ac:dyDescent="0.25">
      <c r="A1789">
        <v>5</v>
      </c>
      <c r="B1789" s="1">
        <v>45149</v>
      </c>
      <c r="C1789" s="1" t="str">
        <f>TEXT(Table4_2[[#This Row],[Date]],"dddd")</f>
        <v>Friday</v>
      </c>
      <c r="D1789" s="21">
        <v>31.9</v>
      </c>
      <c r="E1789" s="21">
        <v>54</v>
      </c>
      <c r="F1789" s="21">
        <v>637</v>
      </c>
      <c r="G1789" s="21">
        <v>6.7</v>
      </c>
      <c r="H1789">
        <v>9</v>
      </c>
      <c r="I1789">
        <v>89.42</v>
      </c>
      <c r="J1789">
        <v>0.54</v>
      </c>
      <c r="K1789" t="str" cm="1">
        <f t="array" ref="K1789">_xlfn.IFS(Table4_2[[#This Row],[Growth Days]]&lt;=14,"Seedling",Table4_2[[#This Row],[Growth Days]]&lt;=35, "Vegetative",Table4_2[[#This Row],[Growth Days]]&lt;=50, "Maturity")</f>
        <v>Seedling</v>
      </c>
      <c r="L1789" t="str">
        <f>IF(Table4_2[[#This Row],[TDS Value (ppm)]]&lt;560, "Low", IF(Table4_2[[#This Row],[TDS Value (ppm)]]&lt;=800,"Optimal","High"))</f>
        <v>Optimal</v>
      </c>
    </row>
    <row r="1790" spans="1:12" x14ac:dyDescent="0.25">
      <c r="A1790">
        <v>5</v>
      </c>
      <c r="B1790" s="1">
        <v>45156</v>
      </c>
      <c r="C1790" s="1" t="str">
        <f>TEXT(Table4_2[[#This Row],[Date]],"dddd")</f>
        <v>Friday</v>
      </c>
      <c r="D1790" s="21">
        <v>30.9</v>
      </c>
      <c r="E1790" s="21">
        <v>78</v>
      </c>
      <c r="F1790" s="21">
        <v>778</v>
      </c>
      <c r="G1790" s="21">
        <v>6</v>
      </c>
      <c r="H1790">
        <v>16</v>
      </c>
      <c r="I1790">
        <v>87.62</v>
      </c>
      <c r="J1790">
        <v>0.78</v>
      </c>
      <c r="K1790" t="str" cm="1">
        <f t="array" ref="K1790">_xlfn.IFS(Table4_2[[#This Row],[Growth Days]]&lt;=14,"Seedling",Table4_2[[#This Row],[Growth Days]]&lt;=35, "Vegetative",Table4_2[[#This Row],[Growth Days]]&lt;=50, "Maturity")</f>
        <v>Vegetative</v>
      </c>
      <c r="L1790" t="str">
        <f>IF(Table4_2[[#This Row],[TDS Value (ppm)]]&lt;560, "Low", IF(Table4_2[[#This Row],[TDS Value (ppm)]]&lt;=800,"Optimal","High"))</f>
        <v>Optimal</v>
      </c>
    </row>
    <row r="1791" spans="1:12" x14ac:dyDescent="0.25">
      <c r="A1791">
        <v>5</v>
      </c>
      <c r="B1791" s="1">
        <v>45163</v>
      </c>
      <c r="C1791" s="1" t="str">
        <f>TEXT(Table4_2[[#This Row],[Date]],"dddd")</f>
        <v>Friday</v>
      </c>
      <c r="D1791" s="21">
        <v>31.4</v>
      </c>
      <c r="E1791" s="21">
        <v>53</v>
      </c>
      <c r="F1791" s="21">
        <v>646</v>
      </c>
      <c r="G1791" s="21">
        <v>6.2</v>
      </c>
      <c r="H1791">
        <v>23</v>
      </c>
      <c r="I1791">
        <v>88.52</v>
      </c>
      <c r="J1791">
        <v>0.53</v>
      </c>
      <c r="K1791" t="str" cm="1">
        <f t="array" ref="K1791">_xlfn.IFS(Table4_2[[#This Row],[Growth Days]]&lt;=14,"Seedling",Table4_2[[#This Row],[Growth Days]]&lt;=35, "Vegetative",Table4_2[[#This Row],[Growth Days]]&lt;=50, "Maturity")</f>
        <v>Vegetative</v>
      </c>
      <c r="L1791" t="str">
        <f>IF(Table4_2[[#This Row],[TDS Value (ppm)]]&lt;560, "Low", IF(Table4_2[[#This Row],[TDS Value (ppm)]]&lt;=800,"Optimal","High"))</f>
        <v>Optimal</v>
      </c>
    </row>
    <row r="1792" spans="1:12" x14ac:dyDescent="0.25">
      <c r="A1792">
        <v>5</v>
      </c>
      <c r="B1792" s="1">
        <v>45170</v>
      </c>
      <c r="C1792" s="1" t="str">
        <f>TEXT(Table4_2[[#This Row],[Date]],"dddd")</f>
        <v>Friday</v>
      </c>
      <c r="D1792" s="21">
        <v>31.7</v>
      </c>
      <c r="E1792" s="21">
        <v>66</v>
      </c>
      <c r="F1792" s="21">
        <v>763</v>
      </c>
      <c r="G1792" s="21">
        <v>6.1</v>
      </c>
      <c r="H1792">
        <v>30</v>
      </c>
      <c r="I1792">
        <v>89.06</v>
      </c>
      <c r="J1792">
        <v>0.66</v>
      </c>
      <c r="K1792" t="str" cm="1">
        <f t="array" ref="K1792">_xlfn.IFS(Table4_2[[#This Row],[Growth Days]]&lt;=14,"Seedling",Table4_2[[#This Row],[Growth Days]]&lt;=35, "Vegetative",Table4_2[[#This Row],[Growth Days]]&lt;=50, "Maturity")</f>
        <v>Vegetative</v>
      </c>
      <c r="L1792" t="str">
        <f>IF(Table4_2[[#This Row],[TDS Value (ppm)]]&lt;560, "Low", IF(Table4_2[[#This Row],[TDS Value (ppm)]]&lt;=800,"Optimal","High"))</f>
        <v>Optimal</v>
      </c>
    </row>
    <row r="1793" spans="1:12" x14ac:dyDescent="0.25">
      <c r="A1793">
        <v>5</v>
      </c>
      <c r="B1793" s="1">
        <v>45177</v>
      </c>
      <c r="C1793" s="1" t="str">
        <f>TEXT(Table4_2[[#This Row],[Date]],"dddd")</f>
        <v>Friday</v>
      </c>
      <c r="D1793" s="21">
        <v>29.8</v>
      </c>
      <c r="E1793" s="21">
        <v>65</v>
      </c>
      <c r="F1793" s="21">
        <v>645</v>
      </c>
      <c r="G1793" s="21">
        <v>6.3</v>
      </c>
      <c r="H1793">
        <v>37</v>
      </c>
      <c r="I1793">
        <v>85.64</v>
      </c>
      <c r="J1793">
        <v>0.65</v>
      </c>
      <c r="K1793" t="str" cm="1">
        <f t="array" ref="K1793">_xlfn.IFS(Table4_2[[#This Row],[Growth Days]]&lt;=14,"Seedling",Table4_2[[#This Row],[Growth Days]]&lt;=35, "Vegetative",Table4_2[[#This Row],[Growth Days]]&lt;=50, "Maturity")</f>
        <v>Maturity</v>
      </c>
      <c r="L1793" t="str">
        <f>IF(Table4_2[[#This Row],[TDS Value (ppm)]]&lt;560, "Low", IF(Table4_2[[#This Row],[TDS Value (ppm)]]&lt;=800,"Optimal","High"))</f>
        <v>Optimal</v>
      </c>
    </row>
    <row r="1794" spans="1:12" x14ac:dyDescent="0.25">
      <c r="A1794">
        <v>5</v>
      </c>
      <c r="B1794" s="1">
        <v>45184</v>
      </c>
      <c r="C1794" s="1" t="str">
        <f>TEXT(Table4_2[[#This Row],[Date]],"dddd")</f>
        <v>Friday</v>
      </c>
      <c r="D1794" s="21">
        <v>30.6</v>
      </c>
      <c r="E1794" s="21">
        <v>77</v>
      </c>
      <c r="F1794" s="21">
        <v>453</v>
      </c>
      <c r="G1794" s="21">
        <v>6.1</v>
      </c>
      <c r="H1794">
        <v>44</v>
      </c>
      <c r="I1794">
        <v>87.08</v>
      </c>
      <c r="J1794">
        <v>0.77</v>
      </c>
      <c r="K1794" t="str" cm="1">
        <f t="array" ref="K1794">_xlfn.IFS(Table4_2[[#This Row],[Growth Days]]&lt;=14,"Seedling",Table4_2[[#This Row],[Growth Days]]&lt;=35, "Vegetative",Table4_2[[#This Row],[Growth Days]]&lt;=50, "Maturity")</f>
        <v>Maturity</v>
      </c>
      <c r="L1794" t="str">
        <f>IF(Table4_2[[#This Row],[TDS Value (ppm)]]&lt;560, "Low", IF(Table4_2[[#This Row],[TDS Value (ppm)]]&lt;=800,"Optimal","High"))</f>
        <v>Low</v>
      </c>
    </row>
    <row r="1795" spans="1:12" x14ac:dyDescent="0.25">
      <c r="A1795">
        <v>6</v>
      </c>
      <c r="B1795" s="1">
        <v>45142</v>
      </c>
      <c r="C1795" s="1" t="str">
        <f>TEXT(Table4_2[[#This Row],[Date]],"dddd")</f>
        <v>Friday</v>
      </c>
      <c r="D1795" s="21">
        <v>33.5</v>
      </c>
      <c r="E1795" s="21">
        <v>77</v>
      </c>
      <c r="F1795" s="21">
        <v>738</v>
      </c>
      <c r="G1795" s="21">
        <v>6.5</v>
      </c>
      <c r="H1795">
        <v>2</v>
      </c>
      <c r="I1795">
        <v>92.3</v>
      </c>
      <c r="J1795">
        <v>0.77</v>
      </c>
      <c r="K1795" t="str" cm="1">
        <f t="array" ref="K1795">_xlfn.IFS(Table4_2[[#This Row],[Growth Days]]&lt;=14,"Seedling",Table4_2[[#This Row],[Growth Days]]&lt;=35, "Vegetative",Table4_2[[#This Row],[Growth Days]]&lt;=50, "Maturity")</f>
        <v>Seedling</v>
      </c>
      <c r="L1795" t="str">
        <f>IF(Table4_2[[#This Row],[TDS Value (ppm)]]&lt;560, "Low", IF(Table4_2[[#This Row],[TDS Value (ppm)]]&lt;=800,"Optimal","High"))</f>
        <v>Optimal</v>
      </c>
    </row>
    <row r="1796" spans="1:12" x14ac:dyDescent="0.25">
      <c r="A1796">
        <v>6</v>
      </c>
      <c r="B1796" s="1">
        <v>45149</v>
      </c>
      <c r="C1796" s="1" t="str">
        <f>TEXT(Table4_2[[#This Row],[Date]],"dddd")</f>
        <v>Friday</v>
      </c>
      <c r="D1796" s="21">
        <v>31.9</v>
      </c>
      <c r="E1796" s="21">
        <v>73</v>
      </c>
      <c r="F1796" s="21">
        <v>760</v>
      </c>
      <c r="G1796" s="21">
        <v>6.3</v>
      </c>
      <c r="H1796">
        <v>9</v>
      </c>
      <c r="I1796">
        <v>89.42</v>
      </c>
      <c r="J1796">
        <v>0.73</v>
      </c>
      <c r="K1796" t="str" cm="1">
        <f t="array" ref="K1796">_xlfn.IFS(Table4_2[[#This Row],[Growth Days]]&lt;=14,"Seedling",Table4_2[[#This Row],[Growth Days]]&lt;=35, "Vegetative",Table4_2[[#This Row],[Growth Days]]&lt;=50, "Maturity")</f>
        <v>Seedling</v>
      </c>
      <c r="L1796" t="str">
        <f>IF(Table4_2[[#This Row],[TDS Value (ppm)]]&lt;560, "Low", IF(Table4_2[[#This Row],[TDS Value (ppm)]]&lt;=800,"Optimal","High"))</f>
        <v>Optimal</v>
      </c>
    </row>
    <row r="1797" spans="1:12" x14ac:dyDescent="0.25">
      <c r="A1797">
        <v>6</v>
      </c>
      <c r="B1797" s="1">
        <v>45156</v>
      </c>
      <c r="C1797" s="1" t="str">
        <f>TEXT(Table4_2[[#This Row],[Date]],"dddd")</f>
        <v>Friday</v>
      </c>
      <c r="D1797" s="21">
        <v>30.9</v>
      </c>
      <c r="E1797" s="21">
        <v>59</v>
      </c>
      <c r="F1797" s="21">
        <v>666</v>
      </c>
      <c r="G1797" s="21">
        <v>6.4</v>
      </c>
      <c r="H1797">
        <v>16</v>
      </c>
      <c r="I1797">
        <v>87.62</v>
      </c>
      <c r="J1797">
        <v>0.59</v>
      </c>
      <c r="K1797" t="str" cm="1">
        <f t="array" ref="K1797">_xlfn.IFS(Table4_2[[#This Row],[Growth Days]]&lt;=14,"Seedling",Table4_2[[#This Row],[Growth Days]]&lt;=35, "Vegetative",Table4_2[[#This Row],[Growth Days]]&lt;=50, "Maturity")</f>
        <v>Vegetative</v>
      </c>
      <c r="L1797" t="str">
        <f>IF(Table4_2[[#This Row],[TDS Value (ppm)]]&lt;560, "Low", IF(Table4_2[[#This Row],[TDS Value (ppm)]]&lt;=800,"Optimal","High"))</f>
        <v>Optimal</v>
      </c>
    </row>
    <row r="1798" spans="1:12" x14ac:dyDescent="0.25">
      <c r="A1798">
        <v>6</v>
      </c>
      <c r="B1798" s="1">
        <v>45163</v>
      </c>
      <c r="C1798" s="1" t="str">
        <f>TEXT(Table4_2[[#This Row],[Date]],"dddd")</f>
        <v>Friday</v>
      </c>
      <c r="D1798" s="21">
        <v>31.4</v>
      </c>
      <c r="E1798" s="21">
        <v>73</v>
      </c>
      <c r="F1798" s="21">
        <v>614</v>
      </c>
      <c r="G1798" s="21">
        <v>6.7</v>
      </c>
      <c r="H1798">
        <v>23</v>
      </c>
      <c r="I1798">
        <v>88.52</v>
      </c>
      <c r="J1798">
        <v>0.73</v>
      </c>
      <c r="K1798" t="str" cm="1">
        <f t="array" ref="K1798">_xlfn.IFS(Table4_2[[#This Row],[Growth Days]]&lt;=14,"Seedling",Table4_2[[#This Row],[Growth Days]]&lt;=35, "Vegetative",Table4_2[[#This Row],[Growth Days]]&lt;=50, "Maturity")</f>
        <v>Vegetative</v>
      </c>
      <c r="L1798" t="str">
        <f>IF(Table4_2[[#This Row],[TDS Value (ppm)]]&lt;560, "Low", IF(Table4_2[[#This Row],[TDS Value (ppm)]]&lt;=800,"Optimal","High"))</f>
        <v>Optimal</v>
      </c>
    </row>
    <row r="1799" spans="1:12" x14ac:dyDescent="0.25">
      <c r="A1799">
        <v>6</v>
      </c>
      <c r="B1799" s="1">
        <v>45170</v>
      </c>
      <c r="C1799" s="1" t="str">
        <f>TEXT(Table4_2[[#This Row],[Date]],"dddd")</f>
        <v>Friday</v>
      </c>
      <c r="D1799" s="21">
        <v>31.7</v>
      </c>
      <c r="E1799" s="21">
        <v>77</v>
      </c>
      <c r="F1799" s="21">
        <v>512</v>
      </c>
      <c r="G1799" s="21">
        <v>6.5</v>
      </c>
      <c r="H1799">
        <v>30</v>
      </c>
      <c r="I1799">
        <v>89.06</v>
      </c>
      <c r="J1799">
        <v>0.77</v>
      </c>
      <c r="K1799" t="str" cm="1">
        <f t="array" ref="K1799">_xlfn.IFS(Table4_2[[#This Row],[Growth Days]]&lt;=14,"Seedling",Table4_2[[#This Row],[Growth Days]]&lt;=35, "Vegetative",Table4_2[[#This Row],[Growth Days]]&lt;=50, "Maturity")</f>
        <v>Vegetative</v>
      </c>
      <c r="L1799" t="str">
        <f>IF(Table4_2[[#This Row],[TDS Value (ppm)]]&lt;560, "Low", IF(Table4_2[[#This Row],[TDS Value (ppm)]]&lt;=800,"Optimal","High"))</f>
        <v>Low</v>
      </c>
    </row>
    <row r="1800" spans="1:12" x14ac:dyDescent="0.25">
      <c r="A1800">
        <v>6</v>
      </c>
      <c r="B1800" s="1">
        <v>45177</v>
      </c>
      <c r="C1800" s="1" t="str">
        <f>TEXT(Table4_2[[#This Row],[Date]],"dddd")</f>
        <v>Friday</v>
      </c>
      <c r="D1800" s="21">
        <v>29.8</v>
      </c>
      <c r="E1800" s="21">
        <v>74</v>
      </c>
      <c r="F1800" s="21">
        <v>793</v>
      </c>
      <c r="G1800" s="21">
        <v>6.7</v>
      </c>
      <c r="H1800">
        <v>37</v>
      </c>
      <c r="I1800">
        <v>85.64</v>
      </c>
      <c r="J1800">
        <v>0.74</v>
      </c>
      <c r="K1800" t="str" cm="1">
        <f t="array" ref="K1800">_xlfn.IFS(Table4_2[[#This Row],[Growth Days]]&lt;=14,"Seedling",Table4_2[[#This Row],[Growth Days]]&lt;=35, "Vegetative",Table4_2[[#This Row],[Growth Days]]&lt;=50, "Maturity")</f>
        <v>Maturity</v>
      </c>
      <c r="L1800" t="str">
        <f>IF(Table4_2[[#This Row],[TDS Value (ppm)]]&lt;560, "Low", IF(Table4_2[[#This Row],[TDS Value (ppm)]]&lt;=800,"Optimal","High"))</f>
        <v>Optimal</v>
      </c>
    </row>
    <row r="1801" spans="1:12" x14ac:dyDescent="0.25">
      <c r="A1801">
        <v>6</v>
      </c>
      <c r="B1801" s="1">
        <v>45184</v>
      </c>
      <c r="C1801" s="1" t="str">
        <f>TEXT(Table4_2[[#This Row],[Date]],"dddd")</f>
        <v>Friday</v>
      </c>
      <c r="D1801" s="21">
        <v>30.6</v>
      </c>
      <c r="E1801" s="21">
        <v>61</v>
      </c>
      <c r="F1801" s="21">
        <v>741</v>
      </c>
      <c r="G1801" s="21">
        <v>6.3</v>
      </c>
      <c r="H1801">
        <v>44</v>
      </c>
      <c r="I1801">
        <v>87.08</v>
      </c>
      <c r="J1801">
        <v>0.61</v>
      </c>
      <c r="K1801" t="str" cm="1">
        <f t="array" ref="K1801">_xlfn.IFS(Table4_2[[#This Row],[Growth Days]]&lt;=14,"Seedling",Table4_2[[#This Row],[Growth Days]]&lt;=35, "Vegetative",Table4_2[[#This Row],[Growth Days]]&lt;=50, "Maturity")</f>
        <v>Maturity</v>
      </c>
      <c r="L1801" t="str">
        <f>IF(Table4_2[[#This Row],[TDS Value (ppm)]]&lt;560, "Low", IF(Table4_2[[#This Row],[TDS Value (ppm)]]&lt;=800,"Optimal","High"))</f>
        <v>Optimal</v>
      </c>
    </row>
    <row r="1802" spans="1:12" x14ac:dyDescent="0.25">
      <c r="A1802">
        <v>7</v>
      </c>
      <c r="B1802" s="1">
        <v>45142</v>
      </c>
      <c r="C1802" s="1" t="str">
        <f>TEXT(Table4_2[[#This Row],[Date]],"dddd")</f>
        <v>Friday</v>
      </c>
      <c r="D1802" s="21">
        <v>33.5</v>
      </c>
      <c r="E1802" s="21">
        <v>78</v>
      </c>
      <c r="F1802" s="21">
        <v>598</v>
      </c>
      <c r="G1802" s="21">
        <v>6.3</v>
      </c>
      <c r="H1802">
        <v>2</v>
      </c>
      <c r="I1802">
        <v>92.3</v>
      </c>
      <c r="J1802">
        <v>0.78</v>
      </c>
      <c r="K1802" t="str" cm="1">
        <f t="array" ref="K1802">_xlfn.IFS(Table4_2[[#This Row],[Growth Days]]&lt;=14,"Seedling",Table4_2[[#This Row],[Growth Days]]&lt;=35, "Vegetative",Table4_2[[#This Row],[Growth Days]]&lt;=50, "Maturity")</f>
        <v>Seedling</v>
      </c>
      <c r="L1802" t="str">
        <f>IF(Table4_2[[#This Row],[TDS Value (ppm)]]&lt;560, "Low", IF(Table4_2[[#This Row],[TDS Value (ppm)]]&lt;=800,"Optimal","High"))</f>
        <v>Optimal</v>
      </c>
    </row>
    <row r="1803" spans="1:12" x14ac:dyDescent="0.25">
      <c r="A1803">
        <v>7</v>
      </c>
      <c r="B1803" s="1">
        <v>45149</v>
      </c>
      <c r="C1803" s="1" t="str">
        <f>TEXT(Table4_2[[#This Row],[Date]],"dddd")</f>
        <v>Friday</v>
      </c>
      <c r="D1803" s="21">
        <v>31.9</v>
      </c>
      <c r="E1803" s="21">
        <v>68</v>
      </c>
      <c r="F1803" s="21">
        <v>763</v>
      </c>
      <c r="G1803" s="21">
        <v>6.5</v>
      </c>
      <c r="H1803">
        <v>9</v>
      </c>
      <c r="I1803">
        <v>89.42</v>
      </c>
      <c r="J1803">
        <v>0.68</v>
      </c>
      <c r="K1803" t="str" cm="1">
        <f t="array" ref="K1803">_xlfn.IFS(Table4_2[[#This Row],[Growth Days]]&lt;=14,"Seedling",Table4_2[[#This Row],[Growth Days]]&lt;=35, "Vegetative",Table4_2[[#This Row],[Growth Days]]&lt;=50, "Maturity")</f>
        <v>Seedling</v>
      </c>
      <c r="L1803" t="str">
        <f>IF(Table4_2[[#This Row],[TDS Value (ppm)]]&lt;560, "Low", IF(Table4_2[[#This Row],[TDS Value (ppm)]]&lt;=800,"Optimal","High"))</f>
        <v>Optimal</v>
      </c>
    </row>
    <row r="1804" spans="1:12" x14ac:dyDescent="0.25">
      <c r="A1804">
        <v>7</v>
      </c>
      <c r="B1804" s="1">
        <v>45156</v>
      </c>
      <c r="C1804" s="1" t="str">
        <f>TEXT(Table4_2[[#This Row],[Date]],"dddd")</f>
        <v>Friday</v>
      </c>
      <c r="D1804" s="21">
        <v>30.9</v>
      </c>
      <c r="E1804" s="21">
        <v>72</v>
      </c>
      <c r="F1804" s="21">
        <v>536</v>
      </c>
      <c r="G1804" s="21">
        <v>6.8</v>
      </c>
      <c r="H1804">
        <v>16</v>
      </c>
      <c r="I1804">
        <v>87.62</v>
      </c>
      <c r="J1804">
        <v>0.72</v>
      </c>
      <c r="K1804" t="str" cm="1">
        <f t="array" ref="K1804">_xlfn.IFS(Table4_2[[#This Row],[Growth Days]]&lt;=14,"Seedling",Table4_2[[#This Row],[Growth Days]]&lt;=35, "Vegetative",Table4_2[[#This Row],[Growth Days]]&lt;=50, "Maturity")</f>
        <v>Vegetative</v>
      </c>
      <c r="L1804" t="str">
        <f>IF(Table4_2[[#This Row],[TDS Value (ppm)]]&lt;560, "Low", IF(Table4_2[[#This Row],[TDS Value (ppm)]]&lt;=800,"Optimal","High"))</f>
        <v>Low</v>
      </c>
    </row>
    <row r="1805" spans="1:12" x14ac:dyDescent="0.25">
      <c r="A1805">
        <v>7</v>
      </c>
      <c r="B1805" s="1">
        <v>45163</v>
      </c>
      <c r="C1805" s="1" t="str">
        <f>TEXT(Table4_2[[#This Row],[Date]],"dddd")</f>
        <v>Friday</v>
      </c>
      <c r="D1805" s="21">
        <v>31.4</v>
      </c>
      <c r="E1805" s="21">
        <v>77</v>
      </c>
      <c r="F1805" s="21">
        <v>617</v>
      </c>
      <c r="G1805" s="21">
        <v>6.5</v>
      </c>
      <c r="H1805">
        <v>23</v>
      </c>
      <c r="I1805">
        <v>88.52</v>
      </c>
      <c r="J1805">
        <v>0.77</v>
      </c>
      <c r="K1805" t="str" cm="1">
        <f t="array" ref="K1805">_xlfn.IFS(Table4_2[[#This Row],[Growth Days]]&lt;=14,"Seedling",Table4_2[[#This Row],[Growth Days]]&lt;=35, "Vegetative",Table4_2[[#This Row],[Growth Days]]&lt;=50, "Maturity")</f>
        <v>Vegetative</v>
      </c>
      <c r="L1805" t="str">
        <f>IF(Table4_2[[#This Row],[TDS Value (ppm)]]&lt;560, "Low", IF(Table4_2[[#This Row],[TDS Value (ppm)]]&lt;=800,"Optimal","High"))</f>
        <v>Optimal</v>
      </c>
    </row>
    <row r="1806" spans="1:12" x14ac:dyDescent="0.25">
      <c r="A1806">
        <v>7</v>
      </c>
      <c r="B1806" s="1">
        <v>45170</v>
      </c>
      <c r="C1806" s="1" t="str">
        <f>TEXT(Table4_2[[#This Row],[Date]],"dddd")</f>
        <v>Friday</v>
      </c>
      <c r="D1806" s="21">
        <v>31.7</v>
      </c>
      <c r="E1806" s="21">
        <v>52</v>
      </c>
      <c r="F1806" s="21">
        <v>583</v>
      </c>
      <c r="G1806" s="21">
        <v>6.5</v>
      </c>
      <c r="H1806">
        <v>30</v>
      </c>
      <c r="I1806">
        <v>89.06</v>
      </c>
      <c r="J1806">
        <v>0.52</v>
      </c>
      <c r="K1806" t="str" cm="1">
        <f t="array" ref="K1806">_xlfn.IFS(Table4_2[[#This Row],[Growth Days]]&lt;=14,"Seedling",Table4_2[[#This Row],[Growth Days]]&lt;=35, "Vegetative",Table4_2[[#This Row],[Growth Days]]&lt;=50, "Maturity")</f>
        <v>Vegetative</v>
      </c>
      <c r="L1806" t="str">
        <f>IF(Table4_2[[#This Row],[TDS Value (ppm)]]&lt;560, "Low", IF(Table4_2[[#This Row],[TDS Value (ppm)]]&lt;=800,"Optimal","High"))</f>
        <v>Optimal</v>
      </c>
    </row>
    <row r="1807" spans="1:12" x14ac:dyDescent="0.25">
      <c r="A1807">
        <v>7</v>
      </c>
      <c r="B1807" s="1">
        <v>45177</v>
      </c>
      <c r="C1807" s="1" t="str">
        <f>TEXT(Table4_2[[#This Row],[Date]],"dddd")</f>
        <v>Friday</v>
      </c>
      <c r="D1807" s="21">
        <v>29.8</v>
      </c>
      <c r="E1807" s="21">
        <v>54</v>
      </c>
      <c r="F1807" s="21">
        <v>645</v>
      </c>
      <c r="G1807" s="21">
        <v>6.4</v>
      </c>
      <c r="H1807">
        <v>37</v>
      </c>
      <c r="I1807">
        <v>85.64</v>
      </c>
      <c r="J1807">
        <v>0.54</v>
      </c>
      <c r="K1807" t="str" cm="1">
        <f t="array" ref="K1807">_xlfn.IFS(Table4_2[[#This Row],[Growth Days]]&lt;=14,"Seedling",Table4_2[[#This Row],[Growth Days]]&lt;=35, "Vegetative",Table4_2[[#This Row],[Growth Days]]&lt;=50, "Maturity")</f>
        <v>Maturity</v>
      </c>
      <c r="L1807" t="str">
        <f>IF(Table4_2[[#This Row],[TDS Value (ppm)]]&lt;560, "Low", IF(Table4_2[[#This Row],[TDS Value (ppm)]]&lt;=800,"Optimal","High"))</f>
        <v>Optimal</v>
      </c>
    </row>
    <row r="1808" spans="1:12" x14ac:dyDescent="0.25">
      <c r="A1808">
        <v>7</v>
      </c>
      <c r="B1808" s="1">
        <v>45184</v>
      </c>
      <c r="C1808" s="1" t="str">
        <f>TEXT(Table4_2[[#This Row],[Date]],"dddd")</f>
        <v>Friday</v>
      </c>
      <c r="D1808" s="21">
        <v>30.6</v>
      </c>
      <c r="E1808" s="21">
        <v>69</v>
      </c>
      <c r="F1808" s="21">
        <v>787</v>
      </c>
      <c r="G1808" s="21">
        <v>6</v>
      </c>
      <c r="H1808">
        <v>44</v>
      </c>
      <c r="I1808">
        <v>87.08</v>
      </c>
      <c r="J1808">
        <v>0.69</v>
      </c>
      <c r="K1808" t="str" cm="1">
        <f t="array" ref="K1808">_xlfn.IFS(Table4_2[[#This Row],[Growth Days]]&lt;=14,"Seedling",Table4_2[[#This Row],[Growth Days]]&lt;=35, "Vegetative",Table4_2[[#This Row],[Growth Days]]&lt;=50, "Maturity")</f>
        <v>Maturity</v>
      </c>
      <c r="L1808" t="str">
        <f>IF(Table4_2[[#This Row],[TDS Value (ppm)]]&lt;560, "Low", IF(Table4_2[[#This Row],[TDS Value (ppm)]]&lt;=800,"Optimal","High"))</f>
        <v>Optimal</v>
      </c>
    </row>
    <row r="1809" spans="1:12" x14ac:dyDescent="0.25">
      <c r="A1809">
        <v>8</v>
      </c>
      <c r="B1809" s="1">
        <v>45142</v>
      </c>
      <c r="C1809" s="1" t="str">
        <f>TEXT(Table4_2[[#This Row],[Date]],"dddd")</f>
        <v>Friday</v>
      </c>
      <c r="D1809" s="21">
        <v>33.5</v>
      </c>
      <c r="E1809" s="21">
        <v>77</v>
      </c>
      <c r="F1809" s="21">
        <v>457</v>
      </c>
      <c r="G1809" s="21">
        <v>6.3</v>
      </c>
      <c r="H1809">
        <v>2</v>
      </c>
      <c r="I1809">
        <v>92.3</v>
      </c>
      <c r="J1809">
        <v>0.77</v>
      </c>
      <c r="K1809" t="str" cm="1">
        <f t="array" ref="K1809">_xlfn.IFS(Table4_2[[#This Row],[Growth Days]]&lt;=14,"Seedling",Table4_2[[#This Row],[Growth Days]]&lt;=35, "Vegetative",Table4_2[[#This Row],[Growth Days]]&lt;=50, "Maturity")</f>
        <v>Seedling</v>
      </c>
      <c r="L1809" t="str">
        <f>IF(Table4_2[[#This Row],[TDS Value (ppm)]]&lt;560, "Low", IF(Table4_2[[#This Row],[TDS Value (ppm)]]&lt;=800,"Optimal","High"))</f>
        <v>Low</v>
      </c>
    </row>
    <row r="1810" spans="1:12" x14ac:dyDescent="0.25">
      <c r="A1810">
        <v>8</v>
      </c>
      <c r="B1810" s="1">
        <v>45149</v>
      </c>
      <c r="C1810" s="1" t="str">
        <f>TEXT(Table4_2[[#This Row],[Date]],"dddd")</f>
        <v>Friday</v>
      </c>
      <c r="D1810" s="21">
        <v>31.9</v>
      </c>
      <c r="E1810" s="21">
        <v>64</v>
      </c>
      <c r="F1810" s="21">
        <v>699</v>
      </c>
      <c r="G1810" s="21">
        <v>6.6</v>
      </c>
      <c r="H1810">
        <v>9</v>
      </c>
      <c r="I1810">
        <v>89.42</v>
      </c>
      <c r="J1810">
        <v>0.64</v>
      </c>
      <c r="K1810" t="str" cm="1">
        <f t="array" ref="K1810">_xlfn.IFS(Table4_2[[#This Row],[Growth Days]]&lt;=14,"Seedling",Table4_2[[#This Row],[Growth Days]]&lt;=35, "Vegetative",Table4_2[[#This Row],[Growth Days]]&lt;=50, "Maturity")</f>
        <v>Seedling</v>
      </c>
      <c r="L1810" t="str">
        <f>IF(Table4_2[[#This Row],[TDS Value (ppm)]]&lt;560, "Low", IF(Table4_2[[#This Row],[TDS Value (ppm)]]&lt;=800,"Optimal","High"))</f>
        <v>Optimal</v>
      </c>
    </row>
    <row r="1811" spans="1:12" x14ac:dyDescent="0.25">
      <c r="A1811">
        <v>8</v>
      </c>
      <c r="B1811" s="1">
        <v>45156</v>
      </c>
      <c r="C1811" s="1" t="str">
        <f>TEXT(Table4_2[[#This Row],[Date]],"dddd")</f>
        <v>Friday</v>
      </c>
      <c r="D1811" s="21">
        <v>30.9</v>
      </c>
      <c r="E1811" s="21">
        <v>70</v>
      </c>
      <c r="F1811" s="21">
        <v>415</v>
      </c>
      <c r="G1811" s="21">
        <v>6.6</v>
      </c>
      <c r="H1811">
        <v>16</v>
      </c>
      <c r="I1811">
        <v>87.62</v>
      </c>
      <c r="J1811">
        <v>0.7</v>
      </c>
      <c r="K1811" t="str" cm="1">
        <f t="array" ref="K1811">_xlfn.IFS(Table4_2[[#This Row],[Growth Days]]&lt;=14,"Seedling",Table4_2[[#This Row],[Growth Days]]&lt;=35, "Vegetative",Table4_2[[#This Row],[Growth Days]]&lt;=50, "Maturity")</f>
        <v>Vegetative</v>
      </c>
      <c r="L1811" t="str">
        <f>IF(Table4_2[[#This Row],[TDS Value (ppm)]]&lt;560, "Low", IF(Table4_2[[#This Row],[TDS Value (ppm)]]&lt;=800,"Optimal","High"))</f>
        <v>Low</v>
      </c>
    </row>
    <row r="1812" spans="1:12" x14ac:dyDescent="0.25">
      <c r="A1812">
        <v>8</v>
      </c>
      <c r="B1812" s="1">
        <v>45163</v>
      </c>
      <c r="C1812" s="1" t="str">
        <f>TEXT(Table4_2[[#This Row],[Date]],"dddd")</f>
        <v>Friday</v>
      </c>
      <c r="D1812" s="21">
        <v>31.4</v>
      </c>
      <c r="E1812" s="21">
        <v>73</v>
      </c>
      <c r="F1812" s="21">
        <v>565</v>
      </c>
      <c r="G1812" s="21">
        <v>6.2</v>
      </c>
      <c r="H1812">
        <v>23</v>
      </c>
      <c r="I1812">
        <v>88.52</v>
      </c>
      <c r="J1812">
        <v>0.73</v>
      </c>
      <c r="K1812" t="str" cm="1">
        <f t="array" ref="K1812">_xlfn.IFS(Table4_2[[#This Row],[Growth Days]]&lt;=14,"Seedling",Table4_2[[#This Row],[Growth Days]]&lt;=35, "Vegetative",Table4_2[[#This Row],[Growth Days]]&lt;=50, "Maturity")</f>
        <v>Vegetative</v>
      </c>
      <c r="L1812" t="str">
        <f>IF(Table4_2[[#This Row],[TDS Value (ppm)]]&lt;560, "Low", IF(Table4_2[[#This Row],[TDS Value (ppm)]]&lt;=800,"Optimal","High"))</f>
        <v>Optimal</v>
      </c>
    </row>
    <row r="1813" spans="1:12" x14ac:dyDescent="0.25">
      <c r="A1813">
        <v>8</v>
      </c>
      <c r="B1813" s="1">
        <v>45170</v>
      </c>
      <c r="C1813" s="1" t="str">
        <f>TEXT(Table4_2[[#This Row],[Date]],"dddd")</f>
        <v>Friday</v>
      </c>
      <c r="D1813" s="21">
        <v>31.7</v>
      </c>
      <c r="E1813" s="21">
        <v>61</v>
      </c>
      <c r="F1813" s="21">
        <v>775</v>
      </c>
      <c r="G1813" s="21">
        <v>6.6</v>
      </c>
      <c r="H1813">
        <v>30</v>
      </c>
      <c r="I1813">
        <v>89.06</v>
      </c>
      <c r="J1813">
        <v>0.61</v>
      </c>
      <c r="K1813" t="str" cm="1">
        <f t="array" ref="K1813">_xlfn.IFS(Table4_2[[#This Row],[Growth Days]]&lt;=14,"Seedling",Table4_2[[#This Row],[Growth Days]]&lt;=35, "Vegetative",Table4_2[[#This Row],[Growth Days]]&lt;=50, "Maturity")</f>
        <v>Vegetative</v>
      </c>
      <c r="L1813" t="str">
        <f>IF(Table4_2[[#This Row],[TDS Value (ppm)]]&lt;560, "Low", IF(Table4_2[[#This Row],[TDS Value (ppm)]]&lt;=800,"Optimal","High"))</f>
        <v>Optimal</v>
      </c>
    </row>
    <row r="1814" spans="1:12" x14ac:dyDescent="0.25">
      <c r="A1814">
        <v>8</v>
      </c>
      <c r="B1814" s="1">
        <v>45177</v>
      </c>
      <c r="C1814" s="1" t="str">
        <f>TEXT(Table4_2[[#This Row],[Date]],"dddd")</f>
        <v>Friday</v>
      </c>
      <c r="D1814" s="21">
        <v>29.8</v>
      </c>
      <c r="E1814" s="21">
        <v>75</v>
      </c>
      <c r="F1814" s="21">
        <v>484</v>
      </c>
      <c r="G1814" s="21">
        <v>6.2</v>
      </c>
      <c r="H1814">
        <v>37</v>
      </c>
      <c r="I1814">
        <v>85.64</v>
      </c>
      <c r="J1814">
        <v>0.75</v>
      </c>
      <c r="K1814" t="str" cm="1">
        <f t="array" ref="K1814">_xlfn.IFS(Table4_2[[#This Row],[Growth Days]]&lt;=14,"Seedling",Table4_2[[#This Row],[Growth Days]]&lt;=35, "Vegetative",Table4_2[[#This Row],[Growth Days]]&lt;=50, "Maturity")</f>
        <v>Maturity</v>
      </c>
      <c r="L1814" t="str">
        <f>IF(Table4_2[[#This Row],[TDS Value (ppm)]]&lt;560, "Low", IF(Table4_2[[#This Row],[TDS Value (ppm)]]&lt;=800,"Optimal","High"))</f>
        <v>Low</v>
      </c>
    </row>
    <row r="1815" spans="1:12" x14ac:dyDescent="0.25">
      <c r="A1815">
        <v>8</v>
      </c>
      <c r="B1815" s="1">
        <v>45184</v>
      </c>
      <c r="C1815" s="1" t="str">
        <f>TEXT(Table4_2[[#This Row],[Date]],"dddd")</f>
        <v>Friday</v>
      </c>
      <c r="D1815" s="21">
        <v>30.6</v>
      </c>
      <c r="E1815" s="21">
        <v>50</v>
      </c>
      <c r="F1815" s="21">
        <v>632</v>
      </c>
      <c r="G1815" s="21">
        <v>6.2</v>
      </c>
      <c r="H1815">
        <v>44</v>
      </c>
      <c r="I1815">
        <v>87.08</v>
      </c>
      <c r="J1815">
        <v>0.5</v>
      </c>
      <c r="K1815" t="str" cm="1">
        <f t="array" ref="K1815">_xlfn.IFS(Table4_2[[#This Row],[Growth Days]]&lt;=14,"Seedling",Table4_2[[#This Row],[Growth Days]]&lt;=35, "Vegetative",Table4_2[[#This Row],[Growth Days]]&lt;=50, "Maturity")</f>
        <v>Maturity</v>
      </c>
      <c r="L1815" t="str">
        <f>IF(Table4_2[[#This Row],[TDS Value (ppm)]]&lt;560, "Low", IF(Table4_2[[#This Row],[TDS Value (ppm)]]&lt;=800,"Optimal","High"))</f>
        <v>Optimal</v>
      </c>
    </row>
    <row r="1816" spans="1:12" x14ac:dyDescent="0.25">
      <c r="A1816">
        <v>9</v>
      </c>
      <c r="B1816" s="1">
        <v>45142</v>
      </c>
      <c r="C1816" s="1" t="str">
        <f>TEXT(Table4_2[[#This Row],[Date]],"dddd")</f>
        <v>Friday</v>
      </c>
      <c r="D1816" s="21">
        <v>33.5</v>
      </c>
      <c r="E1816" s="21">
        <v>80</v>
      </c>
      <c r="F1816" s="21">
        <v>434</v>
      </c>
      <c r="G1816" s="21">
        <v>6</v>
      </c>
      <c r="H1816">
        <v>2</v>
      </c>
      <c r="I1816">
        <v>92.3</v>
      </c>
      <c r="J1816">
        <v>0.8</v>
      </c>
      <c r="K1816" t="str" cm="1">
        <f t="array" ref="K1816">_xlfn.IFS(Table4_2[[#This Row],[Growth Days]]&lt;=14,"Seedling",Table4_2[[#This Row],[Growth Days]]&lt;=35, "Vegetative",Table4_2[[#This Row],[Growth Days]]&lt;=50, "Maturity")</f>
        <v>Seedling</v>
      </c>
      <c r="L1816" t="str">
        <f>IF(Table4_2[[#This Row],[TDS Value (ppm)]]&lt;560, "Low", IF(Table4_2[[#This Row],[TDS Value (ppm)]]&lt;=800,"Optimal","High"))</f>
        <v>Low</v>
      </c>
    </row>
    <row r="1817" spans="1:12" x14ac:dyDescent="0.25">
      <c r="A1817">
        <v>9</v>
      </c>
      <c r="B1817" s="1">
        <v>45149</v>
      </c>
      <c r="C1817" s="1" t="str">
        <f>TEXT(Table4_2[[#This Row],[Date]],"dddd")</f>
        <v>Friday</v>
      </c>
      <c r="D1817" s="21">
        <v>31.9</v>
      </c>
      <c r="E1817" s="21">
        <v>62</v>
      </c>
      <c r="F1817" s="21">
        <v>646</v>
      </c>
      <c r="G1817" s="21">
        <v>6.7</v>
      </c>
      <c r="H1817">
        <v>9</v>
      </c>
      <c r="I1817">
        <v>89.42</v>
      </c>
      <c r="J1817">
        <v>0.62</v>
      </c>
      <c r="K1817" t="str" cm="1">
        <f t="array" ref="K1817">_xlfn.IFS(Table4_2[[#This Row],[Growth Days]]&lt;=14,"Seedling",Table4_2[[#This Row],[Growth Days]]&lt;=35, "Vegetative",Table4_2[[#This Row],[Growth Days]]&lt;=50, "Maturity")</f>
        <v>Seedling</v>
      </c>
      <c r="L1817" t="str">
        <f>IF(Table4_2[[#This Row],[TDS Value (ppm)]]&lt;560, "Low", IF(Table4_2[[#This Row],[TDS Value (ppm)]]&lt;=800,"Optimal","High"))</f>
        <v>Optimal</v>
      </c>
    </row>
    <row r="1818" spans="1:12" x14ac:dyDescent="0.25">
      <c r="A1818">
        <v>9</v>
      </c>
      <c r="B1818" s="1">
        <v>45156</v>
      </c>
      <c r="C1818" s="1" t="str">
        <f>TEXT(Table4_2[[#This Row],[Date]],"dddd")</f>
        <v>Friday</v>
      </c>
      <c r="D1818" s="21">
        <v>30.9</v>
      </c>
      <c r="E1818" s="21">
        <v>79</v>
      </c>
      <c r="F1818" s="21">
        <v>569</v>
      </c>
      <c r="G1818" s="21">
        <v>6.4</v>
      </c>
      <c r="H1818">
        <v>16</v>
      </c>
      <c r="I1818">
        <v>87.62</v>
      </c>
      <c r="J1818">
        <v>0.79</v>
      </c>
      <c r="K1818" t="str" cm="1">
        <f t="array" ref="K1818">_xlfn.IFS(Table4_2[[#This Row],[Growth Days]]&lt;=14,"Seedling",Table4_2[[#This Row],[Growth Days]]&lt;=35, "Vegetative",Table4_2[[#This Row],[Growth Days]]&lt;=50, "Maturity")</f>
        <v>Vegetative</v>
      </c>
      <c r="L1818" t="str">
        <f>IF(Table4_2[[#This Row],[TDS Value (ppm)]]&lt;560, "Low", IF(Table4_2[[#This Row],[TDS Value (ppm)]]&lt;=800,"Optimal","High"))</f>
        <v>Optimal</v>
      </c>
    </row>
    <row r="1819" spans="1:12" x14ac:dyDescent="0.25">
      <c r="A1819">
        <v>9</v>
      </c>
      <c r="B1819" s="1">
        <v>45163</v>
      </c>
      <c r="C1819" s="1" t="str">
        <f>TEXT(Table4_2[[#This Row],[Date]],"dddd")</f>
        <v>Friday</v>
      </c>
      <c r="D1819" s="21">
        <v>31.4</v>
      </c>
      <c r="E1819" s="21">
        <v>61</v>
      </c>
      <c r="F1819" s="21">
        <v>667</v>
      </c>
      <c r="G1819" s="21">
        <v>6.2</v>
      </c>
      <c r="H1819">
        <v>23</v>
      </c>
      <c r="I1819">
        <v>88.52</v>
      </c>
      <c r="J1819">
        <v>0.61</v>
      </c>
      <c r="K1819" t="str" cm="1">
        <f t="array" ref="K1819">_xlfn.IFS(Table4_2[[#This Row],[Growth Days]]&lt;=14,"Seedling",Table4_2[[#This Row],[Growth Days]]&lt;=35, "Vegetative",Table4_2[[#This Row],[Growth Days]]&lt;=50, "Maturity")</f>
        <v>Vegetative</v>
      </c>
      <c r="L1819" t="str">
        <f>IF(Table4_2[[#This Row],[TDS Value (ppm)]]&lt;560, "Low", IF(Table4_2[[#This Row],[TDS Value (ppm)]]&lt;=800,"Optimal","High"))</f>
        <v>Optimal</v>
      </c>
    </row>
    <row r="1820" spans="1:12" x14ac:dyDescent="0.25">
      <c r="A1820">
        <v>9</v>
      </c>
      <c r="B1820" s="1">
        <v>45170</v>
      </c>
      <c r="C1820" s="1" t="str">
        <f>TEXT(Table4_2[[#This Row],[Date]],"dddd")</f>
        <v>Friday</v>
      </c>
      <c r="D1820" s="21">
        <v>31.7</v>
      </c>
      <c r="E1820" s="21">
        <v>66</v>
      </c>
      <c r="F1820" s="21">
        <v>597</v>
      </c>
      <c r="G1820" s="21">
        <v>6.1</v>
      </c>
      <c r="H1820">
        <v>30</v>
      </c>
      <c r="I1820">
        <v>89.06</v>
      </c>
      <c r="J1820">
        <v>0.66</v>
      </c>
      <c r="K1820" t="str" cm="1">
        <f t="array" ref="K1820">_xlfn.IFS(Table4_2[[#This Row],[Growth Days]]&lt;=14,"Seedling",Table4_2[[#This Row],[Growth Days]]&lt;=35, "Vegetative",Table4_2[[#This Row],[Growth Days]]&lt;=50, "Maturity")</f>
        <v>Vegetative</v>
      </c>
      <c r="L1820" t="str">
        <f>IF(Table4_2[[#This Row],[TDS Value (ppm)]]&lt;560, "Low", IF(Table4_2[[#This Row],[TDS Value (ppm)]]&lt;=800,"Optimal","High"))</f>
        <v>Optimal</v>
      </c>
    </row>
    <row r="1821" spans="1:12" x14ac:dyDescent="0.25">
      <c r="A1821">
        <v>9</v>
      </c>
      <c r="B1821" s="1">
        <v>45177</v>
      </c>
      <c r="C1821" s="1" t="str">
        <f>TEXT(Table4_2[[#This Row],[Date]],"dddd")</f>
        <v>Friday</v>
      </c>
      <c r="D1821" s="21">
        <v>29.8</v>
      </c>
      <c r="E1821" s="21">
        <v>61</v>
      </c>
      <c r="F1821" s="21">
        <v>629</v>
      </c>
      <c r="G1821" s="21">
        <v>6.7</v>
      </c>
      <c r="H1821">
        <v>37</v>
      </c>
      <c r="I1821">
        <v>85.64</v>
      </c>
      <c r="J1821">
        <v>0.61</v>
      </c>
      <c r="K1821" t="str" cm="1">
        <f t="array" ref="K1821">_xlfn.IFS(Table4_2[[#This Row],[Growth Days]]&lt;=14,"Seedling",Table4_2[[#This Row],[Growth Days]]&lt;=35, "Vegetative",Table4_2[[#This Row],[Growth Days]]&lt;=50, "Maturity")</f>
        <v>Maturity</v>
      </c>
      <c r="L1821" t="str">
        <f>IF(Table4_2[[#This Row],[TDS Value (ppm)]]&lt;560, "Low", IF(Table4_2[[#This Row],[TDS Value (ppm)]]&lt;=800,"Optimal","High"))</f>
        <v>Optimal</v>
      </c>
    </row>
    <row r="1822" spans="1:12" x14ac:dyDescent="0.25">
      <c r="A1822">
        <v>9</v>
      </c>
      <c r="B1822" s="1">
        <v>45184</v>
      </c>
      <c r="C1822" s="1" t="str">
        <f>TEXT(Table4_2[[#This Row],[Date]],"dddd")</f>
        <v>Friday</v>
      </c>
      <c r="D1822" s="21">
        <v>30.6</v>
      </c>
      <c r="E1822" s="21">
        <v>58</v>
      </c>
      <c r="F1822" s="21">
        <v>455</v>
      </c>
      <c r="G1822" s="21">
        <v>6.7</v>
      </c>
      <c r="H1822">
        <v>44</v>
      </c>
      <c r="I1822">
        <v>87.08</v>
      </c>
      <c r="J1822">
        <v>0.57999999999999996</v>
      </c>
      <c r="K1822" t="str" cm="1">
        <f t="array" ref="K1822">_xlfn.IFS(Table4_2[[#This Row],[Growth Days]]&lt;=14,"Seedling",Table4_2[[#This Row],[Growth Days]]&lt;=35, "Vegetative",Table4_2[[#This Row],[Growth Days]]&lt;=50, "Maturity")</f>
        <v>Maturity</v>
      </c>
      <c r="L1822" t="str">
        <f>IF(Table4_2[[#This Row],[TDS Value (ppm)]]&lt;560, "Low", IF(Table4_2[[#This Row],[TDS Value (ppm)]]&lt;=800,"Optimal","High"))</f>
        <v>Low</v>
      </c>
    </row>
    <row r="1823" spans="1:12" x14ac:dyDescent="0.25">
      <c r="A1823">
        <v>10</v>
      </c>
      <c r="B1823" s="1">
        <v>45142</v>
      </c>
      <c r="C1823" s="1" t="str">
        <f>TEXT(Table4_2[[#This Row],[Date]],"dddd")</f>
        <v>Friday</v>
      </c>
      <c r="D1823" s="21">
        <v>33.5</v>
      </c>
      <c r="E1823" s="21">
        <v>58</v>
      </c>
      <c r="F1823" s="21">
        <v>414</v>
      </c>
      <c r="G1823" s="21">
        <v>6.5</v>
      </c>
      <c r="H1823">
        <v>2</v>
      </c>
      <c r="I1823">
        <v>92.3</v>
      </c>
      <c r="J1823">
        <v>0.57999999999999996</v>
      </c>
      <c r="K1823" t="str" cm="1">
        <f t="array" ref="K1823">_xlfn.IFS(Table4_2[[#This Row],[Growth Days]]&lt;=14,"Seedling",Table4_2[[#This Row],[Growth Days]]&lt;=35, "Vegetative",Table4_2[[#This Row],[Growth Days]]&lt;=50, "Maturity")</f>
        <v>Seedling</v>
      </c>
      <c r="L1823" t="str">
        <f>IF(Table4_2[[#This Row],[TDS Value (ppm)]]&lt;560, "Low", IF(Table4_2[[#This Row],[TDS Value (ppm)]]&lt;=800,"Optimal","High"))</f>
        <v>Low</v>
      </c>
    </row>
    <row r="1824" spans="1:12" x14ac:dyDescent="0.25">
      <c r="A1824">
        <v>10</v>
      </c>
      <c r="B1824" s="1">
        <v>45149</v>
      </c>
      <c r="C1824" s="1" t="str">
        <f>TEXT(Table4_2[[#This Row],[Date]],"dddd")</f>
        <v>Friday</v>
      </c>
      <c r="D1824" s="21">
        <v>31.9</v>
      </c>
      <c r="E1824" s="21">
        <v>67</v>
      </c>
      <c r="F1824" s="21">
        <v>512</v>
      </c>
      <c r="G1824" s="21">
        <v>6.4</v>
      </c>
      <c r="H1824">
        <v>9</v>
      </c>
      <c r="I1824">
        <v>89.42</v>
      </c>
      <c r="J1824">
        <v>0.67</v>
      </c>
      <c r="K1824" t="str" cm="1">
        <f t="array" ref="K1824">_xlfn.IFS(Table4_2[[#This Row],[Growth Days]]&lt;=14,"Seedling",Table4_2[[#This Row],[Growth Days]]&lt;=35, "Vegetative",Table4_2[[#This Row],[Growth Days]]&lt;=50, "Maturity")</f>
        <v>Seedling</v>
      </c>
      <c r="L1824" t="str">
        <f>IF(Table4_2[[#This Row],[TDS Value (ppm)]]&lt;560, "Low", IF(Table4_2[[#This Row],[TDS Value (ppm)]]&lt;=800,"Optimal","High"))</f>
        <v>Low</v>
      </c>
    </row>
    <row r="1825" spans="1:12" x14ac:dyDescent="0.25">
      <c r="A1825">
        <v>10</v>
      </c>
      <c r="B1825" s="1">
        <v>45156</v>
      </c>
      <c r="C1825" s="1" t="str">
        <f>TEXT(Table4_2[[#This Row],[Date]],"dddd")</f>
        <v>Friday</v>
      </c>
      <c r="D1825" s="21">
        <v>30.9</v>
      </c>
      <c r="E1825" s="21">
        <v>73</v>
      </c>
      <c r="F1825" s="21">
        <v>579</v>
      </c>
      <c r="G1825" s="21">
        <v>6.1</v>
      </c>
      <c r="H1825">
        <v>16</v>
      </c>
      <c r="I1825">
        <v>87.62</v>
      </c>
      <c r="J1825">
        <v>0.73</v>
      </c>
      <c r="K1825" t="str" cm="1">
        <f t="array" ref="K1825">_xlfn.IFS(Table4_2[[#This Row],[Growth Days]]&lt;=14,"Seedling",Table4_2[[#This Row],[Growth Days]]&lt;=35, "Vegetative",Table4_2[[#This Row],[Growth Days]]&lt;=50, "Maturity")</f>
        <v>Vegetative</v>
      </c>
      <c r="L1825" t="str">
        <f>IF(Table4_2[[#This Row],[TDS Value (ppm)]]&lt;560, "Low", IF(Table4_2[[#This Row],[TDS Value (ppm)]]&lt;=800,"Optimal","High"))</f>
        <v>Optimal</v>
      </c>
    </row>
    <row r="1826" spans="1:12" x14ac:dyDescent="0.25">
      <c r="A1826">
        <v>10</v>
      </c>
      <c r="B1826" s="1">
        <v>45163</v>
      </c>
      <c r="C1826" s="1" t="str">
        <f>TEXT(Table4_2[[#This Row],[Date]],"dddd")</f>
        <v>Friday</v>
      </c>
      <c r="D1826" s="21">
        <v>31.4</v>
      </c>
      <c r="E1826" s="21">
        <v>79</v>
      </c>
      <c r="F1826" s="21">
        <v>725</v>
      </c>
      <c r="G1826" s="21">
        <v>6.2</v>
      </c>
      <c r="H1826">
        <v>23</v>
      </c>
      <c r="I1826">
        <v>88.52</v>
      </c>
      <c r="J1826">
        <v>0.79</v>
      </c>
      <c r="K1826" t="str" cm="1">
        <f t="array" ref="K1826">_xlfn.IFS(Table4_2[[#This Row],[Growth Days]]&lt;=14,"Seedling",Table4_2[[#This Row],[Growth Days]]&lt;=35, "Vegetative",Table4_2[[#This Row],[Growth Days]]&lt;=50, "Maturity")</f>
        <v>Vegetative</v>
      </c>
      <c r="L1826" t="str">
        <f>IF(Table4_2[[#This Row],[TDS Value (ppm)]]&lt;560, "Low", IF(Table4_2[[#This Row],[TDS Value (ppm)]]&lt;=800,"Optimal","High"))</f>
        <v>Optimal</v>
      </c>
    </row>
    <row r="1827" spans="1:12" x14ac:dyDescent="0.25">
      <c r="A1827">
        <v>10</v>
      </c>
      <c r="B1827" s="1">
        <v>45170</v>
      </c>
      <c r="C1827" s="1" t="str">
        <f>TEXT(Table4_2[[#This Row],[Date]],"dddd")</f>
        <v>Friday</v>
      </c>
      <c r="D1827" s="21">
        <v>31.7</v>
      </c>
      <c r="E1827" s="21">
        <v>59</v>
      </c>
      <c r="F1827" s="21">
        <v>616</v>
      </c>
      <c r="G1827" s="21">
        <v>6.1</v>
      </c>
      <c r="H1827">
        <v>30</v>
      </c>
      <c r="I1827">
        <v>89.06</v>
      </c>
      <c r="J1827">
        <v>0.59</v>
      </c>
      <c r="K1827" t="str" cm="1">
        <f t="array" ref="K1827">_xlfn.IFS(Table4_2[[#This Row],[Growth Days]]&lt;=14,"Seedling",Table4_2[[#This Row],[Growth Days]]&lt;=35, "Vegetative",Table4_2[[#This Row],[Growth Days]]&lt;=50, "Maturity")</f>
        <v>Vegetative</v>
      </c>
      <c r="L1827" t="str">
        <f>IF(Table4_2[[#This Row],[TDS Value (ppm)]]&lt;560, "Low", IF(Table4_2[[#This Row],[TDS Value (ppm)]]&lt;=800,"Optimal","High"))</f>
        <v>Optimal</v>
      </c>
    </row>
    <row r="1828" spans="1:12" x14ac:dyDescent="0.25">
      <c r="A1828">
        <v>10</v>
      </c>
      <c r="B1828" s="1">
        <v>45177</v>
      </c>
      <c r="C1828" s="1" t="str">
        <f>TEXT(Table4_2[[#This Row],[Date]],"dddd")</f>
        <v>Friday</v>
      </c>
      <c r="D1828" s="21">
        <v>29.8</v>
      </c>
      <c r="E1828" s="21">
        <v>57</v>
      </c>
      <c r="F1828" s="21">
        <v>440</v>
      </c>
      <c r="G1828" s="21">
        <v>6.6</v>
      </c>
      <c r="H1828">
        <v>37</v>
      </c>
      <c r="I1828">
        <v>85.64</v>
      </c>
      <c r="J1828">
        <v>0.56999999999999995</v>
      </c>
      <c r="K1828" t="str" cm="1">
        <f t="array" ref="K1828">_xlfn.IFS(Table4_2[[#This Row],[Growth Days]]&lt;=14,"Seedling",Table4_2[[#This Row],[Growth Days]]&lt;=35, "Vegetative",Table4_2[[#This Row],[Growth Days]]&lt;=50, "Maturity")</f>
        <v>Maturity</v>
      </c>
      <c r="L1828" t="str">
        <f>IF(Table4_2[[#This Row],[TDS Value (ppm)]]&lt;560, "Low", IF(Table4_2[[#This Row],[TDS Value (ppm)]]&lt;=800,"Optimal","High"))</f>
        <v>Low</v>
      </c>
    </row>
    <row r="1829" spans="1:12" x14ac:dyDescent="0.25">
      <c r="A1829">
        <v>10</v>
      </c>
      <c r="B1829" s="1">
        <v>45184</v>
      </c>
      <c r="C1829" s="1" t="str">
        <f>TEXT(Table4_2[[#This Row],[Date]],"dddd")</f>
        <v>Friday</v>
      </c>
      <c r="D1829" s="21">
        <v>30.6</v>
      </c>
      <c r="E1829" s="21">
        <v>78</v>
      </c>
      <c r="F1829" s="21">
        <v>578</v>
      </c>
      <c r="G1829" s="21">
        <v>6.3</v>
      </c>
      <c r="H1829">
        <v>44</v>
      </c>
      <c r="I1829">
        <v>87.08</v>
      </c>
      <c r="J1829">
        <v>0.78</v>
      </c>
      <c r="K1829" t="str" cm="1">
        <f t="array" ref="K1829">_xlfn.IFS(Table4_2[[#This Row],[Growth Days]]&lt;=14,"Seedling",Table4_2[[#This Row],[Growth Days]]&lt;=35, "Vegetative",Table4_2[[#This Row],[Growth Days]]&lt;=50, "Maturity")</f>
        <v>Maturity</v>
      </c>
      <c r="L1829" t="str">
        <f>IF(Table4_2[[#This Row],[TDS Value (ppm)]]&lt;560, "Low", IF(Table4_2[[#This Row],[TDS Value (ppm)]]&lt;=800,"Optimal","High"))</f>
        <v>Optimal</v>
      </c>
    </row>
    <row r="1830" spans="1:12" x14ac:dyDescent="0.25">
      <c r="A1830">
        <v>11</v>
      </c>
      <c r="B1830" s="1">
        <v>45142</v>
      </c>
      <c r="C1830" s="1" t="str">
        <f>TEXT(Table4_2[[#This Row],[Date]],"dddd")</f>
        <v>Friday</v>
      </c>
      <c r="D1830" s="21">
        <v>33.5</v>
      </c>
      <c r="E1830" s="21">
        <v>63</v>
      </c>
      <c r="F1830" s="21">
        <v>706</v>
      </c>
      <c r="G1830" s="21">
        <v>6.6</v>
      </c>
      <c r="H1830">
        <v>2</v>
      </c>
      <c r="I1830">
        <v>92.3</v>
      </c>
      <c r="J1830">
        <v>0.63</v>
      </c>
      <c r="K1830" t="str" cm="1">
        <f t="array" ref="K1830">_xlfn.IFS(Table4_2[[#This Row],[Growth Days]]&lt;=14,"Seedling",Table4_2[[#This Row],[Growth Days]]&lt;=35, "Vegetative",Table4_2[[#This Row],[Growth Days]]&lt;=50, "Maturity")</f>
        <v>Seedling</v>
      </c>
      <c r="L1830" t="str">
        <f>IF(Table4_2[[#This Row],[TDS Value (ppm)]]&lt;560, "Low", IF(Table4_2[[#This Row],[TDS Value (ppm)]]&lt;=800,"Optimal","High"))</f>
        <v>Optimal</v>
      </c>
    </row>
    <row r="1831" spans="1:12" x14ac:dyDescent="0.25">
      <c r="A1831">
        <v>11</v>
      </c>
      <c r="B1831" s="1">
        <v>45149</v>
      </c>
      <c r="C1831" s="1" t="str">
        <f>TEXT(Table4_2[[#This Row],[Date]],"dddd")</f>
        <v>Friday</v>
      </c>
      <c r="D1831" s="21">
        <v>31.9</v>
      </c>
      <c r="E1831" s="21">
        <v>58</v>
      </c>
      <c r="F1831" s="21">
        <v>514</v>
      </c>
      <c r="G1831" s="21">
        <v>6.2</v>
      </c>
      <c r="H1831">
        <v>9</v>
      </c>
      <c r="I1831">
        <v>89.42</v>
      </c>
      <c r="J1831">
        <v>0.57999999999999996</v>
      </c>
      <c r="K1831" t="str" cm="1">
        <f t="array" ref="K1831">_xlfn.IFS(Table4_2[[#This Row],[Growth Days]]&lt;=14,"Seedling",Table4_2[[#This Row],[Growth Days]]&lt;=35, "Vegetative",Table4_2[[#This Row],[Growth Days]]&lt;=50, "Maturity")</f>
        <v>Seedling</v>
      </c>
      <c r="L1831" t="str">
        <f>IF(Table4_2[[#This Row],[TDS Value (ppm)]]&lt;560, "Low", IF(Table4_2[[#This Row],[TDS Value (ppm)]]&lt;=800,"Optimal","High"))</f>
        <v>Low</v>
      </c>
    </row>
    <row r="1832" spans="1:12" x14ac:dyDescent="0.25">
      <c r="A1832">
        <v>11</v>
      </c>
      <c r="B1832" s="1">
        <v>45156</v>
      </c>
      <c r="C1832" s="1" t="str">
        <f>TEXT(Table4_2[[#This Row],[Date]],"dddd")</f>
        <v>Friday</v>
      </c>
      <c r="D1832" s="21">
        <v>30.9</v>
      </c>
      <c r="E1832" s="21">
        <v>80</v>
      </c>
      <c r="F1832" s="21">
        <v>704</v>
      </c>
      <c r="G1832" s="21">
        <v>6.6</v>
      </c>
      <c r="H1832">
        <v>16</v>
      </c>
      <c r="I1832">
        <v>87.62</v>
      </c>
      <c r="J1832">
        <v>0.8</v>
      </c>
      <c r="K1832" t="str" cm="1">
        <f t="array" ref="K1832">_xlfn.IFS(Table4_2[[#This Row],[Growth Days]]&lt;=14,"Seedling",Table4_2[[#This Row],[Growth Days]]&lt;=35, "Vegetative",Table4_2[[#This Row],[Growth Days]]&lt;=50, "Maturity")</f>
        <v>Vegetative</v>
      </c>
      <c r="L1832" t="str">
        <f>IF(Table4_2[[#This Row],[TDS Value (ppm)]]&lt;560, "Low", IF(Table4_2[[#This Row],[TDS Value (ppm)]]&lt;=800,"Optimal","High"))</f>
        <v>Optimal</v>
      </c>
    </row>
    <row r="1833" spans="1:12" x14ac:dyDescent="0.25">
      <c r="A1833">
        <v>11</v>
      </c>
      <c r="B1833" s="1">
        <v>45163</v>
      </c>
      <c r="C1833" s="1" t="str">
        <f>TEXT(Table4_2[[#This Row],[Date]],"dddd")</f>
        <v>Friday</v>
      </c>
      <c r="D1833" s="21">
        <v>31.4</v>
      </c>
      <c r="E1833" s="21">
        <v>75</v>
      </c>
      <c r="F1833" s="21">
        <v>539</v>
      </c>
      <c r="G1833" s="21">
        <v>6.5</v>
      </c>
      <c r="H1833">
        <v>23</v>
      </c>
      <c r="I1833">
        <v>88.52</v>
      </c>
      <c r="J1833">
        <v>0.75</v>
      </c>
      <c r="K1833" t="str" cm="1">
        <f t="array" ref="K1833">_xlfn.IFS(Table4_2[[#This Row],[Growth Days]]&lt;=14,"Seedling",Table4_2[[#This Row],[Growth Days]]&lt;=35, "Vegetative",Table4_2[[#This Row],[Growth Days]]&lt;=50, "Maturity")</f>
        <v>Vegetative</v>
      </c>
      <c r="L1833" t="str">
        <f>IF(Table4_2[[#This Row],[TDS Value (ppm)]]&lt;560, "Low", IF(Table4_2[[#This Row],[TDS Value (ppm)]]&lt;=800,"Optimal","High"))</f>
        <v>Low</v>
      </c>
    </row>
    <row r="1834" spans="1:12" x14ac:dyDescent="0.25">
      <c r="A1834">
        <v>11</v>
      </c>
      <c r="B1834" s="1">
        <v>45170</v>
      </c>
      <c r="C1834" s="1" t="str">
        <f>TEXT(Table4_2[[#This Row],[Date]],"dddd")</f>
        <v>Friday</v>
      </c>
      <c r="D1834" s="21">
        <v>31.7</v>
      </c>
      <c r="E1834" s="21">
        <v>55</v>
      </c>
      <c r="F1834" s="21">
        <v>765</v>
      </c>
      <c r="G1834" s="21">
        <v>6.5</v>
      </c>
      <c r="H1834">
        <v>30</v>
      </c>
      <c r="I1834">
        <v>89.06</v>
      </c>
      <c r="J1834">
        <v>0.55000000000000004</v>
      </c>
      <c r="K1834" t="str" cm="1">
        <f t="array" ref="K1834">_xlfn.IFS(Table4_2[[#This Row],[Growth Days]]&lt;=14,"Seedling",Table4_2[[#This Row],[Growth Days]]&lt;=35, "Vegetative",Table4_2[[#This Row],[Growth Days]]&lt;=50, "Maturity")</f>
        <v>Vegetative</v>
      </c>
      <c r="L1834" t="str">
        <f>IF(Table4_2[[#This Row],[TDS Value (ppm)]]&lt;560, "Low", IF(Table4_2[[#This Row],[TDS Value (ppm)]]&lt;=800,"Optimal","High"))</f>
        <v>Optimal</v>
      </c>
    </row>
    <row r="1835" spans="1:12" x14ac:dyDescent="0.25">
      <c r="A1835">
        <v>11</v>
      </c>
      <c r="B1835" s="1">
        <v>45177</v>
      </c>
      <c r="C1835" s="1" t="str">
        <f>TEXT(Table4_2[[#This Row],[Date]],"dddd")</f>
        <v>Friday</v>
      </c>
      <c r="D1835" s="21">
        <v>29.8</v>
      </c>
      <c r="E1835" s="21">
        <v>57</v>
      </c>
      <c r="F1835" s="21">
        <v>476</v>
      </c>
      <c r="G1835" s="21">
        <v>6.3</v>
      </c>
      <c r="H1835">
        <v>37</v>
      </c>
      <c r="I1835">
        <v>85.64</v>
      </c>
      <c r="J1835">
        <v>0.56999999999999995</v>
      </c>
      <c r="K1835" t="str" cm="1">
        <f t="array" ref="K1835">_xlfn.IFS(Table4_2[[#This Row],[Growth Days]]&lt;=14,"Seedling",Table4_2[[#This Row],[Growth Days]]&lt;=35, "Vegetative",Table4_2[[#This Row],[Growth Days]]&lt;=50, "Maturity")</f>
        <v>Maturity</v>
      </c>
      <c r="L1835" t="str">
        <f>IF(Table4_2[[#This Row],[TDS Value (ppm)]]&lt;560, "Low", IF(Table4_2[[#This Row],[TDS Value (ppm)]]&lt;=800,"Optimal","High"))</f>
        <v>Low</v>
      </c>
    </row>
    <row r="1836" spans="1:12" x14ac:dyDescent="0.25">
      <c r="A1836">
        <v>11</v>
      </c>
      <c r="B1836" s="1">
        <v>45184</v>
      </c>
      <c r="C1836" s="1" t="str">
        <f>TEXT(Table4_2[[#This Row],[Date]],"dddd")</f>
        <v>Friday</v>
      </c>
      <c r="D1836" s="21">
        <v>30.6</v>
      </c>
      <c r="E1836" s="21">
        <v>63</v>
      </c>
      <c r="F1836" s="21">
        <v>692</v>
      </c>
      <c r="G1836" s="21">
        <v>6.1</v>
      </c>
      <c r="H1836">
        <v>44</v>
      </c>
      <c r="I1836">
        <v>87.08</v>
      </c>
      <c r="J1836">
        <v>0.63</v>
      </c>
      <c r="K1836" t="str" cm="1">
        <f t="array" ref="K1836">_xlfn.IFS(Table4_2[[#This Row],[Growth Days]]&lt;=14,"Seedling",Table4_2[[#This Row],[Growth Days]]&lt;=35, "Vegetative",Table4_2[[#This Row],[Growth Days]]&lt;=50, "Maturity")</f>
        <v>Maturity</v>
      </c>
      <c r="L1836" t="str">
        <f>IF(Table4_2[[#This Row],[TDS Value (ppm)]]&lt;560, "Low", IF(Table4_2[[#This Row],[TDS Value (ppm)]]&lt;=800,"Optimal","High"))</f>
        <v>Optimal</v>
      </c>
    </row>
    <row r="1837" spans="1:12" x14ac:dyDescent="0.25">
      <c r="A1837">
        <v>12</v>
      </c>
      <c r="B1837" s="1">
        <v>45142</v>
      </c>
      <c r="C1837" s="1" t="str">
        <f>TEXT(Table4_2[[#This Row],[Date]],"dddd")</f>
        <v>Friday</v>
      </c>
      <c r="D1837" s="21">
        <v>33.5</v>
      </c>
      <c r="E1837" s="21">
        <v>58</v>
      </c>
      <c r="F1837" s="21">
        <v>442</v>
      </c>
      <c r="G1837" s="21">
        <v>6.7</v>
      </c>
      <c r="H1837">
        <v>2</v>
      </c>
      <c r="I1837">
        <v>92.3</v>
      </c>
      <c r="J1837">
        <v>0.57999999999999996</v>
      </c>
      <c r="K1837" t="str" cm="1">
        <f t="array" ref="K1837">_xlfn.IFS(Table4_2[[#This Row],[Growth Days]]&lt;=14,"Seedling",Table4_2[[#This Row],[Growth Days]]&lt;=35, "Vegetative",Table4_2[[#This Row],[Growth Days]]&lt;=50, "Maturity")</f>
        <v>Seedling</v>
      </c>
      <c r="L1837" t="str">
        <f>IF(Table4_2[[#This Row],[TDS Value (ppm)]]&lt;560, "Low", IF(Table4_2[[#This Row],[TDS Value (ppm)]]&lt;=800,"Optimal","High"))</f>
        <v>Low</v>
      </c>
    </row>
    <row r="1838" spans="1:12" x14ac:dyDescent="0.25">
      <c r="A1838">
        <v>12</v>
      </c>
      <c r="B1838" s="1">
        <v>45149</v>
      </c>
      <c r="C1838" s="1" t="str">
        <f>TEXT(Table4_2[[#This Row],[Date]],"dddd")</f>
        <v>Friday</v>
      </c>
      <c r="D1838" s="21">
        <v>31.9</v>
      </c>
      <c r="E1838" s="21">
        <v>55</v>
      </c>
      <c r="F1838" s="21">
        <v>602</v>
      </c>
      <c r="G1838" s="21">
        <v>6.2</v>
      </c>
      <c r="H1838">
        <v>9</v>
      </c>
      <c r="I1838">
        <v>89.42</v>
      </c>
      <c r="J1838">
        <v>0.55000000000000004</v>
      </c>
      <c r="K1838" t="str" cm="1">
        <f t="array" ref="K1838">_xlfn.IFS(Table4_2[[#This Row],[Growth Days]]&lt;=14,"Seedling",Table4_2[[#This Row],[Growth Days]]&lt;=35, "Vegetative",Table4_2[[#This Row],[Growth Days]]&lt;=50, "Maturity")</f>
        <v>Seedling</v>
      </c>
      <c r="L1838" t="str">
        <f>IF(Table4_2[[#This Row],[TDS Value (ppm)]]&lt;560, "Low", IF(Table4_2[[#This Row],[TDS Value (ppm)]]&lt;=800,"Optimal","High"))</f>
        <v>Optimal</v>
      </c>
    </row>
    <row r="1839" spans="1:12" x14ac:dyDescent="0.25">
      <c r="A1839">
        <v>12</v>
      </c>
      <c r="B1839" s="1">
        <v>45156</v>
      </c>
      <c r="C1839" s="1" t="str">
        <f>TEXT(Table4_2[[#This Row],[Date]],"dddd")</f>
        <v>Friday</v>
      </c>
      <c r="D1839" s="21">
        <v>30.9</v>
      </c>
      <c r="E1839" s="21">
        <v>59</v>
      </c>
      <c r="F1839" s="21">
        <v>585</v>
      </c>
      <c r="G1839" s="21">
        <v>6.6</v>
      </c>
      <c r="H1839">
        <v>16</v>
      </c>
      <c r="I1839">
        <v>87.62</v>
      </c>
      <c r="J1839">
        <v>0.59</v>
      </c>
      <c r="K1839" t="str" cm="1">
        <f t="array" ref="K1839">_xlfn.IFS(Table4_2[[#This Row],[Growth Days]]&lt;=14,"Seedling",Table4_2[[#This Row],[Growth Days]]&lt;=35, "Vegetative",Table4_2[[#This Row],[Growth Days]]&lt;=50, "Maturity")</f>
        <v>Vegetative</v>
      </c>
      <c r="L1839" t="str">
        <f>IF(Table4_2[[#This Row],[TDS Value (ppm)]]&lt;560, "Low", IF(Table4_2[[#This Row],[TDS Value (ppm)]]&lt;=800,"Optimal","High"))</f>
        <v>Optimal</v>
      </c>
    </row>
    <row r="1840" spans="1:12" x14ac:dyDescent="0.25">
      <c r="A1840">
        <v>12</v>
      </c>
      <c r="B1840" s="1">
        <v>45163</v>
      </c>
      <c r="C1840" s="1" t="str">
        <f>TEXT(Table4_2[[#This Row],[Date]],"dddd")</f>
        <v>Friday</v>
      </c>
      <c r="D1840" s="21">
        <v>31.4</v>
      </c>
      <c r="E1840" s="21">
        <v>73</v>
      </c>
      <c r="F1840" s="21">
        <v>501</v>
      </c>
      <c r="G1840" s="21">
        <v>6.2</v>
      </c>
      <c r="H1840">
        <v>23</v>
      </c>
      <c r="I1840">
        <v>88.52</v>
      </c>
      <c r="J1840">
        <v>0.73</v>
      </c>
      <c r="K1840" t="str" cm="1">
        <f t="array" ref="K1840">_xlfn.IFS(Table4_2[[#This Row],[Growth Days]]&lt;=14,"Seedling",Table4_2[[#This Row],[Growth Days]]&lt;=35, "Vegetative",Table4_2[[#This Row],[Growth Days]]&lt;=50, "Maturity")</f>
        <v>Vegetative</v>
      </c>
      <c r="L1840" t="str">
        <f>IF(Table4_2[[#This Row],[TDS Value (ppm)]]&lt;560, "Low", IF(Table4_2[[#This Row],[TDS Value (ppm)]]&lt;=800,"Optimal","High"))</f>
        <v>Low</v>
      </c>
    </row>
    <row r="1841" spans="1:12" x14ac:dyDescent="0.25">
      <c r="A1841">
        <v>12</v>
      </c>
      <c r="B1841" s="1">
        <v>45170</v>
      </c>
      <c r="C1841" s="1" t="str">
        <f>TEXT(Table4_2[[#This Row],[Date]],"dddd")</f>
        <v>Friday</v>
      </c>
      <c r="D1841" s="21">
        <v>31.7</v>
      </c>
      <c r="E1841" s="21">
        <v>75</v>
      </c>
      <c r="F1841" s="21">
        <v>467</v>
      </c>
      <c r="G1841" s="21">
        <v>6.4</v>
      </c>
      <c r="H1841">
        <v>30</v>
      </c>
      <c r="I1841">
        <v>89.06</v>
      </c>
      <c r="J1841">
        <v>0.75</v>
      </c>
      <c r="K1841" t="str" cm="1">
        <f t="array" ref="K1841">_xlfn.IFS(Table4_2[[#This Row],[Growth Days]]&lt;=14,"Seedling",Table4_2[[#This Row],[Growth Days]]&lt;=35, "Vegetative",Table4_2[[#This Row],[Growth Days]]&lt;=50, "Maturity")</f>
        <v>Vegetative</v>
      </c>
      <c r="L1841" t="str">
        <f>IF(Table4_2[[#This Row],[TDS Value (ppm)]]&lt;560, "Low", IF(Table4_2[[#This Row],[TDS Value (ppm)]]&lt;=800,"Optimal","High"))</f>
        <v>Low</v>
      </c>
    </row>
    <row r="1842" spans="1:12" x14ac:dyDescent="0.25">
      <c r="A1842">
        <v>12</v>
      </c>
      <c r="B1842" s="1">
        <v>45177</v>
      </c>
      <c r="C1842" s="1" t="str">
        <f>TEXT(Table4_2[[#This Row],[Date]],"dddd")</f>
        <v>Friday</v>
      </c>
      <c r="D1842" s="21">
        <v>29.8</v>
      </c>
      <c r="E1842" s="21">
        <v>58</v>
      </c>
      <c r="F1842" s="21">
        <v>612</v>
      </c>
      <c r="G1842" s="21">
        <v>6.8</v>
      </c>
      <c r="H1842">
        <v>37</v>
      </c>
      <c r="I1842">
        <v>85.64</v>
      </c>
      <c r="J1842">
        <v>0.57999999999999996</v>
      </c>
      <c r="K1842" t="str" cm="1">
        <f t="array" ref="K1842">_xlfn.IFS(Table4_2[[#This Row],[Growth Days]]&lt;=14,"Seedling",Table4_2[[#This Row],[Growth Days]]&lt;=35, "Vegetative",Table4_2[[#This Row],[Growth Days]]&lt;=50, "Maturity")</f>
        <v>Maturity</v>
      </c>
      <c r="L1842" t="str">
        <f>IF(Table4_2[[#This Row],[TDS Value (ppm)]]&lt;560, "Low", IF(Table4_2[[#This Row],[TDS Value (ppm)]]&lt;=800,"Optimal","High"))</f>
        <v>Optimal</v>
      </c>
    </row>
    <row r="1843" spans="1:12" x14ac:dyDescent="0.25">
      <c r="A1843">
        <v>12</v>
      </c>
      <c r="B1843" s="1">
        <v>45184</v>
      </c>
      <c r="C1843" s="1" t="str">
        <f>TEXT(Table4_2[[#This Row],[Date]],"dddd")</f>
        <v>Friday</v>
      </c>
      <c r="D1843" s="21">
        <v>30.6</v>
      </c>
      <c r="E1843" s="21">
        <v>71</v>
      </c>
      <c r="F1843" s="21">
        <v>538</v>
      </c>
      <c r="G1843" s="21">
        <v>6.4</v>
      </c>
      <c r="H1843">
        <v>44</v>
      </c>
      <c r="I1843">
        <v>87.08</v>
      </c>
      <c r="J1843">
        <v>0.71</v>
      </c>
      <c r="K1843" t="str" cm="1">
        <f t="array" ref="K1843">_xlfn.IFS(Table4_2[[#This Row],[Growth Days]]&lt;=14,"Seedling",Table4_2[[#This Row],[Growth Days]]&lt;=35, "Vegetative",Table4_2[[#This Row],[Growth Days]]&lt;=50, "Maturity")</f>
        <v>Maturity</v>
      </c>
      <c r="L1843" t="str">
        <f>IF(Table4_2[[#This Row],[TDS Value (ppm)]]&lt;560, "Low", IF(Table4_2[[#This Row],[TDS Value (ppm)]]&lt;=800,"Optimal","High"))</f>
        <v>Low</v>
      </c>
    </row>
    <row r="1844" spans="1:12" x14ac:dyDescent="0.25">
      <c r="A1844">
        <v>13</v>
      </c>
      <c r="B1844" s="1">
        <v>45142</v>
      </c>
      <c r="C1844" s="1" t="str">
        <f>TEXT(Table4_2[[#This Row],[Date]],"dddd")</f>
        <v>Friday</v>
      </c>
      <c r="D1844" s="21">
        <v>33.5</v>
      </c>
      <c r="E1844" s="21">
        <v>52</v>
      </c>
      <c r="F1844" s="21">
        <v>452</v>
      </c>
      <c r="G1844" s="21">
        <v>6.2</v>
      </c>
      <c r="H1844">
        <v>2</v>
      </c>
      <c r="I1844">
        <v>92.3</v>
      </c>
      <c r="J1844">
        <v>0.52</v>
      </c>
      <c r="K1844" t="str" cm="1">
        <f t="array" ref="K1844">_xlfn.IFS(Table4_2[[#This Row],[Growth Days]]&lt;=14,"Seedling",Table4_2[[#This Row],[Growth Days]]&lt;=35, "Vegetative",Table4_2[[#This Row],[Growth Days]]&lt;=50, "Maturity")</f>
        <v>Seedling</v>
      </c>
      <c r="L1844" t="str">
        <f>IF(Table4_2[[#This Row],[TDS Value (ppm)]]&lt;560, "Low", IF(Table4_2[[#This Row],[TDS Value (ppm)]]&lt;=800,"Optimal","High"))</f>
        <v>Low</v>
      </c>
    </row>
    <row r="1845" spans="1:12" x14ac:dyDescent="0.25">
      <c r="A1845">
        <v>13</v>
      </c>
      <c r="B1845" s="1">
        <v>45149</v>
      </c>
      <c r="C1845" s="1" t="str">
        <f>TEXT(Table4_2[[#This Row],[Date]],"dddd")</f>
        <v>Friday</v>
      </c>
      <c r="D1845" s="21">
        <v>31.9</v>
      </c>
      <c r="E1845" s="21">
        <v>73</v>
      </c>
      <c r="F1845" s="21">
        <v>415</v>
      </c>
      <c r="G1845" s="21">
        <v>6.3</v>
      </c>
      <c r="H1845">
        <v>9</v>
      </c>
      <c r="I1845">
        <v>89.42</v>
      </c>
      <c r="J1845">
        <v>0.73</v>
      </c>
      <c r="K1845" t="str" cm="1">
        <f t="array" ref="K1845">_xlfn.IFS(Table4_2[[#This Row],[Growth Days]]&lt;=14,"Seedling",Table4_2[[#This Row],[Growth Days]]&lt;=35, "Vegetative",Table4_2[[#This Row],[Growth Days]]&lt;=50, "Maturity")</f>
        <v>Seedling</v>
      </c>
      <c r="L1845" t="str">
        <f>IF(Table4_2[[#This Row],[TDS Value (ppm)]]&lt;560, "Low", IF(Table4_2[[#This Row],[TDS Value (ppm)]]&lt;=800,"Optimal","High"))</f>
        <v>Low</v>
      </c>
    </row>
    <row r="1846" spans="1:12" x14ac:dyDescent="0.25">
      <c r="A1846">
        <v>13</v>
      </c>
      <c r="B1846" s="1">
        <v>45156</v>
      </c>
      <c r="C1846" s="1" t="str">
        <f>TEXT(Table4_2[[#This Row],[Date]],"dddd")</f>
        <v>Friday</v>
      </c>
      <c r="D1846" s="21">
        <v>30.9</v>
      </c>
      <c r="E1846" s="21">
        <v>51</v>
      </c>
      <c r="F1846" s="21">
        <v>692</v>
      </c>
      <c r="G1846" s="21">
        <v>6.7</v>
      </c>
      <c r="H1846">
        <v>16</v>
      </c>
      <c r="I1846">
        <v>87.62</v>
      </c>
      <c r="J1846">
        <v>0.51</v>
      </c>
      <c r="K1846" t="str" cm="1">
        <f t="array" ref="K1846">_xlfn.IFS(Table4_2[[#This Row],[Growth Days]]&lt;=14,"Seedling",Table4_2[[#This Row],[Growth Days]]&lt;=35, "Vegetative",Table4_2[[#This Row],[Growth Days]]&lt;=50, "Maturity")</f>
        <v>Vegetative</v>
      </c>
      <c r="L1846" t="str">
        <f>IF(Table4_2[[#This Row],[TDS Value (ppm)]]&lt;560, "Low", IF(Table4_2[[#This Row],[TDS Value (ppm)]]&lt;=800,"Optimal","High"))</f>
        <v>Optimal</v>
      </c>
    </row>
    <row r="1847" spans="1:12" x14ac:dyDescent="0.25">
      <c r="A1847">
        <v>13</v>
      </c>
      <c r="B1847" s="1">
        <v>45163</v>
      </c>
      <c r="C1847" s="1" t="str">
        <f>TEXT(Table4_2[[#This Row],[Date]],"dddd")</f>
        <v>Friday</v>
      </c>
      <c r="D1847" s="21">
        <v>31.4</v>
      </c>
      <c r="E1847" s="21">
        <v>52</v>
      </c>
      <c r="F1847" s="21">
        <v>486</v>
      </c>
      <c r="G1847" s="21">
        <v>6.7</v>
      </c>
      <c r="H1847">
        <v>23</v>
      </c>
      <c r="I1847">
        <v>88.52</v>
      </c>
      <c r="J1847">
        <v>0.52</v>
      </c>
      <c r="K1847" t="str" cm="1">
        <f t="array" ref="K1847">_xlfn.IFS(Table4_2[[#This Row],[Growth Days]]&lt;=14,"Seedling",Table4_2[[#This Row],[Growth Days]]&lt;=35, "Vegetative",Table4_2[[#This Row],[Growth Days]]&lt;=50, "Maturity")</f>
        <v>Vegetative</v>
      </c>
      <c r="L1847" t="str">
        <f>IF(Table4_2[[#This Row],[TDS Value (ppm)]]&lt;560, "Low", IF(Table4_2[[#This Row],[TDS Value (ppm)]]&lt;=800,"Optimal","High"))</f>
        <v>Low</v>
      </c>
    </row>
    <row r="1848" spans="1:12" x14ac:dyDescent="0.25">
      <c r="A1848">
        <v>13</v>
      </c>
      <c r="B1848" s="1">
        <v>45170</v>
      </c>
      <c r="C1848" s="1" t="str">
        <f>TEXT(Table4_2[[#This Row],[Date]],"dddd")</f>
        <v>Friday</v>
      </c>
      <c r="D1848" s="21">
        <v>31.7</v>
      </c>
      <c r="E1848" s="21">
        <v>77</v>
      </c>
      <c r="F1848" s="21">
        <v>425</v>
      </c>
      <c r="G1848" s="21">
        <v>6.8</v>
      </c>
      <c r="H1848">
        <v>30</v>
      </c>
      <c r="I1848">
        <v>89.06</v>
      </c>
      <c r="J1848">
        <v>0.77</v>
      </c>
      <c r="K1848" t="str" cm="1">
        <f t="array" ref="K1848">_xlfn.IFS(Table4_2[[#This Row],[Growth Days]]&lt;=14,"Seedling",Table4_2[[#This Row],[Growth Days]]&lt;=35, "Vegetative",Table4_2[[#This Row],[Growth Days]]&lt;=50, "Maturity")</f>
        <v>Vegetative</v>
      </c>
      <c r="L1848" t="str">
        <f>IF(Table4_2[[#This Row],[TDS Value (ppm)]]&lt;560, "Low", IF(Table4_2[[#This Row],[TDS Value (ppm)]]&lt;=800,"Optimal","High"))</f>
        <v>Low</v>
      </c>
    </row>
    <row r="1849" spans="1:12" x14ac:dyDescent="0.25">
      <c r="A1849">
        <v>13</v>
      </c>
      <c r="B1849" s="1">
        <v>45177</v>
      </c>
      <c r="C1849" s="1" t="str">
        <f>TEXT(Table4_2[[#This Row],[Date]],"dddd")</f>
        <v>Friday</v>
      </c>
      <c r="D1849" s="21">
        <v>29.8</v>
      </c>
      <c r="E1849" s="21">
        <v>62</v>
      </c>
      <c r="F1849" s="21">
        <v>423</v>
      </c>
      <c r="G1849" s="21">
        <v>6.8</v>
      </c>
      <c r="H1849">
        <v>37</v>
      </c>
      <c r="I1849">
        <v>85.64</v>
      </c>
      <c r="J1849">
        <v>0.62</v>
      </c>
      <c r="K1849" t="str" cm="1">
        <f t="array" ref="K1849">_xlfn.IFS(Table4_2[[#This Row],[Growth Days]]&lt;=14,"Seedling",Table4_2[[#This Row],[Growth Days]]&lt;=35, "Vegetative",Table4_2[[#This Row],[Growth Days]]&lt;=50, "Maturity")</f>
        <v>Maturity</v>
      </c>
      <c r="L1849" t="str">
        <f>IF(Table4_2[[#This Row],[TDS Value (ppm)]]&lt;560, "Low", IF(Table4_2[[#This Row],[TDS Value (ppm)]]&lt;=800,"Optimal","High"))</f>
        <v>Low</v>
      </c>
    </row>
    <row r="1850" spans="1:12" x14ac:dyDescent="0.25">
      <c r="A1850">
        <v>13</v>
      </c>
      <c r="B1850" s="1">
        <v>45184</v>
      </c>
      <c r="C1850" s="1" t="str">
        <f>TEXT(Table4_2[[#This Row],[Date]],"dddd")</f>
        <v>Friday</v>
      </c>
      <c r="D1850" s="21">
        <v>30.6</v>
      </c>
      <c r="E1850" s="21">
        <v>57</v>
      </c>
      <c r="F1850" s="21">
        <v>475</v>
      </c>
      <c r="G1850" s="21">
        <v>6.1</v>
      </c>
      <c r="H1850">
        <v>44</v>
      </c>
      <c r="I1850">
        <v>87.08</v>
      </c>
      <c r="J1850">
        <v>0.56999999999999995</v>
      </c>
      <c r="K1850" t="str" cm="1">
        <f t="array" ref="K1850">_xlfn.IFS(Table4_2[[#This Row],[Growth Days]]&lt;=14,"Seedling",Table4_2[[#This Row],[Growth Days]]&lt;=35, "Vegetative",Table4_2[[#This Row],[Growth Days]]&lt;=50, "Maturity")</f>
        <v>Maturity</v>
      </c>
      <c r="L1850" t="str">
        <f>IF(Table4_2[[#This Row],[TDS Value (ppm)]]&lt;560, "Low", IF(Table4_2[[#This Row],[TDS Value (ppm)]]&lt;=800,"Optimal","High"))</f>
        <v>Low</v>
      </c>
    </row>
    <row r="1851" spans="1:12" x14ac:dyDescent="0.25">
      <c r="A1851">
        <v>14</v>
      </c>
      <c r="B1851" s="1">
        <v>45142</v>
      </c>
      <c r="C1851" s="1" t="str">
        <f>TEXT(Table4_2[[#This Row],[Date]],"dddd")</f>
        <v>Friday</v>
      </c>
      <c r="D1851" s="21">
        <v>33.5</v>
      </c>
      <c r="E1851" s="21">
        <v>76</v>
      </c>
      <c r="F1851" s="21">
        <v>664</v>
      </c>
      <c r="G1851" s="21">
        <v>6</v>
      </c>
      <c r="H1851">
        <v>2</v>
      </c>
      <c r="I1851">
        <v>92.3</v>
      </c>
      <c r="J1851">
        <v>0.76</v>
      </c>
      <c r="K1851" t="str" cm="1">
        <f t="array" ref="K1851">_xlfn.IFS(Table4_2[[#This Row],[Growth Days]]&lt;=14,"Seedling",Table4_2[[#This Row],[Growth Days]]&lt;=35, "Vegetative",Table4_2[[#This Row],[Growth Days]]&lt;=50, "Maturity")</f>
        <v>Seedling</v>
      </c>
      <c r="L1851" t="str">
        <f>IF(Table4_2[[#This Row],[TDS Value (ppm)]]&lt;560, "Low", IF(Table4_2[[#This Row],[TDS Value (ppm)]]&lt;=800,"Optimal","High"))</f>
        <v>Optimal</v>
      </c>
    </row>
    <row r="1852" spans="1:12" x14ac:dyDescent="0.25">
      <c r="A1852">
        <v>14</v>
      </c>
      <c r="B1852" s="1">
        <v>45149</v>
      </c>
      <c r="C1852" s="1" t="str">
        <f>TEXT(Table4_2[[#This Row],[Date]],"dddd")</f>
        <v>Friday</v>
      </c>
      <c r="D1852" s="21">
        <v>31.9</v>
      </c>
      <c r="E1852" s="21">
        <v>76</v>
      </c>
      <c r="F1852" s="21">
        <v>630</v>
      </c>
      <c r="G1852" s="21">
        <v>6.7</v>
      </c>
      <c r="H1852">
        <v>9</v>
      </c>
      <c r="I1852">
        <v>89.42</v>
      </c>
      <c r="J1852">
        <v>0.76</v>
      </c>
      <c r="K1852" t="str" cm="1">
        <f t="array" ref="K1852">_xlfn.IFS(Table4_2[[#This Row],[Growth Days]]&lt;=14,"Seedling",Table4_2[[#This Row],[Growth Days]]&lt;=35, "Vegetative",Table4_2[[#This Row],[Growth Days]]&lt;=50, "Maturity")</f>
        <v>Seedling</v>
      </c>
      <c r="L1852" t="str">
        <f>IF(Table4_2[[#This Row],[TDS Value (ppm)]]&lt;560, "Low", IF(Table4_2[[#This Row],[TDS Value (ppm)]]&lt;=800,"Optimal","High"))</f>
        <v>Optimal</v>
      </c>
    </row>
    <row r="1853" spans="1:12" x14ac:dyDescent="0.25">
      <c r="A1853">
        <v>14</v>
      </c>
      <c r="B1853" s="1">
        <v>45156</v>
      </c>
      <c r="C1853" s="1" t="str">
        <f>TEXT(Table4_2[[#This Row],[Date]],"dddd")</f>
        <v>Friday</v>
      </c>
      <c r="D1853" s="21">
        <v>30.9</v>
      </c>
      <c r="E1853" s="21">
        <v>57</v>
      </c>
      <c r="F1853" s="21">
        <v>719</v>
      </c>
      <c r="G1853" s="21">
        <v>6.1</v>
      </c>
      <c r="H1853">
        <v>16</v>
      </c>
      <c r="I1853">
        <v>87.62</v>
      </c>
      <c r="J1853">
        <v>0.56999999999999995</v>
      </c>
      <c r="K1853" t="str" cm="1">
        <f t="array" ref="K1853">_xlfn.IFS(Table4_2[[#This Row],[Growth Days]]&lt;=14,"Seedling",Table4_2[[#This Row],[Growth Days]]&lt;=35, "Vegetative",Table4_2[[#This Row],[Growth Days]]&lt;=50, "Maturity")</f>
        <v>Vegetative</v>
      </c>
      <c r="L1853" t="str">
        <f>IF(Table4_2[[#This Row],[TDS Value (ppm)]]&lt;560, "Low", IF(Table4_2[[#This Row],[TDS Value (ppm)]]&lt;=800,"Optimal","High"))</f>
        <v>Optimal</v>
      </c>
    </row>
    <row r="1854" spans="1:12" x14ac:dyDescent="0.25">
      <c r="A1854">
        <v>14</v>
      </c>
      <c r="B1854" s="1">
        <v>45163</v>
      </c>
      <c r="C1854" s="1" t="str">
        <f>TEXT(Table4_2[[#This Row],[Date]],"dddd")</f>
        <v>Friday</v>
      </c>
      <c r="D1854" s="21">
        <v>31.4</v>
      </c>
      <c r="E1854" s="21">
        <v>65</v>
      </c>
      <c r="F1854" s="21">
        <v>645</v>
      </c>
      <c r="G1854" s="21">
        <v>6.3</v>
      </c>
      <c r="H1854">
        <v>23</v>
      </c>
      <c r="I1854">
        <v>88.52</v>
      </c>
      <c r="J1854">
        <v>0.65</v>
      </c>
      <c r="K1854" t="str" cm="1">
        <f t="array" ref="K1854">_xlfn.IFS(Table4_2[[#This Row],[Growth Days]]&lt;=14,"Seedling",Table4_2[[#This Row],[Growth Days]]&lt;=35, "Vegetative",Table4_2[[#This Row],[Growth Days]]&lt;=50, "Maturity")</f>
        <v>Vegetative</v>
      </c>
      <c r="L1854" t="str">
        <f>IF(Table4_2[[#This Row],[TDS Value (ppm)]]&lt;560, "Low", IF(Table4_2[[#This Row],[TDS Value (ppm)]]&lt;=800,"Optimal","High"))</f>
        <v>Optimal</v>
      </c>
    </row>
    <row r="1855" spans="1:12" x14ac:dyDescent="0.25">
      <c r="A1855">
        <v>14</v>
      </c>
      <c r="B1855" s="1">
        <v>45170</v>
      </c>
      <c r="C1855" s="1" t="str">
        <f>TEXT(Table4_2[[#This Row],[Date]],"dddd")</f>
        <v>Friday</v>
      </c>
      <c r="D1855" s="21">
        <v>31.7</v>
      </c>
      <c r="E1855" s="21">
        <v>54</v>
      </c>
      <c r="F1855" s="21">
        <v>448</v>
      </c>
      <c r="G1855" s="21">
        <v>6.5</v>
      </c>
      <c r="H1855">
        <v>30</v>
      </c>
      <c r="I1855">
        <v>89.06</v>
      </c>
      <c r="J1855">
        <v>0.54</v>
      </c>
      <c r="K1855" t="str" cm="1">
        <f t="array" ref="K1855">_xlfn.IFS(Table4_2[[#This Row],[Growth Days]]&lt;=14,"Seedling",Table4_2[[#This Row],[Growth Days]]&lt;=35, "Vegetative",Table4_2[[#This Row],[Growth Days]]&lt;=50, "Maturity")</f>
        <v>Vegetative</v>
      </c>
      <c r="L1855" t="str">
        <f>IF(Table4_2[[#This Row],[TDS Value (ppm)]]&lt;560, "Low", IF(Table4_2[[#This Row],[TDS Value (ppm)]]&lt;=800,"Optimal","High"))</f>
        <v>Low</v>
      </c>
    </row>
    <row r="1856" spans="1:12" x14ac:dyDescent="0.25">
      <c r="A1856">
        <v>14</v>
      </c>
      <c r="B1856" s="1">
        <v>45177</v>
      </c>
      <c r="C1856" s="1" t="str">
        <f>TEXT(Table4_2[[#This Row],[Date]],"dddd")</f>
        <v>Friday</v>
      </c>
      <c r="D1856" s="21">
        <v>29.8</v>
      </c>
      <c r="E1856" s="21">
        <v>56</v>
      </c>
      <c r="F1856" s="21">
        <v>550</v>
      </c>
      <c r="G1856" s="21">
        <v>6.4</v>
      </c>
      <c r="H1856">
        <v>37</v>
      </c>
      <c r="I1856">
        <v>85.64</v>
      </c>
      <c r="J1856">
        <v>0.56000000000000005</v>
      </c>
      <c r="K1856" t="str" cm="1">
        <f t="array" ref="K1856">_xlfn.IFS(Table4_2[[#This Row],[Growth Days]]&lt;=14,"Seedling",Table4_2[[#This Row],[Growth Days]]&lt;=35, "Vegetative",Table4_2[[#This Row],[Growth Days]]&lt;=50, "Maturity")</f>
        <v>Maturity</v>
      </c>
      <c r="L1856" t="str">
        <f>IF(Table4_2[[#This Row],[TDS Value (ppm)]]&lt;560, "Low", IF(Table4_2[[#This Row],[TDS Value (ppm)]]&lt;=800,"Optimal","High"))</f>
        <v>Low</v>
      </c>
    </row>
    <row r="1857" spans="1:12" x14ac:dyDescent="0.25">
      <c r="A1857">
        <v>14</v>
      </c>
      <c r="B1857" s="1">
        <v>45184</v>
      </c>
      <c r="C1857" s="1" t="str">
        <f>TEXT(Table4_2[[#This Row],[Date]],"dddd")</f>
        <v>Friday</v>
      </c>
      <c r="D1857" s="21">
        <v>30.6</v>
      </c>
      <c r="E1857" s="21">
        <v>57</v>
      </c>
      <c r="F1857" s="21">
        <v>645</v>
      </c>
      <c r="G1857" s="21">
        <v>6.1</v>
      </c>
      <c r="H1857">
        <v>44</v>
      </c>
      <c r="I1857">
        <v>87.08</v>
      </c>
      <c r="J1857">
        <v>0.56999999999999995</v>
      </c>
      <c r="K1857" t="str" cm="1">
        <f t="array" ref="K1857">_xlfn.IFS(Table4_2[[#This Row],[Growth Days]]&lt;=14,"Seedling",Table4_2[[#This Row],[Growth Days]]&lt;=35, "Vegetative",Table4_2[[#This Row],[Growth Days]]&lt;=50, "Maturity")</f>
        <v>Maturity</v>
      </c>
      <c r="L1857" t="str">
        <f>IF(Table4_2[[#This Row],[TDS Value (ppm)]]&lt;560, "Low", IF(Table4_2[[#This Row],[TDS Value (ppm)]]&lt;=800,"Optimal","High"))</f>
        <v>Optimal</v>
      </c>
    </row>
    <row r="1858" spans="1:12" x14ac:dyDescent="0.25">
      <c r="A1858">
        <v>15</v>
      </c>
      <c r="B1858" s="1">
        <v>45142</v>
      </c>
      <c r="C1858" s="1" t="str">
        <f>TEXT(Table4_2[[#This Row],[Date]],"dddd")</f>
        <v>Friday</v>
      </c>
      <c r="D1858" s="21">
        <v>33.5</v>
      </c>
      <c r="E1858" s="21">
        <v>57</v>
      </c>
      <c r="F1858" s="21">
        <v>584</v>
      </c>
      <c r="G1858" s="21">
        <v>6.3</v>
      </c>
      <c r="H1858">
        <v>2</v>
      </c>
      <c r="I1858">
        <v>92.3</v>
      </c>
      <c r="J1858">
        <v>0.56999999999999995</v>
      </c>
      <c r="K1858" t="str" cm="1">
        <f t="array" ref="K1858">_xlfn.IFS(Table4_2[[#This Row],[Growth Days]]&lt;=14,"Seedling",Table4_2[[#This Row],[Growth Days]]&lt;=35, "Vegetative",Table4_2[[#This Row],[Growth Days]]&lt;=50, "Maturity")</f>
        <v>Seedling</v>
      </c>
      <c r="L1858" t="str">
        <f>IF(Table4_2[[#This Row],[TDS Value (ppm)]]&lt;560, "Low", IF(Table4_2[[#This Row],[TDS Value (ppm)]]&lt;=800,"Optimal","High"))</f>
        <v>Optimal</v>
      </c>
    </row>
    <row r="1859" spans="1:12" x14ac:dyDescent="0.25">
      <c r="A1859">
        <v>15</v>
      </c>
      <c r="B1859" s="1">
        <v>45149</v>
      </c>
      <c r="C1859" s="1" t="str">
        <f>TEXT(Table4_2[[#This Row],[Date]],"dddd")</f>
        <v>Friday</v>
      </c>
      <c r="D1859" s="21">
        <v>31.9</v>
      </c>
      <c r="E1859" s="21">
        <v>79</v>
      </c>
      <c r="F1859" s="21">
        <v>779</v>
      </c>
      <c r="G1859" s="21">
        <v>6.5</v>
      </c>
      <c r="H1859">
        <v>9</v>
      </c>
      <c r="I1859">
        <v>89.42</v>
      </c>
      <c r="J1859">
        <v>0.79</v>
      </c>
      <c r="K1859" t="str" cm="1">
        <f t="array" ref="K1859">_xlfn.IFS(Table4_2[[#This Row],[Growth Days]]&lt;=14,"Seedling",Table4_2[[#This Row],[Growth Days]]&lt;=35, "Vegetative",Table4_2[[#This Row],[Growth Days]]&lt;=50, "Maturity")</f>
        <v>Seedling</v>
      </c>
      <c r="L1859" t="str">
        <f>IF(Table4_2[[#This Row],[TDS Value (ppm)]]&lt;560, "Low", IF(Table4_2[[#This Row],[TDS Value (ppm)]]&lt;=800,"Optimal","High"))</f>
        <v>Optimal</v>
      </c>
    </row>
    <row r="1860" spans="1:12" x14ac:dyDescent="0.25">
      <c r="A1860">
        <v>15</v>
      </c>
      <c r="B1860" s="1">
        <v>45156</v>
      </c>
      <c r="C1860" s="1" t="str">
        <f>TEXT(Table4_2[[#This Row],[Date]],"dddd")</f>
        <v>Friday</v>
      </c>
      <c r="D1860" s="21">
        <v>30.9</v>
      </c>
      <c r="E1860" s="21">
        <v>58</v>
      </c>
      <c r="F1860" s="21">
        <v>587</v>
      </c>
      <c r="G1860" s="21">
        <v>6.5</v>
      </c>
      <c r="H1860">
        <v>16</v>
      </c>
      <c r="I1860">
        <v>87.62</v>
      </c>
      <c r="J1860">
        <v>0.57999999999999996</v>
      </c>
      <c r="K1860" t="str" cm="1">
        <f t="array" ref="K1860">_xlfn.IFS(Table4_2[[#This Row],[Growth Days]]&lt;=14,"Seedling",Table4_2[[#This Row],[Growth Days]]&lt;=35, "Vegetative",Table4_2[[#This Row],[Growth Days]]&lt;=50, "Maturity")</f>
        <v>Vegetative</v>
      </c>
      <c r="L1860" t="str">
        <f>IF(Table4_2[[#This Row],[TDS Value (ppm)]]&lt;560, "Low", IF(Table4_2[[#This Row],[TDS Value (ppm)]]&lt;=800,"Optimal","High"))</f>
        <v>Optimal</v>
      </c>
    </row>
    <row r="1861" spans="1:12" x14ac:dyDescent="0.25">
      <c r="A1861">
        <v>15</v>
      </c>
      <c r="B1861" s="1">
        <v>45163</v>
      </c>
      <c r="C1861" s="1" t="str">
        <f>TEXT(Table4_2[[#This Row],[Date]],"dddd")</f>
        <v>Friday</v>
      </c>
      <c r="D1861" s="21">
        <v>31.4</v>
      </c>
      <c r="E1861" s="21">
        <v>55</v>
      </c>
      <c r="F1861" s="21">
        <v>539</v>
      </c>
      <c r="G1861" s="21">
        <v>6.8</v>
      </c>
      <c r="H1861">
        <v>23</v>
      </c>
      <c r="I1861">
        <v>88.52</v>
      </c>
      <c r="J1861">
        <v>0.55000000000000004</v>
      </c>
      <c r="K1861" t="str" cm="1">
        <f t="array" ref="K1861">_xlfn.IFS(Table4_2[[#This Row],[Growth Days]]&lt;=14,"Seedling",Table4_2[[#This Row],[Growth Days]]&lt;=35, "Vegetative",Table4_2[[#This Row],[Growth Days]]&lt;=50, "Maturity")</f>
        <v>Vegetative</v>
      </c>
      <c r="L1861" t="str">
        <f>IF(Table4_2[[#This Row],[TDS Value (ppm)]]&lt;560, "Low", IF(Table4_2[[#This Row],[TDS Value (ppm)]]&lt;=800,"Optimal","High"))</f>
        <v>Low</v>
      </c>
    </row>
    <row r="1862" spans="1:12" x14ac:dyDescent="0.25">
      <c r="A1862">
        <v>15</v>
      </c>
      <c r="B1862" s="1">
        <v>45170</v>
      </c>
      <c r="C1862" s="1" t="str">
        <f>TEXT(Table4_2[[#This Row],[Date]],"dddd")</f>
        <v>Friday</v>
      </c>
      <c r="D1862" s="21">
        <v>31.7</v>
      </c>
      <c r="E1862" s="21">
        <v>51</v>
      </c>
      <c r="F1862" s="21">
        <v>725</v>
      </c>
      <c r="G1862" s="21">
        <v>6.2</v>
      </c>
      <c r="H1862">
        <v>30</v>
      </c>
      <c r="I1862">
        <v>89.06</v>
      </c>
      <c r="J1862">
        <v>0.51</v>
      </c>
      <c r="K1862" t="str" cm="1">
        <f t="array" ref="K1862">_xlfn.IFS(Table4_2[[#This Row],[Growth Days]]&lt;=14,"Seedling",Table4_2[[#This Row],[Growth Days]]&lt;=35, "Vegetative",Table4_2[[#This Row],[Growth Days]]&lt;=50, "Maturity")</f>
        <v>Vegetative</v>
      </c>
      <c r="L1862" t="str">
        <f>IF(Table4_2[[#This Row],[TDS Value (ppm)]]&lt;560, "Low", IF(Table4_2[[#This Row],[TDS Value (ppm)]]&lt;=800,"Optimal","High"))</f>
        <v>Optimal</v>
      </c>
    </row>
    <row r="1863" spans="1:12" x14ac:dyDescent="0.25">
      <c r="A1863">
        <v>15</v>
      </c>
      <c r="B1863" s="1">
        <v>45177</v>
      </c>
      <c r="C1863" s="1" t="str">
        <f>TEXT(Table4_2[[#This Row],[Date]],"dddd")</f>
        <v>Friday</v>
      </c>
      <c r="D1863" s="21">
        <v>29.8</v>
      </c>
      <c r="E1863" s="21">
        <v>73</v>
      </c>
      <c r="F1863" s="21">
        <v>584</v>
      </c>
      <c r="G1863" s="21">
        <v>6.6</v>
      </c>
      <c r="H1863">
        <v>37</v>
      </c>
      <c r="I1863">
        <v>85.64</v>
      </c>
      <c r="J1863">
        <v>0.73</v>
      </c>
      <c r="K1863" t="str" cm="1">
        <f t="array" ref="K1863">_xlfn.IFS(Table4_2[[#This Row],[Growth Days]]&lt;=14,"Seedling",Table4_2[[#This Row],[Growth Days]]&lt;=35, "Vegetative",Table4_2[[#This Row],[Growth Days]]&lt;=50, "Maturity")</f>
        <v>Maturity</v>
      </c>
      <c r="L1863" t="str">
        <f>IF(Table4_2[[#This Row],[TDS Value (ppm)]]&lt;560, "Low", IF(Table4_2[[#This Row],[TDS Value (ppm)]]&lt;=800,"Optimal","High"))</f>
        <v>Optimal</v>
      </c>
    </row>
    <row r="1864" spans="1:12" x14ac:dyDescent="0.25">
      <c r="A1864">
        <v>15</v>
      </c>
      <c r="B1864" s="1">
        <v>45184</v>
      </c>
      <c r="C1864" s="1" t="str">
        <f>TEXT(Table4_2[[#This Row],[Date]],"dddd")</f>
        <v>Friday</v>
      </c>
      <c r="D1864" s="21">
        <v>30.6</v>
      </c>
      <c r="E1864" s="21">
        <v>60</v>
      </c>
      <c r="F1864" s="21">
        <v>708</v>
      </c>
      <c r="G1864" s="21">
        <v>6</v>
      </c>
      <c r="H1864">
        <v>44</v>
      </c>
      <c r="I1864">
        <v>87.08</v>
      </c>
      <c r="J1864">
        <v>0.6</v>
      </c>
      <c r="K1864" t="str" cm="1">
        <f t="array" ref="K1864">_xlfn.IFS(Table4_2[[#This Row],[Growth Days]]&lt;=14,"Seedling",Table4_2[[#This Row],[Growth Days]]&lt;=35, "Vegetative",Table4_2[[#This Row],[Growth Days]]&lt;=50, "Maturity")</f>
        <v>Maturity</v>
      </c>
      <c r="L1864" t="str">
        <f>IF(Table4_2[[#This Row],[TDS Value (ppm)]]&lt;560, "Low", IF(Table4_2[[#This Row],[TDS Value (ppm)]]&lt;=800,"Optimal","High"))</f>
        <v>Optimal</v>
      </c>
    </row>
    <row r="1865" spans="1:12" x14ac:dyDescent="0.25">
      <c r="A1865">
        <v>16</v>
      </c>
      <c r="B1865" s="1">
        <v>45142</v>
      </c>
      <c r="C1865" s="1" t="str">
        <f>TEXT(Table4_2[[#This Row],[Date]],"dddd")</f>
        <v>Friday</v>
      </c>
      <c r="D1865" s="21">
        <v>33.5</v>
      </c>
      <c r="E1865" s="21">
        <v>64</v>
      </c>
      <c r="F1865" s="21">
        <v>794</v>
      </c>
      <c r="G1865" s="21">
        <v>6.1</v>
      </c>
      <c r="H1865">
        <v>2</v>
      </c>
      <c r="I1865">
        <v>92.3</v>
      </c>
      <c r="J1865">
        <v>0.64</v>
      </c>
      <c r="K1865" t="str" cm="1">
        <f t="array" ref="K1865">_xlfn.IFS(Table4_2[[#This Row],[Growth Days]]&lt;=14,"Seedling",Table4_2[[#This Row],[Growth Days]]&lt;=35, "Vegetative",Table4_2[[#This Row],[Growth Days]]&lt;=50, "Maturity")</f>
        <v>Seedling</v>
      </c>
      <c r="L1865" t="str">
        <f>IF(Table4_2[[#This Row],[TDS Value (ppm)]]&lt;560, "Low", IF(Table4_2[[#This Row],[TDS Value (ppm)]]&lt;=800,"Optimal","High"))</f>
        <v>Optimal</v>
      </c>
    </row>
    <row r="1866" spans="1:12" x14ac:dyDescent="0.25">
      <c r="A1866">
        <v>16</v>
      </c>
      <c r="B1866" s="1">
        <v>45149</v>
      </c>
      <c r="C1866" s="1" t="str">
        <f>TEXT(Table4_2[[#This Row],[Date]],"dddd")</f>
        <v>Friday</v>
      </c>
      <c r="D1866" s="21">
        <v>31.9</v>
      </c>
      <c r="E1866" s="21">
        <v>68</v>
      </c>
      <c r="F1866" s="21">
        <v>692</v>
      </c>
      <c r="G1866" s="21">
        <v>6.5</v>
      </c>
      <c r="H1866">
        <v>9</v>
      </c>
      <c r="I1866">
        <v>89.42</v>
      </c>
      <c r="J1866">
        <v>0.68</v>
      </c>
      <c r="K1866" t="str" cm="1">
        <f t="array" ref="K1866">_xlfn.IFS(Table4_2[[#This Row],[Growth Days]]&lt;=14,"Seedling",Table4_2[[#This Row],[Growth Days]]&lt;=35, "Vegetative",Table4_2[[#This Row],[Growth Days]]&lt;=50, "Maturity")</f>
        <v>Seedling</v>
      </c>
      <c r="L1866" t="str">
        <f>IF(Table4_2[[#This Row],[TDS Value (ppm)]]&lt;560, "Low", IF(Table4_2[[#This Row],[TDS Value (ppm)]]&lt;=800,"Optimal","High"))</f>
        <v>Optimal</v>
      </c>
    </row>
    <row r="1867" spans="1:12" x14ac:dyDescent="0.25">
      <c r="A1867">
        <v>16</v>
      </c>
      <c r="B1867" s="1">
        <v>45156</v>
      </c>
      <c r="C1867" s="1" t="str">
        <f>TEXT(Table4_2[[#This Row],[Date]],"dddd")</f>
        <v>Friday</v>
      </c>
      <c r="D1867" s="21">
        <v>30.9</v>
      </c>
      <c r="E1867" s="21">
        <v>58</v>
      </c>
      <c r="F1867" s="21">
        <v>794</v>
      </c>
      <c r="G1867" s="21">
        <v>6.5</v>
      </c>
      <c r="H1867">
        <v>16</v>
      </c>
      <c r="I1867">
        <v>87.62</v>
      </c>
      <c r="J1867">
        <v>0.57999999999999996</v>
      </c>
      <c r="K1867" t="str" cm="1">
        <f t="array" ref="K1867">_xlfn.IFS(Table4_2[[#This Row],[Growth Days]]&lt;=14,"Seedling",Table4_2[[#This Row],[Growth Days]]&lt;=35, "Vegetative",Table4_2[[#This Row],[Growth Days]]&lt;=50, "Maturity")</f>
        <v>Vegetative</v>
      </c>
      <c r="L1867" t="str">
        <f>IF(Table4_2[[#This Row],[TDS Value (ppm)]]&lt;560, "Low", IF(Table4_2[[#This Row],[TDS Value (ppm)]]&lt;=800,"Optimal","High"))</f>
        <v>Optimal</v>
      </c>
    </row>
    <row r="1868" spans="1:12" x14ac:dyDescent="0.25">
      <c r="A1868">
        <v>16</v>
      </c>
      <c r="B1868" s="1">
        <v>45163</v>
      </c>
      <c r="C1868" s="1" t="str">
        <f>TEXT(Table4_2[[#This Row],[Date]],"dddd")</f>
        <v>Friday</v>
      </c>
      <c r="D1868" s="21">
        <v>31.4</v>
      </c>
      <c r="E1868" s="21">
        <v>68</v>
      </c>
      <c r="F1868" s="21">
        <v>682</v>
      </c>
      <c r="G1868" s="21">
        <v>6.2</v>
      </c>
      <c r="H1868">
        <v>23</v>
      </c>
      <c r="I1868">
        <v>88.52</v>
      </c>
      <c r="J1868">
        <v>0.68</v>
      </c>
      <c r="K1868" t="str" cm="1">
        <f t="array" ref="K1868">_xlfn.IFS(Table4_2[[#This Row],[Growth Days]]&lt;=14,"Seedling",Table4_2[[#This Row],[Growth Days]]&lt;=35, "Vegetative",Table4_2[[#This Row],[Growth Days]]&lt;=50, "Maturity")</f>
        <v>Vegetative</v>
      </c>
      <c r="L1868" t="str">
        <f>IF(Table4_2[[#This Row],[TDS Value (ppm)]]&lt;560, "Low", IF(Table4_2[[#This Row],[TDS Value (ppm)]]&lt;=800,"Optimal","High"))</f>
        <v>Optimal</v>
      </c>
    </row>
    <row r="1869" spans="1:12" x14ac:dyDescent="0.25">
      <c r="A1869">
        <v>16</v>
      </c>
      <c r="B1869" s="1">
        <v>45170</v>
      </c>
      <c r="C1869" s="1" t="str">
        <f>TEXT(Table4_2[[#This Row],[Date]],"dddd")</f>
        <v>Friday</v>
      </c>
      <c r="D1869" s="21">
        <v>31.7</v>
      </c>
      <c r="E1869" s="21">
        <v>50</v>
      </c>
      <c r="F1869" s="21">
        <v>771</v>
      </c>
      <c r="G1869" s="21">
        <v>6</v>
      </c>
      <c r="H1869">
        <v>30</v>
      </c>
      <c r="I1869">
        <v>89.06</v>
      </c>
      <c r="J1869">
        <v>0.5</v>
      </c>
      <c r="K1869" t="str" cm="1">
        <f t="array" ref="K1869">_xlfn.IFS(Table4_2[[#This Row],[Growth Days]]&lt;=14,"Seedling",Table4_2[[#This Row],[Growth Days]]&lt;=35, "Vegetative",Table4_2[[#This Row],[Growth Days]]&lt;=50, "Maturity")</f>
        <v>Vegetative</v>
      </c>
      <c r="L1869" t="str">
        <f>IF(Table4_2[[#This Row],[TDS Value (ppm)]]&lt;560, "Low", IF(Table4_2[[#This Row],[TDS Value (ppm)]]&lt;=800,"Optimal","High"))</f>
        <v>Optimal</v>
      </c>
    </row>
    <row r="1870" spans="1:12" x14ac:dyDescent="0.25">
      <c r="A1870">
        <v>16</v>
      </c>
      <c r="B1870" s="1">
        <v>45177</v>
      </c>
      <c r="C1870" s="1" t="str">
        <f>TEXT(Table4_2[[#This Row],[Date]],"dddd")</f>
        <v>Friday</v>
      </c>
      <c r="D1870" s="21">
        <v>29.8</v>
      </c>
      <c r="E1870" s="21">
        <v>69</v>
      </c>
      <c r="F1870" s="21">
        <v>403</v>
      </c>
      <c r="G1870" s="21">
        <v>6.7</v>
      </c>
      <c r="H1870">
        <v>37</v>
      </c>
      <c r="I1870">
        <v>85.64</v>
      </c>
      <c r="J1870">
        <v>0.69</v>
      </c>
      <c r="K1870" t="str" cm="1">
        <f t="array" ref="K1870">_xlfn.IFS(Table4_2[[#This Row],[Growth Days]]&lt;=14,"Seedling",Table4_2[[#This Row],[Growth Days]]&lt;=35, "Vegetative",Table4_2[[#This Row],[Growth Days]]&lt;=50, "Maturity")</f>
        <v>Maturity</v>
      </c>
      <c r="L1870" t="str">
        <f>IF(Table4_2[[#This Row],[TDS Value (ppm)]]&lt;560, "Low", IF(Table4_2[[#This Row],[TDS Value (ppm)]]&lt;=800,"Optimal","High"))</f>
        <v>Low</v>
      </c>
    </row>
    <row r="1871" spans="1:12" x14ac:dyDescent="0.25">
      <c r="A1871">
        <v>16</v>
      </c>
      <c r="B1871" s="1">
        <v>45184</v>
      </c>
      <c r="C1871" s="1" t="str">
        <f>TEXT(Table4_2[[#This Row],[Date]],"dddd")</f>
        <v>Friday</v>
      </c>
      <c r="D1871" s="21">
        <v>30.6</v>
      </c>
      <c r="E1871" s="21">
        <v>52</v>
      </c>
      <c r="F1871" s="21">
        <v>703</v>
      </c>
      <c r="G1871" s="21">
        <v>6.5</v>
      </c>
      <c r="H1871">
        <v>44</v>
      </c>
      <c r="I1871">
        <v>87.08</v>
      </c>
      <c r="J1871">
        <v>0.52</v>
      </c>
      <c r="K1871" t="str" cm="1">
        <f t="array" ref="K1871">_xlfn.IFS(Table4_2[[#This Row],[Growth Days]]&lt;=14,"Seedling",Table4_2[[#This Row],[Growth Days]]&lt;=35, "Vegetative",Table4_2[[#This Row],[Growth Days]]&lt;=50, "Maturity")</f>
        <v>Maturity</v>
      </c>
      <c r="L1871" t="str">
        <f>IF(Table4_2[[#This Row],[TDS Value (ppm)]]&lt;560, "Low", IF(Table4_2[[#This Row],[TDS Value (ppm)]]&lt;=800,"Optimal","High"))</f>
        <v>Optimal</v>
      </c>
    </row>
    <row r="1872" spans="1:12" x14ac:dyDescent="0.25">
      <c r="A1872">
        <v>17</v>
      </c>
      <c r="B1872" s="1">
        <v>45142</v>
      </c>
      <c r="C1872" s="1" t="str">
        <f>TEXT(Table4_2[[#This Row],[Date]],"dddd")</f>
        <v>Friday</v>
      </c>
      <c r="D1872" s="21">
        <v>33.5</v>
      </c>
      <c r="E1872" s="21">
        <v>66</v>
      </c>
      <c r="F1872" s="21">
        <v>627</v>
      </c>
      <c r="G1872" s="21">
        <v>6.2</v>
      </c>
      <c r="H1872">
        <v>2</v>
      </c>
      <c r="I1872">
        <v>92.3</v>
      </c>
      <c r="J1872">
        <v>0.66</v>
      </c>
      <c r="K1872" t="str" cm="1">
        <f t="array" ref="K1872">_xlfn.IFS(Table4_2[[#This Row],[Growth Days]]&lt;=14,"Seedling",Table4_2[[#This Row],[Growth Days]]&lt;=35, "Vegetative",Table4_2[[#This Row],[Growth Days]]&lt;=50, "Maturity")</f>
        <v>Seedling</v>
      </c>
      <c r="L1872" t="str">
        <f>IF(Table4_2[[#This Row],[TDS Value (ppm)]]&lt;560, "Low", IF(Table4_2[[#This Row],[TDS Value (ppm)]]&lt;=800,"Optimal","High"))</f>
        <v>Optimal</v>
      </c>
    </row>
    <row r="1873" spans="1:12" x14ac:dyDescent="0.25">
      <c r="A1873">
        <v>17</v>
      </c>
      <c r="B1873" s="1">
        <v>45149</v>
      </c>
      <c r="C1873" s="1" t="str">
        <f>TEXT(Table4_2[[#This Row],[Date]],"dddd")</f>
        <v>Friday</v>
      </c>
      <c r="D1873" s="21">
        <v>31.9</v>
      </c>
      <c r="E1873" s="21">
        <v>58</v>
      </c>
      <c r="F1873" s="21">
        <v>735</v>
      </c>
      <c r="G1873" s="21">
        <v>6.1</v>
      </c>
      <c r="H1873">
        <v>9</v>
      </c>
      <c r="I1873">
        <v>89.42</v>
      </c>
      <c r="J1873">
        <v>0.57999999999999996</v>
      </c>
      <c r="K1873" t="str" cm="1">
        <f t="array" ref="K1873">_xlfn.IFS(Table4_2[[#This Row],[Growth Days]]&lt;=14,"Seedling",Table4_2[[#This Row],[Growth Days]]&lt;=35, "Vegetative",Table4_2[[#This Row],[Growth Days]]&lt;=50, "Maturity")</f>
        <v>Seedling</v>
      </c>
      <c r="L1873" t="str">
        <f>IF(Table4_2[[#This Row],[TDS Value (ppm)]]&lt;560, "Low", IF(Table4_2[[#This Row],[TDS Value (ppm)]]&lt;=800,"Optimal","High"))</f>
        <v>Optimal</v>
      </c>
    </row>
    <row r="1874" spans="1:12" x14ac:dyDescent="0.25">
      <c r="A1874">
        <v>17</v>
      </c>
      <c r="B1874" s="1">
        <v>45156</v>
      </c>
      <c r="C1874" s="1" t="str">
        <f>TEXT(Table4_2[[#This Row],[Date]],"dddd")</f>
        <v>Friday</v>
      </c>
      <c r="D1874" s="21">
        <v>30.9</v>
      </c>
      <c r="E1874" s="21">
        <v>79</v>
      </c>
      <c r="F1874" s="21">
        <v>672</v>
      </c>
      <c r="G1874" s="21">
        <v>6.7</v>
      </c>
      <c r="H1874">
        <v>16</v>
      </c>
      <c r="I1874">
        <v>87.62</v>
      </c>
      <c r="J1874">
        <v>0.79</v>
      </c>
      <c r="K1874" t="str" cm="1">
        <f t="array" ref="K1874">_xlfn.IFS(Table4_2[[#This Row],[Growth Days]]&lt;=14,"Seedling",Table4_2[[#This Row],[Growth Days]]&lt;=35, "Vegetative",Table4_2[[#This Row],[Growth Days]]&lt;=50, "Maturity")</f>
        <v>Vegetative</v>
      </c>
      <c r="L1874" t="str">
        <f>IF(Table4_2[[#This Row],[TDS Value (ppm)]]&lt;560, "Low", IF(Table4_2[[#This Row],[TDS Value (ppm)]]&lt;=800,"Optimal","High"))</f>
        <v>Optimal</v>
      </c>
    </row>
    <row r="1875" spans="1:12" x14ac:dyDescent="0.25">
      <c r="A1875">
        <v>17</v>
      </c>
      <c r="B1875" s="1">
        <v>45163</v>
      </c>
      <c r="C1875" s="1" t="str">
        <f>TEXT(Table4_2[[#This Row],[Date]],"dddd")</f>
        <v>Friday</v>
      </c>
      <c r="D1875" s="21">
        <v>31.4</v>
      </c>
      <c r="E1875" s="21">
        <v>75</v>
      </c>
      <c r="F1875" s="21">
        <v>552</v>
      </c>
      <c r="G1875" s="21">
        <v>6.1</v>
      </c>
      <c r="H1875">
        <v>23</v>
      </c>
      <c r="I1875">
        <v>88.52</v>
      </c>
      <c r="J1875">
        <v>0.75</v>
      </c>
      <c r="K1875" t="str" cm="1">
        <f t="array" ref="K1875">_xlfn.IFS(Table4_2[[#This Row],[Growth Days]]&lt;=14,"Seedling",Table4_2[[#This Row],[Growth Days]]&lt;=35, "Vegetative",Table4_2[[#This Row],[Growth Days]]&lt;=50, "Maturity")</f>
        <v>Vegetative</v>
      </c>
      <c r="L1875" t="str">
        <f>IF(Table4_2[[#This Row],[TDS Value (ppm)]]&lt;560, "Low", IF(Table4_2[[#This Row],[TDS Value (ppm)]]&lt;=800,"Optimal","High"))</f>
        <v>Low</v>
      </c>
    </row>
    <row r="1876" spans="1:12" x14ac:dyDescent="0.25">
      <c r="A1876">
        <v>17</v>
      </c>
      <c r="B1876" s="1">
        <v>45170</v>
      </c>
      <c r="C1876" s="1" t="str">
        <f>TEXT(Table4_2[[#This Row],[Date]],"dddd")</f>
        <v>Friday</v>
      </c>
      <c r="D1876" s="21">
        <v>31.7</v>
      </c>
      <c r="E1876" s="21">
        <v>73</v>
      </c>
      <c r="F1876" s="21">
        <v>657</v>
      </c>
      <c r="G1876" s="21">
        <v>6.3</v>
      </c>
      <c r="H1876">
        <v>30</v>
      </c>
      <c r="I1876">
        <v>89.06</v>
      </c>
      <c r="J1876">
        <v>0.73</v>
      </c>
      <c r="K1876" t="str" cm="1">
        <f t="array" ref="K1876">_xlfn.IFS(Table4_2[[#This Row],[Growth Days]]&lt;=14,"Seedling",Table4_2[[#This Row],[Growth Days]]&lt;=35, "Vegetative",Table4_2[[#This Row],[Growth Days]]&lt;=50, "Maturity")</f>
        <v>Vegetative</v>
      </c>
      <c r="L1876" t="str">
        <f>IF(Table4_2[[#This Row],[TDS Value (ppm)]]&lt;560, "Low", IF(Table4_2[[#This Row],[TDS Value (ppm)]]&lt;=800,"Optimal","High"))</f>
        <v>Optimal</v>
      </c>
    </row>
    <row r="1877" spans="1:12" x14ac:dyDescent="0.25">
      <c r="A1877">
        <v>17</v>
      </c>
      <c r="B1877" s="1">
        <v>45177</v>
      </c>
      <c r="C1877" s="1" t="str">
        <f>TEXT(Table4_2[[#This Row],[Date]],"dddd")</f>
        <v>Friday</v>
      </c>
      <c r="D1877" s="21">
        <v>29.8</v>
      </c>
      <c r="E1877" s="21">
        <v>78</v>
      </c>
      <c r="F1877" s="21">
        <v>732</v>
      </c>
      <c r="G1877" s="21">
        <v>6.5</v>
      </c>
      <c r="H1877">
        <v>37</v>
      </c>
      <c r="I1877">
        <v>85.64</v>
      </c>
      <c r="J1877">
        <v>0.78</v>
      </c>
      <c r="K1877" t="str" cm="1">
        <f t="array" ref="K1877">_xlfn.IFS(Table4_2[[#This Row],[Growth Days]]&lt;=14,"Seedling",Table4_2[[#This Row],[Growth Days]]&lt;=35, "Vegetative",Table4_2[[#This Row],[Growth Days]]&lt;=50, "Maturity")</f>
        <v>Maturity</v>
      </c>
      <c r="L1877" t="str">
        <f>IF(Table4_2[[#This Row],[TDS Value (ppm)]]&lt;560, "Low", IF(Table4_2[[#This Row],[TDS Value (ppm)]]&lt;=800,"Optimal","High"))</f>
        <v>Optimal</v>
      </c>
    </row>
    <row r="1878" spans="1:12" x14ac:dyDescent="0.25">
      <c r="A1878">
        <v>17</v>
      </c>
      <c r="B1878" s="1">
        <v>45184</v>
      </c>
      <c r="C1878" s="1" t="str">
        <f>TEXT(Table4_2[[#This Row],[Date]],"dddd")</f>
        <v>Friday</v>
      </c>
      <c r="D1878" s="21">
        <v>30.6</v>
      </c>
      <c r="E1878" s="21">
        <v>75</v>
      </c>
      <c r="F1878" s="21">
        <v>575</v>
      </c>
      <c r="G1878" s="21">
        <v>6.3</v>
      </c>
      <c r="H1878">
        <v>44</v>
      </c>
      <c r="I1878">
        <v>87.08</v>
      </c>
      <c r="J1878">
        <v>0.75</v>
      </c>
      <c r="K1878" t="str" cm="1">
        <f t="array" ref="K1878">_xlfn.IFS(Table4_2[[#This Row],[Growth Days]]&lt;=14,"Seedling",Table4_2[[#This Row],[Growth Days]]&lt;=35, "Vegetative",Table4_2[[#This Row],[Growth Days]]&lt;=50, "Maturity")</f>
        <v>Maturity</v>
      </c>
      <c r="L1878" t="str">
        <f>IF(Table4_2[[#This Row],[TDS Value (ppm)]]&lt;560, "Low", IF(Table4_2[[#This Row],[TDS Value (ppm)]]&lt;=800,"Optimal","High"))</f>
        <v>Optimal</v>
      </c>
    </row>
    <row r="1879" spans="1:12" x14ac:dyDescent="0.25">
      <c r="A1879">
        <v>18</v>
      </c>
      <c r="B1879" s="1">
        <v>45142</v>
      </c>
      <c r="C1879" s="1" t="str">
        <f>TEXT(Table4_2[[#This Row],[Date]],"dddd")</f>
        <v>Friday</v>
      </c>
      <c r="D1879" s="21">
        <v>33.5</v>
      </c>
      <c r="E1879" s="21">
        <v>73</v>
      </c>
      <c r="F1879" s="21">
        <v>463</v>
      </c>
      <c r="G1879" s="21">
        <v>6.4</v>
      </c>
      <c r="H1879">
        <v>2</v>
      </c>
      <c r="I1879">
        <v>92.3</v>
      </c>
      <c r="J1879">
        <v>0.73</v>
      </c>
      <c r="K1879" t="str" cm="1">
        <f t="array" ref="K1879">_xlfn.IFS(Table4_2[[#This Row],[Growth Days]]&lt;=14,"Seedling",Table4_2[[#This Row],[Growth Days]]&lt;=35, "Vegetative",Table4_2[[#This Row],[Growth Days]]&lt;=50, "Maturity")</f>
        <v>Seedling</v>
      </c>
      <c r="L1879" t="str">
        <f>IF(Table4_2[[#This Row],[TDS Value (ppm)]]&lt;560, "Low", IF(Table4_2[[#This Row],[TDS Value (ppm)]]&lt;=800,"Optimal","High"))</f>
        <v>Low</v>
      </c>
    </row>
    <row r="1880" spans="1:12" x14ac:dyDescent="0.25">
      <c r="A1880">
        <v>18</v>
      </c>
      <c r="B1880" s="1">
        <v>45149</v>
      </c>
      <c r="C1880" s="1" t="str">
        <f>TEXT(Table4_2[[#This Row],[Date]],"dddd")</f>
        <v>Friday</v>
      </c>
      <c r="D1880" s="21">
        <v>31.9</v>
      </c>
      <c r="E1880" s="21">
        <v>76</v>
      </c>
      <c r="F1880" s="21">
        <v>407</v>
      </c>
      <c r="G1880" s="21">
        <v>6.7</v>
      </c>
      <c r="H1880">
        <v>9</v>
      </c>
      <c r="I1880">
        <v>89.42</v>
      </c>
      <c r="J1880">
        <v>0.76</v>
      </c>
      <c r="K1880" t="str" cm="1">
        <f t="array" ref="K1880">_xlfn.IFS(Table4_2[[#This Row],[Growth Days]]&lt;=14,"Seedling",Table4_2[[#This Row],[Growth Days]]&lt;=35, "Vegetative",Table4_2[[#This Row],[Growth Days]]&lt;=50, "Maturity")</f>
        <v>Seedling</v>
      </c>
      <c r="L1880" t="str">
        <f>IF(Table4_2[[#This Row],[TDS Value (ppm)]]&lt;560, "Low", IF(Table4_2[[#This Row],[TDS Value (ppm)]]&lt;=800,"Optimal","High"))</f>
        <v>Low</v>
      </c>
    </row>
    <row r="1881" spans="1:12" x14ac:dyDescent="0.25">
      <c r="A1881">
        <v>18</v>
      </c>
      <c r="B1881" s="1">
        <v>45156</v>
      </c>
      <c r="C1881" s="1" t="str">
        <f>TEXT(Table4_2[[#This Row],[Date]],"dddd")</f>
        <v>Friday</v>
      </c>
      <c r="D1881" s="21">
        <v>30.9</v>
      </c>
      <c r="E1881" s="21">
        <v>50</v>
      </c>
      <c r="F1881" s="21">
        <v>408</v>
      </c>
      <c r="G1881" s="21">
        <v>6</v>
      </c>
      <c r="H1881">
        <v>16</v>
      </c>
      <c r="I1881">
        <v>87.62</v>
      </c>
      <c r="J1881">
        <v>0.5</v>
      </c>
      <c r="K1881" t="str" cm="1">
        <f t="array" ref="K1881">_xlfn.IFS(Table4_2[[#This Row],[Growth Days]]&lt;=14,"Seedling",Table4_2[[#This Row],[Growth Days]]&lt;=35, "Vegetative",Table4_2[[#This Row],[Growth Days]]&lt;=50, "Maturity")</f>
        <v>Vegetative</v>
      </c>
      <c r="L1881" t="str">
        <f>IF(Table4_2[[#This Row],[TDS Value (ppm)]]&lt;560, "Low", IF(Table4_2[[#This Row],[TDS Value (ppm)]]&lt;=800,"Optimal","High"))</f>
        <v>Low</v>
      </c>
    </row>
    <row r="1882" spans="1:12" x14ac:dyDescent="0.25">
      <c r="A1882">
        <v>18</v>
      </c>
      <c r="B1882" s="1">
        <v>45163</v>
      </c>
      <c r="C1882" s="1" t="str">
        <f>TEXT(Table4_2[[#This Row],[Date]],"dddd")</f>
        <v>Friday</v>
      </c>
      <c r="D1882" s="21">
        <v>31.4</v>
      </c>
      <c r="E1882" s="21">
        <v>64</v>
      </c>
      <c r="F1882" s="21">
        <v>448</v>
      </c>
      <c r="G1882" s="21">
        <v>6.4</v>
      </c>
      <c r="H1882">
        <v>23</v>
      </c>
      <c r="I1882">
        <v>88.52</v>
      </c>
      <c r="J1882">
        <v>0.64</v>
      </c>
      <c r="K1882" t="str" cm="1">
        <f t="array" ref="K1882">_xlfn.IFS(Table4_2[[#This Row],[Growth Days]]&lt;=14,"Seedling",Table4_2[[#This Row],[Growth Days]]&lt;=35, "Vegetative",Table4_2[[#This Row],[Growth Days]]&lt;=50, "Maturity")</f>
        <v>Vegetative</v>
      </c>
      <c r="L1882" t="str">
        <f>IF(Table4_2[[#This Row],[TDS Value (ppm)]]&lt;560, "Low", IF(Table4_2[[#This Row],[TDS Value (ppm)]]&lt;=800,"Optimal","High"))</f>
        <v>Low</v>
      </c>
    </row>
    <row r="1883" spans="1:12" x14ac:dyDescent="0.25">
      <c r="A1883">
        <v>18</v>
      </c>
      <c r="B1883" s="1">
        <v>45170</v>
      </c>
      <c r="C1883" s="1" t="str">
        <f>TEXT(Table4_2[[#This Row],[Date]],"dddd")</f>
        <v>Friday</v>
      </c>
      <c r="D1883" s="21">
        <v>31.7</v>
      </c>
      <c r="E1883" s="21">
        <v>78</v>
      </c>
      <c r="F1883" s="21">
        <v>746</v>
      </c>
      <c r="G1883" s="21">
        <v>6.2</v>
      </c>
      <c r="H1883">
        <v>30</v>
      </c>
      <c r="I1883">
        <v>89.06</v>
      </c>
      <c r="J1883">
        <v>0.78</v>
      </c>
      <c r="K1883" t="str" cm="1">
        <f t="array" ref="K1883">_xlfn.IFS(Table4_2[[#This Row],[Growth Days]]&lt;=14,"Seedling",Table4_2[[#This Row],[Growth Days]]&lt;=35, "Vegetative",Table4_2[[#This Row],[Growth Days]]&lt;=50, "Maturity")</f>
        <v>Vegetative</v>
      </c>
      <c r="L1883" t="str">
        <f>IF(Table4_2[[#This Row],[TDS Value (ppm)]]&lt;560, "Low", IF(Table4_2[[#This Row],[TDS Value (ppm)]]&lt;=800,"Optimal","High"))</f>
        <v>Optimal</v>
      </c>
    </row>
    <row r="1884" spans="1:12" x14ac:dyDescent="0.25">
      <c r="A1884">
        <v>18</v>
      </c>
      <c r="B1884" s="1">
        <v>45177</v>
      </c>
      <c r="C1884" s="1" t="str">
        <f>TEXT(Table4_2[[#This Row],[Date]],"dddd")</f>
        <v>Friday</v>
      </c>
      <c r="D1884" s="21">
        <v>29.8</v>
      </c>
      <c r="E1884" s="21">
        <v>75</v>
      </c>
      <c r="F1884" s="21">
        <v>587</v>
      </c>
      <c r="G1884" s="21">
        <v>6.1</v>
      </c>
      <c r="H1884">
        <v>37</v>
      </c>
      <c r="I1884">
        <v>85.64</v>
      </c>
      <c r="J1884">
        <v>0.75</v>
      </c>
      <c r="K1884" t="str" cm="1">
        <f t="array" ref="K1884">_xlfn.IFS(Table4_2[[#This Row],[Growth Days]]&lt;=14,"Seedling",Table4_2[[#This Row],[Growth Days]]&lt;=35, "Vegetative",Table4_2[[#This Row],[Growth Days]]&lt;=50, "Maturity")</f>
        <v>Maturity</v>
      </c>
      <c r="L1884" t="str">
        <f>IF(Table4_2[[#This Row],[TDS Value (ppm)]]&lt;560, "Low", IF(Table4_2[[#This Row],[TDS Value (ppm)]]&lt;=800,"Optimal","High"))</f>
        <v>Optimal</v>
      </c>
    </row>
    <row r="1885" spans="1:12" x14ac:dyDescent="0.25">
      <c r="A1885">
        <v>18</v>
      </c>
      <c r="B1885" s="1">
        <v>45184</v>
      </c>
      <c r="C1885" s="1" t="str">
        <f>TEXT(Table4_2[[#This Row],[Date]],"dddd")</f>
        <v>Friday</v>
      </c>
      <c r="D1885" s="21">
        <v>30.6</v>
      </c>
      <c r="E1885" s="21">
        <v>51</v>
      </c>
      <c r="F1885" s="21">
        <v>491</v>
      </c>
      <c r="G1885" s="21">
        <v>6.5</v>
      </c>
      <c r="H1885">
        <v>44</v>
      </c>
      <c r="I1885">
        <v>87.08</v>
      </c>
      <c r="J1885">
        <v>0.51</v>
      </c>
      <c r="K1885" t="str" cm="1">
        <f t="array" ref="K1885">_xlfn.IFS(Table4_2[[#This Row],[Growth Days]]&lt;=14,"Seedling",Table4_2[[#This Row],[Growth Days]]&lt;=35, "Vegetative",Table4_2[[#This Row],[Growth Days]]&lt;=50, "Maturity")</f>
        <v>Maturity</v>
      </c>
      <c r="L1885" t="str">
        <f>IF(Table4_2[[#This Row],[TDS Value (ppm)]]&lt;560, "Low", IF(Table4_2[[#This Row],[TDS Value (ppm)]]&lt;=800,"Optimal","High"))</f>
        <v>Low</v>
      </c>
    </row>
    <row r="1886" spans="1:12" x14ac:dyDescent="0.25">
      <c r="A1886">
        <v>19</v>
      </c>
      <c r="B1886" s="1">
        <v>45142</v>
      </c>
      <c r="C1886" s="1" t="str">
        <f>TEXT(Table4_2[[#This Row],[Date]],"dddd")</f>
        <v>Friday</v>
      </c>
      <c r="D1886" s="21">
        <v>33.5</v>
      </c>
      <c r="E1886" s="21">
        <v>74</v>
      </c>
      <c r="F1886" s="21">
        <v>552</v>
      </c>
      <c r="G1886" s="21">
        <v>6.5</v>
      </c>
      <c r="H1886">
        <v>2</v>
      </c>
      <c r="I1886">
        <v>92.3</v>
      </c>
      <c r="J1886">
        <v>0.74</v>
      </c>
      <c r="K1886" t="str" cm="1">
        <f t="array" ref="K1886">_xlfn.IFS(Table4_2[[#This Row],[Growth Days]]&lt;=14,"Seedling",Table4_2[[#This Row],[Growth Days]]&lt;=35, "Vegetative",Table4_2[[#This Row],[Growth Days]]&lt;=50, "Maturity")</f>
        <v>Seedling</v>
      </c>
      <c r="L1886" t="str">
        <f>IF(Table4_2[[#This Row],[TDS Value (ppm)]]&lt;560, "Low", IF(Table4_2[[#This Row],[TDS Value (ppm)]]&lt;=800,"Optimal","High"))</f>
        <v>Low</v>
      </c>
    </row>
    <row r="1887" spans="1:12" x14ac:dyDescent="0.25">
      <c r="A1887">
        <v>19</v>
      </c>
      <c r="B1887" s="1">
        <v>45149</v>
      </c>
      <c r="C1887" s="1" t="str">
        <f>TEXT(Table4_2[[#This Row],[Date]],"dddd")</f>
        <v>Friday</v>
      </c>
      <c r="D1887" s="21">
        <v>31.9</v>
      </c>
      <c r="E1887" s="21">
        <v>59</v>
      </c>
      <c r="F1887" s="21">
        <v>486</v>
      </c>
      <c r="G1887" s="21">
        <v>6.7</v>
      </c>
      <c r="H1887">
        <v>9</v>
      </c>
      <c r="I1887">
        <v>89.42</v>
      </c>
      <c r="J1887">
        <v>0.59</v>
      </c>
      <c r="K1887" t="str" cm="1">
        <f t="array" ref="K1887">_xlfn.IFS(Table4_2[[#This Row],[Growth Days]]&lt;=14,"Seedling",Table4_2[[#This Row],[Growth Days]]&lt;=35, "Vegetative",Table4_2[[#This Row],[Growth Days]]&lt;=50, "Maturity")</f>
        <v>Seedling</v>
      </c>
      <c r="L1887" t="str">
        <f>IF(Table4_2[[#This Row],[TDS Value (ppm)]]&lt;560, "Low", IF(Table4_2[[#This Row],[TDS Value (ppm)]]&lt;=800,"Optimal","High"))</f>
        <v>Low</v>
      </c>
    </row>
    <row r="1888" spans="1:12" x14ac:dyDescent="0.25">
      <c r="A1888">
        <v>19</v>
      </c>
      <c r="B1888" s="1">
        <v>45156</v>
      </c>
      <c r="C1888" s="1" t="str">
        <f>TEXT(Table4_2[[#This Row],[Date]],"dddd")</f>
        <v>Friday</v>
      </c>
      <c r="D1888" s="21">
        <v>30.9</v>
      </c>
      <c r="E1888" s="21">
        <v>63</v>
      </c>
      <c r="F1888" s="21">
        <v>790</v>
      </c>
      <c r="G1888" s="21">
        <v>6.7</v>
      </c>
      <c r="H1888">
        <v>16</v>
      </c>
      <c r="I1888">
        <v>87.62</v>
      </c>
      <c r="J1888">
        <v>0.63</v>
      </c>
      <c r="K1888" t="str" cm="1">
        <f t="array" ref="K1888">_xlfn.IFS(Table4_2[[#This Row],[Growth Days]]&lt;=14,"Seedling",Table4_2[[#This Row],[Growth Days]]&lt;=35, "Vegetative",Table4_2[[#This Row],[Growth Days]]&lt;=50, "Maturity")</f>
        <v>Vegetative</v>
      </c>
      <c r="L1888" t="str">
        <f>IF(Table4_2[[#This Row],[TDS Value (ppm)]]&lt;560, "Low", IF(Table4_2[[#This Row],[TDS Value (ppm)]]&lt;=800,"Optimal","High"))</f>
        <v>Optimal</v>
      </c>
    </row>
    <row r="1889" spans="1:12" x14ac:dyDescent="0.25">
      <c r="A1889">
        <v>19</v>
      </c>
      <c r="B1889" s="1">
        <v>45163</v>
      </c>
      <c r="C1889" s="1" t="str">
        <f>TEXT(Table4_2[[#This Row],[Date]],"dddd")</f>
        <v>Friday</v>
      </c>
      <c r="D1889" s="21">
        <v>31.4</v>
      </c>
      <c r="E1889" s="21">
        <v>67</v>
      </c>
      <c r="F1889" s="21">
        <v>455</v>
      </c>
      <c r="G1889" s="21">
        <v>6.7</v>
      </c>
      <c r="H1889">
        <v>23</v>
      </c>
      <c r="I1889">
        <v>88.52</v>
      </c>
      <c r="J1889">
        <v>0.67</v>
      </c>
      <c r="K1889" t="str" cm="1">
        <f t="array" ref="K1889">_xlfn.IFS(Table4_2[[#This Row],[Growth Days]]&lt;=14,"Seedling",Table4_2[[#This Row],[Growth Days]]&lt;=35, "Vegetative",Table4_2[[#This Row],[Growth Days]]&lt;=50, "Maturity")</f>
        <v>Vegetative</v>
      </c>
      <c r="L1889" t="str">
        <f>IF(Table4_2[[#This Row],[TDS Value (ppm)]]&lt;560, "Low", IF(Table4_2[[#This Row],[TDS Value (ppm)]]&lt;=800,"Optimal","High"))</f>
        <v>Low</v>
      </c>
    </row>
    <row r="1890" spans="1:12" x14ac:dyDescent="0.25">
      <c r="A1890">
        <v>19</v>
      </c>
      <c r="B1890" s="1">
        <v>45170</v>
      </c>
      <c r="C1890" s="1" t="str">
        <f>TEXT(Table4_2[[#This Row],[Date]],"dddd")</f>
        <v>Friday</v>
      </c>
      <c r="D1890" s="21">
        <v>31.7</v>
      </c>
      <c r="E1890" s="21">
        <v>50</v>
      </c>
      <c r="F1890" s="21">
        <v>459</v>
      </c>
      <c r="G1890" s="21">
        <v>6.4</v>
      </c>
      <c r="H1890">
        <v>30</v>
      </c>
      <c r="I1890">
        <v>89.06</v>
      </c>
      <c r="J1890">
        <v>0.5</v>
      </c>
      <c r="K1890" t="str" cm="1">
        <f t="array" ref="K1890">_xlfn.IFS(Table4_2[[#This Row],[Growth Days]]&lt;=14,"Seedling",Table4_2[[#This Row],[Growth Days]]&lt;=35, "Vegetative",Table4_2[[#This Row],[Growth Days]]&lt;=50, "Maturity")</f>
        <v>Vegetative</v>
      </c>
      <c r="L1890" t="str">
        <f>IF(Table4_2[[#This Row],[TDS Value (ppm)]]&lt;560, "Low", IF(Table4_2[[#This Row],[TDS Value (ppm)]]&lt;=800,"Optimal","High"))</f>
        <v>Low</v>
      </c>
    </row>
    <row r="1891" spans="1:12" x14ac:dyDescent="0.25">
      <c r="A1891">
        <v>19</v>
      </c>
      <c r="B1891" s="1">
        <v>45177</v>
      </c>
      <c r="C1891" s="1" t="str">
        <f>TEXT(Table4_2[[#This Row],[Date]],"dddd")</f>
        <v>Friday</v>
      </c>
      <c r="D1891" s="21">
        <v>29.8</v>
      </c>
      <c r="E1891" s="21">
        <v>53</v>
      </c>
      <c r="F1891" s="21">
        <v>553</v>
      </c>
      <c r="G1891" s="21">
        <v>6.6</v>
      </c>
      <c r="H1891">
        <v>37</v>
      </c>
      <c r="I1891">
        <v>85.64</v>
      </c>
      <c r="J1891">
        <v>0.53</v>
      </c>
      <c r="K1891" t="str" cm="1">
        <f t="array" ref="K1891">_xlfn.IFS(Table4_2[[#This Row],[Growth Days]]&lt;=14,"Seedling",Table4_2[[#This Row],[Growth Days]]&lt;=35, "Vegetative",Table4_2[[#This Row],[Growth Days]]&lt;=50, "Maturity")</f>
        <v>Maturity</v>
      </c>
      <c r="L1891" t="str">
        <f>IF(Table4_2[[#This Row],[TDS Value (ppm)]]&lt;560, "Low", IF(Table4_2[[#This Row],[TDS Value (ppm)]]&lt;=800,"Optimal","High"))</f>
        <v>Low</v>
      </c>
    </row>
    <row r="1892" spans="1:12" x14ac:dyDescent="0.25">
      <c r="A1892">
        <v>19</v>
      </c>
      <c r="B1892" s="1">
        <v>45184</v>
      </c>
      <c r="C1892" s="1" t="str">
        <f>TEXT(Table4_2[[#This Row],[Date]],"dddd")</f>
        <v>Friday</v>
      </c>
      <c r="D1892" s="21">
        <v>30.6</v>
      </c>
      <c r="E1892" s="21">
        <v>73</v>
      </c>
      <c r="F1892" s="21">
        <v>536</v>
      </c>
      <c r="G1892" s="21">
        <v>6.5</v>
      </c>
      <c r="H1892">
        <v>44</v>
      </c>
      <c r="I1892">
        <v>87.08</v>
      </c>
      <c r="J1892">
        <v>0.73</v>
      </c>
      <c r="K1892" t="str" cm="1">
        <f t="array" ref="K1892">_xlfn.IFS(Table4_2[[#This Row],[Growth Days]]&lt;=14,"Seedling",Table4_2[[#This Row],[Growth Days]]&lt;=35, "Vegetative",Table4_2[[#This Row],[Growth Days]]&lt;=50, "Maturity")</f>
        <v>Maturity</v>
      </c>
      <c r="L1892" t="str">
        <f>IF(Table4_2[[#This Row],[TDS Value (ppm)]]&lt;560, "Low", IF(Table4_2[[#This Row],[TDS Value (ppm)]]&lt;=800,"Optimal","High"))</f>
        <v>Low</v>
      </c>
    </row>
    <row r="1893" spans="1:12" x14ac:dyDescent="0.25">
      <c r="A1893">
        <v>20</v>
      </c>
      <c r="B1893" s="1">
        <v>45142</v>
      </c>
      <c r="C1893" s="1" t="str">
        <f>TEXT(Table4_2[[#This Row],[Date]],"dddd")</f>
        <v>Friday</v>
      </c>
      <c r="D1893" s="21">
        <v>33.5</v>
      </c>
      <c r="E1893" s="21">
        <v>73</v>
      </c>
      <c r="F1893" s="21">
        <v>597</v>
      </c>
      <c r="G1893" s="21">
        <v>6.7</v>
      </c>
      <c r="H1893">
        <v>2</v>
      </c>
      <c r="I1893">
        <v>92.3</v>
      </c>
      <c r="J1893">
        <v>0.73</v>
      </c>
      <c r="K1893" t="str" cm="1">
        <f t="array" ref="K1893">_xlfn.IFS(Table4_2[[#This Row],[Growth Days]]&lt;=14,"Seedling",Table4_2[[#This Row],[Growth Days]]&lt;=35, "Vegetative",Table4_2[[#This Row],[Growth Days]]&lt;=50, "Maturity")</f>
        <v>Seedling</v>
      </c>
      <c r="L1893" t="str">
        <f>IF(Table4_2[[#This Row],[TDS Value (ppm)]]&lt;560, "Low", IF(Table4_2[[#This Row],[TDS Value (ppm)]]&lt;=800,"Optimal","High"))</f>
        <v>Optimal</v>
      </c>
    </row>
    <row r="1894" spans="1:12" x14ac:dyDescent="0.25">
      <c r="A1894">
        <v>20</v>
      </c>
      <c r="B1894" s="1">
        <v>45149</v>
      </c>
      <c r="C1894" s="1" t="str">
        <f>TEXT(Table4_2[[#This Row],[Date]],"dddd")</f>
        <v>Friday</v>
      </c>
      <c r="D1894" s="21">
        <v>31.9</v>
      </c>
      <c r="E1894" s="21">
        <v>50</v>
      </c>
      <c r="F1894" s="21">
        <v>592</v>
      </c>
      <c r="G1894" s="21">
        <v>6.6</v>
      </c>
      <c r="H1894">
        <v>9</v>
      </c>
      <c r="I1894">
        <v>89.42</v>
      </c>
      <c r="J1894">
        <v>0.5</v>
      </c>
      <c r="K1894" t="str" cm="1">
        <f t="array" ref="K1894">_xlfn.IFS(Table4_2[[#This Row],[Growth Days]]&lt;=14,"Seedling",Table4_2[[#This Row],[Growth Days]]&lt;=35, "Vegetative",Table4_2[[#This Row],[Growth Days]]&lt;=50, "Maturity")</f>
        <v>Seedling</v>
      </c>
      <c r="L1894" t="str">
        <f>IF(Table4_2[[#This Row],[TDS Value (ppm)]]&lt;560, "Low", IF(Table4_2[[#This Row],[TDS Value (ppm)]]&lt;=800,"Optimal","High"))</f>
        <v>Optimal</v>
      </c>
    </row>
    <row r="1895" spans="1:12" x14ac:dyDescent="0.25">
      <c r="A1895">
        <v>20</v>
      </c>
      <c r="B1895" s="1">
        <v>45156</v>
      </c>
      <c r="C1895" s="1" t="str">
        <f>TEXT(Table4_2[[#This Row],[Date]],"dddd")</f>
        <v>Friday</v>
      </c>
      <c r="D1895" s="21">
        <v>30.9</v>
      </c>
      <c r="E1895" s="21">
        <v>61</v>
      </c>
      <c r="F1895" s="21">
        <v>717</v>
      </c>
      <c r="G1895" s="21">
        <v>6.4</v>
      </c>
      <c r="H1895">
        <v>16</v>
      </c>
      <c r="I1895">
        <v>87.62</v>
      </c>
      <c r="J1895">
        <v>0.61</v>
      </c>
      <c r="K1895" t="str" cm="1">
        <f t="array" ref="K1895">_xlfn.IFS(Table4_2[[#This Row],[Growth Days]]&lt;=14,"Seedling",Table4_2[[#This Row],[Growth Days]]&lt;=35, "Vegetative",Table4_2[[#This Row],[Growth Days]]&lt;=50, "Maturity")</f>
        <v>Vegetative</v>
      </c>
      <c r="L1895" t="str">
        <f>IF(Table4_2[[#This Row],[TDS Value (ppm)]]&lt;560, "Low", IF(Table4_2[[#This Row],[TDS Value (ppm)]]&lt;=800,"Optimal","High"))</f>
        <v>Optimal</v>
      </c>
    </row>
    <row r="1896" spans="1:12" x14ac:dyDescent="0.25">
      <c r="A1896">
        <v>20</v>
      </c>
      <c r="B1896" s="1">
        <v>45163</v>
      </c>
      <c r="C1896" s="1" t="str">
        <f>TEXT(Table4_2[[#This Row],[Date]],"dddd")</f>
        <v>Friday</v>
      </c>
      <c r="D1896" s="21">
        <v>31.4</v>
      </c>
      <c r="E1896" s="21">
        <v>76</v>
      </c>
      <c r="F1896" s="21">
        <v>796</v>
      </c>
      <c r="G1896" s="21">
        <v>6.8</v>
      </c>
      <c r="H1896">
        <v>23</v>
      </c>
      <c r="I1896">
        <v>88.52</v>
      </c>
      <c r="J1896">
        <v>0.76</v>
      </c>
      <c r="K1896" t="str" cm="1">
        <f t="array" ref="K1896">_xlfn.IFS(Table4_2[[#This Row],[Growth Days]]&lt;=14,"Seedling",Table4_2[[#This Row],[Growth Days]]&lt;=35, "Vegetative",Table4_2[[#This Row],[Growth Days]]&lt;=50, "Maturity")</f>
        <v>Vegetative</v>
      </c>
      <c r="L1896" t="str">
        <f>IF(Table4_2[[#This Row],[TDS Value (ppm)]]&lt;560, "Low", IF(Table4_2[[#This Row],[TDS Value (ppm)]]&lt;=800,"Optimal","High"))</f>
        <v>Optimal</v>
      </c>
    </row>
    <row r="1897" spans="1:12" x14ac:dyDescent="0.25">
      <c r="A1897">
        <v>20</v>
      </c>
      <c r="B1897" s="1">
        <v>45170</v>
      </c>
      <c r="C1897" s="1" t="str">
        <f>TEXT(Table4_2[[#This Row],[Date]],"dddd")</f>
        <v>Friday</v>
      </c>
      <c r="D1897" s="21">
        <v>31.7</v>
      </c>
      <c r="E1897" s="21">
        <v>75</v>
      </c>
      <c r="F1897" s="21">
        <v>502</v>
      </c>
      <c r="G1897" s="21">
        <v>6.5</v>
      </c>
      <c r="H1897">
        <v>30</v>
      </c>
      <c r="I1897">
        <v>89.06</v>
      </c>
      <c r="J1897">
        <v>0.75</v>
      </c>
      <c r="K1897" t="str" cm="1">
        <f t="array" ref="K1897">_xlfn.IFS(Table4_2[[#This Row],[Growth Days]]&lt;=14,"Seedling",Table4_2[[#This Row],[Growth Days]]&lt;=35, "Vegetative",Table4_2[[#This Row],[Growth Days]]&lt;=50, "Maturity")</f>
        <v>Vegetative</v>
      </c>
      <c r="L1897" t="str">
        <f>IF(Table4_2[[#This Row],[TDS Value (ppm)]]&lt;560, "Low", IF(Table4_2[[#This Row],[TDS Value (ppm)]]&lt;=800,"Optimal","High"))</f>
        <v>Low</v>
      </c>
    </row>
    <row r="1898" spans="1:12" x14ac:dyDescent="0.25">
      <c r="A1898">
        <v>20</v>
      </c>
      <c r="B1898" s="1">
        <v>45177</v>
      </c>
      <c r="C1898" s="1" t="str">
        <f>TEXT(Table4_2[[#This Row],[Date]],"dddd")</f>
        <v>Friday</v>
      </c>
      <c r="D1898" s="21">
        <v>29.8</v>
      </c>
      <c r="E1898" s="21">
        <v>51</v>
      </c>
      <c r="F1898" s="21">
        <v>591</v>
      </c>
      <c r="G1898" s="21">
        <v>6.6</v>
      </c>
      <c r="H1898">
        <v>37</v>
      </c>
      <c r="I1898">
        <v>85.64</v>
      </c>
      <c r="J1898">
        <v>0.51</v>
      </c>
      <c r="K1898" t="str" cm="1">
        <f t="array" ref="K1898">_xlfn.IFS(Table4_2[[#This Row],[Growth Days]]&lt;=14,"Seedling",Table4_2[[#This Row],[Growth Days]]&lt;=35, "Vegetative",Table4_2[[#This Row],[Growth Days]]&lt;=50, "Maturity")</f>
        <v>Maturity</v>
      </c>
      <c r="L1898" t="str">
        <f>IF(Table4_2[[#This Row],[TDS Value (ppm)]]&lt;560, "Low", IF(Table4_2[[#This Row],[TDS Value (ppm)]]&lt;=800,"Optimal","High"))</f>
        <v>Optimal</v>
      </c>
    </row>
    <row r="1899" spans="1:12" x14ac:dyDescent="0.25">
      <c r="A1899">
        <v>20</v>
      </c>
      <c r="B1899" s="1">
        <v>45184</v>
      </c>
      <c r="C1899" s="1" t="str">
        <f>TEXT(Table4_2[[#This Row],[Date]],"dddd")</f>
        <v>Friday</v>
      </c>
      <c r="D1899" s="21">
        <v>30.6</v>
      </c>
      <c r="E1899" s="21">
        <v>70</v>
      </c>
      <c r="F1899" s="21">
        <v>505</v>
      </c>
      <c r="G1899" s="21">
        <v>6.8</v>
      </c>
      <c r="H1899">
        <v>44</v>
      </c>
      <c r="I1899">
        <v>87.08</v>
      </c>
      <c r="J1899">
        <v>0.7</v>
      </c>
      <c r="K1899" t="str" cm="1">
        <f t="array" ref="K1899">_xlfn.IFS(Table4_2[[#This Row],[Growth Days]]&lt;=14,"Seedling",Table4_2[[#This Row],[Growth Days]]&lt;=35, "Vegetative",Table4_2[[#This Row],[Growth Days]]&lt;=50, "Maturity")</f>
        <v>Maturity</v>
      </c>
      <c r="L1899" t="str">
        <f>IF(Table4_2[[#This Row],[TDS Value (ppm)]]&lt;560, "Low", IF(Table4_2[[#This Row],[TDS Value (ppm)]]&lt;=800,"Optimal","High"))</f>
        <v>Low</v>
      </c>
    </row>
    <row r="1900" spans="1:12" x14ac:dyDescent="0.25">
      <c r="A1900">
        <v>21</v>
      </c>
      <c r="B1900" s="1">
        <v>45142</v>
      </c>
      <c r="C1900" s="1" t="str">
        <f>TEXT(Table4_2[[#This Row],[Date]],"dddd")</f>
        <v>Friday</v>
      </c>
      <c r="D1900" s="21">
        <v>33.5</v>
      </c>
      <c r="E1900" s="21">
        <v>65</v>
      </c>
      <c r="F1900" s="21">
        <v>626</v>
      </c>
      <c r="G1900" s="21">
        <v>6.7</v>
      </c>
      <c r="H1900">
        <v>2</v>
      </c>
      <c r="I1900">
        <v>92.3</v>
      </c>
      <c r="J1900">
        <v>0.65</v>
      </c>
      <c r="K1900" t="str" cm="1">
        <f t="array" ref="K1900">_xlfn.IFS(Table4_2[[#This Row],[Growth Days]]&lt;=14,"Seedling",Table4_2[[#This Row],[Growth Days]]&lt;=35, "Vegetative",Table4_2[[#This Row],[Growth Days]]&lt;=50, "Maturity")</f>
        <v>Seedling</v>
      </c>
      <c r="L1900" t="str">
        <f>IF(Table4_2[[#This Row],[TDS Value (ppm)]]&lt;560, "Low", IF(Table4_2[[#This Row],[TDS Value (ppm)]]&lt;=800,"Optimal","High"))</f>
        <v>Optimal</v>
      </c>
    </row>
    <row r="1901" spans="1:12" x14ac:dyDescent="0.25">
      <c r="A1901">
        <v>21</v>
      </c>
      <c r="B1901" s="1">
        <v>45149</v>
      </c>
      <c r="C1901" s="1" t="str">
        <f>TEXT(Table4_2[[#This Row],[Date]],"dddd")</f>
        <v>Friday</v>
      </c>
      <c r="D1901" s="21">
        <v>31.9</v>
      </c>
      <c r="E1901" s="21">
        <v>78</v>
      </c>
      <c r="F1901" s="21">
        <v>510</v>
      </c>
      <c r="G1901" s="21">
        <v>6.5</v>
      </c>
      <c r="H1901">
        <v>9</v>
      </c>
      <c r="I1901">
        <v>89.42</v>
      </c>
      <c r="J1901">
        <v>0.78</v>
      </c>
      <c r="K1901" t="str" cm="1">
        <f t="array" ref="K1901">_xlfn.IFS(Table4_2[[#This Row],[Growth Days]]&lt;=14,"Seedling",Table4_2[[#This Row],[Growth Days]]&lt;=35, "Vegetative",Table4_2[[#This Row],[Growth Days]]&lt;=50, "Maturity")</f>
        <v>Seedling</v>
      </c>
      <c r="L1901" t="str">
        <f>IF(Table4_2[[#This Row],[TDS Value (ppm)]]&lt;560, "Low", IF(Table4_2[[#This Row],[TDS Value (ppm)]]&lt;=800,"Optimal","High"))</f>
        <v>Low</v>
      </c>
    </row>
    <row r="1902" spans="1:12" x14ac:dyDescent="0.25">
      <c r="A1902">
        <v>21</v>
      </c>
      <c r="B1902" s="1">
        <v>45156</v>
      </c>
      <c r="C1902" s="1" t="str">
        <f>TEXT(Table4_2[[#This Row],[Date]],"dddd")</f>
        <v>Friday</v>
      </c>
      <c r="D1902" s="21">
        <v>30.9</v>
      </c>
      <c r="E1902" s="21">
        <v>53</v>
      </c>
      <c r="F1902" s="21">
        <v>778</v>
      </c>
      <c r="G1902" s="21">
        <v>6.4</v>
      </c>
      <c r="H1902">
        <v>16</v>
      </c>
      <c r="I1902">
        <v>87.62</v>
      </c>
      <c r="J1902">
        <v>0.53</v>
      </c>
      <c r="K1902" t="str" cm="1">
        <f t="array" ref="K1902">_xlfn.IFS(Table4_2[[#This Row],[Growth Days]]&lt;=14,"Seedling",Table4_2[[#This Row],[Growth Days]]&lt;=35, "Vegetative",Table4_2[[#This Row],[Growth Days]]&lt;=50, "Maturity")</f>
        <v>Vegetative</v>
      </c>
      <c r="L1902" t="str">
        <f>IF(Table4_2[[#This Row],[TDS Value (ppm)]]&lt;560, "Low", IF(Table4_2[[#This Row],[TDS Value (ppm)]]&lt;=800,"Optimal","High"))</f>
        <v>Optimal</v>
      </c>
    </row>
    <row r="1903" spans="1:12" x14ac:dyDescent="0.25">
      <c r="A1903">
        <v>21</v>
      </c>
      <c r="B1903" s="1">
        <v>45163</v>
      </c>
      <c r="C1903" s="1" t="str">
        <f>TEXT(Table4_2[[#This Row],[Date]],"dddd")</f>
        <v>Friday</v>
      </c>
      <c r="D1903" s="21">
        <v>31.4</v>
      </c>
      <c r="E1903" s="21">
        <v>60</v>
      </c>
      <c r="F1903" s="21">
        <v>640</v>
      </c>
      <c r="G1903" s="21">
        <v>6.8</v>
      </c>
      <c r="H1903">
        <v>23</v>
      </c>
      <c r="I1903">
        <v>88.52</v>
      </c>
      <c r="J1903">
        <v>0.6</v>
      </c>
      <c r="K1903" t="str" cm="1">
        <f t="array" ref="K1903">_xlfn.IFS(Table4_2[[#This Row],[Growth Days]]&lt;=14,"Seedling",Table4_2[[#This Row],[Growth Days]]&lt;=35, "Vegetative",Table4_2[[#This Row],[Growth Days]]&lt;=50, "Maturity")</f>
        <v>Vegetative</v>
      </c>
      <c r="L1903" t="str">
        <f>IF(Table4_2[[#This Row],[TDS Value (ppm)]]&lt;560, "Low", IF(Table4_2[[#This Row],[TDS Value (ppm)]]&lt;=800,"Optimal","High"))</f>
        <v>Optimal</v>
      </c>
    </row>
    <row r="1904" spans="1:12" x14ac:dyDescent="0.25">
      <c r="A1904">
        <v>21</v>
      </c>
      <c r="B1904" s="1">
        <v>45170</v>
      </c>
      <c r="C1904" s="1" t="str">
        <f>TEXT(Table4_2[[#This Row],[Date]],"dddd")</f>
        <v>Friday</v>
      </c>
      <c r="D1904" s="21">
        <v>31.7</v>
      </c>
      <c r="E1904" s="21">
        <v>60</v>
      </c>
      <c r="F1904" s="21">
        <v>511</v>
      </c>
      <c r="G1904" s="21">
        <v>6.6</v>
      </c>
      <c r="H1904">
        <v>30</v>
      </c>
      <c r="I1904">
        <v>89.06</v>
      </c>
      <c r="J1904">
        <v>0.6</v>
      </c>
      <c r="K1904" t="str" cm="1">
        <f t="array" ref="K1904">_xlfn.IFS(Table4_2[[#This Row],[Growth Days]]&lt;=14,"Seedling",Table4_2[[#This Row],[Growth Days]]&lt;=35, "Vegetative",Table4_2[[#This Row],[Growth Days]]&lt;=50, "Maturity")</f>
        <v>Vegetative</v>
      </c>
      <c r="L1904" t="str">
        <f>IF(Table4_2[[#This Row],[TDS Value (ppm)]]&lt;560, "Low", IF(Table4_2[[#This Row],[TDS Value (ppm)]]&lt;=800,"Optimal","High"))</f>
        <v>Low</v>
      </c>
    </row>
    <row r="1905" spans="1:12" x14ac:dyDescent="0.25">
      <c r="A1905">
        <v>21</v>
      </c>
      <c r="B1905" s="1">
        <v>45177</v>
      </c>
      <c r="C1905" s="1" t="str">
        <f>TEXT(Table4_2[[#This Row],[Date]],"dddd")</f>
        <v>Friday</v>
      </c>
      <c r="D1905" s="21">
        <v>29.8</v>
      </c>
      <c r="E1905" s="21">
        <v>64</v>
      </c>
      <c r="F1905" s="21">
        <v>550</v>
      </c>
      <c r="G1905" s="21">
        <v>6.2</v>
      </c>
      <c r="H1905">
        <v>37</v>
      </c>
      <c r="I1905">
        <v>85.64</v>
      </c>
      <c r="J1905">
        <v>0.64</v>
      </c>
      <c r="K1905" t="str" cm="1">
        <f t="array" ref="K1905">_xlfn.IFS(Table4_2[[#This Row],[Growth Days]]&lt;=14,"Seedling",Table4_2[[#This Row],[Growth Days]]&lt;=35, "Vegetative",Table4_2[[#This Row],[Growth Days]]&lt;=50, "Maturity")</f>
        <v>Maturity</v>
      </c>
      <c r="L1905" t="str">
        <f>IF(Table4_2[[#This Row],[TDS Value (ppm)]]&lt;560, "Low", IF(Table4_2[[#This Row],[TDS Value (ppm)]]&lt;=800,"Optimal","High"))</f>
        <v>Low</v>
      </c>
    </row>
    <row r="1906" spans="1:12" x14ac:dyDescent="0.25">
      <c r="A1906">
        <v>21</v>
      </c>
      <c r="B1906" s="1">
        <v>45184</v>
      </c>
      <c r="C1906" s="1" t="str">
        <f>TEXT(Table4_2[[#This Row],[Date]],"dddd")</f>
        <v>Friday</v>
      </c>
      <c r="D1906" s="21">
        <v>30.6</v>
      </c>
      <c r="E1906" s="21">
        <v>76</v>
      </c>
      <c r="F1906" s="21">
        <v>528</v>
      </c>
      <c r="G1906" s="21">
        <v>6.4</v>
      </c>
      <c r="H1906">
        <v>44</v>
      </c>
      <c r="I1906">
        <v>87.08</v>
      </c>
      <c r="J1906">
        <v>0.76</v>
      </c>
      <c r="K1906" t="str" cm="1">
        <f t="array" ref="K1906">_xlfn.IFS(Table4_2[[#This Row],[Growth Days]]&lt;=14,"Seedling",Table4_2[[#This Row],[Growth Days]]&lt;=35, "Vegetative",Table4_2[[#This Row],[Growth Days]]&lt;=50, "Maturity")</f>
        <v>Maturity</v>
      </c>
      <c r="L1906" t="str">
        <f>IF(Table4_2[[#This Row],[TDS Value (ppm)]]&lt;560, "Low", IF(Table4_2[[#This Row],[TDS Value (ppm)]]&lt;=800,"Optimal","High"))</f>
        <v>Low</v>
      </c>
    </row>
    <row r="1907" spans="1:12" x14ac:dyDescent="0.25">
      <c r="A1907">
        <v>22</v>
      </c>
      <c r="B1907" s="1">
        <v>45142</v>
      </c>
      <c r="C1907" s="1" t="str">
        <f>TEXT(Table4_2[[#This Row],[Date]],"dddd")</f>
        <v>Friday</v>
      </c>
      <c r="D1907" s="21">
        <v>33.5</v>
      </c>
      <c r="E1907" s="21">
        <v>63</v>
      </c>
      <c r="F1907" s="21">
        <v>800</v>
      </c>
      <c r="G1907" s="21">
        <v>6.5</v>
      </c>
      <c r="H1907">
        <v>2</v>
      </c>
      <c r="I1907">
        <v>92.3</v>
      </c>
      <c r="J1907">
        <v>0.63</v>
      </c>
      <c r="K1907" t="str" cm="1">
        <f t="array" ref="K1907">_xlfn.IFS(Table4_2[[#This Row],[Growth Days]]&lt;=14,"Seedling",Table4_2[[#This Row],[Growth Days]]&lt;=35, "Vegetative",Table4_2[[#This Row],[Growth Days]]&lt;=50, "Maturity")</f>
        <v>Seedling</v>
      </c>
      <c r="L1907" t="str">
        <f>IF(Table4_2[[#This Row],[TDS Value (ppm)]]&lt;560, "Low", IF(Table4_2[[#This Row],[TDS Value (ppm)]]&lt;=800,"Optimal","High"))</f>
        <v>Optimal</v>
      </c>
    </row>
    <row r="1908" spans="1:12" x14ac:dyDescent="0.25">
      <c r="A1908">
        <v>22</v>
      </c>
      <c r="B1908" s="1">
        <v>45149</v>
      </c>
      <c r="C1908" s="1" t="str">
        <f>TEXT(Table4_2[[#This Row],[Date]],"dddd")</f>
        <v>Friday</v>
      </c>
      <c r="D1908" s="21">
        <v>31.9</v>
      </c>
      <c r="E1908" s="21">
        <v>74</v>
      </c>
      <c r="F1908" s="21">
        <v>480</v>
      </c>
      <c r="G1908" s="21">
        <v>6.7</v>
      </c>
      <c r="H1908">
        <v>9</v>
      </c>
      <c r="I1908">
        <v>89.42</v>
      </c>
      <c r="J1908">
        <v>0.74</v>
      </c>
      <c r="K1908" t="str" cm="1">
        <f t="array" ref="K1908">_xlfn.IFS(Table4_2[[#This Row],[Growth Days]]&lt;=14,"Seedling",Table4_2[[#This Row],[Growth Days]]&lt;=35, "Vegetative",Table4_2[[#This Row],[Growth Days]]&lt;=50, "Maturity")</f>
        <v>Seedling</v>
      </c>
      <c r="L1908" t="str">
        <f>IF(Table4_2[[#This Row],[TDS Value (ppm)]]&lt;560, "Low", IF(Table4_2[[#This Row],[TDS Value (ppm)]]&lt;=800,"Optimal","High"))</f>
        <v>Low</v>
      </c>
    </row>
    <row r="1909" spans="1:12" x14ac:dyDescent="0.25">
      <c r="A1909">
        <v>22</v>
      </c>
      <c r="B1909" s="1">
        <v>45156</v>
      </c>
      <c r="C1909" s="1" t="str">
        <f>TEXT(Table4_2[[#This Row],[Date]],"dddd")</f>
        <v>Friday</v>
      </c>
      <c r="D1909" s="21">
        <v>30.9</v>
      </c>
      <c r="E1909" s="21">
        <v>56</v>
      </c>
      <c r="F1909" s="21">
        <v>734</v>
      </c>
      <c r="G1909" s="21">
        <v>6.6</v>
      </c>
      <c r="H1909">
        <v>16</v>
      </c>
      <c r="I1909">
        <v>87.62</v>
      </c>
      <c r="J1909">
        <v>0.56000000000000005</v>
      </c>
      <c r="K1909" t="str" cm="1">
        <f t="array" ref="K1909">_xlfn.IFS(Table4_2[[#This Row],[Growth Days]]&lt;=14,"Seedling",Table4_2[[#This Row],[Growth Days]]&lt;=35, "Vegetative",Table4_2[[#This Row],[Growth Days]]&lt;=50, "Maturity")</f>
        <v>Vegetative</v>
      </c>
      <c r="L1909" t="str">
        <f>IF(Table4_2[[#This Row],[TDS Value (ppm)]]&lt;560, "Low", IF(Table4_2[[#This Row],[TDS Value (ppm)]]&lt;=800,"Optimal","High"))</f>
        <v>Optimal</v>
      </c>
    </row>
    <row r="1910" spans="1:12" x14ac:dyDescent="0.25">
      <c r="A1910">
        <v>22</v>
      </c>
      <c r="B1910" s="1">
        <v>45163</v>
      </c>
      <c r="C1910" s="1" t="str">
        <f>TEXT(Table4_2[[#This Row],[Date]],"dddd")</f>
        <v>Friday</v>
      </c>
      <c r="D1910" s="21">
        <v>31.4</v>
      </c>
      <c r="E1910" s="21">
        <v>68</v>
      </c>
      <c r="F1910" s="21">
        <v>609</v>
      </c>
      <c r="G1910" s="21">
        <v>6.1</v>
      </c>
      <c r="H1910">
        <v>23</v>
      </c>
      <c r="I1910">
        <v>88.52</v>
      </c>
      <c r="J1910">
        <v>0.68</v>
      </c>
      <c r="K1910" t="str" cm="1">
        <f t="array" ref="K1910">_xlfn.IFS(Table4_2[[#This Row],[Growth Days]]&lt;=14,"Seedling",Table4_2[[#This Row],[Growth Days]]&lt;=35, "Vegetative",Table4_2[[#This Row],[Growth Days]]&lt;=50, "Maturity")</f>
        <v>Vegetative</v>
      </c>
      <c r="L1910" t="str">
        <f>IF(Table4_2[[#This Row],[TDS Value (ppm)]]&lt;560, "Low", IF(Table4_2[[#This Row],[TDS Value (ppm)]]&lt;=800,"Optimal","High"))</f>
        <v>Optimal</v>
      </c>
    </row>
    <row r="1911" spans="1:12" x14ac:dyDescent="0.25">
      <c r="A1911">
        <v>22</v>
      </c>
      <c r="B1911" s="1">
        <v>45170</v>
      </c>
      <c r="C1911" s="1" t="str">
        <f>TEXT(Table4_2[[#This Row],[Date]],"dddd")</f>
        <v>Friday</v>
      </c>
      <c r="D1911" s="21">
        <v>31.7</v>
      </c>
      <c r="E1911" s="21">
        <v>77</v>
      </c>
      <c r="F1911" s="21">
        <v>783</v>
      </c>
      <c r="G1911" s="21">
        <v>6.2</v>
      </c>
      <c r="H1911">
        <v>30</v>
      </c>
      <c r="I1911">
        <v>89.06</v>
      </c>
      <c r="J1911">
        <v>0.77</v>
      </c>
      <c r="K1911" t="str" cm="1">
        <f t="array" ref="K1911">_xlfn.IFS(Table4_2[[#This Row],[Growth Days]]&lt;=14,"Seedling",Table4_2[[#This Row],[Growth Days]]&lt;=35, "Vegetative",Table4_2[[#This Row],[Growth Days]]&lt;=50, "Maturity")</f>
        <v>Vegetative</v>
      </c>
      <c r="L1911" t="str">
        <f>IF(Table4_2[[#This Row],[TDS Value (ppm)]]&lt;560, "Low", IF(Table4_2[[#This Row],[TDS Value (ppm)]]&lt;=800,"Optimal","High"))</f>
        <v>Optimal</v>
      </c>
    </row>
    <row r="1912" spans="1:12" x14ac:dyDescent="0.25">
      <c r="A1912">
        <v>22</v>
      </c>
      <c r="B1912" s="1">
        <v>45177</v>
      </c>
      <c r="C1912" s="1" t="str">
        <f>TEXT(Table4_2[[#This Row],[Date]],"dddd")</f>
        <v>Friday</v>
      </c>
      <c r="D1912" s="21">
        <v>29.8</v>
      </c>
      <c r="E1912" s="21">
        <v>71</v>
      </c>
      <c r="F1912" s="21">
        <v>665</v>
      </c>
      <c r="G1912" s="21">
        <v>6.4</v>
      </c>
      <c r="H1912">
        <v>37</v>
      </c>
      <c r="I1912">
        <v>85.64</v>
      </c>
      <c r="J1912">
        <v>0.71</v>
      </c>
      <c r="K1912" t="str" cm="1">
        <f t="array" ref="K1912">_xlfn.IFS(Table4_2[[#This Row],[Growth Days]]&lt;=14,"Seedling",Table4_2[[#This Row],[Growth Days]]&lt;=35, "Vegetative",Table4_2[[#This Row],[Growth Days]]&lt;=50, "Maturity")</f>
        <v>Maturity</v>
      </c>
      <c r="L1912" t="str">
        <f>IF(Table4_2[[#This Row],[TDS Value (ppm)]]&lt;560, "Low", IF(Table4_2[[#This Row],[TDS Value (ppm)]]&lt;=800,"Optimal","High"))</f>
        <v>Optimal</v>
      </c>
    </row>
    <row r="1913" spans="1:12" x14ac:dyDescent="0.25">
      <c r="A1913">
        <v>22</v>
      </c>
      <c r="B1913" s="1">
        <v>45184</v>
      </c>
      <c r="C1913" s="1" t="str">
        <f>TEXT(Table4_2[[#This Row],[Date]],"dddd")</f>
        <v>Friday</v>
      </c>
      <c r="D1913" s="21">
        <v>30.6</v>
      </c>
      <c r="E1913" s="21">
        <v>60</v>
      </c>
      <c r="F1913" s="21">
        <v>664</v>
      </c>
      <c r="G1913" s="21">
        <v>6.6</v>
      </c>
      <c r="H1913">
        <v>44</v>
      </c>
      <c r="I1913">
        <v>87.08</v>
      </c>
      <c r="J1913">
        <v>0.6</v>
      </c>
      <c r="K1913" t="str" cm="1">
        <f t="array" ref="K1913">_xlfn.IFS(Table4_2[[#This Row],[Growth Days]]&lt;=14,"Seedling",Table4_2[[#This Row],[Growth Days]]&lt;=35, "Vegetative",Table4_2[[#This Row],[Growth Days]]&lt;=50, "Maturity")</f>
        <v>Maturity</v>
      </c>
      <c r="L1913" t="str">
        <f>IF(Table4_2[[#This Row],[TDS Value (ppm)]]&lt;560, "Low", IF(Table4_2[[#This Row],[TDS Value (ppm)]]&lt;=800,"Optimal","High"))</f>
        <v>Optimal</v>
      </c>
    </row>
    <row r="1914" spans="1:12" x14ac:dyDescent="0.25">
      <c r="A1914">
        <v>23</v>
      </c>
      <c r="B1914" s="1">
        <v>45142</v>
      </c>
      <c r="C1914" s="1" t="str">
        <f>TEXT(Table4_2[[#This Row],[Date]],"dddd")</f>
        <v>Friday</v>
      </c>
      <c r="D1914" s="21">
        <v>33.5</v>
      </c>
      <c r="E1914" s="21">
        <v>56</v>
      </c>
      <c r="F1914" s="21">
        <v>476</v>
      </c>
      <c r="G1914" s="21">
        <v>6.5</v>
      </c>
      <c r="H1914">
        <v>2</v>
      </c>
      <c r="I1914">
        <v>92.3</v>
      </c>
      <c r="J1914">
        <v>0.56000000000000005</v>
      </c>
      <c r="K1914" t="str" cm="1">
        <f t="array" ref="K1914">_xlfn.IFS(Table4_2[[#This Row],[Growth Days]]&lt;=14,"Seedling",Table4_2[[#This Row],[Growth Days]]&lt;=35, "Vegetative",Table4_2[[#This Row],[Growth Days]]&lt;=50, "Maturity")</f>
        <v>Seedling</v>
      </c>
      <c r="L1914" t="str">
        <f>IF(Table4_2[[#This Row],[TDS Value (ppm)]]&lt;560, "Low", IF(Table4_2[[#This Row],[TDS Value (ppm)]]&lt;=800,"Optimal","High"))</f>
        <v>Low</v>
      </c>
    </row>
    <row r="1915" spans="1:12" x14ac:dyDescent="0.25">
      <c r="A1915">
        <v>23</v>
      </c>
      <c r="B1915" s="1">
        <v>45149</v>
      </c>
      <c r="C1915" s="1" t="str">
        <f>TEXT(Table4_2[[#This Row],[Date]],"dddd")</f>
        <v>Friday</v>
      </c>
      <c r="D1915" s="21">
        <v>31.9</v>
      </c>
      <c r="E1915" s="21">
        <v>78</v>
      </c>
      <c r="F1915" s="21">
        <v>497</v>
      </c>
      <c r="G1915" s="21">
        <v>6.5</v>
      </c>
      <c r="H1915">
        <v>9</v>
      </c>
      <c r="I1915">
        <v>89.42</v>
      </c>
      <c r="J1915">
        <v>0.78</v>
      </c>
      <c r="K1915" t="str" cm="1">
        <f t="array" ref="K1915">_xlfn.IFS(Table4_2[[#This Row],[Growth Days]]&lt;=14,"Seedling",Table4_2[[#This Row],[Growth Days]]&lt;=35, "Vegetative",Table4_2[[#This Row],[Growth Days]]&lt;=50, "Maturity")</f>
        <v>Seedling</v>
      </c>
      <c r="L1915" t="str">
        <f>IF(Table4_2[[#This Row],[TDS Value (ppm)]]&lt;560, "Low", IF(Table4_2[[#This Row],[TDS Value (ppm)]]&lt;=800,"Optimal","High"))</f>
        <v>Low</v>
      </c>
    </row>
    <row r="1916" spans="1:12" x14ac:dyDescent="0.25">
      <c r="A1916">
        <v>23</v>
      </c>
      <c r="B1916" s="1">
        <v>45156</v>
      </c>
      <c r="C1916" s="1" t="str">
        <f>TEXT(Table4_2[[#This Row],[Date]],"dddd")</f>
        <v>Friday</v>
      </c>
      <c r="D1916" s="21">
        <v>30.9</v>
      </c>
      <c r="E1916" s="21">
        <v>74</v>
      </c>
      <c r="F1916" s="21">
        <v>612</v>
      </c>
      <c r="G1916" s="21">
        <v>6.5</v>
      </c>
      <c r="H1916">
        <v>16</v>
      </c>
      <c r="I1916">
        <v>87.62</v>
      </c>
      <c r="J1916">
        <v>0.74</v>
      </c>
      <c r="K1916" t="str" cm="1">
        <f t="array" ref="K1916">_xlfn.IFS(Table4_2[[#This Row],[Growth Days]]&lt;=14,"Seedling",Table4_2[[#This Row],[Growth Days]]&lt;=35, "Vegetative",Table4_2[[#This Row],[Growth Days]]&lt;=50, "Maturity")</f>
        <v>Vegetative</v>
      </c>
      <c r="L1916" t="str">
        <f>IF(Table4_2[[#This Row],[TDS Value (ppm)]]&lt;560, "Low", IF(Table4_2[[#This Row],[TDS Value (ppm)]]&lt;=800,"Optimal","High"))</f>
        <v>Optimal</v>
      </c>
    </row>
    <row r="1917" spans="1:12" x14ac:dyDescent="0.25">
      <c r="A1917">
        <v>23</v>
      </c>
      <c r="B1917" s="1">
        <v>45163</v>
      </c>
      <c r="C1917" s="1" t="str">
        <f>TEXT(Table4_2[[#This Row],[Date]],"dddd")</f>
        <v>Friday</v>
      </c>
      <c r="D1917" s="21">
        <v>31.4</v>
      </c>
      <c r="E1917" s="21">
        <v>51</v>
      </c>
      <c r="F1917" s="21">
        <v>778</v>
      </c>
      <c r="G1917" s="21">
        <v>6</v>
      </c>
      <c r="H1917">
        <v>23</v>
      </c>
      <c r="I1917">
        <v>88.52</v>
      </c>
      <c r="J1917">
        <v>0.51</v>
      </c>
      <c r="K1917" t="str" cm="1">
        <f t="array" ref="K1917">_xlfn.IFS(Table4_2[[#This Row],[Growth Days]]&lt;=14,"Seedling",Table4_2[[#This Row],[Growth Days]]&lt;=35, "Vegetative",Table4_2[[#This Row],[Growth Days]]&lt;=50, "Maturity")</f>
        <v>Vegetative</v>
      </c>
      <c r="L1917" t="str">
        <f>IF(Table4_2[[#This Row],[TDS Value (ppm)]]&lt;560, "Low", IF(Table4_2[[#This Row],[TDS Value (ppm)]]&lt;=800,"Optimal","High"))</f>
        <v>Optimal</v>
      </c>
    </row>
    <row r="1918" spans="1:12" x14ac:dyDescent="0.25">
      <c r="A1918">
        <v>23</v>
      </c>
      <c r="B1918" s="1">
        <v>45170</v>
      </c>
      <c r="C1918" s="1" t="str">
        <f>TEXT(Table4_2[[#This Row],[Date]],"dddd")</f>
        <v>Friday</v>
      </c>
      <c r="D1918" s="21">
        <v>31.7</v>
      </c>
      <c r="E1918" s="21">
        <v>77</v>
      </c>
      <c r="F1918" s="21">
        <v>575</v>
      </c>
      <c r="G1918" s="21">
        <v>6.3</v>
      </c>
      <c r="H1918">
        <v>30</v>
      </c>
      <c r="I1918">
        <v>89.06</v>
      </c>
      <c r="J1918">
        <v>0.77</v>
      </c>
      <c r="K1918" t="str" cm="1">
        <f t="array" ref="K1918">_xlfn.IFS(Table4_2[[#This Row],[Growth Days]]&lt;=14,"Seedling",Table4_2[[#This Row],[Growth Days]]&lt;=35, "Vegetative",Table4_2[[#This Row],[Growth Days]]&lt;=50, "Maturity")</f>
        <v>Vegetative</v>
      </c>
      <c r="L1918" t="str">
        <f>IF(Table4_2[[#This Row],[TDS Value (ppm)]]&lt;560, "Low", IF(Table4_2[[#This Row],[TDS Value (ppm)]]&lt;=800,"Optimal","High"))</f>
        <v>Optimal</v>
      </c>
    </row>
    <row r="1919" spans="1:12" x14ac:dyDescent="0.25">
      <c r="A1919">
        <v>23</v>
      </c>
      <c r="B1919" s="1">
        <v>45177</v>
      </c>
      <c r="C1919" s="1" t="str">
        <f>TEXT(Table4_2[[#This Row],[Date]],"dddd")</f>
        <v>Friday</v>
      </c>
      <c r="D1919" s="21">
        <v>29.8</v>
      </c>
      <c r="E1919" s="21">
        <v>64</v>
      </c>
      <c r="F1919" s="21">
        <v>640</v>
      </c>
      <c r="G1919" s="21">
        <v>6.6</v>
      </c>
      <c r="H1919">
        <v>37</v>
      </c>
      <c r="I1919">
        <v>85.64</v>
      </c>
      <c r="J1919">
        <v>0.64</v>
      </c>
      <c r="K1919" t="str" cm="1">
        <f t="array" ref="K1919">_xlfn.IFS(Table4_2[[#This Row],[Growth Days]]&lt;=14,"Seedling",Table4_2[[#This Row],[Growth Days]]&lt;=35, "Vegetative",Table4_2[[#This Row],[Growth Days]]&lt;=50, "Maturity")</f>
        <v>Maturity</v>
      </c>
      <c r="L1919" t="str">
        <f>IF(Table4_2[[#This Row],[TDS Value (ppm)]]&lt;560, "Low", IF(Table4_2[[#This Row],[TDS Value (ppm)]]&lt;=800,"Optimal","High"))</f>
        <v>Optimal</v>
      </c>
    </row>
    <row r="1920" spans="1:12" x14ac:dyDescent="0.25">
      <c r="A1920">
        <v>23</v>
      </c>
      <c r="B1920" s="1">
        <v>45184</v>
      </c>
      <c r="C1920" s="1" t="str">
        <f>TEXT(Table4_2[[#This Row],[Date]],"dddd")</f>
        <v>Friday</v>
      </c>
      <c r="D1920" s="21">
        <v>30.6</v>
      </c>
      <c r="E1920" s="21">
        <v>55</v>
      </c>
      <c r="F1920" s="21">
        <v>776</v>
      </c>
      <c r="G1920" s="21">
        <v>6.6</v>
      </c>
      <c r="H1920">
        <v>44</v>
      </c>
      <c r="I1920">
        <v>87.08</v>
      </c>
      <c r="J1920">
        <v>0.55000000000000004</v>
      </c>
      <c r="K1920" t="str" cm="1">
        <f t="array" ref="K1920">_xlfn.IFS(Table4_2[[#This Row],[Growth Days]]&lt;=14,"Seedling",Table4_2[[#This Row],[Growth Days]]&lt;=35, "Vegetative",Table4_2[[#This Row],[Growth Days]]&lt;=50, "Maturity")</f>
        <v>Maturity</v>
      </c>
      <c r="L1920" t="str">
        <f>IF(Table4_2[[#This Row],[TDS Value (ppm)]]&lt;560, "Low", IF(Table4_2[[#This Row],[TDS Value (ppm)]]&lt;=800,"Optimal","High"))</f>
        <v>Optimal</v>
      </c>
    </row>
    <row r="1921" spans="1:12" x14ac:dyDescent="0.25">
      <c r="A1921">
        <v>24</v>
      </c>
      <c r="B1921" s="1">
        <v>45142</v>
      </c>
      <c r="C1921" s="1" t="str">
        <f>TEXT(Table4_2[[#This Row],[Date]],"dddd")</f>
        <v>Friday</v>
      </c>
      <c r="D1921" s="21">
        <v>33.4</v>
      </c>
      <c r="E1921" s="21">
        <v>64</v>
      </c>
      <c r="F1921" s="21">
        <v>647</v>
      </c>
      <c r="G1921" s="21">
        <v>6.1</v>
      </c>
      <c r="H1921">
        <v>2</v>
      </c>
      <c r="I1921">
        <v>92.12</v>
      </c>
      <c r="J1921">
        <v>0.64</v>
      </c>
      <c r="K1921" t="str" cm="1">
        <f t="array" ref="K1921">_xlfn.IFS(Table4_2[[#This Row],[Growth Days]]&lt;=14,"Seedling",Table4_2[[#This Row],[Growth Days]]&lt;=35, "Vegetative",Table4_2[[#This Row],[Growth Days]]&lt;=50, "Maturity")</f>
        <v>Seedling</v>
      </c>
      <c r="L1921" t="str">
        <f>IF(Table4_2[[#This Row],[TDS Value (ppm)]]&lt;560, "Low", IF(Table4_2[[#This Row],[TDS Value (ppm)]]&lt;=800,"Optimal","High"))</f>
        <v>Optimal</v>
      </c>
    </row>
    <row r="1922" spans="1:12" x14ac:dyDescent="0.25">
      <c r="A1922">
        <v>24</v>
      </c>
      <c r="B1922" s="1">
        <v>45149</v>
      </c>
      <c r="C1922" s="1" t="str">
        <f>TEXT(Table4_2[[#This Row],[Date]],"dddd")</f>
        <v>Friday</v>
      </c>
      <c r="D1922" s="21">
        <v>30.2</v>
      </c>
      <c r="E1922" s="21">
        <v>70</v>
      </c>
      <c r="F1922" s="21">
        <v>766</v>
      </c>
      <c r="G1922" s="21">
        <v>6</v>
      </c>
      <c r="H1922">
        <v>9</v>
      </c>
      <c r="I1922">
        <v>86.36</v>
      </c>
      <c r="J1922">
        <v>0.7</v>
      </c>
      <c r="K1922" t="str" cm="1">
        <f t="array" ref="K1922">_xlfn.IFS(Table4_2[[#This Row],[Growth Days]]&lt;=14,"Seedling",Table4_2[[#This Row],[Growth Days]]&lt;=35, "Vegetative",Table4_2[[#This Row],[Growth Days]]&lt;=50, "Maturity")</f>
        <v>Seedling</v>
      </c>
      <c r="L1922" t="str">
        <f>IF(Table4_2[[#This Row],[TDS Value (ppm)]]&lt;560, "Low", IF(Table4_2[[#This Row],[TDS Value (ppm)]]&lt;=800,"Optimal","High"))</f>
        <v>Optimal</v>
      </c>
    </row>
    <row r="1923" spans="1:12" x14ac:dyDescent="0.25">
      <c r="A1923">
        <v>24</v>
      </c>
      <c r="B1923" s="1">
        <v>45156</v>
      </c>
      <c r="C1923" s="1" t="str">
        <f>TEXT(Table4_2[[#This Row],[Date]],"dddd")</f>
        <v>Friday</v>
      </c>
      <c r="D1923" s="21">
        <v>30.8</v>
      </c>
      <c r="E1923" s="21">
        <v>67</v>
      </c>
      <c r="F1923" s="21">
        <v>412</v>
      </c>
      <c r="G1923" s="21">
        <v>6.5</v>
      </c>
      <c r="H1923">
        <v>16</v>
      </c>
      <c r="I1923">
        <v>87.44</v>
      </c>
      <c r="J1923">
        <v>0.67</v>
      </c>
      <c r="K1923" t="str" cm="1">
        <f t="array" ref="K1923">_xlfn.IFS(Table4_2[[#This Row],[Growth Days]]&lt;=14,"Seedling",Table4_2[[#This Row],[Growth Days]]&lt;=35, "Vegetative",Table4_2[[#This Row],[Growth Days]]&lt;=50, "Maturity")</f>
        <v>Vegetative</v>
      </c>
      <c r="L1923" t="str">
        <f>IF(Table4_2[[#This Row],[TDS Value (ppm)]]&lt;560, "Low", IF(Table4_2[[#This Row],[TDS Value (ppm)]]&lt;=800,"Optimal","High"))</f>
        <v>Low</v>
      </c>
    </row>
    <row r="1924" spans="1:12" x14ac:dyDescent="0.25">
      <c r="A1924">
        <v>24</v>
      </c>
      <c r="B1924" s="1">
        <v>45163</v>
      </c>
      <c r="C1924" s="1" t="str">
        <f>TEXT(Table4_2[[#This Row],[Date]],"dddd")</f>
        <v>Friday</v>
      </c>
      <c r="D1924" s="21">
        <v>31.4</v>
      </c>
      <c r="E1924" s="21">
        <v>51</v>
      </c>
      <c r="F1924" s="21">
        <v>547</v>
      </c>
      <c r="G1924" s="21">
        <v>6.3</v>
      </c>
      <c r="H1924">
        <v>23</v>
      </c>
      <c r="I1924">
        <v>88.52</v>
      </c>
      <c r="J1924">
        <v>0.51</v>
      </c>
      <c r="K1924" t="str" cm="1">
        <f t="array" ref="K1924">_xlfn.IFS(Table4_2[[#This Row],[Growth Days]]&lt;=14,"Seedling",Table4_2[[#This Row],[Growth Days]]&lt;=35, "Vegetative",Table4_2[[#This Row],[Growth Days]]&lt;=50, "Maturity")</f>
        <v>Vegetative</v>
      </c>
      <c r="L1924" t="str">
        <f>IF(Table4_2[[#This Row],[TDS Value (ppm)]]&lt;560, "Low", IF(Table4_2[[#This Row],[TDS Value (ppm)]]&lt;=800,"Optimal","High"))</f>
        <v>Low</v>
      </c>
    </row>
    <row r="1925" spans="1:12" x14ac:dyDescent="0.25">
      <c r="A1925">
        <v>24</v>
      </c>
      <c r="B1925" s="1">
        <v>45170</v>
      </c>
      <c r="C1925" s="1" t="str">
        <f>TEXT(Table4_2[[#This Row],[Date]],"dddd")</f>
        <v>Friday</v>
      </c>
      <c r="D1925" s="21">
        <v>31.7</v>
      </c>
      <c r="E1925" s="21">
        <v>59</v>
      </c>
      <c r="F1925" s="21">
        <v>532</v>
      </c>
      <c r="G1925" s="21">
        <v>6.5</v>
      </c>
      <c r="H1925">
        <v>30</v>
      </c>
      <c r="I1925">
        <v>89.06</v>
      </c>
      <c r="J1925">
        <v>0.59</v>
      </c>
      <c r="K1925" t="str" cm="1">
        <f t="array" ref="K1925">_xlfn.IFS(Table4_2[[#This Row],[Growth Days]]&lt;=14,"Seedling",Table4_2[[#This Row],[Growth Days]]&lt;=35, "Vegetative",Table4_2[[#This Row],[Growth Days]]&lt;=50, "Maturity")</f>
        <v>Vegetative</v>
      </c>
      <c r="L1925" t="str">
        <f>IF(Table4_2[[#This Row],[TDS Value (ppm)]]&lt;560, "Low", IF(Table4_2[[#This Row],[TDS Value (ppm)]]&lt;=800,"Optimal","High"))</f>
        <v>Low</v>
      </c>
    </row>
    <row r="1926" spans="1:12" x14ac:dyDescent="0.25">
      <c r="A1926">
        <v>24</v>
      </c>
      <c r="B1926" s="1">
        <v>45177</v>
      </c>
      <c r="C1926" s="1" t="str">
        <f>TEXT(Table4_2[[#This Row],[Date]],"dddd")</f>
        <v>Friday</v>
      </c>
      <c r="D1926" s="21">
        <v>20.100000000000001</v>
      </c>
      <c r="E1926" s="21">
        <v>75</v>
      </c>
      <c r="F1926" s="21">
        <v>485</v>
      </c>
      <c r="G1926" s="21">
        <v>6.4</v>
      </c>
      <c r="H1926">
        <v>37</v>
      </c>
      <c r="I1926">
        <v>68.180000000000007</v>
      </c>
      <c r="J1926">
        <v>0.75</v>
      </c>
      <c r="K1926" t="str" cm="1">
        <f t="array" ref="K1926">_xlfn.IFS(Table4_2[[#This Row],[Growth Days]]&lt;=14,"Seedling",Table4_2[[#This Row],[Growth Days]]&lt;=35, "Vegetative",Table4_2[[#This Row],[Growth Days]]&lt;=50, "Maturity")</f>
        <v>Maturity</v>
      </c>
      <c r="L1926" t="str">
        <f>IF(Table4_2[[#This Row],[TDS Value (ppm)]]&lt;560, "Low", IF(Table4_2[[#This Row],[TDS Value (ppm)]]&lt;=800,"Optimal","High"))</f>
        <v>Low</v>
      </c>
    </row>
    <row r="1927" spans="1:12" x14ac:dyDescent="0.25">
      <c r="A1927">
        <v>24</v>
      </c>
      <c r="B1927" s="1">
        <v>45184</v>
      </c>
      <c r="C1927" s="1" t="str">
        <f>TEXT(Table4_2[[#This Row],[Date]],"dddd")</f>
        <v>Friday</v>
      </c>
      <c r="D1927" s="21">
        <v>31.5</v>
      </c>
      <c r="E1927" s="21">
        <v>70</v>
      </c>
      <c r="F1927" s="21">
        <v>503</v>
      </c>
      <c r="G1927" s="21">
        <v>6.5</v>
      </c>
      <c r="H1927">
        <v>44</v>
      </c>
      <c r="I1927">
        <v>88.7</v>
      </c>
      <c r="J1927">
        <v>0.7</v>
      </c>
      <c r="K1927" t="str" cm="1">
        <f t="array" ref="K1927">_xlfn.IFS(Table4_2[[#This Row],[Growth Days]]&lt;=14,"Seedling",Table4_2[[#This Row],[Growth Days]]&lt;=35, "Vegetative",Table4_2[[#This Row],[Growth Days]]&lt;=50, "Maturity")</f>
        <v>Maturity</v>
      </c>
      <c r="L1927" t="str">
        <f>IF(Table4_2[[#This Row],[TDS Value (ppm)]]&lt;560, "Low", IF(Table4_2[[#This Row],[TDS Value (ppm)]]&lt;=800,"Optimal","High"))</f>
        <v>Low</v>
      </c>
    </row>
    <row r="1928" spans="1:12" x14ac:dyDescent="0.25">
      <c r="A1928">
        <v>25</v>
      </c>
      <c r="B1928" s="1">
        <v>45142</v>
      </c>
      <c r="C1928" s="1" t="str">
        <f>TEXT(Table4_2[[#This Row],[Date]],"dddd")</f>
        <v>Friday</v>
      </c>
      <c r="D1928" s="21">
        <v>33.5</v>
      </c>
      <c r="E1928" s="21">
        <v>60</v>
      </c>
      <c r="F1928" s="21">
        <v>428</v>
      </c>
      <c r="G1928" s="21">
        <v>6</v>
      </c>
      <c r="H1928">
        <v>2</v>
      </c>
      <c r="I1928">
        <v>92.3</v>
      </c>
      <c r="J1928">
        <v>0.6</v>
      </c>
      <c r="K1928" t="str" cm="1">
        <f t="array" ref="K1928">_xlfn.IFS(Table4_2[[#This Row],[Growth Days]]&lt;=14,"Seedling",Table4_2[[#This Row],[Growth Days]]&lt;=35, "Vegetative",Table4_2[[#This Row],[Growth Days]]&lt;=50, "Maturity")</f>
        <v>Seedling</v>
      </c>
      <c r="L1928" t="str">
        <f>IF(Table4_2[[#This Row],[TDS Value (ppm)]]&lt;560, "Low", IF(Table4_2[[#This Row],[TDS Value (ppm)]]&lt;=800,"Optimal","High"))</f>
        <v>Low</v>
      </c>
    </row>
    <row r="1929" spans="1:12" x14ac:dyDescent="0.25">
      <c r="A1929">
        <v>25</v>
      </c>
      <c r="B1929" s="1">
        <v>45149</v>
      </c>
      <c r="C1929" s="1" t="str">
        <f>TEXT(Table4_2[[#This Row],[Date]],"dddd")</f>
        <v>Friday</v>
      </c>
      <c r="D1929" s="21">
        <v>31.9</v>
      </c>
      <c r="E1929" s="21">
        <v>76</v>
      </c>
      <c r="F1929" s="21">
        <v>533</v>
      </c>
      <c r="G1929" s="21">
        <v>6</v>
      </c>
      <c r="H1929">
        <v>9</v>
      </c>
      <c r="I1929">
        <v>89.42</v>
      </c>
      <c r="J1929">
        <v>0.76</v>
      </c>
      <c r="K1929" t="str" cm="1">
        <f t="array" ref="K1929">_xlfn.IFS(Table4_2[[#This Row],[Growth Days]]&lt;=14,"Seedling",Table4_2[[#This Row],[Growth Days]]&lt;=35, "Vegetative",Table4_2[[#This Row],[Growth Days]]&lt;=50, "Maturity")</f>
        <v>Seedling</v>
      </c>
      <c r="L1929" t="str">
        <f>IF(Table4_2[[#This Row],[TDS Value (ppm)]]&lt;560, "Low", IF(Table4_2[[#This Row],[TDS Value (ppm)]]&lt;=800,"Optimal","High"))</f>
        <v>Low</v>
      </c>
    </row>
    <row r="1930" spans="1:12" x14ac:dyDescent="0.25">
      <c r="A1930">
        <v>25</v>
      </c>
      <c r="B1930" s="1">
        <v>45156</v>
      </c>
      <c r="C1930" s="1" t="str">
        <f>TEXT(Table4_2[[#This Row],[Date]],"dddd")</f>
        <v>Friday</v>
      </c>
      <c r="D1930" s="21">
        <v>30.9</v>
      </c>
      <c r="E1930" s="21">
        <v>67</v>
      </c>
      <c r="F1930" s="21">
        <v>411</v>
      </c>
      <c r="G1930" s="21">
        <v>6.3</v>
      </c>
      <c r="H1930">
        <v>16</v>
      </c>
      <c r="I1930">
        <v>87.62</v>
      </c>
      <c r="J1930">
        <v>0.67</v>
      </c>
      <c r="K1930" t="str" cm="1">
        <f t="array" ref="K1930">_xlfn.IFS(Table4_2[[#This Row],[Growth Days]]&lt;=14,"Seedling",Table4_2[[#This Row],[Growth Days]]&lt;=35, "Vegetative",Table4_2[[#This Row],[Growth Days]]&lt;=50, "Maturity")</f>
        <v>Vegetative</v>
      </c>
      <c r="L1930" t="str">
        <f>IF(Table4_2[[#This Row],[TDS Value (ppm)]]&lt;560, "Low", IF(Table4_2[[#This Row],[TDS Value (ppm)]]&lt;=800,"Optimal","High"))</f>
        <v>Low</v>
      </c>
    </row>
    <row r="1931" spans="1:12" x14ac:dyDescent="0.25">
      <c r="A1931">
        <v>25</v>
      </c>
      <c r="B1931" s="1">
        <v>45163</v>
      </c>
      <c r="C1931" s="1" t="str">
        <f>TEXT(Table4_2[[#This Row],[Date]],"dddd")</f>
        <v>Friday</v>
      </c>
      <c r="D1931" s="21">
        <v>31.4</v>
      </c>
      <c r="E1931" s="21">
        <v>54</v>
      </c>
      <c r="F1931" s="21">
        <v>760</v>
      </c>
      <c r="G1931" s="21">
        <v>6.6</v>
      </c>
      <c r="H1931">
        <v>23</v>
      </c>
      <c r="I1931">
        <v>88.52</v>
      </c>
      <c r="J1931">
        <v>0.54</v>
      </c>
      <c r="K1931" t="str" cm="1">
        <f t="array" ref="K1931">_xlfn.IFS(Table4_2[[#This Row],[Growth Days]]&lt;=14,"Seedling",Table4_2[[#This Row],[Growth Days]]&lt;=35, "Vegetative",Table4_2[[#This Row],[Growth Days]]&lt;=50, "Maturity")</f>
        <v>Vegetative</v>
      </c>
      <c r="L1931" t="str">
        <f>IF(Table4_2[[#This Row],[TDS Value (ppm)]]&lt;560, "Low", IF(Table4_2[[#This Row],[TDS Value (ppm)]]&lt;=800,"Optimal","High"))</f>
        <v>Optimal</v>
      </c>
    </row>
    <row r="1932" spans="1:12" x14ac:dyDescent="0.25">
      <c r="A1932">
        <v>25</v>
      </c>
      <c r="B1932" s="1">
        <v>45170</v>
      </c>
      <c r="C1932" s="1" t="str">
        <f>TEXT(Table4_2[[#This Row],[Date]],"dddd")</f>
        <v>Friday</v>
      </c>
      <c r="D1932" s="21">
        <v>31.7</v>
      </c>
      <c r="E1932" s="21">
        <v>75</v>
      </c>
      <c r="F1932" s="21">
        <v>565</v>
      </c>
      <c r="G1932" s="21">
        <v>6.6</v>
      </c>
      <c r="H1932">
        <v>30</v>
      </c>
      <c r="I1932">
        <v>89.06</v>
      </c>
      <c r="J1932">
        <v>0.75</v>
      </c>
      <c r="K1932" t="str" cm="1">
        <f t="array" ref="K1932">_xlfn.IFS(Table4_2[[#This Row],[Growth Days]]&lt;=14,"Seedling",Table4_2[[#This Row],[Growth Days]]&lt;=35, "Vegetative",Table4_2[[#This Row],[Growth Days]]&lt;=50, "Maturity")</f>
        <v>Vegetative</v>
      </c>
      <c r="L1932" t="str">
        <f>IF(Table4_2[[#This Row],[TDS Value (ppm)]]&lt;560, "Low", IF(Table4_2[[#This Row],[TDS Value (ppm)]]&lt;=800,"Optimal","High"))</f>
        <v>Optimal</v>
      </c>
    </row>
    <row r="1933" spans="1:12" x14ac:dyDescent="0.25">
      <c r="A1933">
        <v>25</v>
      </c>
      <c r="B1933" s="1">
        <v>45177</v>
      </c>
      <c r="C1933" s="1" t="str">
        <f>TEXT(Table4_2[[#This Row],[Date]],"dddd")</f>
        <v>Friday</v>
      </c>
      <c r="D1933" s="21">
        <v>29.8</v>
      </c>
      <c r="E1933" s="21">
        <v>75</v>
      </c>
      <c r="F1933" s="21">
        <v>649</v>
      </c>
      <c r="G1933" s="21">
        <v>6.2</v>
      </c>
      <c r="H1933">
        <v>37</v>
      </c>
      <c r="I1933">
        <v>85.64</v>
      </c>
      <c r="J1933">
        <v>0.75</v>
      </c>
      <c r="K1933" t="str" cm="1">
        <f t="array" ref="K1933">_xlfn.IFS(Table4_2[[#This Row],[Growth Days]]&lt;=14,"Seedling",Table4_2[[#This Row],[Growth Days]]&lt;=35, "Vegetative",Table4_2[[#This Row],[Growth Days]]&lt;=50, "Maturity")</f>
        <v>Maturity</v>
      </c>
      <c r="L1933" t="str">
        <f>IF(Table4_2[[#This Row],[TDS Value (ppm)]]&lt;560, "Low", IF(Table4_2[[#This Row],[TDS Value (ppm)]]&lt;=800,"Optimal","High"))</f>
        <v>Optimal</v>
      </c>
    </row>
    <row r="1934" spans="1:12" x14ac:dyDescent="0.25">
      <c r="A1934">
        <v>25</v>
      </c>
      <c r="B1934" s="1">
        <v>45184</v>
      </c>
      <c r="C1934" s="1" t="str">
        <f>TEXT(Table4_2[[#This Row],[Date]],"dddd")</f>
        <v>Friday</v>
      </c>
      <c r="D1934" s="21">
        <v>30.6</v>
      </c>
      <c r="E1934" s="21">
        <v>51</v>
      </c>
      <c r="F1934" s="21">
        <v>796</v>
      </c>
      <c r="G1934" s="21">
        <v>6.4</v>
      </c>
      <c r="H1934">
        <v>44</v>
      </c>
      <c r="I1934">
        <v>87.08</v>
      </c>
      <c r="J1934">
        <v>0.51</v>
      </c>
      <c r="K1934" t="str" cm="1">
        <f t="array" ref="K1934">_xlfn.IFS(Table4_2[[#This Row],[Growth Days]]&lt;=14,"Seedling",Table4_2[[#This Row],[Growth Days]]&lt;=35, "Vegetative",Table4_2[[#This Row],[Growth Days]]&lt;=50, "Maturity")</f>
        <v>Maturity</v>
      </c>
      <c r="L1934" t="str">
        <f>IF(Table4_2[[#This Row],[TDS Value (ppm)]]&lt;560, "Low", IF(Table4_2[[#This Row],[TDS Value (ppm)]]&lt;=800,"Optimal","High"))</f>
        <v>Optimal</v>
      </c>
    </row>
    <row r="1935" spans="1:12" x14ac:dyDescent="0.25">
      <c r="A1935">
        <v>26</v>
      </c>
      <c r="B1935" s="1">
        <v>45142</v>
      </c>
      <c r="C1935" s="1" t="str">
        <f>TEXT(Table4_2[[#This Row],[Date]],"dddd")</f>
        <v>Friday</v>
      </c>
      <c r="D1935" s="21">
        <v>33.5</v>
      </c>
      <c r="E1935" s="21">
        <v>64</v>
      </c>
      <c r="F1935" s="21">
        <v>509</v>
      </c>
      <c r="G1935" s="21">
        <v>6.6</v>
      </c>
      <c r="H1935">
        <v>2</v>
      </c>
      <c r="I1935">
        <v>92.3</v>
      </c>
      <c r="J1935">
        <v>0.64</v>
      </c>
      <c r="K1935" t="str" cm="1">
        <f t="array" ref="K1935">_xlfn.IFS(Table4_2[[#This Row],[Growth Days]]&lt;=14,"Seedling",Table4_2[[#This Row],[Growth Days]]&lt;=35, "Vegetative",Table4_2[[#This Row],[Growth Days]]&lt;=50, "Maturity")</f>
        <v>Seedling</v>
      </c>
      <c r="L1935" t="str">
        <f>IF(Table4_2[[#This Row],[TDS Value (ppm)]]&lt;560, "Low", IF(Table4_2[[#This Row],[TDS Value (ppm)]]&lt;=800,"Optimal","High"))</f>
        <v>Low</v>
      </c>
    </row>
    <row r="1936" spans="1:12" x14ac:dyDescent="0.25">
      <c r="A1936">
        <v>26</v>
      </c>
      <c r="B1936" s="1">
        <v>45149</v>
      </c>
      <c r="C1936" s="1" t="str">
        <f>TEXT(Table4_2[[#This Row],[Date]],"dddd")</f>
        <v>Friday</v>
      </c>
      <c r="D1936" s="21">
        <v>31.9</v>
      </c>
      <c r="E1936" s="21">
        <v>79</v>
      </c>
      <c r="F1936" s="21">
        <v>709</v>
      </c>
      <c r="G1936" s="21">
        <v>6.1</v>
      </c>
      <c r="H1936">
        <v>9</v>
      </c>
      <c r="I1936">
        <v>89.42</v>
      </c>
      <c r="J1936">
        <v>0.79</v>
      </c>
      <c r="K1936" t="str" cm="1">
        <f t="array" ref="K1936">_xlfn.IFS(Table4_2[[#This Row],[Growth Days]]&lt;=14,"Seedling",Table4_2[[#This Row],[Growth Days]]&lt;=35, "Vegetative",Table4_2[[#This Row],[Growth Days]]&lt;=50, "Maturity")</f>
        <v>Seedling</v>
      </c>
      <c r="L1936" t="str">
        <f>IF(Table4_2[[#This Row],[TDS Value (ppm)]]&lt;560, "Low", IF(Table4_2[[#This Row],[TDS Value (ppm)]]&lt;=800,"Optimal","High"))</f>
        <v>Optimal</v>
      </c>
    </row>
    <row r="1937" spans="1:12" x14ac:dyDescent="0.25">
      <c r="A1937">
        <v>26</v>
      </c>
      <c r="B1937" s="1">
        <v>45156</v>
      </c>
      <c r="C1937" s="1" t="str">
        <f>TEXT(Table4_2[[#This Row],[Date]],"dddd")</f>
        <v>Friday</v>
      </c>
      <c r="D1937" s="21">
        <v>30.9</v>
      </c>
      <c r="E1937" s="21">
        <v>67</v>
      </c>
      <c r="F1937" s="21">
        <v>735</v>
      </c>
      <c r="G1937" s="21">
        <v>6.2</v>
      </c>
      <c r="H1937">
        <v>16</v>
      </c>
      <c r="I1937">
        <v>87.62</v>
      </c>
      <c r="J1937">
        <v>0.67</v>
      </c>
      <c r="K1937" t="str" cm="1">
        <f t="array" ref="K1937">_xlfn.IFS(Table4_2[[#This Row],[Growth Days]]&lt;=14,"Seedling",Table4_2[[#This Row],[Growth Days]]&lt;=35, "Vegetative",Table4_2[[#This Row],[Growth Days]]&lt;=50, "Maturity")</f>
        <v>Vegetative</v>
      </c>
      <c r="L1937" t="str">
        <f>IF(Table4_2[[#This Row],[TDS Value (ppm)]]&lt;560, "Low", IF(Table4_2[[#This Row],[TDS Value (ppm)]]&lt;=800,"Optimal","High"))</f>
        <v>Optimal</v>
      </c>
    </row>
    <row r="1938" spans="1:12" x14ac:dyDescent="0.25">
      <c r="A1938">
        <v>26</v>
      </c>
      <c r="B1938" s="1">
        <v>45163</v>
      </c>
      <c r="C1938" s="1" t="str">
        <f>TEXT(Table4_2[[#This Row],[Date]],"dddd")</f>
        <v>Friday</v>
      </c>
      <c r="D1938" s="21">
        <v>31.4</v>
      </c>
      <c r="E1938" s="21">
        <v>74</v>
      </c>
      <c r="F1938" s="21">
        <v>416</v>
      </c>
      <c r="G1938" s="21">
        <v>6.4</v>
      </c>
      <c r="H1938">
        <v>23</v>
      </c>
      <c r="I1938">
        <v>88.52</v>
      </c>
      <c r="J1938">
        <v>0.74</v>
      </c>
      <c r="K1938" t="str" cm="1">
        <f t="array" ref="K1938">_xlfn.IFS(Table4_2[[#This Row],[Growth Days]]&lt;=14,"Seedling",Table4_2[[#This Row],[Growth Days]]&lt;=35, "Vegetative",Table4_2[[#This Row],[Growth Days]]&lt;=50, "Maturity")</f>
        <v>Vegetative</v>
      </c>
      <c r="L1938" t="str">
        <f>IF(Table4_2[[#This Row],[TDS Value (ppm)]]&lt;560, "Low", IF(Table4_2[[#This Row],[TDS Value (ppm)]]&lt;=800,"Optimal","High"))</f>
        <v>Low</v>
      </c>
    </row>
    <row r="1939" spans="1:12" x14ac:dyDescent="0.25">
      <c r="A1939">
        <v>26</v>
      </c>
      <c r="B1939" s="1">
        <v>45170</v>
      </c>
      <c r="C1939" s="1" t="str">
        <f>TEXT(Table4_2[[#This Row],[Date]],"dddd")</f>
        <v>Friday</v>
      </c>
      <c r="D1939" s="21">
        <v>31.7</v>
      </c>
      <c r="E1939" s="21">
        <v>61</v>
      </c>
      <c r="F1939" s="21">
        <v>731</v>
      </c>
      <c r="G1939" s="21">
        <v>6.4</v>
      </c>
      <c r="H1939">
        <v>30</v>
      </c>
      <c r="I1939">
        <v>89.06</v>
      </c>
      <c r="J1939">
        <v>0.61</v>
      </c>
      <c r="K1939" t="str" cm="1">
        <f t="array" ref="K1939">_xlfn.IFS(Table4_2[[#This Row],[Growth Days]]&lt;=14,"Seedling",Table4_2[[#This Row],[Growth Days]]&lt;=35, "Vegetative",Table4_2[[#This Row],[Growth Days]]&lt;=50, "Maturity")</f>
        <v>Vegetative</v>
      </c>
      <c r="L1939" t="str">
        <f>IF(Table4_2[[#This Row],[TDS Value (ppm)]]&lt;560, "Low", IF(Table4_2[[#This Row],[TDS Value (ppm)]]&lt;=800,"Optimal","High"))</f>
        <v>Optimal</v>
      </c>
    </row>
    <row r="1940" spans="1:12" x14ac:dyDescent="0.25">
      <c r="A1940">
        <v>26</v>
      </c>
      <c r="B1940" s="1">
        <v>45177</v>
      </c>
      <c r="C1940" s="1" t="str">
        <f>TEXT(Table4_2[[#This Row],[Date]],"dddd")</f>
        <v>Friday</v>
      </c>
      <c r="D1940" s="21">
        <v>29.8</v>
      </c>
      <c r="E1940" s="21">
        <v>52</v>
      </c>
      <c r="F1940" s="21">
        <v>464</v>
      </c>
      <c r="G1940" s="21">
        <v>6.8</v>
      </c>
      <c r="H1940">
        <v>37</v>
      </c>
      <c r="I1940">
        <v>85.64</v>
      </c>
      <c r="J1940">
        <v>0.52</v>
      </c>
      <c r="K1940" t="str" cm="1">
        <f t="array" ref="K1940">_xlfn.IFS(Table4_2[[#This Row],[Growth Days]]&lt;=14,"Seedling",Table4_2[[#This Row],[Growth Days]]&lt;=35, "Vegetative",Table4_2[[#This Row],[Growth Days]]&lt;=50, "Maturity")</f>
        <v>Maturity</v>
      </c>
      <c r="L1940" t="str">
        <f>IF(Table4_2[[#This Row],[TDS Value (ppm)]]&lt;560, "Low", IF(Table4_2[[#This Row],[TDS Value (ppm)]]&lt;=800,"Optimal","High"))</f>
        <v>Low</v>
      </c>
    </row>
    <row r="1941" spans="1:12" x14ac:dyDescent="0.25">
      <c r="A1941">
        <v>26</v>
      </c>
      <c r="B1941" s="1">
        <v>45184</v>
      </c>
      <c r="C1941" s="1" t="str">
        <f>TEXT(Table4_2[[#This Row],[Date]],"dddd")</f>
        <v>Friday</v>
      </c>
      <c r="D1941" s="21">
        <v>30.6</v>
      </c>
      <c r="E1941" s="21">
        <v>58</v>
      </c>
      <c r="F1941" s="21">
        <v>791</v>
      </c>
      <c r="G1941" s="21">
        <v>6.1</v>
      </c>
      <c r="H1941">
        <v>44</v>
      </c>
      <c r="I1941">
        <v>87.08</v>
      </c>
      <c r="J1941">
        <v>0.57999999999999996</v>
      </c>
      <c r="K1941" t="str" cm="1">
        <f t="array" ref="K1941">_xlfn.IFS(Table4_2[[#This Row],[Growth Days]]&lt;=14,"Seedling",Table4_2[[#This Row],[Growth Days]]&lt;=35, "Vegetative",Table4_2[[#This Row],[Growth Days]]&lt;=50, "Maturity")</f>
        <v>Maturity</v>
      </c>
      <c r="L1941" t="str">
        <f>IF(Table4_2[[#This Row],[TDS Value (ppm)]]&lt;560, "Low", IF(Table4_2[[#This Row],[TDS Value (ppm)]]&lt;=800,"Optimal","High"))</f>
        <v>Optimal</v>
      </c>
    </row>
    <row r="1942" spans="1:12" x14ac:dyDescent="0.25">
      <c r="A1942">
        <v>27</v>
      </c>
      <c r="B1942" s="1">
        <v>45142</v>
      </c>
      <c r="C1942" s="1" t="str">
        <f>TEXT(Table4_2[[#This Row],[Date]],"dddd")</f>
        <v>Friday</v>
      </c>
      <c r="D1942" s="21">
        <v>33.5</v>
      </c>
      <c r="E1942" s="21">
        <v>55</v>
      </c>
      <c r="F1942" s="21">
        <v>758</v>
      </c>
      <c r="G1942" s="21">
        <v>6.3</v>
      </c>
      <c r="H1942">
        <v>2</v>
      </c>
      <c r="I1942">
        <v>92.3</v>
      </c>
      <c r="J1942">
        <v>0.55000000000000004</v>
      </c>
      <c r="K1942" t="str" cm="1">
        <f t="array" ref="K1942">_xlfn.IFS(Table4_2[[#This Row],[Growth Days]]&lt;=14,"Seedling",Table4_2[[#This Row],[Growth Days]]&lt;=35, "Vegetative",Table4_2[[#This Row],[Growth Days]]&lt;=50, "Maturity")</f>
        <v>Seedling</v>
      </c>
      <c r="L1942" t="str">
        <f>IF(Table4_2[[#This Row],[TDS Value (ppm)]]&lt;560, "Low", IF(Table4_2[[#This Row],[TDS Value (ppm)]]&lt;=800,"Optimal","High"))</f>
        <v>Optimal</v>
      </c>
    </row>
    <row r="1943" spans="1:12" x14ac:dyDescent="0.25">
      <c r="A1943">
        <v>27</v>
      </c>
      <c r="B1943" s="1">
        <v>45149</v>
      </c>
      <c r="C1943" s="1" t="str">
        <f>TEXT(Table4_2[[#This Row],[Date]],"dddd")</f>
        <v>Friday</v>
      </c>
      <c r="D1943" s="21">
        <v>31.9</v>
      </c>
      <c r="E1943" s="21">
        <v>53</v>
      </c>
      <c r="F1943" s="21">
        <v>538</v>
      </c>
      <c r="G1943" s="21">
        <v>6.3</v>
      </c>
      <c r="H1943">
        <v>9</v>
      </c>
      <c r="I1943">
        <v>89.42</v>
      </c>
      <c r="J1943">
        <v>0.53</v>
      </c>
      <c r="K1943" t="str" cm="1">
        <f t="array" ref="K1943">_xlfn.IFS(Table4_2[[#This Row],[Growth Days]]&lt;=14,"Seedling",Table4_2[[#This Row],[Growth Days]]&lt;=35, "Vegetative",Table4_2[[#This Row],[Growth Days]]&lt;=50, "Maturity")</f>
        <v>Seedling</v>
      </c>
      <c r="L1943" t="str">
        <f>IF(Table4_2[[#This Row],[TDS Value (ppm)]]&lt;560, "Low", IF(Table4_2[[#This Row],[TDS Value (ppm)]]&lt;=800,"Optimal","High"))</f>
        <v>Low</v>
      </c>
    </row>
    <row r="1944" spans="1:12" x14ac:dyDescent="0.25">
      <c r="A1944">
        <v>27</v>
      </c>
      <c r="B1944" s="1">
        <v>45156</v>
      </c>
      <c r="C1944" s="1" t="str">
        <f>TEXT(Table4_2[[#This Row],[Date]],"dddd")</f>
        <v>Friday</v>
      </c>
      <c r="D1944" s="21">
        <v>30.9</v>
      </c>
      <c r="E1944" s="21">
        <v>75</v>
      </c>
      <c r="F1944" s="21">
        <v>716</v>
      </c>
      <c r="G1944" s="21">
        <v>6.4</v>
      </c>
      <c r="H1944">
        <v>16</v>
      </c>
      <c r="I1944">
        <v>87.62</v>
      </c>
      <c r="J1944">
        <v>0.75</v>
      </c>
      <c r="K1944" t="str" cm="1">
        <f t="array" ref="K1944">_xlfn.IFS(Table4_2[[#This Row],[Growth Days]]&lt;=14,"Seedling",Table4_2[[#This Row],[Growth Days]]&lt;=35, "Vegetative",Table4_2[[#This Row],[Growth Days]]&lt;=50, "Maturity")</f>
        <v>Vegetative</v>
      </c>
      <c r="L1944" t="str">
        <f>IF(Table4_2[[#This Row],[TDS Value (ppm)]]&lt;560, "Low", IF(Table4_2[[#This Row],[TDS Value (ppm)]]&lt;=800,"Optimal","High"))</f>
        <v>Optimal</v>
      </c>
    </row>
    <row r="1945" spans="1:12" x14ac:dyDescent="0.25">
      <c r="A1945">
        <v>27</v>
      </c>
      <c r="B1945" s="1">
        <v>45163</v>
      </c>
      <c r="C1945" s="1" t="str">
        <f>TEXT(Table4_2[[#This Row],[Date]],"dddd")</f>
        <v>Friday</v>
      </c>
      <c r="D1945" s="21">
        <v>31.4</v>
      </c>
      <c r="E1945" s="21">
        <v>71</v>
      </c>
      <c r="F1945" s="21">
        <v>646</v>
      </c>
      <c r="G1945" s="21">
        <v>6.7</v>
      </c>
      <c r="H1945">
        <v>23</v>
      </c>
      <c r="I1945">
        <v>88.52</v>
      </c>
      <c r="J1945">
        <v>0.71</v>
      </c>
      <c r="K1945" t="str" cm="1">
        <f t="array" ref="K1945">_xlfn.IFS(Table4_2[[#This Row],[Growth Days]]&lt;=14,"Seedling",Table4_2[[#This Row],[Growth Days]]&lt;=35, "Vegetative",Table4_2[[#This Row],[Growth Days]]&lt;=50, "Maturity")</f>
        <v>Vegetative</v>
      </c>
      <c r="L1945" t="str">
        <f>IF(Table4_2[[#This Row],[TDS Value (ppm)]]&lt;560, "Low", IF(Table4_2[[#This Row],[TDS Value (ppm)]]&lt;=800,"Optimal","High"))</f>
        <v>Optimal</v>
      </c>
    </row>
    <row r="1946" spans="1:12" x14ac:dyDescent="0.25">
      <c r="A1946">
        <v>27</v>
      </c>
      <c r="B1946" s="1">
        <v>45170</v>
      </c>
      <c r="C1946" s="1" t="str">
        <f>TEXT(Table4_2[[#This Row],[Date]],"dddd")</f>
        <v>Friday</v>
      </c>
      <c r="D1946" s="21">
        <v>31.7</v>
      </c>
      <c r="E1946" s="21">
        <v>55</v>
      </c>
      <c r="F1946" s="21">
        <v>660</v>
      </c>
      <c r="G1946" s="21">
        <v>6.4</v>
      </c>
      <c r="H1946">
        <v>30</v>
      </c>
      <c r="I1946">
        <v>89.06</v>
      </c>
      <c r="J1946">
        <v>0.55000000000000004</v>
      </c>
      <c r="K1946" t="str" cm="1">
        <f t="array" ref="K1946">_xlfn.IFS(Table4_2[[#This Row],[Growth Days]]&lt;=14,"Seedling",Table4_2[[#This Row],[Growth Days]]&lt;=35, "Vegetative",Table4_2[[#This Row],[Growth Days]]&lt;=50, "Maturity")</f>
        <v>Vegetative</v>
      </c>
      <c r="L1946" t="str">
        <f>IF(Table4_2[[#This Row],[TDS Value (ppm)]]&lt;560, "Low", IF(Table4_2[[#This Row],[TDS Value (ppm)]]&lt;=800,"Optimal","High"))</f>
        <v>Optimal</v>
      </c>
    </row>
    <row r="1947" spans="1:12" x14ac:dyDescent="0.25">
      <c r="A1947">
        <v>27</v>
      </c>
      <c r="B1947" s="1">
        <v>45177</v>
      </c>
      <c r="C1947" s="1" t="str">
        <f>TEXT(Table4_2[[#This Row],[Date]],"dddd")</f>
        <v>Friday</v>
      </c>
      <c r="D1947" s="21">
        <v>29.8</v>
      </c>
      <c r="E1947" s="21">
        <v>56</v>
      </c>
      <c r="F1947" s="21">
        <v>421</v>
      </c>
      <c r="G1947" s="21">
        <v>6.6</v>
      </c>
      <c r="H1947">
        <v>37</v>
      </c>
      <c r="I1947">
        <v>85.64</v>
      </c>
      <c r="J1947">
        <v>0.56000000000000005</v>
      </c>
      <c r="K1947" t="str" cm="1">
        <f t="array" ref="K1947">_xlfn.IFS(Table4_2[[#This Row],[Growth Days]]&lt;=14,"Seedling",Table4_2[[#This Row],[Growth Days]]&lt;=35, "Vegetative",Table4_2[[#This Row],[Growth Days]]&lt;=50, "Maturity")</f>
        <v>Maturity</v>
      </c>
      <c r="L1947" t="str">
        <f>IF(Table4_2[[#This Row],[TDS Value (ppm)]]&lt;560, "Low", IF(Table4_2[[#This Row],[TDS Value (ppm)]]&lt;=800,"Optimal","High"))</f>
        <v>Low</v>
      </c>
    </row>
    <row r="1948" spans="1:12" x14ac:dyDescent="0.25">
      <c r="A1948">
        <v>27</v>
      </c>
      <c r="B1948" s="1">
        <v>45184</v>
      </c>
      <c r="C1948" s="1" t="str">
        <f>TEXT(Table4_2[[#This Row],[Date]],"dddd")</f>
        <v>Friday</v>
      </c>
      <c r="D1948" s="21">
        <v>30.6</v>
      </c>
      <c r="E1948" s="21">
        <v>76</v>
      </c>
      <c r="F1948" s="21">
        <v>470</v>
      </c>
      <c r="G1948" s="21">
        <v>6.2</v>
      </c>
      <c r="H1948">
        <v>44</v>
      </c>
      <c r="I1948">
        <v>87.08</v>
      </c>
      <c r="J1948">
        <v>0.76</v>
      </c>
      <c r="K1948" t="str" cm="1">
        <f t="array" ref="K1948">_xlfn.IFS(Table4_2[[#This Row],[Growth Days]]&lt;=14,"Seedling",Table4_2[[#This Row],[Growth Days]]&lt;=35, "Vegetative",Table4_2[[#This Row],[Growth Days]]&lt;=50, "Maturity")</f>
        <v>Maturity</v>
      </c>
      <c r="L1948" t="str">
        <f>IF(Table4_2[[#This Row],[TDS Value (ppm)]]&lt;560, "Low", IF(Table4_2[[#This Row],[TDS Value (ppm)]]&lt;=800,"Optimal","High"))</f>
        <v>Low</v>
      </c>
    </row>
    <row r="1949" spans="1:12" x14ac:dyDescent="0.25">
      <c r="A1949">
        <v>28</v>
      </c>
      <c r="B1949" s="1">
        <v>45142</v>
      </c>
      <c r="C1949" s="1" t="str">
        <f>TEXT(Table4_2[[#This Row],[Date]],"dddd")</f>
        <v>Friday</v>
      </c>
      <c r="D1949" s="21">
        <v>33.5</v>
      </c>
      <c r="E1949" s="21">
        <v>56</v>
      </c>
      <c r="F1949" s="21">
        <v>523</v>
      </c>
      <c r="G1949" s="21">
        <v>6.3</v>
      </c>
      <c r="H1949">
        <v>2</v>
      </c>
      <c r="I1949">
        <v>92.3</v>
      </c>
      <c r="J1949">
        <v>0.56000000000000005</v>
      </c>
      <c r="K1949" t="str" cm="1">
        <f t="array" ref="K1949">_xlfn.IFS(Table4_2[[#This Row],[Growth Days]]&lt;=14,"Seedling",Table4_2[[#This Row],[Growth Days]]&lt;=35, "Vegetative",Table4_2[[#This Row],[Growth Days]]&lt;=50, "Maturity")</f>
        <v>Seedling</v>
      </c>
      <c r="L1949" t="str">
        <f>IF(Table4_2[[#This Row],[TDS Value (ppm)]]&lt;560, "Low", IF(Table4_2[[#This Row],[TDS Value (ppm)]]&lt;=800,"Optimal","High"))</f>
        <v>Low</v>
      </c>
    </row>
    <row r="1950" spans="1:12" x14ac:dyDescent="0.25">
      <c r="A1950">
        <v>28</v>
      </c>
      <c r="B1950" s="1">
        <v>45149</v>
      </c>
      <c r="C1950" s="1" t="str">
        <f>TEXT(Table4_2[[#This Row],[Date]],"dddd")</f>
        <v>Friday</v>
      </c>
      <c r="D1950" s="21">
        <v>31.9</v>
      </c>
      <c r="E1950" s="21">
        <v>74</v>
      </c>
      <c r="F1950" s="21">
        <v>511</v>
      </c>
      <c r="G1950" s="21">
        <v>6.4</v>
      </c>
      <c r="H1950">
        <v>9</v>
      </c>
      <c r="I1950">
        <v>89.42</v>
      </c>
      <c r="J1950">
        <v>0.74</v>
      </c>
      <c r="K1950" t="str" cm="1">
        <f t="array" ref="K1950">_xlfn.IFS(Table4_2[[#This Row],[Growth Days]]&lt;=14,"Seedling",Table4_2[[#This Row],[Growth Days]]&lt;=35, "Vegetative",Table4_2[[#This Row],[Growth Days]]&lt;=50, "Maturity")</f>
        <v>Seedling</v>
      </c>
      <c r="L1950" t="str">
        <f>IF(Table4_2[[#This Row],[TDS Value (ppm)]]&lt;560, "Low", IF(Table4_2[[#This Row],[TDS Value (ppm)]]&lt;=800,"Optimal","High"))</f>
        <v>Low</v>
      </c>
    </row>
    <row r="1951" spans="1:12" x14ac:dyDescent="0.25">
      <c r="A1951">
        <v>28</v>
      </c>
      <c r="B1951" s="1">
        <v>45156</v>
      </c>
      <c r="C1951" s="1" t="str">
        <f>TEXT(Table4_2[[#This Row],[Date]],"dddd")</f>
        <v>Friday</v>
      </c>
      <c r="D1951" s="21">
        <v>30.9</v>
      </c>
      <c r="E1951" s="21">
        <v>51</v>
      </c>
      <c r="F1951" s="21">
        <v>554</v>
      </c>
      <c r="G1951" s="21">
        <v>6.8</v>
      </c>
      <c r="H1951">
        <v>16</v>
      </c>
      <c r="I1951">
        <v>87.62</v>
      </c>
      <c r="J1951">
        <v>0.51</v>
      </c>
      <c r="K1951" t="str" cm="1">
        <f t="array" ref="K1951">_xlfn.IFS(Table4_2[[#This Row],[Growth Days]]&lt;=14,"Seedling",Table4_2[[#This Row],[Growth Days]]&lt;=35, "Vegetative",Table4_2[[#This Row],[Growth Days]]&lt;=50, "Maturity")</f>
        <v>Vegetative</v>
      </c>
      <c r="L1951" t="str">
        <f>IF(Table4_2[[#This Row],[TDS Value (ppm)]]&lt;560, "Low", IF(Table4_2[[#This Row],[TDS Value (ppm)]]&lt;=800,"Optimal","High"))</f>
        <v>Low</v>
      </c>
    </row>
    <row r="1952" spans="1:12" x14ac:dyDescent="0.25">
      <c r="A1952">
        <v>28</v>
      </c>
      <c r="B1952" s="1">
        <v>45163</v>
      </c>
      <c r="C1952" s="1" t="str">
        <f>TEXT(Table4_2[[#This Row],[Date]],"dddd")</f>
        <v>Friday</v>
      </c>
      <c r="D1952" s="21">
        <v>31.4</v>
      </c>
      <c r="E1952" s="21">
        <v>77</v>
      </c>
      <c r="F1952" s="21">
        <v>459</v>
      </c>
      <c r="G1952" s="21">
        <v>6.5</v>
      </c>
      <c r="H1952">
        <v>23</v>
      </c>
      <c r="I1952">
        <v>88.52</v>
      </c>
      <c r="J1952">
        <v>0.77</v>
      </c>
      <c r="K1952" t="str" cm="1">
        <f t="array" ref="K1952">_xlfn.IFS(Table4_2[[#This Row],[Growth Days]]&lt;=14,"Seedling",Table4_2[[#This Row],[Growth Days]]&lt;=35, "Vegetative",Table4_2[[#This Row],[Growth Days]]&lt;=50, "Maturity")</f>
        <v>Vegetative</v>
      </c>
      <c r="L1952" t="str">
        <f>IF(Table4_2[[#This Row],[TDS Value (ppm)]]&lt;560, "Low", IF(Table4_2[[#This Row],[TDS Value (ppm)]]&lt;=800,"Optimal","High"))</f>
        <v>Low</v>
      </c>
    </row>
    <row r="1953" spans="1:12" x14ac:dyDescent="0.25">
      <c r="A1953">
        <v>28</v>
      </c>
      <c r="B1953" s="1">
        <v>45170</v>
      </c>
      <c r="C1953" s="1" t="str">
        <f>TEXT(Table4_2[[#This Row],[Date]],"dddd")</f>
        <v>Friday</v>
      </c>
      <c r="D1953" s="21">
        <v>31.7</v>
      </c>
      <c r="E1953" s="21">
        <v>58</v>
      </c>
      <c r="F1953" s="21">
        <v>710</v>
      </c>
      <c r="G1953" s="21">
        <v>6.1</v>
      </c>
      <c r="H1953">
        <v>30</v>
      </c>
      <c r="I1953">
        <v>89.06</v>
      </c>
      <c r="J1953">
        <v>0.57999999999999996</v>
      </c>
      <c r="K1953" t="str" cm="1">
        <f t="array" ref="K1953">_xlfn.IFS(Table4_2[[#This Row],[Growth Days]]&lt;=14,"Seedling",Table4_2[[#This Row],[Growth Days]]&lt;=35, "Vegetative",Table4_2[[#This Row],[Growth Days]]&lt;=50, "Maturity")</f>
        <v>Vegetative</v>
      </c>
      <c r="L1953" t="str">
        <f>IF(Table4_2[[#This Row],[TDS Value (ppm)]]&lt;560, "Low", IF(Table4_2[[#This Row],[TDS Value (ppm)]]&lt;=800,"Optimal","High"))</f>
        <v>Optimal</v>
      </c>
    </row>
    <row r="1954" spans="1:12" x14ac:dyDescent="0.25">
      <c r="A1954">
        <v>28</v>
      </c>
      <c r="B1954" s="1">
        <v>45177</v>
      </c>
      <c r="C1954" s="1" t="str">
        <f>TEXT(Table4_2[[#This Row],[Date]],"dddd")</f>
        <v>Friday</v>
      </c>
      <c r="D1954" s="21">
        <v>29.8</v>
      </c>
      <c r="E1954" s="21">
        <v>74</v>
      </c>
      <c r="F1954" s="21">
        <v>434</v>
      </c>
      <c r="G1954" s="21">
        <v>6.2</v>
      </c>
      <c r="H1954">
        <v>37</v>
      </c>
      <c r="I1954">
        <v>85.64</v>
      </c>
      <c r="J1954">
        <v>0.74</v>
      </c>
      <c r="K1954" t="str" cm="1">
        <f t="array" ref="K1954">_xlfn.IFS(Table4_2[[#This Row],[Growth Days]]&lt;=14,"Seedling",Table4_2[[#This Row],[Growth Days]]&lt;=35, "Vegetative",Table4_2[[#This Row],[Growth Days]]&lt;=50, "Maturity")</f>
        <v>Maturity</v>
      </c>
      <c r="L1954" t="str">
        <f>IF(Table4_2[[#This Row],[TDS Value (ppm)]]&lt;560, "Low", IF(Table4_2[[#This Row],[TDS Value (ppm)]]&lt;=800,"Optimal","High"))</f>
        <v>Low</v>
      </c>
    </row>
    <row r="1955" spans="1:12" x14ac:dyDescent="0.25">
      <c r="A1955">
        <v>28</v>
      </c>
      <c r="B1955" s="1">
        <v>45184</v>
      </c>
      <c r="C1955" s="1" t="str">
        <f>TEXT(Table4_2[[#This Row],[Date]],"dddd")</f>
        <v>Friday</v>
      </c>
      <c r="D1955" s="21">
        <v>30.6</v>
      </c>
      <c r="E1955" s="21">
        <v>70</v>
      </c>
      <c r="F1955" s="21">
        <v>565</v>
      </c>
      <c r="G1955" s="21">
        <v>6.4</v>
      </c>
      <c r="H1955">
        <v>44</v>
      </c>
      <c r="I1955">
        <v>87.08</v>
      </c>
      <c r="J1955">
        <v>0.7</v>
      </c>
      <c r="K1955" t="str" cm="1">
        <f t="array" ref="K1955">_xlfn.IFS(Table4_2[[#This Row],[Growth Days]]&lt;=14,"Seedling",Table4_2[[#This Row],[Growth Days]]&lt;=35, "Vegetative",Table4_2[[#This Row],[Growth Days]]&lt;=50, "Maturity")</f>
        <v>Maturity</v>
      </c>
      <c r="L1955" t="str">
        <f>IF(Table4_2[[#This Row],[TDS Value (ppm)]]&lt;560, "Low", IF(Table4_2[[#This Row],[TDS Value (ppm)]]&lt;=800,"Optimal","High"))</f>
        <v>Optimal</v>
      </c>
    </row>
    <row r="1956" spans="1:12" x14ac:dyDescent="0.25">
      <c r="A1956">
        <v>29</v>
      </c>
      <c r="B1956" s="1">
        <v>45142</v>
      </c>
      <c r="C1956" s="1" t="str">
        <f>TEXT(Table4_2[[#This Row],[Date]],"dddd")</f>
        <v>Friday</v>
      </c>
      <c r="D1956" s="21">
        <v>33.5</v>
      </c>
      <c r="E1956" s="21">
        <v>58</v>
      </c>
      <c r="F1956" s="21">
        <v>566</v>
      </c>
      <c r="G1956" s="21">
        <v>6.3</v>
      </c>
      <c r="H1956">
        <v>2</v>
      </c>
      <c r="I1956">
        <v>92.3</v>
      </c>
      <c r="J1956">
        <v>0.57999999999999996</v>
      </c>
      <c r="K1956" t="str" cm="1">
        <f t="array" ref="K1956">_xlfn.IFS(Table4_2[[#This Row],[Growth Days]]&lt;=14,"Seedling",Table4_2[[#This Row],[Growth Days]]&lt;=35, "Vegetative",Table4_2[[#This Row],[Growth Days]]&lt;=50, "Maturity")</f>
        <v>Seedling</v>
      </c>
      <c r="L1956" t="str">
        <f>IF(Table4_2[[#This Row],[TDS Value (ppm)]]&lt;560, "Low", IF(Table4_2[[#This Row],[TDS Value (ppm)]]&lt;=800,"Optimal","High"))</f>
        <v>Optimal</v>
      </c>
    </row>
    <row r="1957" spans="1:12" x14ac:dyDescent="0.25">
      <c r="A1957">
        <v>29</v>
      </c>
      <c r="B1957" s="1">
        <v>45149</v>
      </c>
      <c r="C1957" s="1" t="str">
        <f>TEXT(Table4_2[[#This Row],[Date]],"dddd")</f>
        <v>Friday</v>
      </c>
      <c r="D1957" s="21">
        <v>31.9</v>
      </c>
      <c r="E1957" s="21">
        <v>64</v>
      </c>
      <c r="F1957" s="21">
        <v>787</v>
      </c>
      <c r="G1957" s="21">
        <v>6.8</v>
      </c>
      <c r="H1957">
        <v>9</v>
      </c>
      <c r="I1957">
        <v>89.42</v>
      </c>
      <c r="J1957">
        <v>0.64</v>
      </c>
      <c r="K1957" t="str" cm="1">
        <f t="array" ref="K1957">_xlfn.IFS(Table4_2[[#This Row],[Growth Days]]&lt;=14,"Seedling",Table4_2[[#This Row],[Growth Days]]&lt;=35, "Vegetative",Table4_2[[#This Row],[Growth Days]]&lt;=50, "Maturity")</f>
        <v>Seedling</v>
      </c>
      <c r="L1957" t="str">
        <f>IF(Table4_2[[#This Row],[TDS Value (ppm)]]&lt;560, "Low", IF(Table4_2[[#This Row],[TDS Value (ppm)]]&lt;=800,"Optimal","High"))</f>
        <v>Optimal</v>
      </c>
    </row>
    <row r="1958" spans="1:12" x14ac:dyDescent="0.25">
      <c r="A1958">
        <v>29</v>
      </c>
      <c r="B1958" s="1">
        <v>45156</v>
      </c>
      <c r="C1958" s="1" t="str">
        <f>TEXT(Table4_2[[#This Row],[Date]],"dddd")</f>
        <v>Friday</v>
      </c>
      <c r="D1958" s="21">
        <v>30.9</v>
      </c>
      <c r="E1958" s="21">
        <v>66</v>
      </c>
      <c r="F1958" s="21">
        <v>547</v>
      </c>
      <c r="G1958" s="21">
        <v>6.2</v>
      </c>
      <c r="H1958">
        <v>16</v>
      </c>
      <c r="I1958">
        <v>87.62</v>
      </c>
      <c r="J1958">
        <v>0.66</v>
      </c>
      <c r="K1958" t="str" cm="1">
        <f t="array" ref="K1958">_xlfn.IFS(Table4_2[[#This Row],[Growth Days]]&lt;=14,"Seedling",Table4_2[[#This Row],[Growth Days]]&lt;=35, "Vegetative",Table4_2[[#This Row],[Growth Days]]&lt;=50, "Maturity")</f>
        <v>Vegetative</v>
      </c>
      <c r="L1958" t="str">
        <f>IF(Table4_2[[#This Row],[TDS Value (ppm)]]&lt;560, "Low", IF(Table4_2[[#This Row],[TDS Value (ppm)]]&lt;=800,"Optimal","High"))</f>
        <v>Low</v>
      </c>
    </row>
    <row r="1959" spans="1:12" x14ac:dyDescent="0.25">
      <c r="A1959">
        <v>29</v>
      </c>
      <c r="B1959" s="1">
        <v>45163</v>
      </c>
      <c r="C1959" s="1" t="str">
        <f>TEXT(Table4_2[[#This Row],[Date]],"dddd")</f>
        <v>Friday</v>
      </c>
      <c r="D1959" s="21">
        <v>31.4</v>
      </c>
      <c r="E1959" s="21">
        <v>79</v>
      </c>
      <c r="F1959" s="21">
        <v>757</v>
      </c>
      <c r="G1959" s="21">
        <v>6.5</v>
      </c>
      <c r="H1959">
        <v>23</v>
      </c>
      <c r="I1959">
        <v>88.52</v>
      </c>
      <c r="J1959">
        <v>0.79</v>
      </c>
      <c r="K1959" t="str" cm="1">
        <f t="array" ref="K1959">_xlfn.IFS(Table4_2[[#This Row],[Growth Days]]&lt;=14,"Seedling",Table4_2[[#This Row],[Growth Days]]&lt;=35, "Vegetative",Table4_2[[#This Row],[Growth Days]]&lt;=50, "Maturity")</f>
        <v>Vegetative</v>
      </c>
      <c r="L1959" t="str">
        <f>IF(Table4_2[[#This Row],[TDS Value (ppm)]]&lt;560, "Low", IF(Table4_2[[#This Row],[TDS Value (ppm)]]&lt;=800,"Optimal","High"))</f>
        <v>Optimal</v>
      </c>
    </row>
    <row r="1960" spans="1:12" x14ac:dyDescent="0.25">
      <c r="A1960">
        <v>29</v>
      </c>
      <c r="B1960" s="1">
        <v>45170</v>
      </c>
      <c r="C1960" s="1" t="str">
        <f>TEXT(Table4_2[[#This Row],[Date]],"dddd")</f>
        <v>Friday</v>
      </c>
      <c r="D1960" s="21">
        <v>31.7</v>
      </c>
      <c r="E1960" s="21">
        <v>56</v>
      </c>
      <c r="F1960" s="21">
        <v>626</v>
      </c>
      <c r="G1960" s="21">
        <v>6.6</v>
      </c>
      <c r="H1960">
        <v>30</v>
      </c>
      <c r="I1960">
        <v>89.06</v>
      </c>
      <c r="J1960">
        <v>0.56000000000000005</v>
      </c>
      <c r="K1960" t="str" cm="1">
        <f t="array" ref="K1960">_xlfn.IFS(Table4_2[[#This Row],[Growth Days]]&lt;=14,"Seedling",Table4_2[[#This Row],[Growth Days]]&lt;=35, "Vegetative",Table4_2[[#This Row],[Growth Days]]&lt;=50, "Maturity")</f>
        <v>Vegetative</v>
      </c>
      <c r="L1960" t="str">
        <f>IF(Table4_2[[#This Row],[TDS Value (ppm)]]&lt;560, "Low", IF(Table4_2[[#This Row],[TDS Value (ppm)]]&lt;=800,"Optimal","High"))</f>
        <v>Optimal</v>
      </c>
    </row>
    <row r="1961" spans="1:12" x14ac:dyDescent="0.25">
      <c r="A1961">
        <v>29</v>
      </c>
      <c r="B1961" s="1">
        <v>45177</v>
      </c>
      <c r="C1961" s="1" t="str">
        <f>TEXT(Table4_2[[#This Row],[Date]],"dddd")</f>
        <v>Friday</v>
      </c>
      <c r="D1961" s="21">
        <v>29.8</v>
      </c>
      <c r="E1961" s="21">
        <v>72</v>
      </c>
      <c r="F1961" s="21">
        <v>581</v>
      </c>
      <c r="G1961" s="21">
        <v>6.3</v>
      </c>
      <c r="H1961">
        <v>37</v>
      </c>
      <c r="I1961">
        <v>85.64</v>
      </c>
      <c r="J1961">
        <v>0.72</v>
      </c>
      <c r="K1961" t="str" cm="1">
        <f t="array" ref="K1961">_xlfn.IFS(Table4_2[[#This Row],[Growth Days]]&lt;=14,"Seedling",Table4_2[[#This Row],[Growth Days]]&lt;=35, "Vegetative",Table4_2[[#This Row],[Growth Days]]&lt;=50, "Maturity")</f>
        <v>Maturity</v>
      </c>
      <c r="L1961" t="str">
        <f>IF(Table4_2[[#This Row],[TDS Value (ppm)]]&lt;560, "Low", IF(Table4_2[[#This Row],[TDS Value (ppm)]]&lt;=800,"Optimal","High"))</f>
        <v>Optimal</v>
      </c>
    </row>
    <row r="1962" spans="1:12" x14ac:dyDescent="0.25">
      <c r="A1962">
        <v>29</v>
      </c>
      <c r="B1962" s="1">
        <v>45184</v>
      </c>
      <c r="C1962" s="1" t="str">
        <f>TEXT(Table4_2[[#This Row],[Date]],"dddd")</f>
        <v>Friday</v>
      </c>
      <c r="D1962" s="21">
        <v>30.6</v>
      </c>
      <c r="E1962" s="21">
        <v>50</v>
      </c>
      <c r="F1962" s="21">
        <v>500</v>
      </c>
      <c r="G1962" s="21">
        <v>6.8</v>
      </c>
      <c r="H1962">
        <v>44</v>
      </c>
      <c r="I1962">
        <v>87.08</v>
      </c>
      <c r="J1962">
        <v>0.5</v>
      </c>
      <c r="K1962" t="str" cm="1">
        <f t="array" ref="K1962">_xlfn.IFS(Table4_2[[#This Row],[Growth Days]]&lt;=14,"Seedling",Table4_2[[#This Row],[Growth Days]]&lt;=35, "Vegetative",Table4_2[[#This Row],[Growth Days]]&lt;=50, "Maturity")</f>
        <v>Maturity</v>
      </c>
      <c r="L1962" t="str">
        <f>IF(Table4_2[[#This Row],[TDS Value (ppm)]]&lt;560, "Low", IF(Table4_2[[#This Row],[TDS Value (ppm)]]&lt;=800,"Optimal","High"))</f>
        <v>Low</v>
      </c>
    </row>
    <row r="1963" spans="1:12" x14ac:dyDescent="0.25">
      <c r="A1963">
        <v>30</v>
      </c>
      <c r="B1963" s="1">
        <v>45142</v>
      </c>
      <c r="C1963" s="1" t="str">
        <f>TEXT(Table4_2[[#This Row],[Date]],"dddd")</f>
        <v>Friday</v>
      </c>
      <c r="D1963" s="21">
        <v>33.5</v>
      </c>
      <c r="E1963" s="21">
        <v>75</v>
      </c>
      <c r="F1963" s="21">
        <v>687</v>
      </c>
      <c r="G1963" s="21">
        <v>6</v>
      </c>
      <c r="H1963">
        <v>2</v>
      </c>
      <c r="I1963">
        <v>92.3</v>
      </c>
      <c r="J1963">
        <v>0.75</v>
      </c>
      <c r="K1963" t="str" cm="1">
        <f t="array" ref="K1963">_xlfn.IFS(Table4_2[[#This Row],[Growth Days]]&lt;=14,"Seedling",Table4_2[[#This Row],[Growth Days]]&lt;=35, "Vegetative",Table4_2[[#This Row],[Growth Days]]&lt;=50, "Maturity")</f>
        <v>Seedling</v>
      </c>
      <c r="L1963" t="str">
        <f>IF(Table4_2[[#This Row],[TDS Value (ppm)]]&lt;560, "Low", IF(Table4_2[[#This Row],[TDS Value (ppm)]]&lt;=800,"Optimal","High"))</f>
        <v>Optimal</v>
      </c>
    </row>
    <row r="1964" spans="1:12" x14ac:dyDescent="0.25">
      <c r="A1964">
        <v>30</v>
      </c>
      <c r="B1964" s="1">
        <v>45149</v>
      </c>
      <c r="C1964" s="1" t="str">
        <f>TEXT(Table4_2[[#This Row],[Date]],"dddd")</f>
        <v>Friday</v>
      </c>
      <c r="D1964" s="21">
        <v>31.9</v>
      </c>
      <c r="E1964" s="21">
        <v>63</v>
      </c>
      <c r="F1964" s="21">
        <v>453</v>
      </c>
      <c r="G1964" s="21">
        <v>6.6</v>
      </c>
      <c r="H1964">
        <v>9</v>
      </c>
      <c r="I1964">
        <v>89.42</v>
      </c>
      <c r="J1964">
        <v>0.63</v>
      </c>
      <c r="K1964" t="str" cm="1">
        <f t="array" ref="K1964">_xlfn.IFS(Table4_2[[#This Row],[Growth Days]]&lt;=14,"Seedling",Table4_2[[#This Row],[Growth Days]]&lt;=35, "Vegetative",Table4_2[[#This Row],[Growth Days]]&lt;=50, "Maturity")</f>
        <v>Seedling</v>
      </c>
      <c r="L1964" t="str">
        <f>IF(Table4_2[[#This Row],[TDS Value (ppm)]]&lt;560, "Low", IF(Table4_2[[#This Row],[TDS Value (ppm)]]&lt;=800,"Optimal","High"))</f>
        <v>Low</v>
      </c>
    </row>
    <row r="1965" spans="1:12" x14ac:dyDescent="0.25">
      <c r="A1965">
        <v>30</v>
      </c>
      <c r="B1965" s="1">
        <v>45156</v>
      </c>
      <c r="C1965" s="1" t="str">
        <f>TEXT(Table4_2[[#This Row],[Date]],"dddd")</f>
        <v>Friday</v>
      </c>
      <c r="D1965" s="21">
        <v>30.9</v>
      </c>
      <c r="E1965" s="21">
        <v>76</v>
      </c>
      <c r="F1965" s="21">
        <v>451</v>
      </c>
      <c r="G1965" s="21">
        <v>6.8</v>
      </c>
      <c r="H1965">
        <v>16</v>
      </c>
      <c r="I1965">
        <v>87.62</v>
      </c>
      <c r="J1965">
        <v>0.76</v>
      </c>
      <c r="K1965" t="str" cm="1">
        <f t="array" ref="K1965">_xlfn.IFS(Table4_2[[#This Row],[Growth Days]]&lt;=14,"Seedling",Table4_2[[#This Row],[Growth Days]]&lt;=35, "Vegetative",Table4_2[[#This Row],[Growth Days]]&lt;=50, "Maturity")</f>
        <v>Vegetative</v>
      </c>
      <c r="L1965" t="str">
        <f>IF(Table4_2[[#This Row],[TDS Value (ppm)]]&lt;560, "Low", IF(Table4_2[[#This Row],[TDS Value (ppm)]]&lt;=800,"Optimal","High"))</f>
        <v>Low</v>
      </c>
    </row>
    <row r="1966" spans="1:12" x14ac:dyDescent="0.25">
      <c r="A1966">
        <v>30</v>
      </c>
      <c r="B1966" s="1">
        <v>45163</v>
      </c>
      <c r="C1966" s="1" t="str">
        <f>TEXT(Table4_2[[#This Row],[Date]],"dddd")</f>
        <v>Friday</v>
      </c>
      <c r="D1966" s="21">
        <v>31.4</v>
      </c>
      <c r="E1966" s="21">
        <v>50</v>
      </c>
      <c r="F1966" s="21">
        <v>544</v>
      </c>
      <c r="G1966" s="21">
        <v>6.7</v>
      </c>
      <c r="H1966">
        <v>23</v>
      </c>
      <c r="I1966">
        <v>88.52</v>
      </c>
      <c r="J1966">
        <v>0.5</v>
      </c>
      <c r="K1966" t="str" cm="1">
        <f t="array" ref="K1966">_xlfn.IFS(Table4_2[[#This Row],[Growth Days]]&lt;=14,"Seedling",Table4_2[[#This Row],[Growth Days]]&lt;=35, "Vegetative",Table4_2[[#This Row],[Growth Days]]&lt;=50, "Maturity")</f>
        <v>Vegetative</v>
      </c>
      <c r="L1966" t="str">
        <f>IF(Table4_2[[#This Row],[TDS Value (ppm)]]&lt;560, "Low", IF(Table4_2[[#This Row],[TDS Value (ppm)]]&lt;=800,"Optimal","High"))</f>
        <v>Low</v>
      </c>
    </row>
    <row r="1967" spans="1:12" x14ac:dyDescent="0.25">
      <c r="A1967">
        <v>30</v>
      </c>
      <c r="B1967" s="1">
        <v>45170</v>
      </c>
      <c r="C1967" s="1" t="str">
        <f>TEXT(Table4_2[[#This Row],[Date]],"dddd")</f>
        <v>Friday</v>
      </c>
      <c r="D1967" s="21">
        <v>31.7</v>
      </c>
      <c r="E1967" s="21">
        <v>74</v>
      </c>
      <c r="F1967" s="21">
        <v>749</v>
      </c>
      <c r="G1967" s="21">
        <v>6.2</v>
      </c>
      <c r="H1967">
        <v>30</v>
      </c>
      <c r="I1967">
        <v>89.06</v>
      </c>
      <c r="J1967">
        <v>0.74</v>
      </c>
      <c r="K1967" t="str" cm="1">
        <f t="array" ref="K1967">_xlfn.IFS(Table4_2[[#This Row],[Growth Days]]&lt;=14,"Seedling",Table4_2[[#This Row],[Growth Days]]&lt;=35, "Vegetative",Table4_2[[#This Row],[Growth Days]]&lt;=50, "Maturity")</f>
        <v>Vegetative</v>
      </c>
      <c r="L1967" t="str">
        <f>IF(Table4_2[[#This Row],[TDS Value (ppm)]]&lt;560, "Low", IF(Table4_2[[#This Row],[TDS Value (ppm)]]&lt;=800,"Optimal","High"))</f>
        <v>Optimal</v>
      </c>
    </row>
    <row r="1968" spans="1:12" x14ac:dyDescent="0.25">
      <c r="A1968">
        <v>30</v>
      </c>
      <c r="B1968" s="1">
        <v>45177</v>
      </c>
      <c r="C1968" s="1" t="str">
        <f>TEXT(Table4_2[[#This Row],[Date]],"dddd")</f>
        <v>Friday</v>
      </c>
      <c r="D1968" s="21">
        <v>29.8</v>
      </c>
      <c r="E1968" s="21">
        <v>80</v>
      </c>
      <c r="F1968" s="21">
        <v>574</v>
      </c>
      <c r="G1968" s="21">
        <v>6.4</v>
      </c>
      <c r="H1968">
        <v>37</v>
      </c>
      <c r="I1968">
        <v>85.64</v>
      </c>
      <c r="J1968">
        <v>0.8</v>
      </c>
      <c r="K1968" t="str" cm="1">
        <f t="array" ref="K1968">_xlfn.IFS(Table4_2[[#This Row],[Growth Days]]&lt;=14,"Seedling",Table4_2[[#This Row],[Growth Days]]&lt;=35, "Vegetative",Table4_2[[#This Row],[Growth Days]]&lt;=50, "Maturity")</f>
        <v>Maturity</v>
      </c>
      <c r="L1968" t="str">
        <f>IF(Table4_2[[#This Row],[TDS Value (ppm)]]&lt;560, "Low", IF(Table4_2[[#This Row],[TDS Value (ppm)]]&lt;=800,"Optimal","High"))</f>
        <v>Optimal</v>
      </c>
    </row>
    <row r="1969" spans="1:12" x14ac:dyDescent="0.25">
      <c r="A1969">
        <v>30</v>
      </c>
      <c r="B1969" s="1">
        <v>45184</v>
      </c>
      <c r="C1969" s="1" t="str">
        <f>TEXT(Table4_2[[#This Row],[Date]],"dddd")</f>
        <v>Friday</v>
      </c>
      <c r="D1969" s="21">
        <v>30.6</v>
      </c>
      <c r="E1969" s="21">
        <v>78</v>
      </c>
      <c r="F1969" s="21">
        <v>738</v>
      </c>
      <c r="G1969" s="21">
        <v>6.2</v>
      </c>
      <c r="H1969">
        <v>44</v>
      </c>
      <c r="I1969">
        <v>87.08</v>
      </c>
      <c r="J1969">
        <v>0.78</v>
      </c>
      <c r="K1969" t="str" cm="1">
        <f t="array" ref="K1969">_xlfn.IFS(Table4_2[[#This Row],[Growth Days]]&lt;=14,"Seedling",Table4_2[[#This Row],[Growth Days]]&lt;=35, "Vegetative",Table4_2[[#This Row],[Growth Days]]&lt;=50, "Maturity")</f>
        <v>Maturity</v>
      </c>
      <c r="L1969" t="str">
        <f>IF(Table4_2[[#This Row],[TDS Value (ppm)]]&lt;560, "Low", IF(Table4_2[[#This Row],[TDS Value (ppm)]]&lt;=800,"Optimal","High"))</f>
        <v>Optimal</v>
      </c>
    </row>
    <row r="1970" spans="1:12" x14ac:dyDescent="0.25">
      <c r="A1970">
        <v>31</v>
      </c>
      <c r="B1970" s="1">
        <v>45142</v>
      </c>
      <c r="C1970" s="1" t="str">
        <f>TEXT(Table4_2[[#This Row],[Date]],"dddd")</f>
        <v>Friday</v>
      </c>
      <c r="D1970" s="21">
        <v>33.5</v>
      </c>
      <c r="E1970" s="21">
        <v>53</v>
      </c>
      <c r="F1970" s="21">
        <v>614</v>
      </c>
      <c r="G1970" s="21">
        <v>6.5</v>
      </c>
      <c r="H1970">
        <v>2</v>
      </c>
      <c r="I1970">
        <v>92.3</v>
      </c>
      <c r="J1970">
        <v>0.53</v>
      </c>
      <c r="K1970" t="str" cm="1">
        <f t="array" ref="K1970">_xlfn.IFS(Table4_2[[#This Row],[Growth Days]]&lt;=14,"Seedling",Table4_2[[#This Row],[Growth Days]]&lt;=35, "Vegetative",Table4_2[[#This Row],[Growth Days]]&lt;=50, "Maturity")</f>
        <v>Seedling</v>
      </c>
      <c r="L1970" t="str">
        <f>IF(Table4_2[[#This Row],[TDS Value (ppm)]]&lt;560, "Low", IF(Table4_2[[#This Row],[TDS Value (ppm)]]&lt;=800,"Optimal","High"))</f>
        <v>Optimal</v>
      </c>
    </row>
    <row r="1971" spans="1:12" x14ac:dyDescent="0.25">
      <c r="A1971">
        <v>31</v>
      </c>
      <c r="B1971" s="1">
        <v>45149</v>
      </c>
      <c r="C1971" s="1" t="str">
        <f>TEXT(Table4_2[[#This Row],[Date]],"dddd")</f>
        <v>Friday</v>
      </c>
      <c r="D1971" s="21">
        <v>31.9</v>
      </c>
      <c r="E1971" s="21">
        <v>51</v>
      </c>
      <c r="F1971" s="21">
        <v>704</v>
      </c>
      <c r="G1971" s="21">
        <v>6.3</v>
      </c>
      <c r="H1971">
        <v>9</v>
      </c>
      <c r="I1971">
        <v>89.42</v>
      </c>
      <c r="J1971">
        <v>0.51</v>
      </c>
      <c r="K1971" t="str" cm="1">
        <f t="array" ref="K1971">_xlfn.IFS(Table4_2[[#This Row],[Growth Days]]&lt;=14,"Seedling",Table4_2[[#This Row],[Growth Days]]&lt;=35, "Vegetative",Table4_2[[#This Row],[Growth Days]]&lt;=50, "Maturity")</f>
        <v>Seedling</v>
      </c>
      <c r="L1971" t="str">
        <f>IF(Table4_2[[#This Row],[TDS Value (ppm)]]&lt;560, "Low", IF(Table4_2[[#This Row],[TDS Value (ppm)]]&lt;=800,"Optimal","High"))</f>
        <v>Optimal</v>
      </c>
    </row>
    <row r="1972" spans="1:12" x14ac:dyDescent="0.25">
      <c r="A1972">
        <v>31</v>
      </c>
      <c r="B1972" s="1">
        <v>45156</v>
      </c>
      <c r="C1972" s="1" t="str">
        <f>TEXT(Table4_2[[#This Row],[Date]],"dddd")</f>
        <v>Friday</v>
      </c>
      <c r="D1972" s="21">
        <v>30.9</v>
      </c>
      <c r="E1972" s="21">
        <v>78</v>
      </c>
      <c r="F1972" s="21">
        <v>798</v>
      </c>
      <c r="G1972" s="21">
        <v>6.4</v>
      </c>
      <c r="H1972">
        <v>16</v>
      </c>
      <c r="I1972">
        <v>87.62</v>
      </c>
      <c r="J1972">
        <v>0.78</v>
      </c>
      <c r="K1972" t="str" cm="1">
        <f t="array" ref="K1972">_xlfn.IFS(Table4_2[[#This Row],[Growth Days]]&lt;=14,"Seedling",Table4_2[[#This Row],[Growth Days]]&lt;=35, "Vegetative",Table4_2[[#This Row],[Growth Days]]&lt;=50, "Maturity")</f>
        <v>Vegetative</v>
      </c>
      <c r="L1972" t="str">
        <f>IF(Table4_2[[#This Row],[TDS Value (ppm)]]&lt;560, "Low", IF(Table4_2[[#This Row],[TDS Value (ppm)]]&lt;=800,"Optimal","High"))</f>
        <v>Optimal</v>
      </c>
    </row>
    <row r="1973" spans="1:12" x14ac:dyDescent="0.25">
      <c r="A1973">
        <v>31</v>
      </c>
      <c r="B1973" s="1">
        <v>45163</v>
      </c>
      <c r="C1973" s="1" t="str">
        <f>TEXT(Table4_2[[#This Row],[Date]],"dddd")</f>
        <v>Friday</v>
      </c>
      <c r="D1973" s="21">
        <v>31.4</v>
      </c>
      <c r="E1973" s="21">
        <v>80</v>
      </c>
      <c r="F1973" s="21">
        <v>461</v>
      </c>
      <c r="G1973" s="21">
        <v>6.3</v>
      </c>
      <c r="H1973">
        <v>23</v>
      </c>
      <c r="I1973">
        <v>88.52</v>
      </c>
      <c r="J1973">
        <v>0.8</v>
      </c>
      <c r="K1973" t="str" cm="1">
        <f t="array" ref="K1973">_xlfn.IFS(Table4_2[[#This Row],[Growth Days]]&lt;=14,"Seedling",Table4_2[[#This Row],[Growth Days]]&lt;=35, "Vegetative",Table4_2[[#This Row],[Growth Days]]&lt;=50, "Maturity")</f>
        <v>Vegetative</v>
      </c>
      <c r="L1973" t="str">
        <f>IF(Table4_2[[#This Row],[TDS Value (ppm)]]&lt;560, "Low", IF(Table4_2[[#This Row],[TDS Value (ppm)]]&lt;=800,"Optimal","High"))</f>
        <v>Low</v>
      </c>
    </row>
    <row r="1974" spans="1:12" x14ac:dyDescent="0.25">
      <c r="A1974">
        <v>31</v>
      </c>
      <c r="B1974" s="1">
        <v>45170</v>
      </c>
      <c r="C1974" s="1" t="str">
        <f>TEXT(Table4_2[[#This Row],[Date]],"dddd")</f>
        <v>Friday</v>
      </c>
      <c r="D1974" s="21">
        <v>31.7</v>
      </c>
      <c r="E1974" s="21">
        <v>54</v>
      </c>
      <c r="F1974" s="21">
        <v>556</v>
      </c>
      <c r="G1974" s="21">
        <v>6.1</v>
      </c>
      <c r="H1974">
        <v>30</v>
      </c>
      <c r="I1974">
        <v>89.06</v>
      </c>
      <c r="J1974">
        <v>0.54</v>
      </c>
      <c r="K1974" t="str" cm="1">
        <f t="array" ref="K1974">_xlfn.IFS(Table4_2[[#This Row],[Growth Days]]&lt;=14,"Seedling",Table4_2[[#This Row],[Growth Days]]&lt;=35, "Vegetative",Table4_2[[#This Row],[Growth Days]]&lt;=50, "Maturity")</f>
        <v>Vegetative</v>
      </c>
      <c r="L1974" t="str">
        <f>IF(Table4_2[[#This Row],[TDS Value (ppm)]]&lt;560, "Low", IF(Table4_2[[#This Row],[TDS Value (ppm)]]&lt;=800,"Optimal","High"))</f>
        <v>Low</v>
      </c>
    </row>
    <row r="1975" spans="1:12" x14ac:dyDescent="0.25">
      <c r="A1975">
        <v>31</v>
      </c>
      <c r="B1975" s="1">
        <v>45177</v>
      </c>
      <c r="C1975" s="1" t="str">
        <f>TEXT(Table4_2[[#This Row],[Date]],"dddd")</f>
        <v>Friday</v>
      </c>
      <c r="D1975" s="21">
        <v>29.8</v>
      </c>
      <c r="E1975" s="21">
        <v>68</v>
      </c>
      <c r="F1975" s="21">
        <v>577</v>
      </c>
      <c r="G1975" s="21">
        <v>6.1</v>
      </c>
      <c r="H1975">
        <v>37</v>
      </c>
      <c r="I1975">
        <v>85.64</v>
      </c>
      <c r="J1975">
        <v>0.68</v>
      </c>
      <c r="K1975" t="str" cm="1">
        <f t="array" ref="K1975">_xlfn.IFS(Table4_2[[#This Row],[Growth Days]]&lt;=14,"Seedling",Table4_2[[#This Row],[Growth Days]]&lt;=35, "Vegetative",Table4_2[[#This Row],[Growth Days]]&lt;=50, "Maturity")</f>
        <v>Maturity</v>
      </c>
      <c r="L1975" t="str">
        <f>IF(Table4_2[[#This Row],[TDS Value (ppm)]]&lt;560, "Low", IF(Table4_2[[#This Row],[TDS Value (ppm)]]&lt;=800,"Optimal","High"))</f>
        <v>Optimal</v>
      </c>
    </row>
    <row r="1976" spans="1:12" x14ac:dyDescent="0.25">
      <c r="A1976">
        <v>31</v>
      </c>
      <c r="B1976" s="1">
        <v>45184</v>
      </c>
      <c r="C1976" s="1" t="str">
        <f>TEXT(Table4_2[[#This Row],[Date]],"dddd")</f>
        <v>Friday</v>
      </c>
      <c r="D1976" s="21">
        <v>30.6</v>
      </c>
      <c r="E1976" s="21">
        <v>66</v>
      </c>
      <c r="F1976" s="21">
        <v>420</v>
      </c>
      <c r="G1976" s="21">
        <v>6.4</v>
      </c>
      <c r="H1976">
        <v>44</v>
      </c>
      <c r="I1976">
        <v>87.08</v>
      </c>
      <c r="J1976">
        <v>0.66</v>
      </c>
      <c r="K1976" t="str" cm="1">
        <f t="array" ref="K1976">_xlfn.IFS(Table4_2[[#This Row],[Growth Days]]&lt;=14,"Seedling",Table4_2[[#This Row],[Growth Days]]&lt;=35, "Vegetative",Table4_2[[#This Row],[Growth Days]]&lt;=50, "Maturity")</f>
        <v>Maturity</v>
      </c>
      <c r="L1976" t="str">
        <f>IF(Table4_2[[#This Row],[TDS Value (ppm)]]&lt;560, "Low", IF(Table4_2[[#This Row],[TDS Value (ppm)]]&lt;=800,"Optimal","High"))</f>
        <v>Low</v>
      </c>
    </row>
    <row r="1977" spans="1:12" x14ac:dyDescent="0.25">
      <c r="A1977">
        <v>32</v>
      </c>
      <c r="B1977" s="1">
        <v>45142</v>
      </c>
      <c r="C1977" s="1" t="str">
        <f>TEXT(Table4_2[[#This Row],[Date]],"dddd")</f>
        <v>Friday</v>
      </c>
      <c r="D1977" s="21">
        <v>33.5</v>
      </c>
      <c r="E1977" s="21">
        <v>53</v>
      </c>
      <c r="F1977" s="21">
        <v>715</v>
      </c>
      <c r="G1977" s="21">
        <v>6</v>
      </c>
      <c r="H1977">
        <v>2</v>
      </c>
      <c r="I1977">
        <v>92.3</v>
      </c>
      <c r="J1977">
        <v>0.53</v>
      </c>
      <c r="K1977" t="str" cm="1">
        <f t="array" ref="K1977">_xlfn.IFS(Table4_2[[#This Row],[Growth Days]]&lt;=14,"Seedling",Table4_2[[#This Row],[Growth Days]]&lt;=35, "Vegetative",Table4_2[[#This Row],[Growth Days]]&lt;=50, "Maturity")</f>
        <v>Seedling</v>
      </c>
      <c r="L1977" t="str">
        <f>IF(Table4_2[[#This Row],[TDS Value (ppm)]]&lt;560, "Low", IF(Table4_2[[#This Row],[TDS Value (ppm)]]&lt;=800,"Optimal","High"))</f>
        <v>Optimal</v>
      </c>
    </row>
    <row r="1978" spans="1:12" x14ac:dyDescent="0.25">
      <c r="A1978">
        <v>32</v>
      </c>
      <c r="B1978" s="1">
        <v>45149</v>
      </c>
      <c r="C1978" s="1" t="str">
        <f>TEXT(Table4_2[[#This Row],[Date]],"dddd")</f>
        <v>Friday</v>
      </c>
      <c r="D1978" s="21">
        <v>31.9</v>
      </c>
      <c r="E1978" s="21">
        <v>77</v>
      </c>
      <c r="F1978" s="21">
        <v>705</v>
      </c>
      <c r="G1978" s="21">
        <v>6.7</v>
      </c>
      <c r="H1978">
        <v>9</v>
      </c>
      <c r="I1978">
        <v>89.42</v>
      </c>
      <c r="J1978">
        <v>0.77</v>
      </c>
      <c r="K1978" t="str" cm="1">
        <f t="array" ref="K1978">_xlfn.IFS(Table4_2[[#This Row],[Growth Days]]&lt;=14,"Seedling",Table4_2[[#This Row],[Growth Days]]&lt;=35, "Vegetative",Table4_2[[#This Row],[Growth Days]]&lt;=50, "Maturity")</f>
        <v>Seedling</v>
      </c>
      <c r="L1978" t="str">
        <f>IF(Table4_2[[#This Row],[TDS Value (ppm)]]&lt;560, "Low", IF(Table4_2[[#This Row],[TDS Value (ppm)]]&lt;=800,"Optimal","High"))</f>
        <v>Optimal</v>
      </c>
    </row>
    <row r="1979" spans="1:12" x14ac:dyDescent="0.25">
      <c r="A1979">
        <v>32</v>
      </c>
      <c r="B1979" s="1">
        <v>45156</v>
      </c>
      <c r="C1979" s="1" t="str">
        <f>TEXT(Table4_2[[#This Row],[Date]],"dddd")</f>
        <v>Friday</v>
      </c>
      <c r="D1979" s="21">
        <v>30.9</v>
      </c>
      <c r="E1979" s="21">
        <v>71</v>
      </c>
      <c r="F1979" s="21">
        <v>714</v>
      </c>
      <c r="G1979" s="21">
        <v>6.5</v>
      </c>
      <c r="H1979">
        <v>16</v>
      </c>
      <c r="I1979">
        <v>87.62</v>
      </c>
      <c r="J1979">
        <v>0.71</v>
      </c>
      <c r="K1979" t="str" cm="1">
        <f t="array" ref="K1979">_xlfn.IFS(Table4_2[[#This Row],[Growth Days]]&lt;=14,"Seedling",Table4_2[[#This Row],[Growth Days]]&lt;=35, "Vegetative",Table4_2[[#This Row],[Growth Days]]&lt;=50, "Maturity")</f>
        <v>Vegetative</v>
      </c>
      <c r="L1979" t="str">
        <f>IF(Table4_2[[#This Row],[TDS Value (ppm)]]&lt;560, "Low", IF(Table4_2[[#This Row],[TDS Value (ppm)]]&lt;=800,"Optimal","High"))</f>
        <v>Optimal</v>
      </c>
    </row>
    <row r="1980" spans="1:12" x14ac:dyDescent="0.25">
      <c r="A1980">
        <v>32</v>
      </c>
      <c r="B1980" s="1">
        <v>45163</v>
      </c>
      <c r="C1980" s="1" t="str">
        <f>TEXT(Table4_2[[#This Row],[Date]],"dddd")</f>
        <v>Friday</v>
      </c>
      <c r="D1980" s="21">
        <v>31.4</v>
      </c>
      <c r="E1980" s="21">
        <v>69</v>
      </c>
      <c r="F1980" s="21">
        <v>685</v>
      </c>
      <c r="G1980" s="21">
        <v>6.4</v>
      </c>
      <c r="H1980">
        <v>23</v>
      </c>
      <c r="I1980">
        <v>88.52</v>
      </c>
      <c r="J1980">
        <v>0.69</v>
      </c>
      <c r="K1980" t="str" cm="1">
        <f t="array" ref="K1980">_xlfn.IFS(Table4_2[[#This Row],[Growth Days]]&lt;=14,"Seedling",Table4_2[[#This Row],[Growth Days]]&lt;=35, "Vegetative",Table4_2[[#This Row],[Growth Days]]&lt;=50, "Maturity")</f>
        <v>Vegetative</v>
      </c>
      <c r="L1980" t="str">
        <f>IF(Table4_2[[#This Row],[TDS Value (ppm)]]&lt;560, "Low", IF(Table4_2[[#This Row],[TDS Value (ppm)]]&lt;=800,"Optimal","High"))</f>
        <v>Optimal</v>
      </c>
    </row>
    <row r="1981" spans="1:12" x14ac:dyDescent="0.25">
      <c r="A1981">
        <v>32</v>
      </c>
      <c r="B1981" s="1">
        <v>45170</v>
      </c>
      <c r="C1981" s="1" t="str">
        <f>TEXT(Table4_2[[#This Row],[Date]],"dddd")</f>
        <v>Friday</v>
      </c>
      <c r="D1981" s="21">
        <v>31.7</v>
      </c>
      <c r="E1981" s="21">
        <v>72</v>
      </c>
      <c r="F1981" s="21">
        <v>586</v>
      </c>
      <c r="G1981" s="21">
        <v>6.7</v>
      </c>
      <c r="H1981">
        <v>30</v>
      </c>
      <c r="I1981">
        <v>89.06</v>
      </c>
      <c r="J1981">
        <v>0.72</v>
      </c>
      <c r="K1981" t="str" cm="1">
        <f t="array" ref="K1981">_xlfn.IFS(Table4_2[[#This Row],[Growth Days]]&lt;=14,"Seedling",Table4_2[[#This Row],[Growth Days]]&lt;=35, "Vegetative",Table4_2[[#This Row],[Growth Days]]&lt;=50, "Maturity")</f>
        <v>Vegetative</v>
      </c>
      <c r="L1981" t="str">
        <f>IF(Table4_2[[#This Row],[TDS Value (ppm)]]&lt;560, "Low", IF(Table4_2[[#This Row],[TDS Value (ppm)]]&lt;=800,"Optimal","High"))</f>
        <v>Optimal</v>
      </c>
    </row>
    <row r="1982" spans="1:12" x14ac:dyDescent="0.25">
      <c r="A1982">
        <v>32</v>
      </c>
      <c r="B1982" s="1">
        <v>45177</v>
      </c>
      <c r="C1982" s="1" t="str">
        <f>TEXT(Table4_2[[#This Row],[Date]],"dddd")</f>
        <v>Friday</v>
      </c>
      <c r="D1982" s="21">
        <v>29.8</v>
      </c>
      <c r="E1982" s="21">
        <v>77</v>
      </c>
      <c r="F1982" s="21">
        <v>681</v>
      </c>
      <c r="G1982" s="21">
        <v>6.1</v>
      </c>
      <c r="H1982">
        <v>37</v>
      </c>
      <c r="I1982">
        <v>85.64</v>
      </c>
      <c r="J1982">
        <v>0.77</v>
      </c>
      <c r="K1982" t="str" cm="1">
        <f t="array" ref="K1982">_xlfn.IFS(Table4_2[[#This Row],[Growth Days]]&lt;=14,"Seedling",Table4_2[[#This Row],[Growth Days]]&lt;=35, "Vegetative",Table4_2[[#This Row],[Growth Days]]&lt;=50, "Maturity")</f>
        <v>Maturity</v>
      </c>
      <c r="L1982" t="str">
        <f>IF(Table4_2[[#This Row],[TDS Value (ppm)]]&lt;560, "Low", IF(Table4_2[[#This Row],[TDS Value (ppm)]]&lt;=800,"Optimal","High"))</f>
        <v>Optimal</v>
      </c>
    </row>
    <row r="1983" spans="1:12" x14ac:dyDescent="0.25">
      <c r="A1983">
        <v>32</v>
      </c>
      <c r="B1983" s="1">
        <v>45184</v>
      </c>
      <c r="C1983" s="1" t="str">
        <f>TEXT(Table4_2[[#This Row],[Date]],"dddd")</f>
        <v>Friday</v>
      </c>
      <c r="D1983" s="21">
        <v>30.6</v>
      </c>
      <c r="E1983" s="21">
        <v>73</v>
      </c>
      <c r="F1983" s="21">
        <v>517</v>
      </c>
      <c r="G1983" s="21">
        <v>6.8</v>
      </c>
      <c r="H1983">
        <v>44</v>
      </c>
      <c r="I1983">
        <v>87.08</v>
      </c>
      <c r="J1983">
        <v>0.73</v>
      </c>
      <c r="K1983" t="str" cm="1">
        <f t="array" ref="K1983">_xlfn.IFS(Table4_2[[#This Row],[Growth Days]]&lt;=14,"Seedling",Table4_2[[#This Row],[Growth Days]]&lt;=35, "Vegetative",Table4_2[[#This Row],[Growth Days]]&lt;=50, "Maturity")</f>
        <v>Maturity</v>
      </c>
      <c r="L1983" t="str">
        <f>IF(Table4_2[[#This Row],[TDS Value (ppm)]]&lt;560, "Low", IF(Table4_2[[#This Row],[TDS Value (ppm)]]&lt;=800,"Optimal","High"))</f>
        <v>Low</v>
      </c>
    </row>
    <row r="1984" spans="1:12" x14ac:dyDescent="0.25">
      <c r="A1984">
        <v>33</v>
      </c>
      <c r="B1984" s="1">
        <v>45142</v>
      </c>
      <c r="C1984" s="1" t="str">
        <f>TEXT(Table4_2[[#This Row],[Date]],"dddd")</f>
        <v>Friday</v>
      </c>
      <c r="D1984" s="21">
        <v>33.5</v>
      </c>
      <c r="E1984" s="21">
        <v>67</v>
      </c>
      <c r="F1984" s="21">
        <v>453</v>
      </c>
      <c r="G1984" s="21">
        <v>6.2</v>
      </c>
      <c r="H1984">
        <v>2</v>
      </c>
      <c r="I1984">
        <v>92.3</v>
      </c>
      <c r="J1984">
        <v>0.67</v>
      </c>
      <c r="K1984" t="str" cm="1">
        <f t="array" ref="K1984">_xlfn.IFS(Table4_2[[#This Row],[Growth Days]]&lt;=14,"Seedling",Table4_2[[#This Row],[Growth Days]]&lt;=35, "Vegetative",Table4_2[[#This Row],[Growth Days]]&lt;=50, "Maturity")</f>
        <v>Seedling</v>
      </c>
      <c r="L1984" t="str">
        <f>IF(Table4_2[[#This Row],[TDS Value (ppm)]]&lt;560, "Low", IF(Table4_2[[#This Row],[TDS Value (ppm)]]&lt;=800,"Optimal","High"))</f>
        <v>Low</v>
      </c>
    </row>
    <row r="1985" spans="1:12" x14ac:dyDescent="0.25">
      <c r="A1985">
        <v>33</v>
      </c>
      <c r="B1985" s="1">
        <v>45149</v>
      </c>
      <c r="C1985" s="1" t="str">
        <f>TEXT(Table4_2[[#This Row],[Date]],"dddd")</f>
        <v>Friday</v>
      </c>
      <c r="D1985" s="21">
        <v>31.9</v>
      </c>
      <c r="E1985" s="21">
        <v>66</v>
      </c>
      <c r="F1985" s="21">
        <v>603</v>
      </c>
      <c r="G1985" s="21">
        <v>6.8</v>
      </c>
      <c r="H1985">
        <v>9</v>
      </c>
      <c r="I1985">
        <v>89.42</v>
      </c>
      <c r="J1985">
        <v>0.66</v>
      </c>
      <c r="K1985" t="str" cm="1">
        <f t="array" ref="K1985">_xlfn.IFS(Table4_2[[#This Row],[Growth Days]]&lt;=14,"Seedling",Table4_2[[#This Row],[Growth Days]]&lt;=35, "Vegetative",Table4_2[[#This Row],[Growth Days]]&lt;=50, "Maturity")</f>
        <v>Seedling</v>
      </c>
      <c r="L1985" t="str">
        <f>IF(Table4_2[[#This Row],[TDS Value (ppm)]]&lt;560, "Low", IF(Table4_2[[#This Row],[TDS Value (ppm)]]&lt;=800,"Optimal","High"))</f>
        <v>Optimal</v>
      </c>
    </row>
    <row r="1986" spans="1:12" x14ac:dyDescent="0.25">
      <c r="A1986">
        <v>33</v>
      </c>
      <c r="B1986" s="1">
        <v>45156</v>
      </c>
      <c r="C1986" s="1" t="str">
        <f>TEXT(Table4_2[[#This Row],[Date]],"dddd")</f>
        <v>Friday</v>
      </c>
      <c r="D1986" s="21">
        <v>30.9</v>
      </c>
      <c r="E1986" s="21">
        <v>61</v>
      </c>
      <c r="F1986" s="21">
        <v>667</v>
      </c>
      <c r="G1986" s="21">
        <v>6.4</v>
      </c>
      <c r="H1986">
        <v>16</v>
      </c>
      <c r="I1986">
        <v>87.62</v>
      </c>
      <c r="J1986">
        <v>0.61</v>
      </c>
      <c r="K1986" t="str" cm="1">
        <f t="array" ref="K1986">_xlfn.IFS(Table4_2[[#This Row],[Growth Days]]&lt;=14,"Seedling",Table4_2[[#This Row],[Growth Days]]&lt;=35, "Vegetative",Table4_2[[#This Row],[Growth Days]]&lt;=50, "Maturity")</f>
        <v>Vegetative</v>
      </c>
      <c r="L1986" t="str">
        <f>IF(Table4_2[[#This Row],[TDS Value (ppm)]]&lt;560, "Low", IF(Table4_2[[#This Row],[TDS Value (ppm)]]&lt;=800,"Optimal","High"))</f>
        <v>Optimal</v>
      </c>
    </row>
    <row r="1987" spans="1:12" x14ac:dyDescent="0.25">
      <c r="A1987">
        <v>33</v>
      </c>
      <c r="B1987" s="1">
        <v>45163</v>
      </c>
      <c r="C1987" s="1" t="str">
        <f>TEXT(Table4_2[[#This Row],[Date]],"dddd")</f>
        <v>Friday</v>
      </c>
      <c r="D1987" s="21">
        <v>31.4</v>
      </c>
      <c r="E1987" s="21">
        <v>52</v>
      </c>
      <c r="F1987" s="21">
        <v>612</v>
      </c>
      <c r="G1987" s="21">
        <v>6.7</v>
      </c>
      <c r="H1987">
        <v>23</v>
      </c>
      <c r="I1987">
        <v>88.52</v>
      </c>
      <c r="J1987">
        <v>0.52</v>
      </c>
      <c r="K1987" t="str" cm="1">
        <f t="array" ref="K1987">_xlfn.IFS(Table4_2[[#This Row],[Growth Days]]&lt;=14,"Seedling",Table4_2[[#This Row],[Growth Days]]&lt;=35, "Vegetative",Table4_2[[#This Row],[Growth Days]]&lt;=50, "Maturity")</f>
        <v>Vegetative</v>
      </c>
      <c r="L1987" t="str">
        <f>IF(Table4_2[[#This Row],[TDS Value (ppm)]]&lt;560, "Low", IF(Table4_2[[#This Row],[TDS Value (ppm)]]&lt;=800,"Optimal","High"))</f>
        <v>Optimal</v>
      </c>
    </row>
    <row r="1988" spans="1:12" x14ac:dyDescent="0.25">
      <c r="A1988">
        <v>33</v>
      </c>
      <c r="B1988" s="1">
        <v>45170</v>
      </c>
      <c r="C1988" s="1" t="str">
        <f>TEXT(Table4_2[[#This Row],[Date]],"dddd")</f>
        <v>Friday</v>
      </c>
      <c r="D1988" s="21">
        <v>31.7</v>
      </c>
      <c r="E1988" s="21">
        <v>61</v>
      </c>
      <c r="F1988" s="21">
        <v>457</v>
      </c>
      <c r="G1988" s="21">
        <v>6.3</v>
      </c>
      <c r="H1988">
        <v>30</v>
      </c>
      <c r="I1988">
        <v>89.06</v>
      </c>
      <c r="J1988">
        <v>0.61</v>
      </c>
      <c r="K1988" t="str" cm="1">
        <f t="array" ref="K1988">_xlfn.IFS(Table4_2[[#This Row],[Growth Days]]&lt;=14,"Seedling",Table4_2[[#This Row],[Growth Days]]&lt;=35, "Vegetative",Table4_2[[#This Row],[Growth Days]]&lt;=50, "Maturity")</f>
        <v>Vegetative</v>
      </c>
      <c r="L1988" t="str">
        <f>IF(Table4_2[[#This Row],[TDS Value (ppm)]]&lt;560, "Low", IF(Table4_2[[#This Row],[TDS Value (ppm)]]&lt;=800,"Optimal","High"))</f>
        <v>Low</v>
      </c>
    </row>
    <row r="1989" spans="1:12" x14ac:dyDescent="0.25">
      <c r="A1989">
        <v>33</v>
      </c>
      <c r="B1989" s="1">
        <v>45177</v>
      </c>
      <c r="C1989" s="1" t="str">
        <f>TEXT(Table4_2[[#This Row],[Date]],"dddd")</f>
        <v>Friday</v>
      </c>
      <c r="D1989" s="21">
        <v>29.8</v>
      </c>
      <c r="E1989" s="21">
        <v>71</v>
      </c>
      <c r="F1989" s="21">
        <v>744</v>
      </c>
      <c r="G1989" s="21">
        <v>6.3</v>
      </c>
      <c r="H1989">
        <v>37</v>
      </c>
      <c r="I1989">
        <v>85.64</v>
      </c>
      <c r="J1989">
        <v>0.71</v>
      </c>
      <c r="K1989" t="str" cm="1">
        <f t="array" ref="K1989">_xlfn.IFS(Table4_2[[#This Row],[Growth Days]]&lt;=14,"Seedling",Table4_2[[#This Row],[Growth Days]]&lt;=35, "Vegetative",Table4_2[[#This Row],[Growth Days]]&lt;=50, "Maturity")</f>
        <v>Maturity</v>
      </c>
      <c r="L1989" t="str">
        <f>IF(Table4_2[[#This Row],[TDS Value (ppm)]]&lt;560, "Low", IF(Table4_2[[#This Row],[TDS Value (ppm)]]&lt;=800,"Optimal","High"))</f>
        <v>Optimal</v>
      </c>
    </row>
    <row r="1990" spans="1:12" x14ac:dyDescent="0.25">
      <c r="A1990">
        <v>33</v>
      </c>
      <c r="B1990" s="1">
        <v>45184</v>
      </c>
      <c r="C1990" s="1" t="str">
        <f>TEXT(Table4_2[[#This Row],[Date]],"dddd")</f>
        <v>Friday</v>
      </c>
      <c r="D1990" s="21">
        <v>30.6</v>
      </c>
      <c r="E1990" s="21">
        <v>76</v>
      </c>
      <c r="F1990" s="21">
        <v>644</v>
      </c>
      <c r="G1990" s="21">
        <v>6.8</v>
      </c>
      <c r="H1990">
        <v>44</v>
      </c>
      <c r="I1990">
        <v>87.08</v>
      </c>
      <c r="J1990">
        <v>0.76</v>
      </c>
      <c r="K1990" t="str" cm="1">
        <f t="array" ref="K1990">_xlfn.IFS(Table4_2[[#This Row],[Growth Days]]&lt;=14,"Seedling",Table4_2[[#This Row],[Growth Days]]&lt;=35, "Vegetative",Table4_2[[#This Row],[Growth Days]]&lt;=50, "Maturity")</f>
        <v>Maturity</v>
      </c>
      <c r="L1990" t="str">
        <f>IF(Table4_2[[#This Row],[TDS Value (ppm)]]&lt;560, "Low", IF(Table4_2[[#This Row],[TDS Value (ppm)]]&lt;=800,"Optimal","High"))</f>
        <v>Optimal</v>
      </c>
    </row>
    <row r="1991" spans="1:12" x14ac:dyDescent="0.25">
      <c r="A1991">
        <v>34</v>
      </c>
      <c r="B1991" s="1">
        <v>45142</v>
      </c>
      <c r="C1991" s="1" t="str">
        <f>TEXT(Table4_2[[#This Row],[Date]],"dddd")</f>
        <v>Friday</v>
      </c>
      <c r="D1991" s="21">
        <v>33.5</v>
      </c>
      <c r="E1991" s="21">
        <v>80</v>
      </c>
      <c r="F1991" s="21">
        <v>682</v>
      </c>
      <c r="G1991" s="21">
        <v>6.6</v>
      </c>
      <c r="H1991">
        <v>2</v>
      </c>
      <c r="I1991">
        <v>92.3</v>
      </c>
      <c r="J1991">
        <v>0.8</v>
      </c>
      <c r="K1991" t="str" cm="1">
        <f t="array" ref="K1991">_xlfn.IFS(Table4_2[[#This Row],[Growth Days]]&lt;=14,"Seedling",Table4_2[[#This Row],[Growth Days]]&lt;=35, "Vegetative",Table4_2[[#This Row],[Growth Days]]&lt;=50, "Maturity")</f>
        <v>Seedling</v>
      </c>
      <c r="L1991" t="str">
        <f>IF(Table4_2[[#This Row],[TDS Value (ppm)]]&lt;560, "Low", IF(Table4_2[[#This Row],[TDS Value (ppm)]]&lt;=800,"Optimal","High"))</f>
        <v>Optimal</v>
      </c>
    </row>
    <row r="1992" spans="1:12" x14ac:dyDescent="0.25">
      <c r="A1992">
        <v>34</v>
      </c>
      <c r="B1992" s="1">
        <v>45149</v>
      </c>
      <c r="C1992" s="1" t="str">
        <f>TEXT(Table4_2[[#This Row],[Date]],"dddd")</f>
        <v>Friday</v>
      </c>
      <c r="D1992" s="21">
        <v>31.9</v>
      </c>
      <c r="E1992" s="21">
        <v>55</v>
      </c>
      <c r="F1992" s="21">
        <v>597</v>
      </c>
      <c r="G1992" s="21">
        <v>6.5</v>
      </c>
      <c r="H1992">
        <v>9</v>
      </c>
      <c r="I1992">
        <v>89.42</v>
      </c>
      <c r="J1992">
        <v>0.55000000000000004</v>
      </c>
      <c r="K1992" t="str" cm="1">
        <f t="array" ref="K1992">_xlfn.IFS(Table4_2[[#This Row],[Growth Days]]&lt;=14,"Seedling",Table4_2[[#This Row],[Growth Days]]&lt;=35, "Vegetative",Table4_2[[#This Row],[Growth Days]]&lt;=50, "Maturity")</f>
        <v>Seedling</v>
      </c>
      <c r="L1992" t="str">
        <f>IF(Table4_2[[#This Row],[TDS Value (ppm)]]&lt;560, "Low", IF(Table4_2[[#This Row],[TDS Value (ppm)]]&lt;=800,"Optimal","High"))</f>
        <v>Optimal</v>
      </c>
    </row>
    <row r="1993" spans="1:12" x14ac:dyDescent="0.25">
      <c r="A1993">
        <v>34</v>
      </c>
      <c r="B1993" s="1">
        <v>45156</v>
      </c>
      <c r="C1993" s="1" t="str">
        <f>TEXT(Table4_2[[#This Row],[Date]],"dddd")</f>
        <v>Friday</v>
      </c>
      <c r="D1993" s="21">
        <v>30.9</v>
      </c>
      <c r="E1993" s="21">
        <v>64</v>
      </c>
      <c r="F1993" s="21">
        <v>514</v>
      </c>
      <c r="G1993" s="21">
        <v>6.8</v>
      </c>
      <c r="H1993">
        <v>16</v>
      </c>
      <c r="I1993">
        <v>87.62</v>
      </c>
      <c r="J1993">
        <v>0.64</v>
      </c>
      <c r="K1993" t="str" cm="1">
        <f t="array" ref="K1993">_xlfn.IFS(Table4_2[[#This Row],[Growth Days]]&lt;=14,"Seedling",Table4_2[[#This Row],[Growth Days]]&lt;=35, "Vegetative",Table4_2[[#This Row],[Growth Days]]&lt;=50, "Maturity")</f>
        <v>Vegetative</v>
      </c>
      <c r="L1993" t="str">
        <f>IF(Table4_2[[#This Row],[TDS Value (ppm)]]&lt;560, "Low", IF(Table4_2[[#This Row],[TDS Value (ppm)]]&lt;=800,"Optimal","High"))</f>
        <v>Low</v>
      </c>
    </row>
    <row r="1994" spans="1:12" x14ac:dyDescent="0.25">
      <c r="A1994">
        <v>34</v>
      </c>
      <c r="B1994" s="1">
        <v>45163</v>
      </c>
      <c r="C1994" s="1" t="str">
        <f>TEXT(Table4_2[[#This Row],[Date]],"dddd")</f>
        <v>Friday</v>
      </c>
      <c r="D1994" s="21">
        <v>31.4</v>
      </c>
      <c r="E1994" s="21">
        <v>50</v>
      </c>
      <c r="F1994" s="21">
        <v>546</v>
      </c>
      <c r="G1994" s="21">
        <v>6.4</v>
      </c>
      <c r="H1994">
        <v>23</v>
      </c>
      <c r="I1994">
        <v>88.52</v>
      </c>
      <c r="J1994">
        <v>0.5</v>
      </c>
      <c r="K1994" t="str" cm="1">
        <f t="array" ref="K1994">_xlfn.IFS(Table4_2[[#This Row],[Growth Days]]&lt;=14,"Seedling",Table4_2[[#This Row],[Growth Days]]&lt;=35, "Vegetative",Table4_2[[#This Row],[Growth Days]]&lt;=50, "Maturity")</f>
        <v>Vegetative</v>
      </c>
      <c r="L1994" t="str">
        <f>IF(Table4_2[[#This Row],[TDS Value (ppm)]]&lt;560, "Low", IF(Table4_2[[#This Row],[TDS Value (ppm)]]&lt;=800,"Optimal","High"))</f>
        <v>Low</v>
      </c>
    </row>
    <row r="1995" spans="1:12" x14ac:dyDescent="0.25">
      <c r="A1995">
        <v>34</v>
      </c>
      <c r="B1995" s="1">
        <v>45170</v>
      </c>
      <c r="C1995" s="1" t="str">
        <f>TEXT(Table4_2[[#This Row],[Date]],"dddd")</f>
        <v>Friday</v>
      </c>
      <c r="D1995" s="21">
        <v>31.7</v>
      </c>
      <c r="E1995" s="21">
        <v>75</v>
      </c>
      <c r="F1995" s="21">
        <v>689</v>
      </c>
      <c r="G1995" s="21">
        <v>6.7</v>
      </c>
      <c r="H1995">
        <v>30</v>
      </c>
      <c r="I1995">
        <v>89.06</v>
      </c>
      <c r="J1995">
        <v>0.75</v>
      </c>
      <c r="K1995" t="str" cm="1">
        <f t="array" ref="K1995">_xlfn.IFS(Table4_2[[#This Row],[Growth Days]]&lt;=14,"Seedling",Table4_2[[#This Row],[Growth Days]]&lt;=35, "Vegetative",Table4_2[[#This Row],[Growth Days]]&lt;=50, "Maturity")</f>
        <v>Vegetative</v>
      </c>
      <c r="L1995" t="str">
        <f>IF(Table4_2[[#This Row],[TDS Value (ppm)]]&lt;560, "Low", IF(Table4_2[[#This Row],[TDS Value (ppm)]]&lt;=800,"Optimal","High"))</f>
        <v>Optimal</v>
      </c>
    </row>
    <row r="1996" spans="1:12" x14ac:dyDescent="0.25">
      <c r="A1996">
        <v>34</v>
      </c>
      <c r="B1996" s="1">
        <v>45177</v>
      </c>
      <c r="C1996" s="1" t="str">
        <f>TEXT(Table4_2[[#This Row],[Date]],"dddd")</f>
        <v>Friday</v>
      </c>
      <c r="D1996" s="21">
        <v>29.8</v>
      </c>
      <c r="E1996" s="21">
        <v>56</v>
      </c>
      <c r="F1996" s="21">
        <v>661</v>
      </c>
      <c r="G1996" s="21">
        <v>6.1</v>
      </c>
      <c r="H1996">
        <v>37</v>
      </c>
      <c r="I1996">
        <v>85.64</v>
      </c>
      <c r="J1996">
        <v>0.56000000000000005</v>
      </c>
      <c r="K1996" t="str" cm="1">
        <f t="array" ref="K1996">_xlfn.IFS(Table4_2[[#This Row],[Growth Days]]&lt;=14,"Seedling",Table4_2[[#This Row],[Growth Days]]&lt;=35, "Vegetative",Table4_2[[#This Row],[Growth Days]]&lt;=50, "Maturity")</f>
        <v>Maturity</v>
      </c>
      <c r="L1996" t="str">
        <f>IF(Table4_2[[#This Row],[TDS Value (ppm)]]&lt;560, "Low", IF(Table4_2[[#This Row],[TDS Value (ppm)]]&lt;=800,"Optimal","High"))</f>
        <v>Optimal</v>
      </c>
    </row>
    <row r="1997" spans="1:12" x14ac:dyDescent="0.25">
      <c r="A1997">
        <v>34</v>
      </c>
      <c r="B1997" s="1">
        <v>45184</v>
      </c>
      <c r="C1997" s="1" t="str">
        <f>TEXT(Table4_2[[#This Row],[Date]],"dddd")</f>
        <v>Friday</v>
      </c>
      <c r="D1997" s="21">
        <v>30.6</v>
      </c>
      <c r="E1997" s="21">
        <v>78</v>
      </c>
      <c r="F1997" s="21">
        <v>481</v>
      </c>
      <c r="G1997" s="21">
        <v>6.2</v>
      </c>
      <c r="H1997">
        <v>44</v>
      </c>
      <c r="I1997">
        <v>87.08</v>
      </c>
      <c r="J1997">
        <v>0.78</v>
      </c>
      <c r="K1997" t="str" cm="1">
        <f t="array" ref="K1997">_xlfn.IFS(Table4_2[[#This Row],[Growth Days]]&lt;=14,"Seedling",Table4_2[[#This Row],[Growth Days]]&lt;=35, "Vegetative",Table4_2[[#This Row],[Growth Days]]&lt;=50, "Maturity")</f>
        <v>Maturity</v>
      </c>
      <c r="L1997" t="str">
        <f>IF(Table4_2[[#This Row],[TDS Value (ppm)]]&lt;560, "Low", IF(Table4_2[[#This Row],[TDS Value (ppm)]]&lt;=800,"Optimal","High"))</f>
        <v>Low</v>
      </c>
    </row>
    <row r="1998" spans="1:12" x14ac:dyDescent="0.25">
      <c r="A1998">
        <v>35</v>
      </c>
      <c r="B1998" s="1">
        <v>45142</v>
      </c>
      <c r="C1998" s="1" t="str">
        <f>TEXT(Table4_2[[#This Row],[Date]],"dddd")</f>
        <v>Friday</v>
      </c>
      <c r="D1998" s="21">
        <v>33.5</v>
      </c>
      <c r="E1998" s="21">
        <v>52</v>
      </c>
      <c r="F1998" s="21">
        <v>586</v>
      </c>
      <c r="G1998" s="21">
        <v>6.7</v>
      </c>
      <c r="H1998">
        <v>2</v>
      </c>
      <c r="I1998">
        <v>92.3</v>
      </c>
      <c r="J1998">
        <v>0.52</v>
      </c>
      <c r="K1998" t="str" cm="1">
        <f t="array" ref="K1998">_xlfn.IFS(Table4_2[[#This Row],[Growth Days]]&lt;=14,"Seedling",Table4_2[[#This Row],[Growth Days]]&lt;=35, "Vegetative",Table4_2[[#This Row],[Growth Days]]&lt;=50, "Maturity")</f>
        <v>Seedling</v>
      </c>
      <c r="L1998" t="str">
        <f>IF(Table4_2[[#This Row],[TDS Value (ppm)]]&lt;560, "Low", IF(Table4_2[[#This Row],[TDS Value (ppm)]]&lt;=800,"Optimal","High"))</f>
        <v>Optimal</v>
      </c>
    </row>
    <row r="1999" spans="1:12" x14ac:dyDescent="0.25">
      <c r="A1999">
        <v>35</v>
      </c>
      <c r="B1999" s="1">
        <v>45149</v>
      </c>
      <c r="C1999" s="1" t="str">
        <f>TEXT(Table4_2[[#This Row],[Date]],"dddd")</f>
        <v>Friday</v>
      </c>
      <c r="D1999" s="21">
        <v>31.9</v>
      </c>
      <c r="E1999" s="21">
        <v>68</v>
      </c>
      <c r="F1999" s="21">
        <v>561</v>
      </c>
      <c r="G1999" s="21">
        <v>6.3</v>
      </c>
      <c r="H1999">
        <v>9</v>
      </c>
      <c r="I1999">
        <v>89.42</v>
      </c>
      <c r="J1999">
        <v>0.68</v>
      </c>
      <c r="K1999" t="str" cm="1">
        <f t="array" ref="K1999">_xlfn.IFS(Table4_2[[#This Row],[Growth Days]]&lt;=14,"Seedling",Table4_2[[#This Row],[Growth Days]]&lt;=35, "Vegetative",Table4_2[[#This Row],[Growth Days]]&lt;=50, "Maturity")</f>
        <v>Seedling</v>
      </c>
      <c r="L1999" t="str">
        <f>IF(Table4_2[[#This Row],[TDS Value (ppm)]]&lt;560, "Low", IF(Table4_2[[#This Row],[TDS Value (ppm)]]&lt;=800,"Optimal","High"))</f>
        <v>Optimal</v>
      </c>
    </row>
    <row r="2000" spans="1:12" x14ac:dyDescent="0.25">
      <c r="A2000">
        <v>35</v>
      </c>
      <c r="B2000" s="1">
        <v>45156</v>
      </c>
      <c r="C2000" s="1" t="str">
        <f>TEXT(Table4_2[[#This Row],[Date]],"dddd")</f>
        <v>Friday</v>
      </c>
      <c r="D2000" s="21">
        <v>30.9</v>
      </c>
      <c r="E2000" s="21">
        <v>63</v>
      </c>
      <c r="F2000" s="21">
        <v>493</v>
      </c>
      <c r="G2000" s="21">
        <v>6.6</v>
      </c>
      <c r="H2000">
        <v>16</v>
      </c>
      <c r="I2000">
        <v>87.62</v>
      </c>
      <c r="J2000">
        <v>0.63</v>
      </c>
      <c r="K2000" t="str" cm="1">
        <f t="array" ref="K2000">_xlfn.IFS(Table4_2[[#This Row],[Growth Days]]&lt;=14,"Seedling",Table4_2[[#This Row],[Growth Days]]&lt;=35, "Vegetative",Table4_2[[#This Row],[Growth Days]]&lt;=50, "Maturity")</f>
        <v>Vegetative</v>
      </c>
      <c r="L2000" t="str">
        <f>IF(Table4_2[[#This Row],[TDS Value (ppm)]]&lt;560, "Low", IF(Table4_2[[#This Row],[TDS Value (ppm)]]&lt;=800,"Optimal","High"))</f>
        <v>Low</v>
      </c>
    </row>
    <row r="2001" spans="1:12" x14ac:dyDescent="0.25">
      <c r="A2001">
        <v>35</v>
      </c>
      <c r="B2001" s="1">
        <v>45163</v>
      </c>
      <c r="C2001" s="1" t="str">
        <f>TEXT(Table4_2[[#This Row],[Date]],"dddd")</f>
        <v>Friday</v>
      </c>
      <c r="D2001" s="21">
        <v>31.4</v>
      </c>
      <c r="E2001" s="21">
        <v>76</v>
      </c>
      <c r="F2001" s="21">
        <v>400</v>
      </c>
      <c r="G2001" s="21">
        <v>6.3</v>
      </c>
      <c r="H2001">
        <v>23</v>
      </c>
      <c r="I2001">
        <v>88.52</v>
      </c>
      <c r="J2001">
        <v>0.76</v>
      </c>
      <c r="K2001" t="str" cm="1">
        <f t="array" ref="K2001">_xlfn.IFS(Table4_2[[#This Row],[Growth Days]]&lt;=14,"Seedling",Table4_2[[#This Row],[Growth Days]]&lt;=35, "Vegetative",Table4_2[[#This Row],[Growth Days]]&lt;=50, "Maturity")</f>
        <v>Vegetative</v>
      </c>
      <c r="L2001" t="str">
        <f>IF(Table4_2[[#This Row],[TDS Value (ppm)]]&lt;560, "Low", IF(Table4_2[[#This Row],[TDS Value (ppm)]]&lt;=800,"Optimal","High"))</f>
        <v>Low</v>
      </c>
    </row>
    <row r="2002" spans="1:12" x14ac:dyDescent="0.25">
      <c r="A2002">
        <v>35</v>
      </c>
      <c r="B2002" s="1">
        <v>45170</v>
      </c>
      <c r="C2002" s="1" t="str">
        <f>TEXT(Table4_2[[#This Row],[Date]],"dddd")</f>
        <v>Friday</v>
      </c>
      <c r="D2002" s="21">
        <v>31.7</v>
      </c>
      <c r="E2002" s="21">
        <v>72</v>
      </c>
      <c r="F2002" s="21">
        <v>763</v>
      </c>
      <c r="G2002" s="21">
        <v>6.6</v>
      </c>
      <c r="H2002">
        <v>30</v>
      </c>
      <c r="I2002">
        <v>89.06</v>
      </c>
      <c r="J2002">
        <v>0.72</v>
      </c>
      <c r="K2002" t="str" cm="1">
        <f t="array" ref="K2002">_xlfn.IFS(Table4_2[[#This Row],[Growth Days]]&lt;=14,"Seedling",Table4_2[[#This Row],[Growth Days]]&lt;=35, "Vegetative",Table4_2[[#This Row],[Growth Days]]&lt;=50, "Maturity")</f>
        <v>Vegetative</v>
      </c>
      <c r="L2002" t="str">
        <f>IF(Table4_2[[#This Row],[TDS Value (ppm)]]&lt;560, "Low", IF(Table4_2[[#This Row],[TDS Value (ppm)]]&lt;=800,"Optimal","High"))</f>
        <v>Optimal</v>
      </c>
    </row>
    <row r="2003" spans="1:12" x14ac:dyDescent="0.25">
      <c r="A2003">
        <v>35</v>
      </c>
      <c r="B2003" s="1">
        <v>45177</v>
      </c>
      <c r="C2003" s="1" t="str">
        <f>TEXT(Table4_2[[#This Row],[Date]],"dddd")</f>
        <v>Friday</v>
      </c>
      <c r="D2003" s="21">
        <v>29.8</v>
      </c>
      <c r="E2003" s="21">
        <v>75</v>
      </c>
      <c r="F2003" s="21">
        <v>544</v>
      </c>
      <c r="G2003" s="21">
        <v>6.7</v>
      </c>
      <c r="H2003">
        <v>37</v>
      </c>
      <c r="I2003">
        <v>85.64</v>
      </c>
      <c r="J2003">
        <v>0.75</v>
      </c>
      <c r="K2003" t="str" cm="1">
        <f t="array" ref="K2003">_xlfn.IFS(Table4_2[[#This Row],[Growth Days]]&lt;=14,"Seedling",Table4_2[[#This Row],[Growth Days]]&lt;=35, "Vegetative",Table4_2[[#This Row],[Growth Days]]&lt;=50, "Maturity")</f>
        <v>Maturity</v>
      </c>
      <c r="L2003" t="str">
        <f>IF(Table4_2[[#This Row],[TDS Value (ppm)]]&lt;560, "Low", IF(Table4_2[[#This Row],[TDS Value (ppm)]]&lt;=800,"Optimal","High"))</f>
        <v>Low</v>
      </c>
    </row>
    <row r="2004" spans="1:12" x14ac:dyDescent="0.25">
      <c r="A2004">
        <v>35</v>
      </c>
      <c r="B2004" s="1">
        <v>45184</v>
      </c>
      <c r="C2004" s="1" t="str">
        <f>TEXT(Table4_2[[#This Row],[Date]],"dddd")</f>
        <v>Friday</v>
      </c>
      <c r="D2004" s="21">
        <v>30.6</v>
      </c>
      <c r="E2004" s="21">
        <v>59</v>
      </c>
      <c r="F2004" s="21">
        <v>404</v>
      </c>
      <c r="G2004" s="21">
        <v>6.1</v>
      </c>
      <c r="H2004">
        <v>44</v>
      </c>
      <c r="I2004">
        <v>87.08</v>
      </c>
      <c r="J2004">
        <v>0.59</v>
      </c>
      <c r="K2004" t="str" cm="1">
        <f t="array" ref="K2004">_xlfn.IFS(Table4_2[[#This Row],[Growth Days]]&lt;=14,"Seedling",Table4_2[[#This Row],[Growth Days]]&lt;=35, "Vegetative",Table4_2[[#This Row],[Growth Days]]&lt;=50, "Maturity")</f>
        <v>Maturity</v>
      </c>
      <c r="L2004" t="str">
        <f>IF(Table4_2[[#This Row],[TDS Value (ppm)]]&lt;560, "Low", IF(Table4_2[[#This Row],[TDS Value (ppm)]]&lt;=800,"Optimal","High"))</f>
        <v>Low</v>
      </c>
    </row>
    <row r="2005" spans="1:12" x14ac:dyDescent="0.25">
      <c r="A2005">
        <v>36</v>
      </c>
      <c r="B2005" s="1">
        <v>45142</v>
      </c>
      <c r="C2005" s="1" t="str">
        <f>TEXT(Table4_2[[#This Row],[Date]],"dddd")</f>
        <v>Friday</v>
      </c>
      <c r="D2005" s="21">
        <v>33.5</v>
      </c>
      <c r="E2005" s="21">
        <v>79</v>
      </c>
      <c r="F2005" s="21">
        <v>799</v>
      </c>
      <c r="G2005" s="21">
        <v>6.6</v>
      </c>
      <c r="H2005">
        <v>2</v>
      </c>
      <c r="I2005">
        <v>92.3</v>
      </c>
      <c r="J2005">
        <v>0.79</v>
      </c>
      <c r="K2005" t="str" cm="1">
        <f t="array" ref="K2005">_xlfn.IFS(Table4_2[[#This Row],[Growth Days]]&lt;=14,"Seedling",Table4_2[[#This Row],[Growth Days]]&lt;=35, "Vegetative",Table4_2[[#This Row],[Growth Days]]&lt;=50, "Maturity")</f>
        <v>Seedling</v>
      </c>
      <c r="L2005" t="str">
        <f>IF(Table4_2[[#This Row],[TDS Value (ppm)]]&lt;560, "Low", IF(Table4_2[[#This Row],[TDS Value (ppm)]]&lt;=800,"Optimal","High"))</f>
        <v>Optimal</v>
      </c>
    </row>
    <row r="2006" spans="1:12" x14ac:dyDescent="0.25">
      <c r="A2006">
        <v>36</v>
      </c>
      <c r="B2006" s="1">
        <v>45149</v>
      </c>
      <c r="C2006" s="1" t="str">
        <f>TEXT(Table4_2[[#This Row],[Date]],"dddd")</f>
        <v>Friday</v>
      </c>
      <c r="D2006" s="21">
        <v>31.9</v>
      </c>
      <c r="E2006" s="21">
        <v>67</v>
      </c>
      <c r="F2006" s="21">
        <v>702</v>
      </c>
      <c r="G2006" s="21">
        <v>6.1</v>
      </c>
      <c r="H2006">
        <v>9</v>
      </c>
      <c r="I2006">
        <v>89.42</v>
      </c>
      <c r="J2006">
        <v>0.67</v>
      </c>
      <c r="K2006" t="str" cm="1">
        <f t="array" ref="K2006">_xlfn.IFS(Table4_2[[#This Row],[Growth Days]]&lt;=14,"Seedling",Table4_2[[#This Row],[Growth Days]]&lt;=35, "Vegetative",Table4_2[[#This Row],[Growth Days]]&lt;=50, "Maturity")</f>
        <v>Seedling</v>
      </c>
      <c r="L2006" t="str">
        <f>IF(Table4_2[[#This Row],[TDS Value (ppm)]]&lt;560, "Low", IF(Table4_2[[#This Row],[TDS Value (ppm)]]&lt;=800,"Optimal","High"))</f>
        <v>Optimal</v>
      </c>
    </row>
    <row r="2007" spans="1:12" x14ac:dyDescent="0.25">
      <c r="A2007">
        <v>36</v>
      </c>
      <c r="B2007" s="1">
        <v>45156</v>
      </c>
      <c r="C2007" s="1" t="str">
        <f>TEXT(Table4_2[[#This Row],[Date]],"dddd")</f>
        <v>Friday</v>
      </c>
      <c r="D2007" s="21">
        <v>30.9</v>
      </c>
      <c r="E2007" s="21">
        <v>57</v>
      </c>
      <c r="F2007" s="21">
        <v>569</v>
      </c>
      <c r="G2007" s="21">
        <v>6.2</v>
      </c>
      <c r="H2007">
        <v>16</v>
      </c>
      <c r="I2007">
        <v>87.62</v>
      </c>
      <c r="J2007">
        <v>0.56999999999999995</v>
      </c>
      <c r="K2007" t="str" cm="1">
        <f t="array" ref="K2007">_xlfn.IFS(Table4_2[[#This Row],[Growth Days]]&lt;=14,"Seedling",Table4_2[[#This Row],[Growth Days]]&lt;=35, "Vegetative",Table4_2[[#This Row],[Growth Days]]&lt;=50, "Maturity")</f>
        <v>Vegetative</v>
      </c>
      <c r="L2007" t="str">
        <f>IF(Table4_2[[#This Row],[TDS Value (ppm)]]&lt;560, "Low", IF(Table4_2[[#This Row],[TDS Value (ppm)]]&lt;=800,"Optimal","High"))</f>
        <v>Optimal</v>
      </c>
    </row>
    <row r="2008" spans="1:12" x14ac:dyDescent="0.25">
      <c r="A2008">
        <v>36</v>
      </c>
      <c r="B2008" s="1">
        <v>45163</v>
      </c>
      <c r="C2008" s="1" t="str">
        <f>TEXT(Table4_2[[#This Row],[Date]],"dddd")</f>
        <v>Friday</v>
      </c>
      <c r="D2008" s="21">
        <v>31.4</v>
      </c>
      <c r="E2008" s="21">
        <v>59</v>
      </c>
      <c r="F2008" s="21">
        <v>548</v>
      </c>
      <c r="G2008" s="21">
        <v>6.6</v>
      </c>
      <c r="H2008">
        <v>23</v>
      </c>
      <c r="I2008">
        <v>88.52</v>
      </c>
      <c r="J2008">
        <v>0.59</v>
      </c>
      <c r="K2008" t="str" cm="1">
        <f t="array" ref="K2008">_xlfn.IFS(Table4_2[[#This Row],[Growth Days]]&lt;=14,"Seedling",Table4_2[[#This Row],[Growth Days]]&lt;=35, "Vegetative",Table4_2[[#This Row],[Growth Days]]&lt;=50, "Maturity")</f>
        <v>Vegetative</v>
      </c>
      <c r="L2008" t="str">
        <f>IF(Table4_2[[#This Row],[TDS Value (ppm)]]&lt;560, "Low", IF(Table4_2[[#This Row],[TDS Value (ppm)]]&lt;=800,"Optimal","High"))</f>
        <v>Low</v>
      </c>
    </row>
    <row r="2009" spans="1:12" x14ac:dyDescent="0.25">
      <c r="A2009">
        <v>36</v>
      </c>
      <c r="B2009" s="1">
        <v>45170</v>
      </c>
      <c r="C2009" s="1" t="str">
        <f>TEXT(Table4_2[[#This Row],[Date]],"dddd")</f>
        <v>Friday</v>
      </c>
      <c r="D2009" s="21">
        <v>31.7</v>
      </c>
      <c r="E2009" s="21">
        <v>51</v>
      </c>
      <c r="F2009" s="21">
        <v>705</v>
      </c>
      <c r="G2009" s="21">
        <v>6.5</v>
      </c>
      <c r="H2009">
        <v>30</v>
      </c>
      <c r="I2009">
        <v>89.06</v>
      </c>
      <c r="J2009">
        <v>0.51</v>
      </c>
      <c r="K2009" t="str" cm="1">
        <f t="array" ref="K2009">_xlfn.IFS(Table4_2[[#This Row],[Growth Days]]&lt;=14,"Seedling",Table4_2[[#This Row],[Growth Days]]&lt;=35, "Vegetative",Table4_2[[#This Row],[Growth Days]]&lt;=50, "Maturity")</f>
        <v>Vegetative</v>
      </c>
      <c r="L2009" t="str">
        <f>IF(Table4_2[[#This Row],[TDS Value (ppm)]]&lt;560, "Low", IF(Table4_2[[#This Row],[TDS Value (ppm)]]&lt;=800,"Optimal","High"))</f>
        <v>Optimal</v>
      </c>
    </row>
    <row r="2010" spans="1:12" x14ac:dyDescent="0.25">
      <c r="A2010">
        <v>36</v>
      </c>
      <c r="B2010" s="1">
        <v>45177</v>
      </c>
      <c r="C2010" s="1" t="str">
        <f>TEXT(Table4_2[[#This Row],[Date]],"dddd")</f>
        <v>Friday</v>
      </c>
      <c r="D2010" s="21">
        <v>29.8</v>
      </c>
      <c r="E2010" s="21">
        <v>64</v>
      </c>
      <c r="F2010" s="21">
        <v>564</v>
      </c>
      <c r="G2010" s="21">
        <v>6.3</v>
      </c>
      <c r="H2010">
        <v>37</v>
      </c>
      <c r="I2010">
        <v>85.64</v>
      </c>
      <c r="J2010">
        <v>0.64</v>
      </c>
      <c r="K2010" t="str" cm="1">
        <f t="array" ref="K2010">_xlfn.IFS(Table4_2[[#This Row],[Growth Days]]&lt;=14,"Seedling",Table4_2[[#This Row],[Growth Days]]&lt;=35, "Vegetative",Table4_2[[#This Row],[Growth Days]]&lt;=50, "Maturity")</f>
        <v>Maturity</v>
      </c>
      <c r="L2010" t="str">
        <f>IF(Table4_2[[#This Row],[TDS Value (ppm)]]&lt;560, "Low", IF(Table4_2[[#This Row],[TDS Value (ppm)]]&lt;=800,"Optimal","High"))</f>
        <v>Optimal</v>
      </c>
    </row>
    <row r="2011" spans="1:12" x14ac:dyDescent="0.25">
      <c r="A2011">
        <v>36</v>
      </c>
      <c r="B2011" s="1">
        <v>45184</v>
      </c>
      <c r="C2011" s="1" t="str">
        <f>TEXT(Table4_2[[#This Row],[Date]],"dddd")</f>
        <v>Friday</v>
      </c>
      <c r="D2011" s="21">
        <v>30.6</v>
      </c>
      <c r="E2011" s="21">
        <v>58</v>
      </c>
      <c r="F2011" s="21">
        <v>550</v>
      </c>
      <c r="G2011" s="21">
        <v>6.8</v>
      </c>
      <c r="H2011">
        <v>44</v>
      </c>
      <c r="I2011">
        <v>87.08</v>
      </c>
      <c r="J2011">
        <v>0.57999999999999996</v>
      </c>
      <c r="K2011" t="str" cm="1">
        <f t="array" ref="K2011">_xlfn.IFS(Table4_2[[#This Row],[Growth Days]]&lt;=14,"Seedling",Table4_2[[#This Row],[Growth Days]]&lt;=35, "Vegetative",Table4_2[[#This Row],[Growth Days]]&lt;=50, "Maturity")</f>
        <v>Maturity</v>
      </c>
      <c r="L2011" t="str">
        <f>IF(Table4_2[[#This Row],[TDS Value (ppm)]]&lt;560, "Low", IF(Table4_2[[#This Row],[TDS Value (ppm)]]&lt;=800,"Optimal","High"))</f>
        <v>Low</v>
      </c>
    </row>
    <row r="2012" spans="1:12" x14ac:dyDescent="0.25">
      <c r="A2012">
        <v>37</v>
      </c>
      <c r="B2012" s="1">
        <v>45142</v>
      </c>
      <c r="C2012" s="1" t="str">
        <f>TEXT(Table4_2[[#This Row],[Date]],"dddd")</f>
        <v>Friday</v>
      </c>
      <c r="D2012" s="21">
        <v>33.5</v>
      </c>
      <c r="E2012" s="21">
        <v>57</v>
      </c>
      <c r="F2012" s="21">
        <v>764</v>
      </c>
      <c r="G2012" s="21">
        <v>6.1</v>
      </c>
      <c r="H2012">
        <v>2</v>
      </c>
      <c r="I2012">
        <v>92.3</v>
      </c>
      <c r="J2012">
        <v>0.56999999999999995</v>
      </c>
      <c r="K2012" t="str" cm="1">
        <f t="array" ref="K2012">_xlfn.IFS(Table4_2[[#This Row],[Growth Days]]&lt;=14,"Seedling",Table4_2[[#This Row],[Growth Days]]&lt;=35, "Vegetative",Table4_2[[#This Row],[Growth Days]]&lt;=50, "Maturity")</f>
        <v>Seedling</v>
      </c>
      <c r="L2012" t="str">
        <f>IF(Table4_2[[#This Row],[TDS Value (ppm)]]&lt;560, "Low", IF(Table4_2[[#This Row],[TDS Value (ppm)]]&lt;=800,"Optimal","High"))</f>
        <v>Optimal</v>
      </c>
    </row>
    <row r="2013" spans="1:12" x14ac:dyDescent="0.25">
      <c r="A2013">
        <v>37</v>
      </c>
      <c r="B2013" s="1">
        <v>45149</v>
      </c>
      <c r="C2013" s="1" t="str">
        <f>TEXT(Table4_2[[#This Row],[Date]],"dddd")</f>
        <v>Friday</v>
      </c>
      <c r="D2013" s="21">
        <v>31.9</v>
      </c>
      <c r="E2013" s="21">
        <v>62</v>
      </c>
      <c r="F2013" s="21">
        <v>489</v>
      </c>
      <c r="G2013" s="21">
        <v>6.5</v>
      </c>
      <c r="H2013">
        <v>9</v>
      </c>
      <c r="I2013">
        <v>89.42</v>
      </c>
      <c r="J2013">
        <v>0.62</v>
      </c>
      <c r="K2013" t="str" cm="1">
        <f t="array" ref="K2013">_xlfn.IFS(Table4_2[[#This Row],[Growth Days]]&lt;=14,"Seedling",Table4_2[[#This Row],[Growth Days]]&lt;=35, "Vegetative",Table4_2[[#This Row],[Growth Days]]&lt;=50, "Maturity")</f>
        <v>Seedling</v>
      </c>
      <c r="L2013" t="str">
        <f>IF(Table4_2[[#This Row],[TDS Value (ppm)]]&lt;560, "Low", IF(Table4_2[[#This Row],[TDS Value (ppm)]]&lt;=800,"Optimal","High"))</f>
        <v>Low</v>
      </c>
    </row>
    <row r="2014" spans="1:12" x14ac:dyDescent="0.25">
      <c r="A2014">
        <v>37</v>
      </c>
      <c r="B2014" s="1">
        <v>45156</v>
      </c>
      <c r="C2014" s="1" t="str">
        <f>TEXT(Table4_2[[#This Row],[Date]],"dddd")</f>
        <v>Friday</v>
      </c>
      <c r="D2014" s="21">
        <v>30.9</v>
      </c>
      <c r="E2014" s="21">
        <v>58</v>
      </c>
      <c r="F2014" s="21">
        <v>534</v>
      </c>
      <c r="G2014" s="21">
        <v>6.5</v>
      </c>
      <c r="H2014">
        <v>16</v>
      </c>
      <c r="I2014">
        <v>87.62</v>
      </c>
      <c r="J2014">
        <v>0.57999999999999996</v>
      </c>
      <c r="K2014" t="str" cm="1">
        <f t="array" ref="K2014">_xlfn.IFS(Table4_2[[#This Row],[Growth Days]]&lt;=14,"Seedling",Table4_2[[#This Row],[Growth Days]]&lt;=35, "Vegetative",Table4_2[[#This Row],[Growth Days]]&lt;=50, "Maturity")</f>
        <v>Vegetative</v>
      </c>
      <c r="L2014" t="str">
        <f>IF(Table4_2[[#This Row],[TDS Value (ppm)]]&lt;560, "Low", IF(Table4_2[[#This Row],[TDS Value (ppm)]]&lt;=800,"Optimal","High"))</f>
        <v>Low</v>
      </c>
    </row>
    <row r="2015" spans="1:12" x14ac:dyDescent="0.25">
      <c r="A2015">
        <v>37</v>
      </c>
      <c r="B2015" s="1">
        <v>45163</v>
      </c>
      <c r="C2015" s="1" t="str">
        <f>TEXT(Table4_2[[#This Row],[Date]],"dddd")</f>
        <v>Friday</v>
      </c>
      <c r="D2015" s="21">
        <v>31.4</v>
      </c>
      <c r="E2015" s="21">
        <v>54</v>
      </c>
      <c r="F2015" s="21">
        <v>406</v>
      </c>
      <c r="G2015" s="21">
        <v>6.8</v>
      </c>
      <c r="H2015">
        <v>23</v>
      </c>
      <c r="I2015">
        <v>88.52</v>
      </c>
      <c r="J2015">
        <v>0.54</v>
      </c>
      <c r="K2015" t="str" cm="1">
        <f t="array" ref="K2015">_xlfn.IFS(Table4_2[[#This Row],[Growth Days]]&lt;=14,"Seedling",Table4_2[[#This Row],[Growth Days]]&lt;=35, "Vegetative",Table4_2[[#This Row],[Growth Days]]&lt;=50, "Maturity")</f>
        <v>Vegetative</v>
      </c>
      <c r="L2015" t="str">
        <f>IF(Table4_2[[#This Row],[TDS Value (ppm)]]&lt;560, "Low", IF(Table4_2[[#This Row],[TDS Value (ppm)]]&lt;=800,"Optimal","High"))</f>
        <v>Low</v>
      </c>
    </row>
    <row r="2016" spans="1:12" x14ac:dyDescent="0.25">
      <c r="A2016">
        <v>37</v>
      </c>
      <c r="B2016" s="1">
        <v>45170</v>
      </c>
      <c r="C2016" s="1" t="str">
        <f>TEXT(Table4_2[[#This Row],[Date]],"dddd")</f>
        <v>Friday</v>
      </c>
      <c r="D2016" s="21">
        <v>31.7</v>
      </c>
      <c r="E2016" s="21">
        <v>50</v>
      </c>
      <c r="F2016" s="21">
        <v>646</v>
      </c>
      <c r="G2016" s="21">
        <v>6.7</v>
      </c>
      <c r="H2016">
        <v>30</v>
      </c>
      <c r="I2016">
        <v>89.06</v>
      </c>
      <c r="J2016">
        <v>0.5</v>
      </c>
      <c r="K2016" t="str" cm="1">
        <f t="array" ref="K2016">_xlfn.IFS(Table4_2[[#This Row],[Growth Days]]&lt;=14,"Seedling",Table4_2[[#This Row],[Growth Days]]&lt;=35, "Vegetative",Table4_2[[#This Row],[Growth Days]]&lt;=50, "Maturity")</f>
        <v>Vegetative</v>
      </c>
      <c r="L2016" t="str">
        <f>IF(Table4_2[[#This Row],[TDS Value (ppm)]]&lt;560, "Low", IF(Table4_2[[#This Row],[TDS Value (ppm)]]&lt;=800,"Optimal","High"))</f>
        <v>Optimal</v>
      </c>
    </row>
    <row r="2017" spans="1:12" x14ac:dyDescent="0.25">
      <c r="A2017">
        <v>37</v>
      </c>
      <c r="B2017" s="1">
        <v>45177</v>
      </c>
      <c r="C2017" s="1" t="str">
        <f>TEXT(Table4_2[[#This Row],[Date]],"dddd")</f>
        <v>Friday</v>
      </c>
      <c r="D2017" s="21">
        <v>29.8</v>
      </c>
      <c r="E2017" s="21">
        <v>76</v>
      </c>
      <c r="F2017" s="21">
        <v>435</v>
      </c>
      <c r="G2017" s="21">
        <v>6.3</v>
      </c>
      <c r="H2017">
        <v>37</v>
      </c>
      <c r="I2017">
        <v>85.64</v>
      </c>
      <c r="J2017">
        <v>0.76</v>
      </c>
      <c r="K2017" t="str" cm="1">
        <f t="array" ref="K2017">_xlfn.IFS(Table4_2[[#This Row],[Growth Days]]&lt;=14,"Seedling",Table4_2[[#This Row],[Growth Days]]&lt;=35, "Vegetative",Table4_2[[#This Row],[Growth Days]]&lt;=50, "Maturity")</f>
        <v>Maturity</v>
      </c>
      <c r="L2017" t="str">
        <f>IF(Table4_2[[#This Row],[TDS Value (ppm)]]&lt;560, "Low", IF(Table4_2[[#This Row],[TDS Value (ppm)]]&lt;=800,"Optimal","High"))</f>
        <v>Low</v>
      </c>
    </row>
    <row r="2018" spans="1:12" x14ac:dyDescent="0.25">
      <c r="A2018">
        <v>37</v>
      </c>
      <c r="B2018" s="1">
        <v>45184</v>
      </c>
      <c r="C2018" s="1" t="str">
        <f>TEXT(Table4_2[[#This Row],[Date]],"dddd")</f>
        <v>Friday</v>
      </c>
      <c r="D2018" s="21">
        <v>30.6</v>
      </c>
      <c r="E2018" s="21">
        <v>80</v>
      </c>
      <c r="F2018" s="21">
        <v>659</v>
      </c>
      <c r="G2018" s="21">
        <v>6.7</v>
      </c>
      <c r="H2018">
        <v>44</v>
      </c>
      <c r="I2018">
        <v>87.08</v>
      </c>
      <c r="J2018">
        <v>0.8</v>
      </c>
      <c r="K2018" t="str" cm="1">
        <f t="array" ref="K2018">_xlfn.IFS(Table4_2[[#This Row],[Growth Days]]&lt;=14,"Seedling",Table4_2[[#This Row],[Growth Days]]&lt;=35, "Vegetative",Table4_2[[#This Row],[Growth Days]]&lt;=50, "Maturity")</f>
        <v>Maturity</v>
      </c>
      <c r="L2018" t="str">
        <f>IF(Table4_2[[#This Row],[TDS Value (ppm)]]&lt;560, "Low", IF(Table4_2[[#This Row],[TDS Value (ppm)]]&lt;=800,"Optimal","High"))</f>
        <v>Optimal</v>
      </c>
    </row>
    <row r="2019" spans="1:12" x14ac:dyDescent="0.25">
      <c r="A2019">
        <v>38</v>
      </c>
      <c r="B2019" s="1">
        <v>45142</v>
      </c>
      <c r="C2019" s="1" t="str">
        <f>TEXT(Table4_2[[#This Row],[Date]],"dddd")</f>
        <v>Friday</v>
      </c>
      <c r="D2019" s="21">
        <v>33.5</v>
      </c>
      <c r="E2019" s="21">
        <v>56</v>
      </c>
      <c r="F2019" s="21">
        <v>507</v>
      </c>
      <c r="G2019" s="21">
        <v>6.2</v>
      </c>
      <c r="H2019">
        <v>2</v>
      </c>
      <c r="I2019">
        <v>92.3</v>
      </c>
      <c r="J2019">
        <v>0.56000000000000005</v>
      </c>
      <c r="K2019" t="str" cm="1">
        <f t="array" ref="K2019">_xlfn.IFS(Table4_2[[#This Row],[Growth Days]]&lt;=14,"Seedling",Table4_2[[#This Row],[Growth Days]]&lt;=35, "Vegetative",Table4_2[[#This Row],[Growth Days]]&lt;=50, "Maturity")</f>
        <v>Seedling</v>
      </c>
      <c r="L2019" t="str">
        <f>IF(Table4_2[[#This Row],[TDS Value (ppm)]]&lt;560, "Low", IF(Table4_2[[#This Row],[TDS Value (ppm)]]&lt;=800,"Optimal","High"))</f>
        <v>Low</v>
      </c>
    </row>
    <row r="2020" spans="1:12" x14ac:dyDescent="0.25">
      <c r="A2020">
        <v>38</v>
      </c>
      <c r="B2020" s="1">
        <v>45149</v>
      </c>
      <c r="C2020" s="1" t="str">
        <f>TEXT(Table4_2[[#This Row],[Date]],"dddd")</f>
        <v>Friday</v>
      </c>
      <c r="D2020" s="21">
        <v>31.9</v>
      </c>
      <c r="E2020" s="21">
        <v>68</v>
      </c>
      <c r="F2020" s="21">
        <v>520</v>
      </c>
      <c r="G2020" s="21">
        <v>6.6</v>
      </c>
      <c r="H2020">
        <v>9</v>
      </c>
      <c r="I2020">
        <v>89.42</v>
      </c>
      <c r="J2020">
        <v>0.68</v>
      </c>
      <c r="K2020" t="str" cm="1">
        <f t="array" ref="K2020">_xlfn.IFS(Table4_2[[#This Row],[Growth Days]]&lt;=14,"Seedling",Table4_2[[#This Row],[Growth Days]]&lt;=35, "Vegetative",Table4_2[[#This Row],[Growth Days]]&lt;=50, "Maturity")</f>
        <v>Seedling</v>
      </c>
      <c r="L2020" t="str">
        <f>IF(Table4_2[[#This Row],[TDS Value (ppm)]]&lt;560, "Low", IF(Table4_2[[#This Row],[TDS Value (ppm)]]&lt;=800,"Optimal","High"))</f>
        <v>Low</v>
      </c>
    </row>
    <row r="2021" spans="1:12" x14ac:dyDescent="0.25">
      <c r="A2021">
        <v>38</v>
      </c>
      <c r="B2021" s="1">
        <v>45156</v>
      </c>
      <c r="C2021" s="1" t="str">
        <f>TEXT(Table4_2[[#This Row],[Date]],"dddd")</f>
        <v>Friday</v>
      </c>
      <c r="D2021" s="21">
        <v>30.9</v>
      </c>
      <c r="E2021" s="21">
        <v>68</v>
      </c>
      <c r="F2021" s="21">
        <v>592</v>
      </c>
      <c r="G2021" s="21">
        <v>6.7</v>
      </c>
      <c r="H2021">
        <v>16</v>
      </c>
      <c r="I2021">
        <v>87.62</v>
      </c>
      <c r="J2021">
        <v>0.68</v>
      </c>
      <c r="K2021" t="str" cm="1">
        <f t="array" ref="K2021">_xlfn.IFS(Table4_2[[#This Row],[Growth Days]]&lt;=14,"Seedling",Table4_2[[#This Row],[Growth Days]]&lt;=35, "Vegetative",Table4_2[[#This Row],[Growth Days]]&lt;=50, "Maturity")</f>
        <v>Vegetative</v>
      </c>
      <c r="L2021" t="str">
        <f>IF(Table4_2[[#This Row],[TDS Value (ppm)]]&lt;560, "Low", IF(Table4_2[[#This Row],[TDS Value (ppm)]]&lt;=800,"Optimal","High"))</f>
        <v>Optimal</v>
      </c>
    </row>
    <row r="2022" spans="1:12" x14ac:dyDescent="0.25">
      <c r="A2022">
        <v>38</v>
      </c>
      <c r="B2022" s="1">
        <v>45163</v>
      </c>
      <c r="C2022" s="1" t="str">
        <f>TEXT(Table4_2[[#This Row],[Date]],"dddd")</f>
        <v>Friday</v>
      </c>
      <c r="D2022" s="21">
        <v>31.4</v>
      </c>
      <c r="E2022" s="21">
        <v>72</v>
      </c>
      <c r="F2022" s="21">
        <v>427</v>
      </c>
      <c r="G2022" s="21">
        <v>6.3</v>
      </c>
      <c r="H2022">
        <v>23</v>
      </c>
      <c r="I2022">
        <v>88.52</v>
      </c>
      <c r="J2022">
        <v>0.72</v>
      </c>
      <c r="K2022" t="str" cm="1">
        <f t="array" ref="K2022">_xlfn.IFS(Table4_2[[#This Row],[Growth Days]]&lt;=14,"Seedling",Table4_2[[#This Row],[Growth Days]]&lt;=35, "Vegetative",Table4_2[[#This Row],[Growth Days]]&lt;=50, "Maturity")</f>
        <v>Vegetative</v>
      </c>
      <c r="L2022" t="str">
        <f>IF(Table4_2[[#This Row],[TDS Value (ppm)]]&lt;560, "Low", IF(Table4_2[[#This Row],[TDS Value (ppm)]]&lt;=800,"Optimal","High"))</f>
        <v>Low</v>
      </c>
    </row>
    <row r="2023" spans="1:12" x14ac:dyDescent="0.25">
      <c r="A2023">
        <v>38</v>
      </c>
      <c r="B2023" s="1">
        <v>45170</v>
      </c>
      <c r="C2023" s="1" t="str">
        <f>TEXT(Table4_2[[#This Row],[Date]],"dddd")</f>
        <v>Friday</v>
      </c>
      <c r="D2023" s="21">
        <v>31.7</v>
      </c>
      <c r="E2023" s="21">
        <v>58</v>
      </c>
      <c r="F2023" s="21">
        <v>474</v>
      </c>
      <c r="G2023" s="21">
        <v>6.7</v>
      </c>
      <c r="H2023">
        <v>30</v>
      </c>
      <c r="I2023">
        <v>89.06</v>
      </c>
      <c r="J2023">
        <v>0.57999999999999996</v>
      </c>
      <c r="K2023" t="str" cm="1">
        <f t="array" ref="K2023">_xlfn.IFS(Table4_2[[#This Row],[Growth Days]]&lt;=14,"Seedling",Table4_2[[#This Row],[Growth Days]]&lt;=35, "Vegetative",Table4_2[[#This Row],[Growth Days]]&lt;=50, "Maturity")</f>
        <v>Vegetative</v>
      </c>
      <c r="L2023" t="str">
        <f>IF(Table4_2[[#This Row],[TDS Value (ppm)]]&lt;560, "Low", IF(Table4_2[[#This Row],[TDS Value (ppm)]]&lt;=800,"Optimal","High"))</f>
        <v>Low</v>
      </c>
    </row>
    <row r="2024" spans="1:12" x14ac:dyDescent="0.25">
      <c r="A2024">
        <v>38</v>
      </c>
      <c r="B2024" s="1">
        <v>45177</v>
      </c>
      <c r="C2024" s="1" t="str">
        <f>TEXT(Table4_2[[#This Row],[Date]],"dddd")</f>
        <v>Friday</v>
      </c>
      <c r="D2024" s="21">
        <v>29.8</v>
      </c>
      <c r="E2024" s="21">
        <v>73</v>
      </c>
      <c r="F2024" s="21">
        <v>438</v>
      </c>
      <c r="G2024" s="21">
        <v>6.5</v>
      </c>
      <c r="H2024">
        <v>37</v>
      </c>
      <c r="I2024">
        <v>85.64</v>
      </c>
      <c r="J2024">
        <v>0.73</v>
      </c>
      <c r="K2024" t="str" cm="1">
        <f t="array" ref="K2024">_xlfn.IFS(Table4_2[[#This Row],[Growth Days]]&lt;=14,"Seedling",Table4_2[[#This Row],[Growth Days]]&lt;=35, "Vegetative",Table4_2[[#This Row],[Growth Days]]&lt;=50, "Maturity")</f>
        <v>Maturity</v>
      </c>
      <c r="L2024" t="str">
        <f>IF(Table4_2[[#This Row],[TDS Value (ppm)]]&lt;560, "Low", IF(Table4_2[[#This Row],[TDS Value (ppm)]]&lt;=800,"Optimal","High"))</f>
        <v>Low</v>
      </c>
    </row>
    <row r="2025" spans="1:12" x14ac:dyDescent="0.25">
      <c r="A2025">
        <v>38</v>
      </c>
      <c r="B2025" s="1">
        <v>45184</v>
      </c>
      <c r="C2025" s="1" t="str">
        <f>TEXT(Table4_2[[#This Row],[Date]],"dddd")</f>
        <v>Friday</v>
      </c>
      <c r="D2025" s="21">
        <v>30.6</v>
      </c>
      <c r="E2025" s="21">
        <v>68</v>
      </c>
      <c r="F2025" s="21">
        <v>748</v>
      </c>
      <c r="G2025" s="21">
        <v>6.3</v>
      </c>
      <c r="H2025">
        <v>44</v>
      </c>
      <c r="I2025">
        <v>87.08</v>
      </c>
      <c r="J2025">
        <v>0.68</v>
      </c>
      <c r="K2025" t="str" cm="1">
        <f t="array" ref="K2025">_xlfn.IFS(Table4_2[[#This Row],[Growth Days]]&lt;=14,"Seedling",Table4_2[[#This Row],[Growth Days]]&lt;=35, "Vegetative",Table4_2[[#This Row],[Growth Days]]&lt;=50, "Maturity")</f>
        <v>Maturity</v>
      </c>
      <c r="L2025" t="str">
        <f>IF(Table4_2[[#This Row],[TDS Value (ppm)]]&lt;560, "Low", IF(Table4_2[[#This Row],[TDS Value (ppm)]]&lt;=800,"Optimal","High"))</f>
        <v>Optimal</v>
      </c>
    </row>
    <row r="2026" spans="1:12" x14ac:dyDescent="0.25">
      <c r="A2026">
        <v>39</v>
      </c>
      <c r="B2026" s="1">
        <v>45142</v>
      </c>
      <c r="C2026" s="1" t="str">
        <f>TEXT(Table4_2[[#This Row],[Date]],"dddd")</f>
        <v>Friday</v>
      </c>
      <c r="D2026" s="21">
        <v>33.5</v>
      </c>
      <c r="E2026" s="21">
        <v>73</v>
      </c>
      <c r="F2026" s="21">
        <v>449</v>
      </c>
      <c r="G2026" s="21">
        <v>6.7</v>
      </c>
      <c r="H2026">
        <v>2</v>
      </c>
      <c r="I2026">
        <v>92.3</v>
      </c>
      <c r="J2026">
        <v>0.73</v>
      </c>
      <c r="K2026" t="str" cm="1">
        <f t="array" ref="K2026">_xlfn.IFS(Table4_2[[#This Row],[Growth Days]]&lt;=14,"Seedling",Table4_2[[#This Row],[Growth Days]]&lt;=35, "Vegetative",Table4_2[[#This Row],[Growth Days]]&lt;=50, "Maturity")</f>
        <v>Seedling</v>
      </c>
      <c r="L2026" t="str">
        <f>IF(Table4_2[[#This Row],[TDS Value (ppm)]]&lt;560, "Low", IF(Table4_2[[#This Row],[TDS Value (ppm)]]&lt;=800,"Optimal","High"))</f>
        <v>Low</v>
      </c>
    </row>
    <row r="2027" spans="1:12" x14ac:dyDescent="0.25">
      <c r="A2027">
        <v>39</v>
      </c>
      <c r="B2027" s="1">
        <v>45149</v>
      </c>
      <c r="C2027" s="1" t="str">
        <f>TEXT(Table4_2[[#This Row],[Date]],"dddd")</f>
        <v>Friday</v>
      </c>
      <c r="D2027" s="21">
        <v>31.9</v>
      </c>
      <c r="E2027" s="21">
        <v>56</v>
      </c>
      <c r="F2027" s="21">
        <v>438</v>
      </c>
      <c r="G2027" s="21">
        <v>6.2</v>
      </c>
      <c r="H2027">
        <v>9</v>
      </c>
      <c r="I2027">
        <v>89.42</v>
      </c>
      <c r="J2027">
        <v>0.56000000000000005</v>
      </c>
      <c r="K2027" t="str" cm="1">
        <f t="array" ref="K2027">_xlfn.IFS(Table4_2[[#This Row],[Growth Days]]&lt;=14,"Seedling",Table4_2[[#This Row],[Growth Days]]&lt;=35, "Vegetative",Table4_2[[#This Row],[Growth Days]]&lt;=50, "Maturity")</f>
        <v>Seedling</v>
      </c>
      <c r="L2027" t="str">
        <f>IF(Table4_2[[#This Row],[TDS Value (ppm)]]&lt;560, "Low", IF(Table4_2[[#This Row],[TDS Value (ppm)]]&lt;=800,"Optimal","High"))</f>
        <v>Low</v>
      </c>
    </row>
    <row r="2028" spans="1:12" x14ac:dyDescent="0.25">
      <c r="A2028">
        <v>39</v>
      </c>
      <c r="B2028" s="1">
        <v>45156</v>
      </c>
      <c r="C2028" s="1" t="str">
        <f>TEXT(Table4_2[[#This Row],[Date]],"dddd")</f>
        <v>Friday</v>
      </c>
      <c r="D2028" s="21">
        <v>30.9</v>
      </c>
      <c r="E2028" s="21">
        <v>70</v>
      </c>
      <c r="F2028" s="21">
        <v>728</v>
      </c>
      <c r="G2028" s="21">
        <v>6.6</v>
      </c>
      <c r="H2028">
        <v>16</v>
      </c>
      <c r="I2028">
        <v>87.62</v>
      </c>
      <c r="J2028">
        <v>0.7</v>
      </c>
      <c r="K2028" t="str" cm="1">
        <f t="array" ref="K2028">_xlfn.IFS(Table4_2[[#This Row],[Growth Days]]&lt;=14,"Seedling",Table4_2[[#This Row],[Growth Days]]&lt;=35, "Vegetative",Table4_2[[#This Row],[Growth Days]]&lt;=50, "Maturity")</f>
        <v>Vegetative</v>
      </c>
      <c r="L2028" t="str">
        <f>IF(Table4_2[[#This Row],[TDS Value (ppm)]]&lt;560, "Low", IF(Table4_2[[#This Row],[TDS Value (ppm)]]&lt;=800,"Optimal","High"))</f>
        <v>Optimal</v>
      </c>
    </row>
    <row r="2029" spans="1:12" x14ac:dyDescent="0.25">
      <c r="A2029">
        <v>39</v>
      </c>
      <c r="B2029" s="1">
        <v>45163</v>
      </c>
      <c r="C2029" s="1" t="str">
        <f>TEXT(Table4_2[[#This Row],[Date]],"dddd")</f>
        <v>Friday</v>
      </c>
      <c r="D2029" s="21">
        <v>31.4</v>
      </c>
      <c r="E2029" s="21">
        <v>80</v>
      </c>
      <c r="F2029" s="21">
        <v>670</v>
      </c>
      <c r="G2029" s="21">
        <v>6.4</v>
      </c>
      <c r="H2029">
        <v>23</v>
      </c>
      <c r="I2029">
        <v>88.52</v>
      </c>
      <c r="J2029">
        <v>0.8</v>
      </c>
      <c r="K2029" t="str" cm="1">
        <f t="array" ref="K2029">_xlfn.IFS(Table4_2[[#This Row],[Growth Days]]&lt;=14,"Seedling",Table4_2[[#This Row],[Growth Days]]&lt;=35, "Vegetative",Table4_2[[#This Row],[Growth Days]]&lt;=50, "Maturity")</f>
        <v>Vegetative</v>
      </c>
      <c r="L2029" t="str">
        <f>IF(Table4_2[[#This Row],[TDS Value (ppm)]]&lt;560, "Low", IF(Table4_2[[#This Row],[TDS Value (ppm)]]&lt;=800,"Optimal","High"))</f>
        <v>Optimal</v>
      </c>
    </row>
    <row r="2030" spans="1:12" x14ac:dyDescent="0.25">
      <c r="A2030">
        <v>39</v>
      </c>
      <c r="B2030" s="1">
        <v>45170</v>
      </c>
      <c r="C2030" s="1" t="str">
        <f>TEXT(Table4_2[[#This Row],[Date]],"dddd")</f>
        <v>Friday</v>
      </c>
      <c r="D2030" s="21">
        <v>31.7</v>
      </c>
      <c r="E2030" s="21">
        <v>58</v>
      </c>
      <c r="F2030" s="21">
        <v>758</v>
      </c>
      <c r="G2030" s="21">
        <v>6.1</v>
      </c>
      <c r="H2030">
        <v>30</v>
      </c>
      <c r="I2030">
        <v>89.06</v>
      </c>
      <c r="J2030">
        <v>0.57999999999999996</v>
      </c>
      <c r="K2030" t="str" cm="1">
        <f t="array" ref="K2030">_xlfn.IFS(Table4_2[[#This Row],[Growth Days]]&lt;=14,"Seedling",Table4_2[[#This Row],[Growth Days]]&lt;=35, "Vegetative",Table4_2[[#This Row],[Growth Days]]&lt;=50, "Maturity")</f>
        <v>Vegetative</v>
      </c>
      <c r="L2030" t="str">
        <f>IF(Table4_2[[#This Row],[TDS Value (ppm)]]&lt;560, "Low", IF(Table4_2[[#This Row],[TDS Value (ppm)]]&lt;=800,"Optimal","High"))</f>
        <v>Optimal</v>
      </c>
    </row>
    <row r="2031" spans="1:12" x14ac:dyDescent="0.25">
      <c r="A2031">
        <v>39</v>
      </c>
      <c r="B2031" s="1">
        <v>45177</v>
      </c>
      <c r="C2031" s="1" t="str">
        <f>TEXT(Table4_2[[#This Row],[Date]],"dddd")</f>
        <v>Friday</v>
      </c>
      <c r="D2031" s="21">
        <v>29.8</v>
      </c>
      <c r="E2031" s="21">
        <v>62</v>
      </c>
      <c r="F2031" s="21">
        <v>434</v>
      </c>
      <c r="G2031" s="21">
        <v>6.7</v>
      </c>
      <c r="H2031">
        <v>37</v>
      </c>
      <c r="I2031">
        <v>85.64</v>
      </c>
      <c r="J2031">
        <v>0.62</v>
      </c>
      <c r="K2031" t="str" cm="1">
        <f t="array" ref="K2031">_xlfn.IFS(Table4_2[[#This Row],[Growth Days]]&lt;=14,"Seedling",Table4_2[[#This Row],[Growth Days]]&lt;=35, "Vegetative",Table4_2[[#This Row],[Growth Days]]&lt;=50, "Maturity")</f>
        <v>Maturity</v>
      </c>
      <c r="L2031" t="str">
        <f>IF(Table4_2[[#This Row],[TDS Value (ppm)]]&lt;560, "Low", IF(Table4_2[[#This Row],[TDS Value (ppm)]]&lt;=800,"Optimal","High"))</f>
        <v>Low</v>
      </c>
    </row>
    <row r="2032" spans="1:12" x14ac:dyDescent="0.25">
      <c r="A2032">
        <v>39</v>
      </c>
      <c r="B2032" s="1">
        <v>45184</v>
      </c>
      <c r="C2032" s="1" t="str">
        <f>TEXT(Table4_2[[#This Row],[Date]],"dddd")</f>
        <v>Friday</v>
      </c>
      <c r="D2032" s="21">
        <v>30.6</v>
      </c>
      <c r="E2032" s="21">
        <v>64</v>
      </c>
      <c r="F2032" s="21">
        <v>633</v>
      </c>
      <c r="G2032" s="21">
        <v>6.1</v>
      </c>
      <c r="H2032">
        <v>44</v>
      </c>
      <c r="I2032">
        <v>87.08</v>
      </c>
      <c r="J2032">
        <v>0.64</v>
      </c>
      <c r="K2032" t="str" cm="1">
        <f t="array" ref="K2032">_xlfn.IFS(Table4_2[[#This Row],[Growth Days]]&lt;=14,"Seedling",Table4_2[[#This Row],[Growth Days]]&lt;=35, "Vegetative",Table4_2[[#This Row],[Growth Days]]&lt;=50, "Maturity")</f>
        <v>Maturity</v>
      </c>
      <c r="L2032" t="str">
        <f>IF(Table4_2[[#This Row],[TDS Value (ppm)]]&lt;560, "Low", IF(Table4_2[[#This Row],[TDS Value (ppm)]]&lt;=800,"Optimal","High"))</f>
        <v>Optimal</v>
      </c>
    </row>
    <row r="2033" spans="1:12" x14ac:dyDescent="0.25">
      <c r="A2033">
        <v>40</v>
      </c>
      <c r="B2033" s="1">
        <v>45142</v>
      </c>
      <c r="C2033" s="1" t="str">
        <f>TEXT(Table4_2[[#This Row],[Date]],"dddd")</f>
        <v>Friday</v>
      </c>
      <c r="D2033" s="21">
        <v>33.5</v>
      </c>
      <c r="E2033" s="21">
        <v>75</v>
      </c>
      <c r="F2033" s="21">
        <v>796</v>
      </c>
      <c r="G2033" s="21">
        <v>6.5</v>
      </c>
      <c r="H2033">
        <v>2</v>
      </c>
      <c r="I2033">
        <v>92.3</v>
      </c>
      <c r="J2033">
        <v>0.75</v>
      </c>
      <c r="K2033" t="str" cm="1">
        <f t="array" ref="K2033">_xlfn.IFS(Table4_2[[#This Row],[Growth Days]]&lt;=14,"Seedling",Table4_2[[#This Row],[Growth Days]]&lt;=35, "Vegetative",Table4_2[[#This Row],[Growth Days]]&lt;=50, "Maturity")</f>
        <v>Seedling</v>
      </c>
      <c r="L2033" t="str">
        <f>IF(Table4_2[[#This Row],[TDS Value (ppm)]]&lt;560, "Low", IF(Table4_2[[#This Row],[TDS Value (ppm)]]&lt;=800,"Optimal","High"))</f>
        <v>Optimal</v>
      </c>
    </row>
    <row r="2034" spans="1:12" x14ac:dyDescent="0.25">
      <c r="A2034">
        <v>40</v>
      </c>
      <c r="B2034" s="1">
        <v>45149</v>
      </c>
      <c r="C2034" s="1" t="str">
        <f>TEXT(Table4_2[[#This Row],[Date]],"dddd")</f>
        <v>Friday</v>
      </c>
      <c r="D2034" s="21">
        <v>31.9</v>
      </c>
      <c r="E2034" s="21">
        <v>72</v>
      </c>
      <c r="F2034" s="21">
        <v>579</v>
      </c>
      <c r="G2034" s="21">
        <v>6.7</v>
      </c>
      <c r="H2034">
        <v>9</v>
      </c>
      <c r="I2034">
        <v>89.42</v>
      </c>
      <c r="J2034">
        <v>0.72</v>
      </c>
      <c r="K2034" t="str" cm="1">
        <f t="array" ref="K2034">_xlfn.IFS(Table4_2[[#This Row],[Growth Days]]&lt;=14,"Seedling",Table4_2[[#This Row],[Growth Days]]&lt;=35, "Vegetative",Table4_2[[#This Row],[Growth Days]]&lt;=50, "Maturity")</f>
        <v>Seedling</v>
      </c>
      <c r="L2034" t="str">
        <f>IF(Table4_2[[#This Row],[TDS Value (ppm)]]&lt;560, "Low", IF(Table4_2[[#This Row],[TDS Value (ppm)]]&lt;=800,"Optimal","High"))</f>
        <v>Optimal</v>
      </c>
    </row>
    <row r="2035" spans="1:12" x14ac:dyDescent="0.25">
      <c r="A2035">
        <v>40</v>
      </c>
      <c r="B2035" s="1">
        <v>45156</v>
      </c>
      <c r="C2035" s="1" t="str">
        <f>TEXT(Table4_2[[#This Row],[Date]],"dddd")</f>
        <v>Friday</v>
      </c>
      <c r="D2035" s="21">
        <v>30.9</v>
      </c>
      <c r="E2035" s="21">
        <v>62</v>
      </c>
      <c r="F2035" s="21">
        <v>560</v>
      </c>
      <c r="G2035" s="21">
        <v>6.2</v>
      </c>
      <c r="H2035">
        <v>16</v>
      </c>
      <c r="I2035">
        <v>87.62</v>
      </c>
      <c r="J2035">
        <v>0.62</v>
      </c>
      <c r="K2035" t="str" cm="1">
        <f t="array" ref="K2035">_xlfn.IFS(Table4_2[[#This Row],[Growth Days]]&lt;=14,"Seedling",Table4_2[[#This Row],[Growth Days]]&lt;=35, "Vegetative",Table4_2[[#This Row],[Growth Days]]&lt;=50, "Maturity")</f>
        <v>Vegetative</v>
      </c>
      <c r="L2035" t="str">
        <f>IF(Table4_2[[#This Row],[TDS Value (ppm)]]&lt;560, "Low", IF(Table4_2[[#This Row],[TDS Value (ppm)]]&lt;=800,"Optimal","High"))</f>
        <v>Optimal</v>
      </c>
    </row>
    <row r="2036" spans="1:12" x14ac:dyDescent="0.25">
      <c r="A2036">
        <v>40</v>
      </c>
      <c r="B2036" s="1">
        <v>45163</v>
      </c>
      <c r="C2036" s="1" t="str">
        <f>TEXT(Table4_2[[#This Row],[Date]],"dddd")</f>
        <v>Friday</v>
      </c>
      <c r="D2036" s="21">
        <v>31.4</v>
      </c>
      <c r="E2036" s="21">
        <v>63</v>
      </c>
      <c r="F2036" s="21">
        <v>579</v>
      </c>
      <c r="G2036" s="21">
        <v>6.5</v>
      </c>
      <c r="H2036">
        <v>23</v>
      </c>
      <c r="I2036">
        <v>88.52</v>
      </c>
      <c r="J2036">
        <v>0.63</v>
      </c>
      <c r="K2036" t="str" cm="1">
        <f t="array" ref="K2036">_xlfn.IFS(Table4_2[[#This Row],[Growth Days]]&lt;=14,"Seedling",Table4_2[[#This Row],[Growth Days]]&lt;=35, "Vegetative",Table4_2[[#This Row],[Growth Days]]&lt;=50, "Maturity")</f>
        <v>Vegetative</v>
      </c>
      <c r="L2036" t="str">
        <f>IF(Table4_2[[#This Row],[TDS Value (ppm)]]&lt;560, "Low", IF(Table4_2[[#This Row],[TDS Value (ppm)]]&lt;=800,"Optimal","High"))</f>
        <v>Optimal</v>
      </c>
    </row>
    <row r="2037" spans="1:12" x14ac:dyDescent="0.25">
      <c r="A2037">
        <v>40</v>
      </c>
      <c r="B2037" s="1">
        <v>45170</v>
      </c>
      <c r="C2037" s="1" t="str">
        <f>TEXT(Table4_2[[#This Row],[Date]],"dddd")</f>
        <v>Friday</v>
      </c>
      <c r="D2037" s="21">
        <v>31.7</v>
      </c>
      <c r="E2037" s="21">
        <v>55</v>
      </c>
      <c r="F2037" s="21">
        <v>551</v>
      </c>
      <c r="G2037" s="21">
        <v>6.5</v>
      </c>
      <c r="H2037">
        <v>30</v>
      </c>
      <c r="I2037">
        <v>89.06</v>
      </c>
      <c r="J2037">
        <v>0.55000000000000004</v>
      </c>
      <c r="K2037" t="str" cm="1">
        <f t="array" ref="K2037">_xlfn.IFS(Table4_2[[#This Row],[Growth Days]]&lt;=14,"Seedling",Table4_2[[#This Row],[Growth Days]]&lt;=35, "Vegetative",Table4_2[[#This Row],[Growth Days]]&lt;=50, "Maturity")</f>
        <v>Vegetative</v>
      </c>
      <c r="L2037" t="str">
        <f>IF(Table4_2[[#This Row],[TDS Value (ppm)]]&lt;560, "Low", IF(Table4_2[[#This Row],[TDS Value (ppm)]]&lt;=800,"Optimal","High"))</f>
        <v>Low</v>
      </c>
    </row>
    <row r="2038" spans="1:12" x14ac:dyDescent="0.25">
      <c r="A2038">
        <v>40</v>
      </c>
      <c r="B2038" s="1">
        <v>45177</v>
      </c>
      <c r="C2038" s="1" t="str">
        <f>TEXT(Table4_2[[#This Row],[Date]],"dddd")</f>
        <v>Friday</v>
      </c>
      <c r="D2038" s="21">
        <v>29.8</v>
      </c>
      <c r="E2038" s="21">
        <v>78</v>
      </c>
      <c r="F2038" s="21">
        <v>591</v>
      </c>
      <c r="G2038" s="21">
        <v>6.2</v>
      </c>
      <c r="H2038">
        <v>37</v>
      </c>
      <c r="I2038">
        <v>85.64</v>
      </c>
      <c r="J2038">
        <v>0.78</v>
      </c>
      <c r="K2038" t="str" cm="1">
        <f t="array" ref="K2038">_xlfn.IFS(Table4_2[[#This Row],[Growth Days]]&lt;=14,"Seedling",Table4_2[[#This Row],[Growth Days]]&lt;=35, "Vegetative",Table4_2[[#This Row],[Growth Days]]&lt;=50, "Maturity")</f>
        <v>Maturity</v>
      </c>
      <c r="L2038" t="str">
        <f>IF(Table4_2[[#This Row],[TDS Value (ppm)]]&lt;560, "Low", IF(Table4_2[[#This Row],[TDS Value (ppm)]]&lt;=800,"Optimal","High"))</f>
        <v>Optimal</v>
      </c>
    </row>
    <row r="2039" spans="1:12" x14ac:dyDescent="0.25">
      <c r="A2039">
        <v>40</v>
      </c>
      <c r="B2039" s="1">
        <v>45184</v>
      </c>
      <c r="C2039" s="1" t="str">
        <f>TEXT(Table4_2[[#This Row],[Date]],"dddd")</f>
        <v>Friday</v>
      </c>
      <c r="D2039" s="21">
        <v>30.6</v>
      </c>
      <c r="E2039" s="21">
        <v>71</v>
      </c>
      <c r="F2039" s="21">
        <v>621</v>
      </c>
      <c r="G2039" s="21">
        <v>6.7</v>
      </c>
      <c r="H2039">
        <v>44</v>
      </c>
      <c r="I2039">
        <v>87.08</v>
      </c>
      <c r="J2039">
        <v>0.71</v>
      </c>
      <c r="K2039" t="str" cm="1">
        <f t="array" ref="K2039">_xlfn.IFS(Table4_2[[#This Row],[Growth Days]]&lt;=14,"Seedling",Table4_2[[#This Row],[Growth Days]]&lt;=35, "Vegetative",Table4_2[[#This Row],[Growth Days]]&lt;=50, "Maturity")</f>
        <v>Maturity</v>
      </c>
      <c r="L2039" t="str">
        <f>IF(Table4_2[[#This Row],[TDS Value (ppm)]]&lt;560, "Low", IF(Table4_2[[#This Row],[TDS Value (ppm)]]&lt;=800,"Optimal","High"))</f>
        <v>Optimal</v>
      </c>
    </row>
    <row r="2040" spans="1:12" x14ac:dyDescent="0.25">
      <c r="A2040">
        <v>41</v>
      </c>
      <c r="B2040" s="1">
        <v>45142</v>
      </c>
      <c r="C2040" s="1" t="str">
        <f>TEXT(Table4_2[[#This Row],[Date]],"dddd")</f>
        <v>Friday</v>
      </c>
      <c r="D2040" s="21">
        <v>33.5</v>
      </c>
      <c r="E2040" s="21">
        <v>53</v>
      </c>
      <c r="F2040" s="21">
        <v>620</v>
      </c>
      <c r="G2040" s="21">
        <v>6.2</v>
      </c>
      <c r="H2040">
        <v>2</v>
      </c>
      <c r="I2040">
        <v>92.3</v>
      </c>
      <c r="J2040">
        <v>0.53</v>
      </c>
      <c r="K2040" t="str" cm="1">
        <f t="array" ref="K2040">_xlfn.IFS(Table4_2[[#This Row],[Growth Days]]&lt;=14,"Seedling",Table4_2[[#This Row],[Growth Days]]&lt;=35, "Vegetative",Table4_2[[#This Row],[Growth Days]]&lt;=50, "Maturity")</f>
        <v>Seedling</v>
      </c>
      <c r="L2040" t="str">
        <f>IF(Table4_2[[#This Row],[TDS Value (ppm)]]&lt;560, "Low", IF(Table4_2[[#This Row],[TDS Value (ppm)]]&lt;=800,"Optimal","High"))</f>
        <v>Optimal</v>
      </c>
    </row>
    <row r="2041" spans="1:12" x14ac:dyDescent="0.25">
      <c r="A2041">
        <v>41</v>
      </c>
      <c r="B2041" s="1">
        <v>45149</v>
      </c>
      <c r="C2041" s="1" t="str">
        <f>TEXT(Table4_2[[#This Row],[Date]],"dddd")</f>
        <v>Friday</v>
      </c>
      <c r="D2041" s="21">
        <v>31.9</v>
      </c>
      <c r="E2041" s="21">
        <v>62</v>
      </c>
      <c r="F2041" s="21">
        <v>603</v>
      </c>
      <c r="G2041" s="21">
        <v>6.6</v>
      </c>
      <c r="H2041">
        <v>9</v>
      </c>
      <c r="I2041">
        <v>89.42</v>
      </c>
      <c r="J2041">
        <v>0.62</v>
      </c>
      <c r="K2041" t="str" cm="1">
        <f t="array" ref="K2041">_xlfn.IFS(Table4_2[[#This Row],[Growth Days]]&lt;=14,"Seedling",Table4_2[[#This Row],[Growth Days]]&lt;=35, "Vegetative",Table4_2[[#This Row],[Growth Days]]&lt;=50, "Maturity")</f>
        <v>Seedling</v>
      </c>
      <c r="L2041" t="str">
        <f>IF(Table4_2[[#This Row],[TDS Value (ppm)]]&lt;560, "Low", IF(Table4_2[[#This Row],[TDS Value (ppm)]]&lt;=800,"Optimal","High"))</f>
        <v>Optimal</v>
      </c>
    </row>
    <row r="2042" spans="1:12" x14ac:dyDescent="0.25">
      <c r="A2042">
        <v>41</v>
      </c>
      <c r="B2042" s="1">
        <v>45156</v>
      </c>
      <c r="C2042" s="1" t="str">
        <f>TEXT(Table4_2[[#This Row],[Date]],"dddd")</f>
        <v>Friday</v>
      </c>
      <c r="D2042" s="21">
        <v>30.9</v>
      </c>
      <c r="E2042" s="21">
        <v>52</v>
      </c>
      <c r="F2042" s="21">
        <v>739</v>
      </c>
      <c r="G2042" s="21">
        <v>6.8</v>
      </c>
      <c r="H2042">
        <v>16</v>
      </c>
      <c r="I2042">
        <v>87.62</v>
      </c>
      <c r="J2042">
        <v>0.52</v>
      </c>
      <c r="K2042" t="str" cm="1">
        <f t="array" ref="K2042">_xlfn.IFS(Table4_2[[#This Row],[Growth Days]]&lt;=14,"Seedling",Table4_2[[#This Row],[Growth Days]]&lt;=35, "Vegetative",Table4_2[[#This Row],[Growth Days]]&lt;=50, "Maturity")</f>
        <v>Vegetative</v>
      </c>
      <c r="L2042" t="str">
        <f>IF(Table4_2[[#This Row],[TDS Value (ppm)]]&lt;560, "Low", IF(Table4_2[[#This Row],[TDS Value (ppm)]]&lt;=800,"Optimal","High"))</f>
        <v>Optimal</v>
      </c>
    </row>
    <row r="2043" spans="1:12" x14ac:dyDescent="0.25">
      <c r="A2043">
        <v>41</v>
      </c>
      <c r="B2043" s="1">
        <v>45163</v>
      </c>
      <c r="C2043" s="1" t="str">
        <f>TEXT(Table4_2[[#This Row],[Date]],"dddd")</f>
        <v>Friday</v>
      </c>
      <c r="D2043" s="21">
        <v>31.4</v>
      </c>
      <c r="E2043" s="21">
        <v>51</v>
      </c>
      <c r="F2043" s="21">
        <v>412</v>
      </c>
      <c r="G2043" s="21">
        <v>6.5</v>
      </c>
      <c r="H2043">
        <v>23</v>
      </c>
      <c r="I2043">
        <v>88.52</v>
      </c>
      <c r="J2043">
        <v>0.51</v>
      </c>
      <c r="K2043" t="str" cm="1">
        <f t="array" ref="K2043">_xlfn.IFS(Table4_2[[#This Row],[Growth Days]]&lt;=14,"Seedling",Table4_2[[#This Row],[Growth Days]]&lt;=35, "Vegetative",Table4_2[[#This Row],[Growth Days]]&lt;=50, "Maturity")</f>
        <v>Vegetative</v>
      </c>
      <c r="L2043" t="str">
        <f>IF(Table4_2[[#This Row],[TDS Value (ppm)]]&lt;560, "Low", IF(Table4_2[[#This Row],[TDS Value (ppm)]]&lt;=800,"Optimal","High"))</f>
        <v>Low</v>
      </c>
    </row>
    <row r="2044" spans="1:12" x14ac:dyDescent="0.25">
      <c r="A2044">
        <v>41</v>
      </c>
      <c r="B2044" s="1">
        <v>45170</v>
      </c>
      <c r="C2044" s="1" t="str">
        <f>TEXT(Table4_2[[#This Row],[Date]],"dddd")</f>
        <v>Friday</v>
      </c>
      <c r="D2044" s="21">
        <v>31.7</v>
      </c>
      <c r="E2044" s="21">
        <v>53</v>
      </c>
      <c r="F2044" s="21">
        <v>402</v>
      </c>
      <c r="G2044" s="21">
        <v>6.5</v>
      </c>
      <c r="H2044">
        <v>30</v>
      </c>
      <c r="I2044">
        <v>89.06</v>
      </c>
      <c r="J2044">
        <v>0.53</v>
      </c>
      <c r="K2044" t="str" cm="1">
        <f t="array" ref="K2044">_xlfn.IFS(Table4_2[[#This Row],[Growth Days]]&lt;=14,"Seedling",Table4_2[[#This Row],[Growth Days]]&lt;=35, "Vegetative",Table4_2[[#This Row],[Growth Days]]&lt;=50, "Maturity")</f>
        <v>Vegetative</v>
      </c>
      <c r="L2044" t="str">
        <f>IF(Table4_2[[#This Row],[TDS Value (ppm)]]&lt;560, "Low", IF(Table4_2[[#This Row],[TDS Value (ppm)]]&lt;=800,"Optimal","High"))</f>
        <v>Low</v>
      </c>
    </row>
    <row r="2045" spans="1:12" x14ac:dyDescent="0.25">
      <c r="A2045">
        <v>41</v>
      </c>
      <c r="B2045" s="1">
        <v>45177</v>
      </c>
      <c r="C2045" s="1" t="str">
        <f>TEXT(Table4_2[[#This Row],[Date]],"dddd")</f>
        <v>Friday</v>
      </c>
      <c r="D2045" s="21">
        <v>29.8</v>
      </c>
      <c r="E2045" s="21">
        <v>79</v>
      </c>
      <c r="F2045" s="21">
        <v>548</v>
      </c>
      <c r="G2045" s="21">
        <v>6.1</v>
      </c>
      <c r="H2045">
        <v>37</v>
      </c>
      <c r="I2045">
        <v>85.64</v>
      </c>
      <c r="J2045">
        <v>0.79</v>
      </c>
      <c r="K2045" t="str" cm="1">
        <f t="array" ref="K2045">_xlfn.IFS(Table4_2[[#This Row],[Growth Days]]&lt;=14,"Seedling",Table4_2[[#This Row],[Growth Days]]&lt;=35, "Vegetative",Table4_2[[#This Row],[Growth Days]]&lt;=50, "Maturity")</f>
        <v>Maturity</v>
      </c>
      <c r="L2045" t="str">
        <f>IF(Table4_2[[#This Row],[TDS Value (ppm)]]&lt;560, "Low", IF(Table4_2[[#This Row],[TDS Value (ppm)]]&lt;=800,"Optimal","High"))</f>
        <v>Low</v>
      </c>
    </row>
    <row r="2046" spans="1:12" x14ac:dyDescent="0.25">
      <c r="A2046">
        <v>41</v>
      </c>
      <c r="B2046" s="1">
        <v>45184</v>
      </c>
      <c r="C2046" s="1" t="str">
        <f>TEXT(Table4_2[[#This Row],[Date]],"dddd")</f>
        <v>Friday</v>
      </c>
      <c r="D2046" s="21">
        <v>30.6</v>
      </c>
      <c r="E2046" s="21">
        <v>67</v>
      </c>
      <c r="F2046" s="21">
        <v>650</v>
      </c>
      <c r="G2046" s="21">
        <v>6.1</v>
      </c>
      <c r="H2046">
        <v>44</v>
      </c>
      <c r="I2046">
        <v>87.08</v>
      </c>
      <c r="J2046">
        <v>0.67</v>
      </c>
      <c r="K2046" t="str" cm="1">
        <f t="array" ref="K2046">_xlfn.IFS(Table4_2[[#This Row],[Growth Days]]&lt;=14,"Seedling",Table4_2[[#This Row],[Growth Days]]&lt;=35, "Vegetative",Table4_2[[#This Row],[Growth Days]]&lt;=50, "Maturity")</f>
        <v>Maturity</v>
      </c>
      <c r="L2046" t="str">
        <f>IF(Table4_2[[#This Row],[TDS Value (ppm)]]&lt;560, "Low", IF(Table4_2[[#This Row],[TDS Value (ppm)]]&lt;=800,"Optimal","High"))</f>
        <v>Optimal</v>
      </c>
    </row>
    <row r="2047" spans="1:12" x14ac:dyDescent="0.25">
      <c r="A2047">
        <v>42</v>
      </c>
      <c r="B2047" s="1">
        <v>45142</v>
      </c>
      <c r="C2047" s="1" t="str">
        <f>TEXT(Table4_2[[#This Row],[Date]],"dddd")</f>
        <v>Friday</v>
      </c>
      <c r="D2047" s="21">
        <v>33.5</v>
      </c>
      <c r="E2047" s="21">
        <v>62</v>
      </c>
      <c r="F2047" s="21">
        <v>767</v>
      </c>
      <c r="G2047" s="21">
        <v>6.6</v>
      </c>
      <c r="H2047">
        <v>2</v>
      </c>
      <c r="I2047">
        <v>92.3</v>
      </c>
      <c r="J2047">
        <v>0.62</v>
      </c>
      <c r="K2047" t="str" cm="1">
        <f t="array" ref="K2047">_xlfn.IFS(Table4_2[[#This Row],[Growth Days]]&lt;=14,"Seedling",Table4_2[[#This Row],[Growth Days]]&lt;=35, "Vegetative",Table4_2[[#This Row],[Growth Days]]&lt;=50, "Maturity")</f>
        <v>Seedling</v>
      </c>
      <c r="L2047" t="str">
        <f>IF(Table4_2[[#This Row],[TDS Value (ppm)]]&lt;560, "Low", IF(Table4_2[[#This Row],[TDS Value (ppm)]]&lt;=800,"Optimal","High"))</f>
        <v>Optimal</v>
      </c>
    </row>
    <row r="2048" spans="1:12" x14ac:dyDescent="0.25">
      <c r="A2048">
        <v>42</v>
      </c>
      <c r="B2048" s="1">
        <v>45149</v>
      </c>
      <c r="C2048" s="1" t="str">
        <f>TEXT(Table4_2[[#This Row],[Date]],"dddd")</f>
        <v>Friday</v>
      </c>
      <c r="D2048" s="21">
        <v>31.9</v>
      </c>
      <c r="E2048" s="21">
        <v>75</v>
      </c>
      <c r="F2048" s="21">
        <v>638</v>
      </c>
      <c r="G2048" s="21">
        <v>6.3</v>
      </c>
      <c r="H2048">
        <v>9</v>
      </c>
      <c r="I2048">
        <v>89.42</v>
      </c>
      <c r="J2048">
        <v>0.75</v>
      </c>
      <c r="K2048" t="str" cm="1">
        <f t="array" ref="K2048">_xlfn.IFS(Table4_2[[#This Row],[Growth Days]]&lt;=14,"Seedling",Table4_2[[#This Row],[Growth Days]]&lt;=35, "Vegetative",Table4_2[[#This Row],[Growth Days]]&lt;=50, "Maturity")</f>
        <v>Seedling</v>
      </c>
      <c r="L2048" t="str">
        <f>IF(Table4_2[[#This Row],[TDS Value (ppm)]]&lt;560, "Low", IF(Table4_2[[#This Row],[TDS Value (ppm)]]&lt;=800,"Optimal","High"))</f>
        <v>Optimal</v>
      </c>
    </row>
    <row r="2049" spans="1:12" x14ac:dyDescent="0.25">
      <c r="A2049">
        <v>42</v>
      </c>
      <c r="B2049" s="1">
        <v>45156</v>
      </c>
      <c r="C2049" s="1" t="str">
        <f>TEXT(Table4_2[[#This Row],[Date]],"dddd")</f>
        <v>Friday</v>
      </c>
      <c r="D2049" s="21">
        <v>30.9</v>
      </c>
      <c r="E2049" s="21">
        <v>55</v>
      </c>
      <c r="F2049" s="21">
        <v>714</v>
      </c>
      <c r="G2049" s="21">
        <v>6.4</v>
      </c>
      <c r="H2049">
        <v>16</v>
      </c>
      <c r="I2049">
        <v>87.62</v>
      </c>
      <c r="J2049">
        <v>0.55000000000000004</v>
      </c>
      <c r="K2049" t="str" cm="1">
        <f t="array" ref="K2049">_xlfn.IFS(Table4_2[[#This Row],[Growth Days]]&lt;=14,"Seedling",Table4_2[[#This Row],[Growth Days]]&lt;=35, "Vegetative",Table4_2[[#This Row],[Growth Days]]&lt;=50, "Maturity")</f>
        <v>Vegetative</v>
      </c>
      <c r="L2049" t="str">
        <f>IF(Table4_2[[#This Row],[TDS Value (ppm)]]&lt;560, "Low", IF(Table4_2[[#This Row],[TDS Value (ppm)]]&lt;=800,"Optimal","High"))</f>
        <v>Optimal</v>
      </c>
    </row>
    <row r="2050" spans="1:12" x14ac:dyDescent="0.25">
      <c r="A2050">
        <v>42</v>
      </c>
      <c r="B2050" s="1">
        <v>45163</v>
      </c>
      <c r="C2050" s="1" t="str">
        <f>TEXT(Table4_2[[#This Row],[Date]],"dddd")</f>
        <v>Friday</v>
      </c>
      <c r="D2050" s="21">
        <v>31.4</v>
      </c>
      <c r="E2050" s="21">
        <v>75</v>
      </c>
      <c r="F2050" s="21">
        <v>506</v>
      </c>
      <c r="G2050" s="21">
        <v>6.3</v>
      </c>
      <c r="H2050">
        <v>23</v>
      </c>
      <c r="I2050">
        <v>88.52</v>
      </c>
      <c r="J2050">
        <v>0.75</v>
      </c>
      <c r="K2050" t="str" cm="1">
        <f t="array" ref="K2050">_xlfn.IFS(Table4_2[[#This Row],[Growth Days]]&lt;=14,"Seedling",Table4_2[[#This Row],[Growth Days]]&lt;=35, "Vegetative",Table4_2[[#This Row],[Growth Days]]&lt;=50, "Maturity")</f>
        <v>Vegetative</v>
      </c>
      <c r="L2050" t="str">
        <f>IF(Table4_2[[#This Row],[TDS Value (ppm)]]&lt;560, "Low", IF(Table4_2[[#This Row],[TDS Value (ppm)]]&lt;=800,"Optimal","High"))</f>
        <v>Low</v>
      </c>
    </row>
    <row r="2051" spans="1:12" x14ac:dyDescent="0.25">
      <c r="A2051">
        <v>42</v>
      </c>
      <c r="B2051" s="1">
        <v>45170</v>
      </c>
      <c r="C2051" s="1" t="str">
        <f>TEXT(Table4_2[[#This Row],[Date]],"dddd")</f>
        <v>Friday</v>
      </c>
      <c r="D2051" s="21">
        <v>31.7</v>
      </c>
      <c r="E2051" s="21">
        <v>51</v>
      </c>
      <c r="F2051" s="21">
        <v>490</v>
      </c>
      <c r="G2051" s="21">
        <v>6.7</v>
      </c>
      <c r="H2051">
        <v>30</v>
      </c>
      <c r="I2051">
        <v>89.06</v>
      </c>
      <c r="J2051">
        <v>0.51</v>
      </c>
      <c r="K2051" t="str" cm="1">
        <f t="array" ref="K2051">_xlfn.IFS(Table4_2[[#This Row],[Growth Days]]&lt;=14,"Seedling",Table4_2[[#This Row],[Growth Days]]&lt;=35, "Vegetative",Table4_2[[#This Row],[Growth Days]]&lt;=50, "Maturity")</f>
        <v>Vegetative</v>
      </c>
      <c r="L2051" t="str">
        <f>IF(Table4_2[[#This Row],[TDS Value (ppm)]]&lt;560, "Low", IF(Table4_2[[#This Row],[TDS Value (ppm)]]&lt;=800,"Optimal","High"))</f>
        <v>Low</v>
      </c>
    </row>
    <row r="2052" spans="1:12" x14ac:dyDescent="0.25">
      <c r="A2052">
        <v>42</v>
      </c>
      <c r="B2052" s="1">
        <v>45177</v>
      </c>
      <c r="C2052" s="1" t="str">
        <f>TEXT(Table4_2[[#This Row],[Date]],"dddd")</f>
        <v>Friday</v>
      </c>
      <c r="D2052" s="21">
        <v>29.8</v>
      </c>
      <c r="E2052" s="21">
        <v>71</v>
      </c>
      <c r="F2052" s="21">
        <v>517</v>
      </c>
      <c r="G2052" s="21">
        <v>6.3</v>
      </c>
      <c r="H2052">
        <v>37</v>
      </c>
      <c r="I2052">
        <v>85.64</v>
      </c>
      <c r="J2052">
        <v>0.71</v>
      </c>
      <c r="K2052" t="str" cm="1">
        <f t="array" ref="K2052">_xlfn.IFS(Table4_2[[#This Row],[Growth Days]]&lt;=14,"Seedling",Table4_2[[#This Row],[Growth Days]]&lt;=35, "Vegetative",Table4_2[[#This Row],[Growth Days]]&lt;=50, "Maturity")</f>
        <v>Maturity</v>
      </c>
      <c r="L2052" t="str">
        <f>IF(Table4_2[[#This Row],[TDS Value (ppm)]]&lt;560, "Low", IF(Table4_2[[#This Row],[TDS Value (ppm)]]&lt;=800,"Optimal","High"))</f>
        <v>Low</v>
      </c>
    </row>
    <row r="2053" spans="1:12" x14ac:dyDescent="0.25">
      <c r="A2053">
        <v>42</v>
      </c>
      <c r="B2053" s="1">
        <v>45184</v>
      </c>
      <c r="C2053" s="1" t="str">
        <f>TEXT(Table4_2[[#This Row],[Date]],"dddd")</f>
        <v>Friday</v>
      </c>
      <c r="D2053" s="21">
        <v>30.6</v>
      </c>
      <c r="E2053" s="21">
        <v>51</v>
      </c>
      <c r="F2053" s="21">
        <v>593</v>
      </c>
      <c r="G2053" s="21">
        <v>6</v>
      </c>
      <c r="H2053">
        <v>44</v>
      </c>
      <c r="I2053">
        <v>87.08</v>
      </c>
      <c r="J2053">
        <v>0.51</v>
      </c>
      <c r="K2053" t="str" cm="1">
        <f t="array" ref="K2053">_xlfn.IFS(Table4_2[[#This Row],[Growth Days]]&lt;=14,"Seedling",Table4_2[[#This Row],[Growth Days]]&lt;=35, "Vegetative",Table4_2[[#This Row],[Growth Days]]&lt;=50, "Maturity")</f>
        <v>Maturity</v>
      </c>
      <c r="L2053" t="str">
        <f>IF(Table4_2[[#This Row],[TDS Value (ppm)]]&lt;560, "Low", IF(Table4_2[[#This Row],[TDS Value (ppm)]]&lt;=800,"Optimal","High"))</f>
        <v>Optimal</v>
      </c>
    </row>
    <row r="2054" spans="1:12" x14ac:dyDescent="0.25">
      <c r="A2054">
        <v>43</v>
      </c>
      <c r="B2054" s="1">
        <v>45142</v>
      </c>
      <c r="C2054" s="1" t="str">
        <f>TEXT(Table4_2[[#This Row],[Date]],"dddd")</f>
        <v>Friday</v>
      </c>
      <c r="D2054" s="21">
        <v>33.5</v>
      </c>
      <c r="E2054" s="21">
        <v>71</v>
      </c>
      <c r="F2054" s="21">
        <v>584</v>
      </c>
      <c r="G2054" s="21">
        <v>6.7</v>
      </c>
      <c r="H2054">
        <v>2</v>
      </c>
      <c r="I2054">
        <v>92.3</v>
      </c>
      <c r="J2054">
        <v>0.71</v>
      </c>
      <c r="K2054" t="str" cm="1">
        <f t="array" ref="K2054">_xlfn.IFS(Table4_2[[#This Row],[Growth Days]]&lt;=14,"Seedling",Table4_2[[#This Row],[Growth Days]]&lt;=35, "Vegetative",Table4_2[[#This Row],[Growth Days]]&lt;=50, "Maturity")</f>
        <v>Seedling</v>
      </c>
      <c r="L2054" t="str">
        <f>IF(Table4_2[[#This Row],[TDS Value (ppm)]]&lt;560, "Low", IF(Table4_2[[#This Row],[TDS Value (ppm)]]&lt;=800,"Optimal","High"))</f>
        <v>Optimal</v>
      </c>
    </row>
    <row r="2055" spans="1:12" x14ac:dyDescent="0.25">
      <c r="A2055">
        <v>43</v>
      </c>
      <c r="B2055" s="1">
        <v>45149</v>
      </c>
      <c r="C2055" s="1" t="str">
        <f>TEXT(Table4_2[[#This Row],[Date]],"dddd")</f>
        <v>Friday</v>
      </c>
      <c r="D2055" s="21">
        <v>31.9</v>
      </c>
      <c r="E2055" s="21">
        <v>58</v>
      </c>
      <c r="F2055" s="21">
        <v>731</v>
      </c>
      <c r="G2055" s="21">
        <v>6.3</v>
      </c>
      <c r="H2055">
        <v>9</v>
      </c>
      <c r="I2055">
        <v>89.42</v>
      </c>
      <c r="J2055">
        <v>0.57999999999999996</v>
      </c>
      <c r="K2055" t="str" cm="1">
        <f t="array" ref="K2055">_xlfn.IFS(Table4_2[[#This Row],[Growth Days]]&lt;=14,"Seedling",Table4_2[[#This Row],[Growth Days]]&lt;=35, "Vegetative",Table4_2[[#This Row],[Growth Days]]&lt;=50, "Maturity")</f>
        <v>Seedling</v>
      </c>
      <c r="L2055" t="str">
        <f>IF(Table4_2[[#This Row],[TDS Value (ppm)]]&lt;560, "Low", IF(Table4_2[[#This Row],[TDS Value (ppm)]]&lt;=800,"Optimal","High"))</f>
        <v>Optimal</v>
      </c>
    </row>
    <row r="2056" spans="1:12" x14ac:dyDescent="0.25">
      <c r="A2056">
        <v>43</v>
      </c>
      <c r="B2056" s="1">
        <v>45156</v>
      </c>
      <c r="C2056" s="1" t="str">
        <f>TEXT(Table4_2[[#This Row],[Date]],"dddd")</f>
        <v>Friday</v>
      </c>
      <c r="D2056" s="21">
        <v>30.9</v>
      </c>
      <c r="E2056" s="21">
        <v>76</v>
      </c>
      <c r="F2056" s="21">
        <v>771</v>
      </c>
      <c r="G2056" s="21">
        <v>6.1</v>
      </c>
      <c r="H2056">
        <v>16</v>
      </c>
      <c r="I2056">
        <v>87.62</v>
      </c>
      <c r="J2056">
        <v>0.76</v>
      </c>
      <c r="K2056" t="str" cm="1">
        <f t="array" ref="K2056">_xlfn.IFS(Table4_2[[#This Row],[Growth Days]]&lt;=14,"Seedling",Table4_2[[#This Row],[Growth Days]]&lt;=35, "Vegetative",Table4_2[[#This Row],[Growth Days]]&lt;=50, "Maturity")</f>
        <v>Vegetative</v>
      </c>
      <c r="L2056" t="str">
        <f>IF(Table4_2[[#This Row],[TDS Value (ppm)]]&lt;560, "Low", IF(Table4_2[[#This Row],[TDS Value (ppm)]]&lt;=800,"Optimal","High"))</f>
        <v>Optimal</v>
      </c>
    </row>
    <row r="2057" spans="1:12" x14ac:dyDescent="0.25">
      <c r="A2057">
        <v>43</v>
      </c>
      <c r="B2057" s="1">
        <v>45163</v>
      </c>
      <c r="C2057" s="1" t="str">
        <f>TEXT(Table4_2[[#This Row],[Date]],"dddd")</f>
        <v>Friday</v>
      </c>
      <c r="D2057" s="21">
        <v>31.4</v>
      </c>
      <c r="E2057" s="21">
        <v>73</v>
      </c>
      <c r="F2057" s="21">
        <v>441</v>
      </c>
      <c r="G2057" s="21">
        <v>6.4</v>
      </c>
      <c r="H2057">
        <v>23</v>
      </c>
      <c r="I2057">
        <v>88.52</v>
      </c>
      <c r="J2057">
        <v>0.73</v>
      </c>
      <c r="K2057" t="str" cm="1">
        <f t="array" ref="K2057">_xlfn.IFS(Table4_2[[#This Row],[Growth Days]]&lt;=14,"Seedling",Table4_2[[#This Row],[Growth Days]]&lt;=35, "Vegetative",Table4_2[[#This Row],[Growth Days]]&lt;=50, "Maturity")</f>
        <v>Vegetative</v>
      </c>
      <c r="L2057" t="str">
        <f>IF(Table4_2[[#This Row],[TDS Value (ppm)]]&lt;560, "Low", IF(Table4_2[[#This Row],[TDS Value (ppm)]]&lt;=800,"Optimal","High"))</f>
        <v>Low</v>
      </c>
    </row>
    <row r="2058" spans="1:12" x14ac:dyDescent="0.25">
      <c r="A2058">
        <v>43</v>
      </c>
      <c r="B2058" s="1">
        <v>45170</v>
      </c>
      <c r="C2058" s="1" t="str">
        <f>TEXT(Table4_2[[#This Row],[Date]],"dddd")</f>
        <v>Friday</v>
      </c>
      <c r="D2058" s="21">
        <v>31.7</v>
      </c>
      <c r="E2058" s="21">
        <v>51</v>
      </c>
      <c r="F2058" s="21">
        <v>753</v>
      </c>
      <c r="G2058" s="21">
        <v>6.3</v>
      </c>
      <c r="H2058">
        <v>30</v>
      </c>
      <c r="I2058">
        <v>89.06</v>
      </c>
      <c r="J2058">
        <v>0.51</v>
      </c>
      <c r="K2058" t="str" cm="1">
        <f t="array" ref="K2058">_xlfn.IFS(Table4_2[[#This Row],[Growth Days]]&lt;=14,"Seedling",Table4_2[[#This Row],[Growth Days]]&lt;=35, "Vegetative",Table4_2[[#This Row],[Growth Days]]&lt;=50, "Maturity")</f>
        <v>Vegetative</v>
      </c>
      <c r="L2058" t="str">
        <f>IF(Table4_2[[#This Row],[TDS Value (ppm)]]&lt;560, "Low", IF(Table4_2[[#This Row],[TDS Value (ppm)]]&lt;=800,"Optimal","High"))</f>
        <v>Optimal</v>
      </c>
    </row>
    <row r="2059" spans="1:12" x14ac:dyDescent="0.25">
      <c r="A2059">
        <v>43</v>
      </c>
      <c r="B2059" s="1">
        <v>45177</v>
      </c>
      <c r="C2059" s="1" t="str">
        <f>TEXT(Table4_2[[#This Row],[Date]],"dddd")</f>
        <v>Friday</v>
      </c>
      <c r="D2059" s="21">
        <v>29.8</v>
      </c>
      <c r="E2059" s="21">
        <v>50</v>
      </c>
      <c r="F2059" s="21">
        <v>753</v>
      </c>
      <c r="G2059" s="21">
        <v>6.1</v>
      </c>
      <c r="H2059">
        <v>37</v>
      </c>
      <c r="I2059">
        <v>85.64</v>
      </c>
      <c r="J2059">
        <v>0.5</v>
      </c>
      <c r="K2059" t="str" cm="1">
        <f t="array" ref="K2059">_xlfn.IFS(Table4_2[[#This Row],[Growth Days]]&lt;=14,"Seedling",Table4_2[[#This Row],[Growth Days]]&lt;=35, "Vegetative",Table4_2[[#This Row],[Growth Days]]&lt;=50, "Maturity")</f>
        <v>Maturity</v>
      </c>
      <c r="L2059" t="str">
        <f>IF(Table4_2[[#This Row],[TDS Value (ppm)]]&lt;560, "Low", IF(Table4_2[[#This Row],[TDS Value (ppm)]]&lt;=800,"Optimal","High"))</f>
        <v>Optimal</v>
      </c>
    </row>
    <row r="2060" spans="1:12" x14ac:dyDescent="0.25">
      <c r="A2060">
        <v>43</v>
      </c>
      <c r="B2060" s="1">
        <v>45184</v>
      </c>
      <c r="C2060" s="1" t="str">
        <f>TEXT(Table4_2[[#This Row],[Date]],"dddd")</f>
        <v>Friday</v>
      </c>
      <c r="D2060" s="21">
        <v>30.6</v>
      </c>
      <c r="E2060" s="21">
        <v>53</v>
      </c>
      <c r="F2060" s="21">
        <v>450</v>
      </c>
      <c r="G2060" s="21">
        <v>6.5</v>
      </c>
      <c r="H2060">
        <v>44</v>
      </c>
      <c r="I2060">
        <v>87.08</v>
      </c>
      <c r="J2060">
        <v>0.53</v>
      </c>
      <c r="K2060" t="str" cm="1">
        <f t="array" ref="K2060">_xlfn.IFS(Table4_2[[#This Row],[Growth Days]]&lt;=14,"Seedling",Table4_2[[#This Row],[Growth Days]]&lt;=35, "Vegetative",Table4_2[[#This Row],[Growth Days]]&lt;=50, "Maturity")</f>
        <v>Maturity</v>
      </c>
      <c r="L2060" t="str">
        <f>IF(Table4_2[[#This Row],[TDS Value (ppm)]]&lt;560, "Low", IF(Table4_2[[#This Row],[TDS Value (ppm)]]&lt;=800,"Optimal","High"))</f>
        <v>Low</v>
      </c>
    </row>
    <row r="2061" spans="1:12" x14ac:dyDescent="0.25">
      <c r="A2061">
        <v>44</v>
      </c>
      <c r="B2061" s="1">
        <v>45142</v>
      </c>
      <c r="C2061" s="1" t="str">
        <f>TEXT(Table4_2[[#This Row],[Date]],"dddd")</f>
        <v>Friday</v>
      </c>
      <c r="D2061" s="21">
        <v>33.5</v>
      </c>
      <c r="E2061" s="21">
        <v>59</v>
      </c>
      <c r="F2061" s="21">
        <v>601</v>
      </c>
      <c r="G2061" s="21">
        <v>6.5</v>
      </c>
      <c r="H2061">
        <v>2</v>
      </c>
      <c r="I2061">
        <v>92.3</v>
      </c>
      <c r="J2061">
        <v>0.59</v>
      </c>
      <c r="K2061" t="str" cm="1">
        <f t="array" ref="K2061">_xlfn.IFS(Table4_2[[#This Row],[Growth Days]]&lt;=14,"Seedling",Table4_2[[#This Row],[Growth Days]]&lt;=35, "Vegetative",Table4_2[[#This Row],[Growth Days]]&lt;=50, "Maturity")</f>
        <v>Seedling</v>
      </c>
      <c r="L2061" t="str">
        <f>IF(Table4_2[[#This Row],[TDS Value (ppm)]]&lt;560, "Low", IF(Table4_2[[#This Row],[TDS Value (ppm)]]&lt;=800,"Optimal","High"))</f>
        <v>Optimal</v>
      </c>
    </row>
    <row r="2062" spans="1:12" x14ac:dyDescent="0.25">
      <c r="A2062">
        <v>44</v>
      </c>
      <c r="B2062" s="1">
        <v>45149</v>
      </c>
      <c r="C2062" s="1" t="str">
        <f>TEXT(Table4_2[[#This Row],[Date]],"dddd")</f>
        <v>Friday</v>
      </c>
      <c r="D2062" s="21">
        <v>31.9</v>
      </c>
      <c r="E2062" s="21">
        <v>71</v>
      </c>
      <c r="F2062" s="21">
        <v>609</v>
      </c>
      <c r="G2062" s="21">
        <v>6.4</v>
      </c>
      <c r="H2062">
        <v>9</v>
      </c>
      <c r="I2062">
        <v>89.42</v>
      </c>
      <c r="J2062">
        <v>0.71</v>
      </c>
      <c r="K2062" t="str" cm="1">
        <f t="array" ref="K2062">_xlfn.IFS(Table4_2[[#This Row],[Growth Days]]&lt;=14,"Seedling",Table4_2[[#This Row],[Growth Days]]&lt;=35, "Vegetative",Table4_2[[#This Row],[Growth Days]]&lt;=50, "Maturity")</f>
        <v>Seedling</v>
      </c>
      <c r="L2062" t="str">
        <f>IF(Table4_2[[#This Row],[TDS Value (ppm)]]&lt;560, "Low", IF(Table4_2[[#This Row],[TDS Value (ppm)]]&lt;=800,"Optimal","High"))</f>
        <v>Optimal</v>
      </c>
    </row>
    <row r="2063" spans="1:12" x14ac:dyDescent="0.25">
      <c r="A2063">
        <v>44</v>
      </c>
      <c r="B2063" s="1">
        <v>45156</v>
      </c>
      <c r="C2063" s="1" t="str">
        <f>TEXT(Table4_2[[#This Row],[Date]],"dddd")</f>
        <v>Friday</v>
      </c>
      <c r="D2063" s="21">
        <v>30.9</v>
      </c>
      <c r="E2063" s="21">
        <v>53</v>
      </c>
      <c r="F2063" s="21">
        <v>426</v>
      </c>
      <c r="G2063" s="21">
        <v>6.4</v>
      </c>
      <c r="H2063">
        <v>16</v>
      </c>
      <c r="I2063">
        <v>87.62</v>
      </c>
      <c r="J2063">
        <v>0.53</v>
      </c>
      <c r="K2063" t="str" cm="1">
        <f t="array" ref="K2063">_xlfn.IFS(Table4_2[[#This Row],[Growth Days]]&lt;=14,"Seedling",Table4_2[[#This Row],[Growth Days]]&lt;=35, "Vegetative",Table4_2[[#This Row],[Growth Days]]&lt;=50, "Maturity")</f>
        <v>Vegetative</v>
      </c>
      <c r="L2063" t="str">
        <f>IF(Table4_2[[#This Row],[TDS Value (ppm)]]&lt;560, "Low", IF(Table4_2[[#This Row],[TDS Value (ppm)]]&lt;=800,"Optimal","High"))</f>
        <v>Low</v>
      </c>
    </row>
    <row r="2064" spans="1:12" x14ac:dyDescent="0.25">
      <c r="A2064">
        <v>44</v>
      </c>
      <c r="B2064" s="1">
        <v>45163</v>
      </c>
      <c r="C2064" s="1" t="str">
        <f>TEXT(Table4_2[[#This Row],[Date]],"dddd")</f>
        <v>Friday</v>
      </c>
      <c r="D2064" s="21">
        <v>31.4</v>
      </c>
      <c r="E2064" s="21">
        <v>74</v>
      </c>
      <c r="F2064" s="21">
        <v>693</v>
      </c>
      <c r="G2064" s="21">
        <v>6.7</v>
      </c>
      <c r="H2064">
        <v>23</v>
      </c>
      <c r="I2064">
        <v>88.52</v>
      </c>
      <c r="J2064">
        <v>0.74</v>
      </c>
      <c r="K2064" t="str" cm="1">
        <f t="array" ref="K2064">_xlfn.IFS(Table4_2[[#This Row],[Growth Days]]&lt;=14,"Seedling",Table4_2[[#This Row],[Growth Days]]&lt;=35, "Vegetative",Table4_2[[#This Row],[Growth Days]]&lt;=50, "Maturity")</f>
        <v>Vegetative</v>
      </c>
      <c r="L2064" t="str">
        <f>IF(Table4_2[[#This Row],[TDS Value (ppm)]]&lt;560, "Low", IF(Table4_2[[#This Row],[TDS Value (ppm)]]&lt;=800,"Optimal","High"))</f>
        <v>Optimal</v>
      </c>
    </row>
    <row r="2065" spans="1:12" x14ac:dyDescent="0.25">
      <c r="A2065">
        <v>44</v>
      </c>
      <c r="B2065" s="1">
        <v>45170</v>
      </c>
      <c r="C2065" s="1" t="str">
        <f>TEXT(Table4_2[[#This Row],[Date]],"dddd")</f>
        <v>Friday</v>
      </c>
      <c r="D2065" s="21">
        <v>31.7</v>
      </c>
      <c r="E2065" s="21">
        <v>59</v>
      </c>
      <c r="F2065" s="21">
        <v>751</v>
      </c>
      <c r="G2065" s="21">
        <v>6.4</v>
      </c>
      <c r="H2065">
        <v>30</v>
      </c>
      <c r="I2065">
        <v>89.06</v>
      </c>
      <c r="J2065">
        <v>0.59</v>
      </c>
      <c r="K2065" t="str" cm="1">
        <f t="array" ref="K2065">_xlfn.IFS(Table4_2[[#This Row],[Growth Days]]&lt;=14,"Seedling",Table4_2[[#This Row],[Growth Days]]&lt;=35, "Vegetative",Table4_2[[#This Row],[Growth Days]]&lt;=50, "Maturity")</f>
        <v>Vegetative</v>
      </c>
      <c r="L2065" t="str">
        <f>IF(Table4_2[[#This Row],[TDS Value (ppm)]]&lt;560, "Low", IF(Table4_2[[#This Row],[TDS Value (ppm)]]&lt;=800,"Optimal","High"))</f>
        <v>Optimal</v>
      </c>
    </row>
    <row r="2066" spans="1:12" x14ac:dyDescent="0.25">
      <c r="A2066">
        <v>44</v>
      </c>
      <c r="B2066" s="1">
        <v>45177</v>
      </c>
      <c r="C2066" s="1" t="str">
        <f>TEXT(Table4_2[[#This Row],[Date]],"dddd")</f>
        <v>Friday</v>
      </c>
      <c r="D2066" s="21">
        <v>29.8</v>
      </c>
      <c r="E2066" s="21">
        <v>74</v>
      </c>
      <c r="F2066" s="21">
        <v>780</v>
      </c>
      <c r="G2066" s="21">
        <v>6.3</v>
      </c>
      <c r="H2066">
        <v>37</v>
      </c>
      <c r="I2066">
        <v>85.64</v>
      </c>
      <c r="J2066">
        <v>0.74</v>
      </c>
      <c r="K2066" t="str" cm="1">
        <f t="array" ref="K2066">_xlfn.IFS(Table4_2[[#This Row],[Growth Days]]&lt;=14,"Seedling",Table4_2[[#This Row],[Growth Days]]&lt;=35, "Vegetative",Table4_2[[#This Row],[Growth Days]]&lt;=50, "Maturity")</f>
        <v>Maturity</v>
      </c>
      <c r="L2066" t="str">
        <f>IF(Table4_2[[#This Row],[TDS Value (ppm)]]&lt;560, "Low", IF(Table4_2[[#This Row],[TDS Value (ppm)]]&lt;=800,"Optimal","High"))</f>
        <v>Optimal</v>
      </c>
    </row>
    <row r="2067" spans="1:12" x14ac:dyDescent="0.25">
      <c r="A2067">
        <v>44</v>
      </c>
      <c r="B2067" s="1">
        <v>45184</v>
      </c>
      <c r="C2067" s="1" t="str">
        <f>TEXT(Table4_2[[#This Row],[Date]],"dddd")</f>
        <v>Friday</v>
      </c>
      <c r="D2067" s="21">
        <v>30.6</v>
      </c>
      <c r="E2067" s="21">
        <v>65</v>
      </c>
      <c r="F2067" s="21">
        <v>673</v>
      </c>
      <c r="G2067" s="21">
        <v>6.2</v>
      </c>
      <c r="H2067">
        <v>44</v>
      </c>
      <c r="I2067">
        <v>87.08</v>
      </c>
      <c r="J2067">
        <v>0.65</v>
      </c>
      <c r="K2067" t="str" cm="1">
        <f t="array" ref="K2067">_xlfn.IFS(Table4_2[[#This Row],[Growth Days]]&lt;=14,"Seedling",Table4_2[[#This Row],[Growth Days]]&lt;=35, "Vegetative",Table4_2[[#This Row],[Growth Days]]&lt;=50, "Maturity")</f>
        <v>Maturity</v>
      </c>
      <c r="L2067" t="str">
        <f>IF(Table4_2[[#This Row],[TDS Value (ppm)]]&lt;560, "Low", IF(Table4_2[[#This Row],[TDS Value (ppm)]]&lt;=800,"Optimal","High"))</f>
        <v>Optimal</v>
      </c>
    </row>
    <row r="2068" spans="1:12" x14ac:dyDescent="0.25">
      <c r="A2068">
        <v>45</v>
      </c>
      <c r="B2068" s="1">
        <v>45142</v>
      </c>
      <c r="C2068" s="1" t="str">
        <f>TEXT(Table4_2[[#This Row],[Date]],"dddd")</f>
        <v>Friday</v>
      </c>
      <c r="D2068" s="21">
        <v>33.5</v>
      </c>
      <c r="E2068" s="21">
        <v>63</v>
      </c>
      <c r="F2068" s="21">
        <v>648</v>
      </c>
      <c r="G2068" s="21">
        <v>6.5</v>
      </c>
      <c r="H2068">
        <v>2</v>
      </c>
      <c r="I2068">
        <v>92.3</v>
      </c>
      <c r="J2068">
        <v>0.63</v>
      </c>
      <c r="K2068" t="str" cm="1">
        <f t="array" ref="K2068">_xlfn.IFS(Table4_2[[#This Row],[Growth Days]]&lt;=14,"Seedling",Table4_2[[#This Row],[Growth Days]]&lt;=35, "Vegetative",Table4_2[[#This Row],[Growth Days]]&lt;=50, "Maturity")</f>
        <v>Seedling</v>
      </c>
      <c r="L2068" t="str">
        <f>IF(Table4_2[[#This Row],[TDS Value (ppm)]]&lt;560, "Low", IF(Table4_2[[#This Row],[TDS Value (ppm)]]&lt;=800,"Optimal","High"))</f>
        <v>Optimal</v>
      </c>
    </row>
    <row r="2069" spans="1:12" x14ac:dyDescent="0.25">
      <c r="A2069">
        <v>45</v>
      </c>
      <c r="B2069" s="1">
        <v>45149</v>
      </c>
      <c r="C2069" s="1" t="str">
        <f>TEXT(Table4_2[[#This Row],[Date]],"dddd")</f>
        <v>Friday</v>
      </c>
      <c r="D2069" s="21">
        <v>31.9</v>
      </c>
      <c r="E2069" s="21">
        <v>68</v>
      </c>
      <c r="F2069" s="21">
        <v>564</v>
      </c>
      <c r="G2069" s="21">
        <v>6.7</v>
      </c>
      <c r="H2069">
        <v>9</v>
      </c>
      <c r="I2069">
        <v>89.42</v>
      </c>
      <c r="J2069">
        <v>0.68</v>
      </c>
      <c r="K2069" t="str" cm="1">
        <f t="array" ref="K2069">_xlfn.IFS(Table4_2[[#This Row],[Growth Days]]&lt;=14,"Seedling",Table4_2[[#This Row],[Growth Days]]&lt;=35, "Vegetative",Table4_2[[#This Row],[Growth Days]]&lt;=50, "Maturity")</f>
        <v>Seedling</v>
      </c>
      <c r="L2069" t="str">
        <f>IF(Table4_2[[#This Row],[TDS Value (ppm)]]&lt;560, "Low", IF(Table4_2[[#This Row],[TDS Value (ppm)]]&lt;=800,"Optimal","High"))</f>
        <v>Optimal</v>
      </c>
    </row>
    <row r="2070" spans="1:12" x14ac:dyDescent="0.25">
      <c r="A2070">
        <v>45</v>
      </c>
      <c r="B2070" s="1">
        <v>45156</v>
      </c>
      <c r="C2070" s="1" t="str">
        <f>TEXT(Table4_2[[#This Row],[Date]],"dddd")</f>
        <v>Friday</v>
      </c>
      <c r="D2070" s="21">
        <v>30.9</v>
      </c>
      <c r="E2070" s="21">
        <v>58</v>
      </c>
      <c r="F2070" s="21">
        <v>697</v>
      </c>
      <c r="G2070" s="21">
        <v>6.2</v>
      </c>
      <c r="H2070">
        <v>16</v>
      </c>
      <c r="I2070">
        <v>87.62</v>
      </c>
      <c r="J2070">
        <v>0.57999999999999996</v>
      </c>
      <c r="K2070" t="str" cm="1">
        <f t="array" ref="K2070">_xlfn.IFS(Table4_2[[#This Row],[Growth Days]]&lt;=14,"Seedling",Table4_2[[#This Row],[Growth Days]]&lt;=35, "Vegetative",Table4_2[[#This Row],[Growth Days]]&lt;=50, "Maturity")</f>
        <v>Vegetative</v>
      </c>
      <c r="L2070" t="str">
        <f>IF(Table4_2[[#This Row],[TDS Value (ppm)]]&lt;560, "Low", IF(Table4_2[[#This Row],[TDS Value (ppm)]]&lt;=800,"Optimal","High"))</f>
        <v>Optimal</v>
      </c>
    </row>
    <row r="2071" spans="1:12" x14ac:dyDescent="0.25">
      <c r="A2071">
        <v>45</v>
      </c>
      <c r="B2071" s="1">
        <v>45163</v>
      </c>
      <c r="C2071" s="1" t="str">
        <f>TEXT(Table4_2[[#This Row],[Date]],"dddd")</f>
        <v>Friday</v>
      </c>
      <c r="D2071" s="21">
        <v>31.4</v>
      </c>
      <c r="E2071" s="21">
        <v>77</v>
      </c>
      <c r="F2071" s="21">
        <v>463</v>
      </c>
      <c r="G2071" s="21">
        <v>6.3</v>
      </c>
      <c r="H2071">
        <v>23</v>
      </c>
      <c r="I2071">
        <v>88.52</v>
      </c>
      <c r="J2071">
        <v>0.77</v>
      </c>
      <c r="K2071" t="str" cm="1">
        <f t="array" ref="K2071">_xlfn.IFS(Table4_2[[#This Row],[Growth Days]]&lt;=14,"Seedling",Table4_2[[#This Row],[Growth Days]]&lt;=35, "Vegetative",Table4_2[[#This Row],[Growth Days]]&lt;=50, "Maturity")</f>
        <v>Vegetative</v>
      </c>
      <c r="L2071" t="str">
        <f>IF(Table4_2[[#This Row],[TDS Value (ppm)]]&lt;560, "Low", IF(Table4_2[[#This Row],[TDS Value (ppm)]]&lt;=800,"Optimal","High"))</f>
        <v>Low</v>
      </c>
    </row>
    <row r="2072" spans="1:12" x14ac:dyDescent="0.25">
      <c r="A2072">
        <v>45</v>
      </c>
      <c r="B2072" s="1">
        <v>45170</v>
      </c>
      <c r="C2072" s="1" t="str">
        <f>TEXT(Table4_2[[#This Row],[Date]],"dddd")</f>
        <v>Friday</v>
      </c>
      <c r="D2072" s="21">
        <v>31.7</v>
      </c>
      <c r="E2072" s="21">
        <v>65</v>
      </c>
      <c r="F2072" s="21">
        <v>538</v>
      </c>
      <c r="G2072" s="21">
        <v>6.6</v>
      </c>
      <c r="H2072">
        <v>30</v>
      </c>
      <c r="I2072">
        <v>89.06</v>
      </c>
      <c r="J2072">
        <v>0.65</v>
      </c>
      <c r="K2072" t="str" cm="1">
        <f t="array" ref="K2072">_xlfn.IFS(Table4_2[[#This Row],[Growth Days]]&lt;=14,"Seedling",Table4_2[[#This Row],[Growth Days]]&lt;=35, "Vegetative",Table4_2[[#This Row],[Growth Days]]&lt;=50, "Maturity")</f>
        <v>Vegetative</v>
      </c>
      <c r="L2072" t="str">
        <f>IF(Table4_2[[#This Row],[TDS Value (ppm)]]&lt;560, "Low", IF(Table4_2[[#This Row],[TDS Value (ppm)]]&lt;=800,"Optimal","High"))</f>
        <v>Low</v>
      </c>
    </row>
    <row r="2073" spans="1:12" x14ac:dyDescent="0.25">
      <c r="A2073">
        <v>45</v>
      </c>
      <c r="B2073" s="1">
        <v>45177</v>
      </c>
      <c r="C2073" s="1" t="str">
        <f>TEXT(Table4_2[[#This Row],[Date]],"dddd")</f>
        <v>Friday</v>
      </c>
      <c r="D2073" s="21">
        <v>29.8</v>
      </c>
      <c r="E2073" s="21">
        <v>54</v>
      </c>
      <c r="F2073" s="21">
        <v>665</v>
      </c>
      <c r="G2073" s="21">
        <v>6.1</v>
      </c>
      <c r="H2073">
        <v>37</v>
      </c>
      <c r="I2073">
        <v>85.64</v>
      </c>
      <c r="J2073">
        <v>0.54</v>
      </c>
      <c r="K2073" t="str" cm="1">
        <f t="array" ref="K2073">_xlfn.IFS(Table4_2[[#This Row],[Growth Days]]&lt;=14,"Seedling",Table4_2[[#This Row],[Growth Days]]&lt;=35, "Vegetative",Table4_2[[#This Row],[Growth Days]]&lt;=50, "Maturity")</f>
        <v>Maturity</v>
      </c>
      <c r="L2073" t="str">
        <f>IF(Table4_2[[#This Row],[TDS Value (ppm)]]&lt;560, "Low", IF(Table4_2[[#This Row],[TDS Value (ppm)]]&lt;=800,"Optimal","High"))</f>
        <v>Optimal</v>
      </c>
    </row>
    <row r="2074" spans="1:12" x14ac:dyDescent="0.25">
      <c r="A2074">
        <v>45</v>
      </c>
      <c r="B2074" s="1">
        <v>45184</v>
      </c>
      <c r="C2074" s="1" t="str">
        <f>TEXT(Table4_2[[#This Row],[Date]],"dddd")</f>
        <v>Friday</v>
      </c>
      <c r="D2074" s="21">
        <v>30.6</v>
      </c>
      <c r="E2074" s="21">
        <v>67</v>
      </c>
      <c r="F2074" s="21">
        <v>438</v>
      </c>
      <c r="G2074" s="21">
        <v>6.1</v>
      </c>
      <c r="H2074">
        <v>44</v>
      </c>
      <c r="I2074">
        <v>87.08</v>
      </c>
      <c r="J2074">
        <v>0.67</v>
      </c>
      <c r="K2074" t="str" cm="1">
        <f t="array" ref="K2074">_xlfn.IFS(Table4_2[[#This Row],[Growth Days]]&lt;=14,"Seedling",Table4_2[[#This Row],[Growth Days]]&lt;=35, "Vegetative",Table4_2[[#This Row],[Growth Days]]&lt;=50, "Maturity")</f>
        <v>Maturity</v>
      </c>
      <c r="L2074" t="str">
        <f>IF(Table4_2[[#This Row],[TDS Value (ppm)]]&lt;560, "Low", IF(Table4_2[[#This Row],[TDS Value (ppm)]]&lt;=800,"Optimal","High"))</f>
        <v>Low</v>
      </c>
    </row>
    <row r="2075" spans="1:12" x14ac:dyDescent="0.25">
      <c r="A2075">
        <v>46</v>
      </c>
      <c r="B2075" s="1">
        <v>45142</v>
      </c>
      <c r="C2075" s="1" t="str">
        <f>TEXT(Table4_2[[#This Row],[Date]],"dddd")</f>
        <v>Friday</v>
      </c>
      <c r="D2075" s="21">
        <v>33.5</v>
      </c>
      <c r="E2075" s="21">
        <v>63</v>
      </c>
      <c r="F2075" s="21">
        <v>582</v>
      </c>
      <c r="G2075" s="21">
        <v>6.8</v>
      </c>
      <c r="H2075">
        <v>2</v>
      </c>
      <c r="I2075">
        <v>92.3</v>
      </c>
      <c r="J2075">
        <v>0.63</v>
      </c>
      <c r="K2075" t="str" cm="1">
        <f t="array" ref="K2075">_xlfn.IFS(Table4_2[[#This Row],[Growth Days]]&lt;=14,"Seedling",Table4_2[[#This Row],[Growth Days]]&lt;=35, "Vegetative",Table4_2[[#This Row],[Growth Days]]&lt;=50, "Maturity")</f>
        <v>Seedling</v>
      </c>
      <c r="L2075" t="str">
        <f>IF(Table4_2[[#This Row],[TDS Value (ppm)]]&lt;560, "Low", IF(Table4_2[[#This Row],[TDS Value (ppm)]]&lt;=800,"Optimal","High"))</f>
        <v>Optimal</v>
      </c>
    </row>
    <row r="2076" spans="1:12" x14ac:dyDescent="0.25">
      <c r="A2076">
        <v>46</v>
      </c>
      <c r="B2076" s="1">
        <v>45149</v>
      </c>
      <c r="C2076" s="1" t="str">
        <f>TEXT(Table4_2[[#This Row],[Date]],"dddd")</f>
        <v>Friday</v>
      </c>
      <c r="D2076" s="21">
        <v>31.9</v>
      </c>
      <c r="E2076" s="21">
        <v>77</v>
      </c>
      <c r="F2076" s="21">
        <v>752</v>
      </c>
      <c r="G2076" s="21">
        <v>6.3</v>
      </c>
      <c r="H2076">
        <v>9</v>
      </c>
      <c r="I2076">
        <v>89.42</v>
      </c>
      <c r="J2076">
        <v>0.77</v>
      </c>
      <c r="K2076" t="str" cm="1">
        <f t="array" ref="K2076">_xlfn.IFS(Table4_2[[#This Row],[Growth Days]]&lt;=14,"Seedling",Table4_2[[#This Row],[Growth Days]]&lt;=35, "Vegetative",Table4_2[[#This Row],[Growth Days]]&lt;=50, "Maturity")</f>
        <v>Seedling</v>
      </c>
      <c r="L2076" t="str">
        <f>IF(Table4_2[[#This Row],[TDS Value (ppm)]]&lt;560, "Low", IF(Table4_2[[#This Row],[TDS Value (ppm)]]&lt;=800,"Optimal","High"))</f>
        <v>Optimal</v>
      </c>
    </row>
    <row r="2077" spans="1:12" x14ac:dyDescent="0.25">
      <c r="A2077">
        <v>46</v>
      </c>
      <c r="B2077" s="1">
        <v>45156</v>
      </c>
      <c r="C2077" s="1" t="str">
        <f>TEXT(Table4_2[[#This Row],[Date]],"dddd")</f>
        <v>Friday</v>
      </c>
      <c r="D2077" s="21">
        <v>30.9</v>
      </c>
      <c r="E2077" s="21">
        <v>56</v>
      </c>
      <c r="F2077" s="21">
        <v>448</v>
      </c>
      <c r="G2077" s="21">
        <v>6.3</v>
      </c>
      <c r="H2077">
        <v>16</v>
      </c>
      <c r="I2077">
        <v>87.62</v>
      </c>
      <c r="J2077">
        <v>0.56000000000000005</v>
      </c>
      <c r="K2077" t="str" cm="1">
        <f t="array" ref="K2077">_xlfn.IFS(Table4_2[[#This Row],[Growth Days]]&lt;=14,"Seedling",Table4_2[[#This Row],[Growth Days]]&lt;=35, "Vegetative",Table4_2[[#This Row],[Growth Days]]&lt;=50, "Maturity")</f>
        <v>Vegetative</v>
      </c>
      <c r="L2077" t="str">
        <f>IF(Table4_2[[#This Row],[TDS Value (ppm)]]&lt;560, "Low", IF(Table4_2[[#This Row],[TDS Value (ppm)]]&lt;=800,"Optimal","High"))</f>
        <v>Low</v>
      </c>
    </row>
    <row r="2078" spans="1:12" x14ac:dyDescent="0.25">
      <c r="A2078">
        <v>46</v>
      </c>
      <c r="B2078" s="1">
        <v>45163</v>
      </c>
      <c r="C2078" s="1" t="str">
        <f>TEXT(Table4_2[[#This Row],[Date]],"dddd")</f>
        <v>Friday</v>
      </c>
      <c r="D2078" s="21">
        <v>31.4</v>
      </c>
      <c r="E2078" s="21">
        <v>76</v>
      </c>
      <c r="F2078" s="21">
        <v>422</v>
      </c>
      <c r="G2078" s="21">
        <v>6.3</v>
      </c>
      <c r="H2078">
        <v>23</v>
      </c>
      <c r="I2078">
        <v>88.52</v>
      </c>
      <c r="J2078">
        <v>0.76</v>
      </c>
      <c r="K2078" t="str" cm="1">
        <f t="array" ref="K2078">_xlfn.IFS(Table4_2[[#This Row],[Growth Days]]&lt;=14,"Seedling",Table4_2[[#This Row],[Growth Days]]&lt;=35, "Vegetative",Table4_2[[#This Row],[Growth Days]]&lt;=50, "Maturity")</f>
        <v>Vegetative</v>
      </c>
      <c r="L2078" t="str">
        <f>IF(Table4_2[[#This Row],[TDS Value (ppm)]]&lt;560, "Low", IF(Table4_2[[#This Row],[TDS Value (ppm)]]&lt;=800,"Optimal","High"))</f>
        <v>Low</v>
      </c>
    </row>
    <row r="2079" spans="1:12" x14ac:dyDescent="0.25">
      <c r="A2079">
        <v>46</v>
      </c>
      <c r="B2079" s="1">
        <v>45170</v>
      </c>
      <c r="C2079" s="1" t="str">
        <f>TEXT(Table4_2[[#This Row],[Date]],"dddd")</f>
        <v>Friday</v>
      </c>
      <c r="D2079" s="21">
        <v>31.7</v>
      </c>
      <c r="E2079" s="21">
        <v>55</v>
      </c>
      <c r="F2079" s="21">
        <v>472</v>
      </c>
      <c r="G2079" s="21">
        <v>6.6</v>
      </c>
      <c r="H2079">
        <v>30</v>
      </c>
      <c r="I2079">
        <v>89.06</v>
      </c>
      <c r="J2079">
        <v>0.55000000000000004</v>
      </c>
      <c r="K2079" t="str" cm="1">
        <f t="array" ref="K2079">_xlfn.IFS(Table4_2[[#This Row],[Growth Days]]&lt;=14,"Seedling",Table4_2[[#This Row],[Growth Days]]&lt;=35, "Vegetative",Table4_2[[#This Row],[Growth Days]]&lt;=50, "Maturity")</f>
        <v>Vegetative</v>
      </c>
      <c r="L2079" t="str">
        <f>IF(Table4_2[[#This Row],[TDS Value (ppm)]]&lt;560, "Low", IF(Table4_2[[#This Row],[TDS Value (ppm)]]&lt;=800,"Optimal","High"))</f>
        <v>Low</v>
      </c>
    </row>
    <row r="2080" spans="1:12" x14ac:dyDescent="0.25">
      <c r="A2080">
        <v>46</v>
      </c>
      <c r="B2080" s="1">
        <v>45177</v>
      </c>
      <c r="C2080" s="1" t="str">
        <f>TEXT(Table4_2[[#This Row],[Date]],"dddd")</f>
        <v>Friday</v>
      </c>
      <c r="D2080" s="21">
        <v>29.8</v>
      </c>
      <c r="E2080" s="21">
        <v>65</v>
      </c>
      <c r="F2080" s="21">
        <v>631</v>
      </c>
      <c r="G2080" s="21">
        <v>6.5</v>
      </c>
      <c r="H2080">
        <v>37</v>
      </c>
      <c r="I2080">
        <v>85.64</v>
      </c>
      <c r="J2080">
        <v>0.65</v>
      </c>
      <c r="K2080" t="str" cm="1">
        <f t="array" ref="K2080">_xlfn.IFS(Table4_2[[#This Row],[Growth Days]]&lt;=14,"Seedling",Table4_2[[#This Row],[Growth Days]]&lt;=35, "Vegetative",Table4_2[[#This Row],[Growth Days]]&lt;=50, "Maturity")</f>
        <v>Maturity</v>
      </c>
      <c r="L2080" t="str">
        <f>IF(Table4_2[[#This Row],[TDS Value (ppm)]]&lt;560, "Low", IF(Table4_2[[#This Row],[TDS Value (ppm)]]&lt;=800,"Optimal","High"))</f>
        <v>Optimal</v>
      </c>
    </row>
    <row r="2081" spans="1:12" x14ac:dyDescent="0.25">
      <c r="A2081">
        <v>46</v>
      </c>
      <c r="B2081" s="1">
        <v>45184</v>
      </c>
      <c r="C2081" s="1" t="str">
        <f>TEXT(Table4_2[[#This Row],[Date]],"dddd")</f>
        <v>Friday</v>
      </c>
      <c r="D2081" s="21">
        <v>30.6</v>
      </c>
      <c r="E2081" s="21">
        <v>63</v>
      </c>
      <c r="F2081" s="21">
        <v>550</v>
      </c>
      <c r="G2081" s="21">
        <v>6.4</v>
      </c>
      <c r="H2081">
        <v>44</v>
      </c>
      <c r="I2081">
        <v>87.08</v>
      </c>
      <c r="J2081">
        <v>0.63</v>
      </c>
      <c r="K2081" t="str" cm="1">
        <f t="array" ref="K2081">_xlfn.IFS(Table4_2[[#This Row],[Growth Days]]&lt;=14,"Seedling",Table4_2[[#This Row],[Growth Days]]&lt;=35, "Vegetative",Table4_2[[#This Row],[Growth Days]]&lt;=50, "Maturity")</f>
        <v>Maturity</v>
      </c>
      <c r="L2081" t="str">
        <f>IF(Table4_2[[#This Row],[TDS Value (ppm)]]&lt;560, "Low", IF(Table4_2[[#This Row],[TDS Value (ppm)]]&lt;=800,"Optimal","High"))</f>
        <v>Low</v>
      </c>
    </row>
    <row r="2082" spans="1:12" x14ac:dyDescent="0.25">
      <c r="A2082">
        <v>47</v>
      </c>
      <c r="B2082" s="1">
        <v>45142</v>
      </c>
      <c r="C2082" s="1" t="str">
        <f>TEXT(Table4_2[[#This Row],[Date]],"dddd")</f>
        <v>Friday</v>
      </c>
      <c r="D2082" s="21">
        <v>33.5</v>
      </c>
      <c r="E2082" s="21">
        <v>78</v>
      </c>
      <c r="F2082" s="21">
        <v>486</v>
      </c>
      <c r="G2082" s="21">
        <v>6</v>
      </c>
      <c r="H2082">
        <v>2</v>
      </c>
      <c r="I2082">
        <v>92.3</v>
      </c>
      <c r="J2082">
        <v>0.78</v>
      </c>
      <c r="K2082" t="str" cm="1">
        <f t="array" ref="K2082">_xlfn.IFS(Table4_2[[#This Row],[Growth Days]]&lt;=14,"Seedling",Table4_2[[#This Row],[Growth Days]]&lt;=35, "Vegetative",Table4_2[[#This Row],[Growth Days]]&lt;=50, "Maturity")</f>
        <v>Seedling</v>
      </c>
      <c r="L2082" t="str">
        <f>IF(Table4_2[[#This Row],[TDS Value (ppm)]]&lt;560, "Low", IF(Table4_2[[#This Row],[TDS Value (ppm)]]&lt;=800,"Optimal","High"))</f>
        <v>Low</v>
      </c>
    </row>
    <row r="2083" spans="1:12" x14ac:dyDescent="0.25">
      <c r="A2083">
        <v>47</v>
      </c>
      <c r="B2083" s="1">
        <v>45149</v>
      </c>
      <c r="C2083" s="1" t="str">
        <f>TEXT(Table4_2[[#This Row],[Date]],"dddd")</f>
        <v>Friday</v>
      </c>
      <c r="D2083" s="21">
        <v>31.9</v>
      </c>
      <c r="E2083" s="21">
        <v>79</v>
      </c>
      <c r="F2083" s="21">
        <v>473</v>
      </c>
      <c r="G2083" s="21">
        <v>6.3</v>
      </c>
      <c r="H2083">
        <v>9</v>
      </c>
      <c r="I2083">
        <v>89.42</v>
      </c>
      <c r="J2083">
        <v>0.79</v>
      </c>
      <c r="K2083" t="str" cm="1">
        <f t="array" ref="K2083">_xlfn.IFS(Table4_2[[#This Row],[Growth Days]]&lt;=14,"Seedling",Table4_2[[#This Row],[Growth Days]]&lt;=35, "Vegetative",Table4_2[[#This Row],[Growth Days]]&lt;=50, "Maturity")</f>
        <v>Seedling</v>
      </c>
      <c r="L2083" t="str">
        <f>IF(Table4_2[[#This Row],[TDS Value (ppm)]]&lt;560, "Low", IF(Table4_2[[#This Row],[TDS Value (ppm)]]&lt;=800,"Optimal","High"))</f>
        <v>Low</v>
      </c>
    </row>
    <row r="2084" spans="1:12" x14ac:dyDescent="0.25">
      <c r="A2084">
        <v>47</v>
      </c>
      <c r="B2084" s="1">
        <v>45156</v>
      </c>
      <c r="C2084" s="1" t="str">
        <f>TEXT(Table4_2[[#This Row],[Date]],"dddd")</f>
        <v>Friday</v>
      </c>
      <c r="D2084" s="21">
        <v>30.9</v>
      </c>
      <c r="E2084" s="21">
        <v>57</v>
      </c>
      <c r="F2084" s="21">
        <v>779</v>
      </c>
      <c r="G2084" s="21">
        <v>6.4</v>
      </c>
      <c r="H2084">
        <v>16</v>
      </c>
      <c r="I2084">
        <v>87.62</v>
      </c>
      <c r="J2084">
        <v>0.56999999999999995</v>
      </c>
      <c r="K2084" t="str" cm="1">
        <f t="array" ref="K2084">_xlfn.IFS(Table4_2[[#This Row],[Growth Days]]&lt;=14,"Seedling",Table4_2[[#This Row],[Growth Days]]&lt;=35, "Vegetative",Table4_2[[#This Row],[Growth Days]]&lt;=50, "Maturity")</f>
        <v>Vegetative</v>
      </c>
      <c r="L2084" t="str">
        <f>IF(Table4_2[[#This Row],[TDS Value (ppm)]]&lt;560, "Low", IF(Table4_2[[#This Row],[TDS Value (ppm)]]&lt;=800,"Optimal","High"))</f>
        <v>Optimal</v>
      </c>
    </row>
    <row r="2085" spans="1:12" x14ac:dyDescent="0.25">
      <c r="A2085">
        <v>47</v>
      </c>
      <c r="B2085" s="1">
        <v>45163</v>
      </c>
      <c r="C2085" s="1" t="str">
        <f>TEXT(Table4_2[[#This Row],[Date]],"dddd")</f>
        <v>Friday</v>
      </c>
      <c r="D2085" s="21">
        <v>31.4</v>
      </c>
      <c r="E2085" s="21">
        <v>69</v>
      </c>
      <c r="F2085" s="21">
        <v>593</v>
      </c>
      <c r="G2085" s="21">
        <v>6.6</v>
      </c>
      <c r="H2085">
        <v>23</v>
      </c>
      <c r="I2085">
        <v>88.52</v>
      </c>
      <c r="J2085">
        <v>0.69</v>
      </c>
      <c r="K2085" t="str" cm="1">
        <f t="array" ref="K2085">_xlfn.IFS(Table4_2[[#This Row],[Growth Days]]&lt;=14,"Seedling",Table4_2[[#This Row],[Growth Days]]&lt;=35, "Vegetative",Table4_2[[#This Row],[Growth Days]]&lt;=50, "Maturity")</f>
        <v>Vegetative</v>
      </c>
      <c r="L2085" t="str">
        <f>IF(Table4_2[[#This Row],[TDS Value (ppm)]]&lt;560, "Low", IF(Table4_2[[#This Row],[TDS Value (ppm)]]&lt;=800,"Optimal","High"))</f>
        <v>Optimal</v>
      </c>
    </row>
    <row r="2086" spans="1:12" x14ac:dyDescent="0.25">
      <c r="A2086">
        <v>47</v>
      </c>
      <c r="B2086" s="1">
        <v>45170</v>
      </c>
      <c r="C2086" s="1" t="str">
        <f>TEXT(Table4_2[[#This Row],[Date]],"dddd")</f>
        <v>Friday</v>
      </c>
      <c r="D2086" s="21">
        <v>31.7</v>
      </c>
      <c r="E2086" s="21">
        <v>66</v>
      </c>
      <c r="F2086" s="21">
        <v>676</v>
      </c>
      <c r="G2086" s="21">
        <v>6.5</v>
      </c>
      <c r="H2086">
        <v>30</v>
      </c>
      <c r="I2086">
        <v>89.06</v>
      </c>
      <c r="J2086">
        <v>0.66</v>
      </c>
      <c r="K2086" t="str" cm="1">
        <f t="array" ref="K2086">_xlfn.IFS(Table4_2[[#This Row],[Growth Days]]&lt;=14,"Seedling",Table4_2[[#This Row],[Growth Days]]&lt;=35, "Vegetative",Table4_2[[#This Row],[Growth Days]]&lt;=50, "Maturity")</f>
        <v>Vegetative</v>
      </c>
      <c r="L2086" t="str">
        <f>IF(Table4_2[[#This Row],[TDS Value (ppm)]]&lt;560, "Low", IF(Table4_2[[#This Row],[TDS Value (ppm)]]&lt;=800,"Optimal","High"))</f>
        <v>Optimal</v>
      </c>
    </row>
    <row r="2087" spans="1:12" x14ac:dyDescent="0.25">
      <c r="A2087">
        <v>47</v>
      </c>
      <c r="B2087" s="1">
        <v>45177</v>
      </c>
      <c r="C2087" s="1" t="str">
        <f>TEXT(Table4_2[[#This Row],[Date]],"dddd")</f>
        <v>Friday</v>
      </c>
      <c r="D2087" s="21">
        <v>29.8</v>
      </c>
      <c r="E2087" s="21">
        <v>73</v>
      </c>
      <c r="F2087" s="21">
        <v>722</v>
      </c>
      <c r="G2087" s="21">
        <v>6.5</v>
      </c>
      <c r="H2087">
        <v>37</v>
      </c>
      <c r="I2087">
        <v>85.64</v>
      </c>
      <c r="J2087">
        <v>0.73</v>
      </c>
      <c r="K2087" t="str" cm="1">
        <f t="array" ref="K2087">_xlfn.IFS(Table4_2[[#This Row],[Growth Days]]&lt;=14,"Seedling",Table4_2[[#This Row],[Growth Days]]&lt;=35, "Vegetative",Table4_2[[#This Row],[Growth Days]]&lt;=50, "Maturity")</f>
        <v>Maturity</v>
      </c>
      <c r="L2087" t="str">
        <f>IF(Table4_2[[#This Row],[TDS Value (ppm)]]&lt;560, "Low", IF(Table4_2[[#This Row],[TDS Value (ppm)]]&lt;=800,"Optimal","High"))</f>
        <v>Optimal</v>
      </c>
    </row>
    <row r="2088" spans="1:12" x14ac:dyDescent="0.25">
      <c r="A2088">
        <v>47</v>
      </c>
      <c r="B2088" s="1">
        <v>45184</v>
      </c>
      <c r="C2088" s="1" t="str">
        <f>TEXT(Table4_2[[#This Row],[Date]],"dddd")</f>
        <v>Friday</v>
      </c>
      <c r="D2088" s="21">
        <v>30.6</v>
      </c>
      <c r="E2088" s="21">
        <v>56</v>
      </c>
      <c r="F2088" s="21">
        <v>724</v>
      </c>
      <c r="G2088" s="21">
        <v>6.4</v>
      </c>
      <c r="H2088">
        <v>44</v>
      </c>
      <c r="I2088">
        <v>87.08</v>
      </c>
      <c r="J2088">
        <v>0.56000000000000005</v>
      </c>
      <c r="K2088" t="str" cm="1">
        <f t="array" ref="K2088">_xlfn.IFS(Table4_2[[#This Row],[Growth Days]]&lt;=14,"Seedling",Table4_2[[#This Row],[Growth Days]]&lt;=35, "Vegetative",Table4_2[[#This Row],[Growth Days]]&lt;=50, "Maturity")</f>
        <v>Maturity</v>
      </c>
      <c r="L2088" t="str">
        <f>IF(Table4_2[[#This Row],[TDS Value (ppm)]]&lt;560, "Low", IF(Table4_2[[#This Row],[TDS Value (ppm)]]&lt;=800,"Optimal","High"))</f>
        <v>Optimal</v>
      </c>
    </row>
    <row r="2089" spans="1:12" x14ac:dyDescent="0.25">
      <c r="A2089">
        <v>48</v>
      </c>
      <c r="B2089" s="1">
        <v>45142</v>
      </c>
      <c r="C2089" s="1" t="str">
        <f>TEXT(Table4_2[[#This Row],[Date]],"dddd")</f>
        <v>Friday</v>
      </c>
      <c r="D2089" s="21">
        <v>33.5</v>
      </c>
      <c r="E2089" s="21">
        <v>65</v>
      </c>
      <c r="F2089" s="21">
        <v>507</v>
      </c>
      <c r="G2089" s="21">
        <v>6.6</v>
      </c>
      <c r="H2089">
        <v>2</v>
      </c>
      <c r="I2089">
        <v>92.3</v>
      </c>
      <c r="J2089">
        <v>0.65</v>
      </c>
      <c r="K2089" t="str" cm="1">
        <f t="array" ref="K2089">_xlfn.IFS(Table4_2[[#This Row],[Growth Days]]&lt;=14,"Seedling",Table4_2[[#This Row],[Growth Days]]&lt;=35, "Vegetative",Table4_2[[#This Row],[Growth Days]]&lt;=50, "Maturity")</f>
        <v>Seedling</v>
      </c>
      <c r="L2089" t="str">
        <f>IF(Table4_2[[#This Row],[TDS Value (ppm)]]&lt;560, "Low", IF(Table4_2[[#This Row],[TDS Value (ppm)]]&lt;=800,"Optimal","High"))</f>
        <v>Low</v>
      </c>
    </row>
    <row r="2090" spans="1:12" x14ac:dyDescent="0.25">
      <c r="A2090">
        <v>48</v>
      </c>
      <c r="B2090" s="1">
        <v>45149</v>
      </c>
      <c r="C2090" s="1" t="str">
        <f>TEXT(Table4_2[[#This Row],[Date]],"dddd")</f>
        <v>Friday</v>
      </c>
      <c r="D2090" s="21">
        <v>31.9</v>
      </c>
      <c r="E2090" s="21">
        <v>80</v>
      </c>
      <c r="F2090" s="21">
        <v>523</v>
      </c>
      <c r="G2090" s="21">
        <v>6</v>
      </c>
      <c r="H2090">
        <v>9</v>
      </c>
      <c r="I2090">
        <v>89.42</v>
      </c>
      <c r="J2090">
        <v>0.8</v>
      </c>
      <c r="K2090" t="str" cm="1">
        <f t="array" ref="K2090">_xlfn.IFS(Table4_2[[#This Row],[Growth Days]]&lt;=14,"Seedling",Table4_2[[#This Row],[Growth Days]]&lt;=35, "Vegetative",Table4_2[[#This Row],[Growth Days]]&lt;=50, "Maturity")</f>
        <v>Seedling</v>
      </c>
      <c r="L2090" t="str">
        <f>IF(Table4_2[[#This Row],[TDS Value (ppm)]]&lt;560, "Low", IF(Table4_2[[#This Row],[TDS Value (ppm)]]&lt;=800,"Optimal","High"))</f>
        <v>Low</v>
      </c>
    </row>
    <row r="2091" spans="1:12" x14ac:dyDescent="0.25">
      <c r="A2091">
        <v>48</v>
      </c>
      <c r="B2091" s="1">
        <v>45156</v>
      </c>
      <c r="C2091" s="1" t="str">
        <f>TEXT(Table4_2[[#This Row],[Date]],"dddd")</f>
        <v>Friday</v>
      </c>
      <c r="D2091" s="21">
        <v>30.9</v>
      </c>
      <c r="E2091" s="21">
        <v>74</v>
      </c>
      <c r="F2091" s="21">
        <v>728</v>
      </c>
      <c r="G2091" s="21">
        <v>6.5</v>
      </c>
      <c r="H2091">
        <v>16</v>
      </c>
      <c r="I2091">
        <v>87.62</v>
      </c>
      <c r="J2091">
        <v>0.74</v>
      </c>
      <c r="K2091" t="str" cm="1">
        <f t="array" ref="K2091">_xlfn.IFS(Table4_2[[#This Row],[Growth Days]]&lt;=14,"Seedling",Table4_2[[#This Row],[Growth Days]]&lt;=35, "Vegetative",Table4_2[[#This Row],[Growth Days]]&lt;=50, "Maturity")</f>
        <v>Vegetative</v>
      </c>
      <c r="L2091" t="str">
        <f>IF(Table4_2[[#This Row],[TDS Value (ppm)]]&lt;560, "Low", IF(Table4_2[[#This Row],[TDS Value (ppm)]]&lt;=800,"Optimal","High"))</f>
        <v>Optimal</v>
      </c>
    </row>
    <row r="2092" spans="1:12" x14ac:dyDescent="0.25">
      <c r="A2092">
        <v>48</v>
      </c>
      <c r="B2092" s="1">
        <v>45163</v>
      </c>
      <c r="C2092" s="1" t="str">
        <f>TEXT(Table4_2[[#This Row],[Date]],"dddd")</f>
        <v>Friday</v>
      </c>
      <c r="D2092" s="21">
        <v>31.4</v>
      </c>
      <c r="E2092" s="21">
        <v>60</v>
      </c>
      <c r="F2092" s="21">
        <v>512</v>
      </c>
      <c r="G2092" s="21">
        <v>6.4</v>
      </c>
      <c r="H2092">
        <v>23</v>
      </c>
      <c r="I2092">
        <v>88.52</v>
      </c>
      <c r="J2092">
        <v>0.6</v>
      </c>
      <c r="K2092" t="str" cm="1">
        <f t="array" ref="K2092">_xlfn.IFS(Table4_2[[#This Row],[Growth Days]]&lt;=14,"Seedling",Table4_2[[#This Row],[Growth Days]]&lt;=35, "Vegetative",Table4_2[[#This Row],[Growth Days]]&lt;=50, "Maturity")</f>
        <v>Vegetative</v>
      </c>
      <c r="L2092" t="str">
        <f>IF(Table4_2[[#This Row],[TDS Value (ppm)]]&lt;560, "Low", IF(Table4_2[[#This Row],[TDS Value (ppm)]]&lt;=800,"Optimal","High"))</f>
        <v>Low</v>
      </c>
    </row>
    <row r="2093" spans="1:12" x14ac:dyDescent="0.25">
      <c r="A2093">
        <v>48</v>
      </c>
      <c r="B2093" s="1">
        <v>45170</v>
      </c>
      <c r="C2093" s="1" t="str">
        <f>TEXT(Table4_2[[#This Row],[Date]],"dddd")</f>
        <v>Friday</v>
      </c>
      <c r="D2093" s="21">
        <v>31.7</v>
      </c>
      <c r="E2093" s="21">
        <v>72</v>
      </c>
      <c r="F2093" s="21">
        <v>578</v>
      </c>
      <c r="G2093" s="21">
        <v>6.4</v>
      </c>
      <c r="H2093">
        <v>30</v>
      </c>
      <c r="I2093">
        <v>89.06</v>
      </c>
      <c r="J2093">
        <v>0.72</v>
      </c>
      <c r="K2093" t="str" cm="1">
        <f t="array" ref="K2093">_xlfn.IFS(Table4_2[[#This Row],[Growth Days]]&lt;=14,"Seedling",Table4_2[[#This Row],[Growth Days]]&lt;=35, "Vegetative",Table4_2[[#This Row],[Growth Days]]&lt;=50, "Maturity")</f>
        <v>Vegetative</v>
      </c>
      <c r="L2093" t="str">
        <f>IF(Table4_2[[#This Row],[TDS Value (ppm)]]&lt;560, "Low", IF(Table4_2[[#This Row],[TDS Value (ppm)]]&lt;=800,"Optimal","High"))</f>
        <v>Optimal</v>
      </c>
    </row>
    <row r="2094" spans="1:12" x14ac:dyDescent="0.25">
      <c r="A2094">
        <v>48</v>
      </c>
      <c r="B2094" s="1">
        <v>45177</v>
      </c>
      <c r="C2094" s="1" t="str">
        <f>TEXT(Table4_2[[#This Row],[Date]],"dddd")</f>
        <v>Friday</v>
      </c>
      <c r="D2094" s="21">
        <v>29.8</v>
      </c>
      <c r="E2094" s="21">
        <v>60</v>
      </c>
      <c r="F2094" s="21">
        <v>760</v>
      </c>
      <c r="G2094" s="21">
        <v>6.2</v>
      </c>
      <c r="H2094">
        <v>37</v>
      </c>
      <c r="I2094">
        <v>85.64</v>
      </c>
      <c r="J2094">
        <v>0.6</v>
      </c>
      <c r="K2094" t="str" cm="1">
        <f t="array" ref="K2094">_xlfn.IFS(Table4_2[[#This Row],[Growth Days]]&lt;=14,"Seedling",Table4_2[[#This Row],[Growth Days]]&lt;=35, "Vegetative",Table4_2[[#This Row],[Growth Days]]&lt;=50, "Maturity")</f>
        <v>Maturity</v>
      </c>
      <c r="L2094" t="str">
        <f>IF(Table4_2[[#This Row],[TDS Value (ppm)]]&lt;560, "Low", IF(Table4_2[[#This Row],[TDS Value (ppm)]]&lt;=800,"Optimal","High"))</f>
        <v>Optimal</v>
      </c>
    </row>
    <row r="2095" spans="1:12" x14ac:dyDescent="0.25">
      <c r="A2095">
        <v>48</v>
      </c>
      <c r="B2095" s="1">
        <v>45184</v>
      </c>
      <c r="C2095" s="1" t="str">
        <f>TEXT(Table4_2[[#This Row],[Date]],"dddd")</f>
        <v>Friday</v>
      </c>
      <c r="D2095" s="21">
        <v>30.6</v>
      </c>
      <c r="E2095" s="21">
        <v>78</v>
      </c>
      <c r="F2095" s="21">
        <v>557</v>
      </c>
      <c r="G2095" s="21">
        <v>6.6</v>
      </c>
      <c r="H2095">
        <v>44</v>
      </c>
      <c r="I2095">
        <v>87.08</v>
      </c>
      <c r="J2095">
        <v>0.78</v>
      </c>
      <c r="K2095" t="str" cm="1">
        <f t="array" ref="K2095">_xlfn.IFS(Table4_2[[#This Row],[Growth Days]]&lt;=14,"Seedling",Table4_2[[#This Row],[Growth Days]]&lt;=35, "Vegetative",Table4_2[[#This Row],[Growth Days]]&lt;=50, "Maturity")</f>
        <v>Maturity</v>
      </c>
      <c r="L2095" t="str">
        <f>IF(Table4_2[[#This Row],[TDS Value (ppm)]]&lt;560, "Low", IF(Table4_2[[#This Row],[TDS Value (ppm)]]&lt;=800,"Optimal","High"))</f>
        <v>Low</v>
      </c>
    </row>
    <row r="2096" spans="1:12" x14ac:dyDescent="0.25">
      <c r="A2096">
        <v>49</v>
      </c>
      <c r="B2096" s="1">
        <v>45142</v>
      </c>
      <c r="C2096" s="1" t="str">
        <f>TEXT(Table4_2[[#This Row],[Date]],"dddd")</f>
        <v>Friday</v>
      </c>
      <c r="D2096" s="21">
        <v>33.5</v>
      </c>
      <c r="E2096" s="21">
        <v>80</v>
      </c>
      <c r="F2096" s="21">
        <v>570</v>
      </c>
      <c r="G2096" s="21">
        <v>6.8</v>
      </c>
      <c r="H2096">
        <v>2</v>
      </c>
      <c r="I2096">
        <v>92.3</v>
      </c>
      <c r="J2096">
        <v>0.8</v>
      </c>
      <c r="K2096" t="str" cm="1">
        <f t="array" ref="K2096">_xlfn.IFS(Table4_2[[#This Row],[Growth Days]]&lt;=14,"Seedling",Table4_2[[#This Row],[Growth Days]]&lt;=35, "Vegetative",Table4_2[[#This Row],[Growth Days]]&lt;=50, "Maturity")</f>
        <v>Seedling</v>
      </c>
      <c r="L2096" t="str">
        <f>IF(Table4_2[[#This Row],[TDS Value (ppm)]]&lt;560, "Low", IF(Table4_2[[#This Row],[TDS Value (ppm)]]&lt;=800,"Optimal","High"))</f>
        <v>Optimal</v>
      </c>
    </row>
    <row r="2097" spans="1:12" x14ac:dyDescent="0.25">
      <c r="A2097">
        <v>49</v>
      </c>
      <c r="B2097" s="1">
        <v>45149</v>
      </c>
      <c r="C2097" s="1" t="str">
        <f>TEXT(Table4_2[[#This Row],[Date]],"dddd")</f>
        <v>Friday</v>
      </c>
      <c r="D2097" s="21">
        <v>31.9</v>
      </c>
      <c r="E2097" s="21">
        <v>77</v>
      </c>
      <c r="F2097" s="21">
        <v>586</v>
      </c>
      <c r="G2097" s="21">
        <v>6.4</v>
      </c>
      <c r="H2097">
        <v>9</v>
      </c>
      <c r="I2097">
        <v>89.42</v>
      </c>
      <c r="J2097">
        <v>0.77</v>
      </c>
      <c r="K2097" t="str" cm="1">
        <f t="array" ref="K2097">_xlfn.IFS(Table4_2[[#This Row],[Growth Days]]&lt;=14,"Seedling",Table4_2[[#This Row],[Growth Days]]&lt;=35, "Vegetative",Table4_2[[#This Row],[Growth Days]]&lt;=50, "Maturity")</f>
        <v>Seedling</v>
      </c>
      <c r="L2097" t="str">
        <f>IF(Table4_2[[#This Row],[TDS Value (ppm)]]&lt;560, "Low", IF(Table4_2[[#This Row],[TDS Value (ppm)]]&lt;=800,"Optimal","High"))</f>
        <v>Optimal</v>
      </c>
    </row>
    <row r="2098" spans="1:12" x14ac:dyDescent="0.25">
      <c r="A2098">
        <v>49</v>
      </c>
      <c r="B2098" s="1">
        <v>45156</v>
      </c>
      <c r="C2098" s="1" t="str">
        <f>TEXT(Table4_2[[#This Row],[Date]],"dddd")</f>
        <v>Friday</v>
      </c>
      <c r="D2098" s="21">
        <v>30.9</v>
      </c>
      <c r="E2098" s="21">
        <v>55</v>
      </c>
      <c r="F2098" s="21">
        <v>446</v>
      </c>
      <c r="G2098" s="21">
        <v>6.2</v>
      </c>
      <c r="H2098">
        <v>16</v>
      </c>
      <c r="I2098">
        <v>87.62</v>
      </c>
      <c r="J2098">
        <v>0.55000000000000004</v>
      </c>
      <c r="K2098" t="str" cm="1">
        <f t="array" ref="K2098">_xlfn.IFS(Table4_2[[#This Row],[Growth Days]]&lt;=14,"Seedling",Table4_2[[#This Row],[Growth Days]]&lt;=35, "Vegetative",Table4_2[[#This Row],[Growth Days]]&lt;=50, "Maturity")</f>
        <v>Vegetative</v>
      </c>
      <c r="L2098" t="str">
        <f>IF(Table4_2[[#This Row],[TDS Value (ppm)]]&lt;560, "Low", IF(Table4_2[[#This Row],[TDS Value (ppm)]]&lt;=800,"Optimal","High"))</f>
        <v>Low</v>
      </c>
    </row>
    <row r="2099" spans="1:12" x14ac:dyDescent="0.25">
      <c r="A2099">
        <v>49</v>
      </c>
      <c r="B2099" s="1">
        <v>45163</v>
      </c>
      <c r="C2099" s="1" t="str">
        <f>TEXT(Table4_2[[#This Row],[Date]],"dddd")</f>
        <v>Friday</v>
      </c>
      <c r="D2099" s="21">
        <v>31.4</v>
      </c>
      <c r="E2099" s="21">
        <v>62</v>
      </c>
      <c r="F2099" s="21">
        <v>603</v>
      </c>
      <c r="G2099" s="21">
        <v>6.1</v>
      </c>
      <c r="H2099">
        <v>23</v>
      </c>
      <c r="I2099">
        <v>88.52</v>
      </c>
      <c r="J2099">
        <v>0.62</v>
      </c>
      <c r="K2099" t="str" cm="1">
        <f t="array" ref="K2099">_xlfn.IFS(Table4_2[[#This Row],[Growth Days]]&lt;=14,"Seedling",Table4_2[[#This Row],[Growth Days]]&lt;=35, "Vegetative",Table4_2[[#This Row],[Growth Days]]&lt;=50, "Maturity")</f>
        <v>Vegetative</v>
      </c>
      <c r="L2099" t="str">
        <f>IF(Table4_2[[#This Row],[TDS Value (ppm)]]&lt;560, "Low", IF(Table4_2[[#This Row],[TDS Value (ppm)]]&lt;=800,"Optimal","High"))</f>
        <v>Optimal</v>
      </c>
    </row>
    <row r="2100" spans="1:12" x14ac:dyDescent="0.25">
      <c r="A2100">
        <v>49</v>
      </c>
      <c r="B2100" s="1">
        <v>45170</v>
      </c>
      <c r="C2100" s="1" t="str">
        <f>TEXT(Table4_2[[#This Row],[Date]],"dddd")</f>
        <v>Friday</v>
      </c>
      <c r="D2100" s="21">
        <v>31.7</v>
      </c>
      <c r="E2100" s="21">
        <v>53</v>
      </c>
      <c r="F2100" s="21">
        <v>432</v>
      </c>
      <c r="G2100" s="21">
        <v>6.2</v>
      </c>
      <c r="H2100">
        <v>30</v>
      </c>
      <c r="I2100">
        <v>89.06</v>
      </c>
      <c r="J2100">
        <v>0.53</v>
      </c>
      <c r="K2100" t="str" cm="1">
        <f t="array" ref="K2100">_xlfn.IFS(Table4_2[[#This Row],[Growth Days]]&lt;=14,"Seedling",Table4_2[[#This Row],[Growth Days]]&lt;=35, "Vegetative",Table4_2[[#This Row],[Growth Days]]&lt;=50, "Maturity")</f>
        <v>Vegetative</v>
      </c>
      <c r="L2100" t="str">
        <f>IF(Table4_2[[#This Row],[TDS Value (ppm)]]&lt;560, "Low", IF(Table4_2[[#This Row],[TDS Value (ppm)]]&lt;=800,"Optimal","High"))</f>
        <v>Low</v>
      </c>
    </row>
    <row r="2101" spans="1:12" x14ac:dyDescent="0.25">
      <c r="A2101">
        <v>49</v>
      </c>
      <c r="B2101" s="1">
        <v>45177</v>
      </c>
      <c r="C2101" s="1" t="str">
        <f>TEXT(Table4_2[[#This Row],[Date]],"dddd")</f>
        <v>Friday</v>
      </c>
      <c r="D2101" s="21">
        <v>29.8</v>
      </c>
      <c r="E2101" s="21">
        <v>71</v>
      </c>
      <c r="F2101" s="21">
        <v>638</v>
      </c>
      <c r="G2101" s="21">
        <v>6.7</v>
      </c>
      <c r="H2101">
        <v>37</v>
      </c>
      <c r="I2101">
        <v>85.64</v>
      </c>
      <c r="J2101">
        <v>0.71</v>
      </c>
      <c r="K2101" t="str" cm="1">
        <f t="array" ref="K2101">_xlfn.IFS(Table4_2[[#This Row],[Growth Days]]&lt;=14,"Seedling",Table4_2[[#This Row],[Growth Days]]&lt;=35, "Vegetative",Table4_2[[#This Row],[Growth Days]]&lt;=50, "Maturity")</f>
        <v>Maturity</v>
      </c>
      <c r="L2101" t="str">
        <f>IF(Table4_2[[#This Row],[TDS Value (ppm)]]&lt;560, "Low", IF(Table4_2[[#This Row],[TDS Value (ppm)]]&lt;=800,"Optimal","High"))</f>
        <v>Optimal</v>
      </c>
    </row>
    <row r="2102" spans="1:12" x14ac:dyDescent="0.25">
      <c r="A2102">
        <v>49</v>
      </c>
      <c r="B2102" s="1">
        <v>45184</v>
      </c>
      <c r="C2102" s="1" t="str">
        <f>TEXT(Table4_2[[#This Row],[Date]],"dddd")</f>
        <v>Friday</v>
      </c>
      <c r="D2102" s="21">
        <v>30.6</v>
      </c>
      <c r="E2102" s="21">
        <v>57</v>
      </c>
      <c r="F2102" s="21">
        <v>529</v>
      </c>
      <c r="G2102" s="21">
        <v>6.1</v>
      </c>
      <c r="H2102">
        <v>44</v>
      </c>
      <c r="I2102">
        <v>87.08</v>
      </c>
      <c r="J2102">
        <v>0.56999999999999995</v>
      </c>
      <c r="K2102" t="str" cm="1">
        <f t="array" ref="K2102">_xlfn.IFS(Table4_2[[#This Row],[Growth Days]]&lt;=14,"Seedling",Table4_2[[#This Row],[Growth Days]]&lt;=35, "Vegetative",Table4_2[[#This Row],[Growth Days]]&lt;=50, "Maturity")</f>
        <v>Maturity</v>
      </c>
      <c r="L2102" t="str">
        <f>IF(Table4_2[[#This Row],[TDS Value (ppm)]]&lt;560, "Low", IF(Table4_2[[#This Row],[TDS Value (ppm)]]&lt;=800,"Optimal","High"))</f>
        <v>Low</v>
      </c>
    </row>
    <row r="2103" spans="1:12" x14ac:dyDescent="0.25">
      <c r="A2103">
        <v>50</v>
      </c>
      <c r="B2103" s="1">
        <v>45142</v>
      </c>
      <c r="C2103" s="1" t="str">
        <f>TEXT(Table4_2[[#This Row],[Date]],"dddd")</f>
        <v>Friday</v>
      </c>
      <c r="D2103" s="21">
        <v>33.5</v>
      </c>
      <c r="E2103" s="21">
        <v>78</v>
      </c>
      <c r="F2103" s="21">
        <v>550</v>
      </c>
      <c r="G2103" s="21">
        <v>6.1</v>
      </c>
      <c r="H2103">
        <v>2</v>
      </c>
      <c r="I2103">
        <v>92.3</v>
      </c>
      <c r="J2103">
        <v>0.78</v>
      </c>
      <c r="K2103" t="str" cm="1">
        <f t="array" ref="K2103">_xlfn.IFS(Table4_2[[#This Row],[Growth Days]]&lt;=14,"Seedling",Table4_2[[#This Row],[Growth Days]]&lt;=35, "Vegetative",Table4_2[[#This Row],[Growth Days]]&lt;=50, "Maturity")</f>
        <v>Seedling</v>
      </c>
      <c r="L2103" t="str">
        <f>IF(Table4_2[[#This Row],[TDS Value (ppm)]]&lt;560, "Low", IF(Table4_2[[#This Row],[TDS Value (ppm)]]&lt;=800,"Optimal","High"))</f>
        <v>Low</v>
      </c>
    </row>
    <row r="2104" spans="1:12" x14ac:dyDescent="0.25">
      <c r="A2104">
        <v>50</v>
      </c>
      <c r="B2104" s="1">
        <v>45149</v>
      </c>
      <c r="C2104" s="1" t="str">
        <f>TEXT(Table4_2[[#This Row],[Date]],"dddd")</f>
        <v>Friday</v>
      </c>
      <c r="D2104" s="21">
        <v>31.9</v>
      </c>
      <c r="E2104" s="21">
        <v>69</v>
      </c>
      <c r="F2104" s="21">
        <v>440</v>
      </c>
      <c r="G2104" s="21">
        <v>6.3</v>
      </c>
      <c r="H2104">
        <v>9</v>
      </c>
      <c r="I2104">
        <v>89.42</v>
      </c>
      <c r="J2104">
        <v>0.69</v>
      </c>
      <c r="K2104" t="str" cm="1">
        <f t="array" ref="K2104">_xlfn.IFS(Table4_2[[#This Row],[Growth Days]]&lt;=14,"Seedling",Table4_2[[#This Row],[Growth Days]]&lt;=35, "Vegetative",Table4_2[[#This Row],[Growth Days]]&lt;=50, "Maturity")</f>
        <v>Seedling</v>
      </c>
      <c r="L2104" t="str">
        <f>IF(Table4_2[[#This Row],[TDS Value (ppm)]]&lt;560, "Low", IF(Table4_2[[#This Row],[TDS Value (ppm)]]&lt;=800,"Optimal","High"))</f>
        <v>Low</v>
      </c>
    </row>
    <row r="2105" spans="1:12" x14ac:dyDescent="0.25">
      <c r="A2105">
        <v>50</v>
      </c>
      <c r="B2105" s="1">
        <v>45156</v>
      </c>
      <c r="C2105" s="1" t="str">
        <f>TEXT(Table4_2[[#This Row],[Date]],"dddd")</f>
        <v>Friday</v>
      </c>
      <c r="D2105" s="21">
        <v>30.9</v>
      </c>
      <c r="E2105" s="21">
        <v>76</v>
      </c>
      <c r="F2105" s="21">
        <v>434</v>
      </c>
      <c r="G2105" s="21">
        <v>6.3</v>
      </c>
      <c r="H2105">
        <v>16</v>
      </c>
      <c r="I2105">
        <v>87.62</v>
      </c>
      <c r="J2105">
        <v>0.76</v>
      </c>
      <c r="K2105" t="str" cm="1">
        <f t="array" ref="K2105">_xlfn.IFS(Table4_2[[#This Row],[Growth Days]]&lt;=14,"Seedling",Table4_2[[#This Row],[Growth Days]]&lt;=35, "Vegetative",Table4_2[[#This Row],[Growth Days]]&lt;=50, "Maturity")</f>
        <v>Vegetative</v>
      </c>
      <c r="L2105" t="str">
        <f>IF(Table4_2[[#This Row],[TDS Value (ppm)]]&lt;560, "Low", IF(Table4_2[[#This Row],[TDS Value (ppm)]]&lt;=800,"Optimal","High"))</f>
        <v>Low</v>
      </c>
    </row>
    <row r="2106" spans="1:12" x14ac:dyDescent="0.25">
      <c r="A2106">
        <v>50</v>
      </c>
      <c r="B2106" s="1">
        <v>45163</v>
      </c>
      <c r="C2106" s="1" t="str">
        <f>TEXT(Table4_2[[#This Row],[Date]],"dddd")</f>
        <v>Friday</v>
      </c>
      <c r="D2106" s="21">
        <v>31.4</v>
      </c>
      <c r="E2106" s="21">
        <v>76</v>
      </c>
      <c r="F2106" s="21">
        <v>605</v>
      </c>
      <c r="G2106" s="21">
        <v>6.1</v>
      </c>
      <c r="H2106">
        <v>23</v>
      </c>
      <c r="I2106">
        <v>88.52</v>
      </c>
      <c r="J2106">
        <v>0.76</v>
      </c>
      <c r="K2106" t="str" cm="1">
        <f t="array" ref="K2106">_xlfn.IFS(Table4_2[[#This Row],[Growth Days]]&lt;=14,"Seedling",Table4_2[[#This Row],[Growth Days]]&lt;=35, "Vegetative",Table4_2[[#This Row],[Growth Days]]&lt;=50, "Maturity")</f>
        <v>Vegetative</v>
      </c>
      <c r="L2106" t="str">
        <f>IF(Table4_2[[#This Row],[TDS Value (ppm)]]&lt;560, "Low", IF(Table4_2[[#This Row],[TDS Value (ppm)]]&lt;=800,"Optimal","High"))</f>
        <v>Optimal</v>
      </c>
    </row>
    <row r="2107" spans="1:12" x14ac:dyDescent="0.25">
      <c r="A2107">
        <v>50</v>
      </c>
      <c r="B2107" s="1">
        <v>45170</v>
      </c>
      <c r="C2107" s="1" t="str">
        <f>TEXT(Table4_2[[#This Row],[Date]],"dddd")</f>
        <v>Friday</v>
      </c>
      <c r="D2107" s="21">
        <v>31.7</v>
      </c>
      <c r="E2107" s="21">
        <v>61</v>
      </c>
      <c r="F2107" s="21">
        <v>565</v>
      </c>
      <c r="G2107" s="21">
        <v>6.6</v>
      </c>
      <c r="H2107">
        <v>30</v>
      </c>
      <c r="I2107">
        <v>89.06</v>
      </c>
      <c r="J2107">
        <v>0.61</v>
      </c>
      <c r="K2107" t="str" cm="1">
        <f t="array" ref="K2107">_xlfn.IFS(Table4_2[[#This Row],[Growth Days]]&lt;=14,"Seedling",Table4_2[[#This Row],[Growth Days]]&lt;=35, "Vegetative",Table4_2[[#This Row],[Growth Days]]&lt;=50, "Maturity")</f>
        <v>Vegetative</v>
      </c>
      <c r="L2107" t="str">
        <f>IF(Table4_2[[#This Row],[TDS Value (ppm)]]&lt;560, "Low", IF(Table4_2[[#This Row],[TDS Value (ppm)]]&lt;=800,"Optimal","High"))</f>
        <v>Optimal</v>
      </c>
    </row>
    <row r="2108" spans="1:12" x14ac:dyDescent="0.25">
      <c r="A2108">
        <v>50</v>
      </c>
      <c r="B2108" s="1">
        <v>45177</v>
      </c>
      <c r="C2108" s="1" t="str">
        <f>TEXT(Table4_2[[#This Row],[Date]],"dddd")</f>
        <v>Friday</v>
      </c>
      <c r="D2108" s="21">
        <v>29.8</v>
      </c>
      <c r="E2108" s="21">
        <v>56</v>
      </c>
      <c r="F2108" s="21">
        <v>747</v>
      </c>
      <c r="G2108" s="21">
        <v>6.4</v>
      </c>
      <c r="H2108">
        <v>37</v>
      </c>
      <c r="I2108">
        <v>85.64</v>
      </c>
      <c r="J2108">
        <v>0.56000000000000005</v>
      </c>
      <c r="K2108" t="str" cm="1">
        <f t="array" ref="K2108">_xlfn.IFS(Table4_2[[#This Row],[Growth Days]]&lt;=14,"Seedling",Table4_2[[#This Row],[Growth Days]]&lt;=35, "Vegetative",Table4_2[[#This Row],[Growth Days]]&lt;=50, "Maturity")</f>
        <v>Maturity</v>
      </c>
      <c r="L2108" t="str">
        <f>IF(Table4_2[[#This Row],[TDS Value (ppm)]]&lt;560, "Low", IF(Table4_2[[#This Row],[TDS Value (ppm)]]&lt;=800,"Optimal","High"))</f>
        <v>Optimal</v>
      </c>
    </row>
    <row r="2109" spans="1:12" x14ac:dyDescent="0.25">
      <c r="A2109">
        <v>50</v>
      </c>
      <c r="B2109" s="1">
        <v>45184</v>
      </c>
      <c r="C2109" s="1" t="str">
        <f>TEXT(Table4_2[[#This Row],[Date]],"dddd")</f>
        <v>Friday</v>
      </c>
      <c r="D2109" s="21">
        <v>30.6</v>
      </c>
      <c r="E2109" s="21">
        <v>57</v>
      </c>
      <c r="F2109" s="21">
        <v>724</v>
      </c>
      <c r="G2109" s="21">
        <v>6.2</v>
      </c>
      <c r="H2109">
        <v>44</v>
      </c>
      <c r="I2109">
        <v>87.08</v>
      </c>
      <c r="J2109">
        <v>0.56999999999999995</v>
      </c>
      <c r="K2109" t="str" cm="1">
        <f t="array" ref="K2109">_xlfn.IFS(Table4_2[[#This Row],[Growth Days]]&lt;=14,"Seedling",Table4_2[[#This Row],[Growth Days]]&lt;=35, "Vegetative",Table4_2[[#This Row],[Growth Days]]&lt;=50, "Maturity")</f>
        <v>Maturity</v>
      </c>
      <c r="L2109" t="str">
        <f>IF(Table4_2[[#This Row],[TDS Value (ppm)]]&lt;560, "Low", IF(Table4_2[[#This Row],[TDS Value (ppm)]]&lt;=800,"Optimal","High"))</f>
        <v>Optimal</v>
      </c>
    </row>
    <row r="2110" spans="1:12" x14ac:dyDescent="0.25">
      <c r="A2110">
        <v>51</v>
      </c>
      <c r="B2110" s="1">
        <v>45142</v>
      </c>
      <c r="C2110" s="1" t="str">
        <f>TEXT(Table4_2[[#This Row],[Date]],"dddd")</f>
        <v>Friday</v>
      </c>
      <c r="D2110" s="21">
        <v>33.5</v>
      </c>
      <c r="E2110" s="21">
        <v>68</v>
      </c>
      <c r="F2110" s="21">
        <v>571</v>
      </c>
      <c r="G2110" s="21">
        <v>6.7</v>
      </c>
      <c r="H2110">
        <v>2</v>
      </c>
      <c r="I2110">
        <v>92.3</v>
      </c>
      <c r="J2110">
        <v>0.68</v>
      </c>
      <c r="K2110" t="str" cm="1">
        <f t="array" ref="K2110">_xlfn.IFS(Table4_2[[#This Row],[Growth Days]]&lt;=14,"Seedling",Table4_2[[#This Row],[Growth Days]]&lt;=35, "Vegetative",Table4_2[[#This Row],[Growth Days]]&lt;=50, "Maturity")</f>
        <v>Seedling</v>
      </c>
      <c r="L2110" t="str">
        <f>IF(Table4_2[[#This Row],[TDS Value (ppm)]]&lt;560, "Low", IF(Table4_2[[#This Row],[TDS Value (ppm)]]&lt;=800,"Optimal","High"))</f>
        <v>Optimal</v>
      </c>
    </row>
    <row r="2111" spans="1:12" x14ac:dyDescent="0.25">
      <c r="A2111">
        <v>51</v>
      </c>
      <c r="B2111" s="1">
        <v>45149</v>
      </c>
      <c r="C2111" s="1" t="str">
        <f>TEXT(Table4_2[[#This Row],[Date]],"dddd")</f>
        <v>Friday</v>
      </c>
      <c r="D2111" s="21">
        <v>31.9</v>
      </c>
      <c r="E2111" s="21">
        <v>57</v>
      </c>
      <c r="F2111" s="21">
        <v>490</v>
      </c>
      <c r="G2111" s="21">
        <v>6.1</v>
      </c>
      <c r="H2111">
        <v>9</v>
      </c>
      <c r="I2111">
        <v>89.42</v>
      </c>
      <c r="J2111">
        <v>0.56999999999999995</v>
      </c>
      <c r="K2111" t="str" cm="1">
        <f t="array" ref="K2111">_xlfn.IFS(Table4_2[[#This Row],[Growth Days]]&lt;=14,"Seedling",Table4_2[[#This Row],[Growth Days]]&lt;=35, "Vegetative",Table4_2[[#This Row],[Growth Days]]&lt;=50, "Maturity")</f>
        <v>Seedling</v>
      </c>
      <c r="L2111" t="str">
        <f>IF(Table4_2[[#This Row],[TDS Value (ppm)]]&lt;560, "Low", IF(Table4_2[[#This Row],[TDS Value (ppm)]]&lt;=800,"Optimal","High"))</f>
        <v>Low</v>
      </c>
    </row>
    <row r="2112" spans="1:12" x14ac:dyDescent="0.25">
      <c r="A2112">
        <v>51</v>
      </c>
      <c r="B2112" s="1">
        <v>45156</v>
      </c>
      <c r="C2112" s="1" t="str">
        <f>TEXT(Table4_2[[#This Row],[Date]],"dddd")</f>
        <v>Friday</v>
      </c>
      <c r="D2112" s="21">
        <v>30.9</v>
      </c>
      <c r="E2112" s="21">
        <v>62</v>
      </c>
      <c r="F2112" s="21">
        <v>696</v>
      </c>
      <c r="G2112" s="21">
        <v>6.2</v>
      </c>
      <c r="H2112">
        <v>16</v>
      </c>
      <c r="I2112">
        <v>87.62</v>
      </c>
      <c r="J2112">
        <v>0.62</v>
      </c>
      <c r="K2112" t="str" cm="1">
        <f t="array" ref="K2112">_xlfn.IFS(Table4_2[[#This Row],[Growth Days]]&lt;=14,"Seedling",Table4_2[[#This Row],[Growth Days]]&lt;=35, "Vegetative",Table4_2[[#This Row],[Growth Days]]&lt;=50, "Maturity")</f>
        <v>Vegetative</v>
      </c>
      <c r="L2112" t="str">
        <f>IF(Table4_2[[#This Row],[TDS Value (ppm)]]&lt;560, "Low", IF(Table4_2[[#This Row],[TDS Value (ppm)]]&lt;=800,"Optimal","High"))</f>
        <v>Optimal</v>
      </c>
    </row>
    <row r="2113" spans="1:12" x14ac:dyDescent="0.25">
      <c r="A2113">
        <v>51</v>
      </c>
      <c r="B2113" s="1">
        <v>45163</v>
      </c>
      <c r="C2113" s="1" t="str">
        <f>TEXT(Table4_2[[#This Row],[Date]],"dddd")</f>
        <v>Friday</v>
      </c>
      <c r="D2113" s="21">
        <v>31.4</v>
      </c>
      <c r="E2113" s="21">
        <v>59</v>
      </c>
      <c r="F2113" s="21">
        <v>673</v>
      </c>
      <c r="G2113" s="21">
        <v>6.3</v>
      </c>
      <c r="H2113">
        <v>23</v>
      </c>
      <c r="I2113">
        <v>88.52</v>
      </c>
      <c r="J2113">
        <v>0.59</v>
      </c>
      <c r="K2113" t="str" cm="1">
        <f t="array" ref="K2113">_xlfn.IFS(Table4_2[[#This Row],[Growth Days]]&lt;=14,"Seedling",Table4_2[[#This Row],[Growth Days]]&lt;=35, "Vegetative",Table4_2[[#This Row],[Growth Days]]&lt;=50, "Maturity")</f>
        <v>Vegetative</v>
      </c>
      <c r="L2113" t="str">
        <f>IF(Table4_2[[#This Row],[TDS Value (ppm)]]&lt;560, "Low", IF(Table4_2[[#This Row],[TDS Value (ppm)]]&lt;=800,"Optimal","High"))</f>
        <v>Optimal</v>
      </c>
    </row>
    <row r="2114" spans="1:12" x14ac:dyDescent="0.25">
      <c r="A2114">
        <v>51</v>
      </c>
      <c r="B2114" s="1">
        <v>45170</v>
      </c>
      <c r="C2114" s="1" t="str">
        <f>TEXT(Table4_2[[#This Row],[Date]],"dddd")</f>
        <v>Friday</v>
      </c>
      <c r="D2114" s="21">
        <v>31.7</v>
      </c>
      <c r="E2114" s="21">
        <v>58</v>
      </c>
      <c r="F2114" s="21">
        <v>762</v>
      </c>
      <c r="G2114" s="21">
        <v>6.5</v>
      </c>
      <c r="H2114">
        <v>30</v>
      </c>
      <c r="I2114">
        <v>89.06</v>
      </c>
      <c r="J2114">
        <v>0.57999999999999996</v>
      </c>
      <c r="K2114" t="str" cm="1">
        <f t="array" ref="K2114">_xlfn.IFS(Table4_2[[#This Row],[Growth Days]]&lt;=14,"Seedling",Table4_2[[#This Row],[Growth Days]]&lt;=35, "Vegetative",Table4_2[[#This Row],[Growth Days]]&lt;=50, "Maturity")</f>
        <v>Vegetative</v>
      </c>
      <c r="L2114" t="str">
        <f>IF(Table4_2[[#This Row],[TDS Value (ppm)]]&lt;560, "Low", IF(Table4_2[[#This Row],[TDS Value (ppm)]]&lt;=800,"Optimal","High"))</f>
        <v>Optimal</v>
      </c>
    </row>
    <row r="2115" spans="1:12" x14ac:dyDescent="0.25">
      <c r="A2115">
        <v>51</v>
      </c>
      <c r="B2115" s="1">
        <v>45177</v>
      </c>
      <c r="C2115" s="1" t="str">
        <f>TEXT(Table4_2[[#This Row],[Date]],"dddd")</f>
        <v>Friday</v>
      </c>
      <c r="D2115" s="21">
        <v>29.8</v>
      </c>
      <c r="E2115" s="21">
        <v>51</v>
      </c>
      <c r="F2115" s="21">
        <v>518</v>
      </c>
      <c r="G2115" s="21">
        <v>6.7</v>
      </c>
      <c r="H2115">
        <v>37</v>
      </c>
      <c r="I2115">
        <v>85.64</v>
      </c>
      <c r="J2115">
        <v>0.51</v>
      </c>
      <c r="K2115" t="str" cm="1">
        <f t="array" ref="K2115">_xlfn.IFS(Table4_2[[#This Row],[Growth Days]]&lt;=14,"Seedling",Table4_2[[#This Row],[Growth Days]]&lt;=35, "Vegetative",Table4_2[[#This Row],[Growth Days]]&lt;=50, "Maturity")</f>
        <v>Maturity</v>
      </c>
      <c r="L2115" t="str">
        <f>IF(Table4_2[[#This Row],[TDS Value (ppm)]]&lt;560, "Low", IF(Table4_2[[#This Row],[TDS Value (ppm)]]&lt;=800,"Optimal","High"))</f>
        <v>Low</v>
      </c>
    </row>
    <row r="2116" spans="1:12" x14ac:dyDescent="0.25">
      <c r="A2116">
        <v>51</v>
      </c>
      <c r="B2116" s="1">
        <v>45184</v>
      </c>
      <c r="C2116" s="1" t="str">
        <f>TEXT(Table4_2[[#This Row],[Date]],"dddd")</f>
        <v>Friday</v>
      </c>
      <c r="D2116" s="21">
        <v>30.6</v>
      </c>
      <c r="E2116" s="21">
        <v>69</v>
      </c>
      <c r="F2116" s="21">
        <v>740</v>
      </c>
      <c r="G2116" s="21">
        <v>6.4</v>
      </c>
      <c r="H2116">
        <v>44</v>
      </c>
      <c r="I2116">
        <v>87.08</v>
      </c>
      <c r="J2116">
        <v>0.69</v>
      </c>
      <c r="K2116" t="str" cm="1">
        <f t="array" ref="K2116">_xlfn.IFS(Table4_2[[#This Row],[Growth Days]]&lt;=14,"Seedling",Table4_2[[#This Row],[Growth Days]]&lt;=35, "Vegetative",Table4_2[[#This Row],[Growth Days]]&lt;=50, "Maturity")</f>
        <v>Maturity</v>
      </c>
      <c r="L2116" t="str">
        <f>IF(Table4_2[[#This Row],[TDS Value (ppm)]]&lt;560, "Low", IF(Table4_2[[#This Row],[TDS Value (ppm)]]&lt;=800,"Optimal","High"))</f>
        <v>Optimal</v>
      </c>
    </row>
    <row r="2117" spans="1:12" x14ac:dyDescent="0.25">
      <c r="A2117">
        <v>52</v>
      </c>
      <c r="B2117" s="1">
        <v>45142</v>
      </c>
      <c r="C2117" s="1" t="str">
        <f>TEXT(Table4_2[[#This Row],[Date]],"dddd")</f>
        <v>Friday</v>
      </c>
      <c r="D2117" s="21">
        <v>22.9</v>
      </c>
      <c r="E2117" s="21">
        <v>62</v>
      </c>
      <c r="F2117" s="21">
        <v>783</v>
      </c>
      <c r="G2117" s="21">
        <v>6.4</v>
      </c>
      <c r="H2117">
        <v>2</v>
      </c>
      <c r="I2117">
        <v>73.22</v>
      </c>
      <c r="J2117">
        <v>0.62</v>
      </c>
      <c r="K2117" t="str" cm="1">
        <f t="array" ref="K2117">_xlfn.IFS(Table4_2[[#This Row],[Growth Days]]&lt;=14,"Seedling",Table4_2[[#This Row],[Growth Days]]&lt;=35, "Vegetative",Table4_2[[#This Row],[Growth Days]]&lt;=50, "Maturity")</f>
        <v>Seedling</v>
      </c>
      <c r="L2117" t="str">
        <f>IF(Table4_2[[#This Row],[TDS Value (ppm)]]&lt;560, "Low", IF(Table4_2[[#This Row],[TDS Value (ppm)]]&lt;=800,"Optimal","High"))</f>
        <v>Optimal</v>
      </c>
    </row>
    <row r="2118" spans="1:12" x14ac:dyDescent="0.25">
      <c r="A2118">
        <v>52</v>
      </c>
      <c r="B2118" s="1">
        <v>45149</v>
      </c>
      <c r="C2118" s="1" t="str">
        <f>TEXT(Table4_2[[#This Row],[Date]],"dddd")</f>
        <v>Friday</v>
      </c>
      <c r="D2118" s="21">
        <v>19.100000000000001</v>
      </c>
      <c r="E2118" s="21">
        <v>66</v>
      </c>
      <c r="F2118" s="21">
        <v>730</v>
      </c>
      <c r="G2118" s="21">
        <v>6.3</v>
      </c>
      <c r="H2118">
        <v>9</v>
      </c>
      <c r="I2118">
        <v>66.38</v>
      </c>
      <c r="J2118">
        <v>0.66</v>
      </c>
      <c r="K2118" t="str" cm="1">
        <f t="array" ref="K2118">_xlfn.IFS(Table4_2[[#This Row],[Growth Days]]&lt;=14,"Seedling",Table4_2[[#This Row],[Growth Days]]&lt;=35, "Vegetative",Table4_2[[#This Row],[Growth Days]]&lt;=50, "Maturity")</f>
        <v>Seedling</v>
      </c>
      <c r="L2118" t="str">
        <f>IF(Table4_2[[#This Row],[TDS Value (ppm)]]&lt;560, "Low", IF(Table4_2[[#This Row],[TDS Value (ppm)]]&lt;=800,"Optimal","High"))</f>
        <v>Optimal</v>
      </c>
    </row>
    <row r="2119" spans="1:12" x14ac:dyDescent="0.25">
      <c r="A2119">
        <v>52</v>
      </c>
      <c r="B2119" s="1">
        <v>45156</v>
      </c>
      <c r="C2119" s="1" t="str">
        <f>TEXT(Table4_2[[#This Row],[Date]],"dddd")</f>
        <v>Friday</v>
      </c>
      <c r="D2119" s="21">
        <v>18.3</v>
      </c>
      <c r="E2119" s="21">
        <v>70</v>
      </c>
      <c r="F2119" s="21">
        <v>510</v>
      </c>
      <c r="G2119" s="21">
        <v>6.6</v>
      </c>
      <c r="H2119">
        <v>16</v>
      </c>
      <c r="I2119">
        <v>64.94</v>
      </c>
      <c r="J2119">
        <v>0.7</v>
      </c>
      <c r="K2119" t="str" cm="1">
        <f t="array" ref="K2119">_xlfn.IFS(Table4_2[[#This Row],[Growth Days]]&lt;=14,"Seedling",Table4_2[[#This Row],[Growth Days]]&lt;=35, "Vegetative",Table4_2[[#This Row],[Growth Days]]&lt;=50, "Maturity")</f>
        <v>Vegetative</v>
      </c>
      <c r="L2119" t="str">
        <f>IF(Table4_2[[#This Row],[TDS Value (ppm)]]&lt;560, "Low", IF(Table4_2[[#This Row],[TDS Value (ppm)]]&lt;=800,"Optimal","High"))</f>
        <v>Low</v>
      </c>
    </row>
    <row r="2120" spans="1:12" x14ac:dyDescent="0.25">
      <c r="A2120">
        <v>52</v>
      </c>
      <c r="B2120" s="1">
        <v>45163</v>
      </c>
      <c r="C2120" s="1" t="str">
        <f>TEXT(Table4_2[[#This Row],[Date]],"dddd")</f>
        <v>Friday</v>
      </c>
      <c r="D2120" s="21">
        <v>22.7</v>
      </c>
      <c r="E2120" s="21">
        <v>62</v>
      </c>
      <c r="F2120" s="21">
        <v>666</v>
      </c>
      <c r="G2120" s="21">
        <v>6.5</v>
      </c>
      <c r="H2120">
        <v>23</v>
      </c>
      <c r="I2120">
        <v>72.86</v>
      </c>
      <c r="J2120">
        <v>0.62</v>
      </c>
      <c r="K2120" t="str" cm="1">
        <f t="array" ref="K2120">_xlfn.IFS(Table4_2[[#This Row],[Growth Days]]&lt;=14,"Seedling",Table4_2[[#This Row],[Growth Days]]&lt;=35, "Vegetative",Table4_2[[#This Row],[Growth Days]]&lt;=50, "Maturity")</f>
        <v>Vegetative</v>
      </c>
      <c r="L2120" t="str">
        <f>IF(Table4_2[[#This Row],[TDS Value (ppm)]]&lt;560, "Low", IF(Table4_2[[#This Row],[TDS Value (ppm)]]&lt;=800,"Optimal","High"))</f>
        <v>Optimal</v>
      </c>
    </row>
    <row r="2121" spans="1:12" x14ac:dyDescent="0.25">
      <c r="A2121">
        <v>52</v>
      </c>
      <c r="B2121" s="1">
        <v>45170</v>
      </c>
      <c r="C2121" s="1" t="str">
        <f>TEXT(Table4_2[[#This Row],[Date]],"dddd")</f>
        <v>Friday</v>
      </c>
      <c r="D2121" s="21">
        <v>23.7</v>
      </c>
      <c r="E2121" s="21">
        <v>59</v>
      </c>
      <c r="F2121" s="21">
        <v>746</v>
      </c>
      <c r="G2121" s="21">
        <v>6.5</v>
      </c>
      <c r="H2121">
        <v>30</v>
      </c>
      <c r="I2121">
        <v>74.66</v>
      </c>
      <c r="J2121">
        <v>0.59</v>
      </c>
      <c r="K2121" t="str" cm="1">
        <f t="array" ref="K2121">_xlfn.IFS(Table4_2[[#This Row],[Growth Days]]&lt;=14,"Seedling",Table4_2[[#This Row],[Growth Days]]&lt;=35, "Vegetative",Table4_2[[#This Row],[Growth Days]]&lt;=50, "Maturity")</f>
        <v>Vegetative</v>
      </c>
      <c r="L2121" t="str">
        <f>IF(Table4_2[[#This Row],[TDS Value (ppm)]]&lt;560, "Low", IF(Table4_2[[#This Row],[TDS Value (ppm)]]&lt;=800,"Optimal","High"))</f>
        <v>Optimal</v>
      </c>
    </row>
    <row r="2122" spans="1:12" x14ac:dyDescent="0.25">
      <c r="A2122">
        <v>52</v>
      </c>
      <c r="B2122" s="1">
        <v>45177</v>
      </c>
      <c r="C2122" s="1" t="str">
        <f>TEXT(Table4_2[[#This Row],[Date]],"dddd")</f>
        <v>Friday</v>
      </c>
      <c r="D2122" s="21">
        <v>21.4</v>
      </c>
      <c r="E2122" s="21">
        <v>55</v>
      </c>
      <c r="F2122" s="21">
        <v>703</v>
      </c>
      <c r="G2122" s="21">
        <v>6.2</v>
      </c>
      <c r="H2122">
        <v>37</v>
      </c>
      <c r="I2122">
        <v>70.52</v>
      </c>
      <c r="J2122">
        <v>0.55000000000000004</v>
      </c>
      <c r="K2122" t="str" cm="1">
        <f t="array" ref="K2122">_xlfn.IFS(Table4_2[[#This Row],[Growth Days]]&lt;=14,"Seedling",Table4_2[[#This Row],[Growth Days]]&lt;=35, "Vegetative",Table4_2[[#This Row],[Growth Days]]&lt;=50, "Maturity")</f>
        <v>Maturity</v>
      </c>
      <c r="L2122" t="str">
        <f>IF(Table4_2[[#This Row],[TDS Value (ppm)]]&lt;560, "Low", IF(Table4_2[[#This Row],[TDS Value (ppm)]]&lt;=800,"Optimal","High"))</f>
        <v>Optimal</v>
      </c>
    </row>
    <row r="2123" spans="1:12" x14ac:dyDescent="0.25">
      <c r="A2123">
        <v>52</v>
      </c>
      <c r="B2123" s="1">
        <v>45184</v>
      </c>
      <c r="C2123" s="1" t="str">
        <f>TEXT(Table4_2[[#This Row],[Date]],"dddd")</f>
        <v>Friday</v>
      </c>
      <c r="D2123" s="21">
        <v>19.2</v>
      </c>
      <c r="E2123" s="21">
        <v>65</v>
      </c>
      <c r="F2123" s="21">
        <v>560</v>
      </c>
      <c r="G2123" s="21">
        <v>6.1</v>
      </c>
      <c r="H2123">
        <v>44</v>
      </c>
      <c r="I2123">
        <v>66.56</v>
      </c>
      <c r="J2123">
        <v>0.65</v>
      </c>
      <c r="K2123" t="str" cm="1">
        <f t="array" ref="K2123">_xlfn.IFS(Table4_2[[#This Row],[Growth Days]]&lt;=14,"Seedling",Table4_2[[#This Row],[Growth Days]]&lt;=35, "Vegetative",Table4_2[[#This Row],[Growth Days]]&lt;=50, "Maturity")</f>
        <v>Maturity</v>
      </c>
      <c r="L2123" t="str">
        <f>IF(Table4_2[[#This Row],[TDS Value (ppm)]]&lt;560, "Low", IF(Table4_2[[#This Row],[TDS Value (ppm)]]&lt;=800,"Optimal","High"))</f>
        <v>Optimal</v>
      </c>
    </row>
    <row r="2124" spans="1:12" x14ac:dyDescent="0.25">
      <c r="A2124">
        <v>53</v>
      </c>
      <c r="B2124" s="1">
        <v>45142</v>
      </c>
      <c r="C2124" s="1" t="str">
        <f>TEXT(Table4_2[[#This Row],[Date]],"dddd")</f>
        <v>Friday</v>
      </c>
      <c r="D2124" s="21">
        <v>19.100000000000001</v>
      </c>
      <c r="E2124" s="21">
        <v>80</v>
      </c>
      <c r="F2124" s="21">
        <v>702</v>
      </c>
      <c r="G2124" s="21">
        <v>6.7</v>
      </c>
      <c r="H2124">
        <v>2</v>
      </c>
      <c r="I2124">
        <v>66.38</v>
      </c>
      <c r="J2124">
        <v>0.8</v>
      </c>
      <c r="K2124" t="str" cm="1">
        <f t="array" ref="K2124">_xlfn.IFS(Table4_2[[#This Row],[Growth Days]]&lt;=14,"Seedling",Table4_2[[#This Row],[Growth Days]]&lt;=35, "Vegetative",Table4_2[[#This Row],[Growth Days]]&lt;=50, "Maturity")</f>
        <v>Seedling</v>
      </c>
      <c r="L2124" t="str">
        <f>IF(Table4_2[[#This Row],[TDS Value (ppm)]]&lt;560, "Low", IF(Table4_2[[#This Row],[TDS Value (ppm)]]&lt;=800,"Optimal","High"))</f>
        <v>Optimal</v>
      </c>
    </row>
    <row r="2125" spans="1:12" x14ac:dyDescent="0.25">
      <c r="A2125">
        <v>53</v>
      </c>
      <c r="B2125" s="1">
        <v>45149</v>
      </c>
      <c r="C2125" s="1" t="str">
        <f>TEXT(Table4_2[[#This Row],[Date]],"dddd")</f>
        <v>Friday</v>
      </c>
      <c r="D2125" s="21">
        <v>22.1</v>
      </c>
      <c r="E2125" s="21">
        <v>62</v>
      </c>
      <c r="F2125" s="21">
        <v>432</v>
      </c>
      <c r="G2125" s="21">
        <v>6.3</v>
      </c>
      <c r="H2125">
        <v>9</v>
      </c>
      <c r="I2125">
        <v>71.78</v>
      </c>
      <c r="J2125">
        <v>0.62</v>
      </c>
      <c r="K2125" t="str" cm="1">
        <f t="array" ref="K2125">_xlfn.IFS(Table4_2[[#This Row],[Growth Days]]&lt;=14,"Seedling",Table4_2[[#This Row],[Growth Days]]&lt;=35, "Vegetative",Table4_2[[#This Row],[Growth Days]]&lt;=50, "Maturity")</f>
        <v>Seedling</v>
      </c>
      <c r="L2125" t="str">
        <f>IF(Table4_2[[#This Row],[TDS Value (ppm)]]&lt;560, "Low", IF(Table4_2[[#This Row],[TDS Value (ppm)]]&lt;=800,"Optimal","High"))</f>
        <v>Low</v>
      </c>
    </row>
    <row r="2126" spans="1:12" x14ac:dyDescent="0.25">
      <c r="A2126">
        <v>53</v>
      </c>
      <c r="B2126" s="1">
        <v>45156</v>
      </c>
      <c r="C2126" s="1" t="str">
        <f>TEXT(Table4_2[[#This Row],[Date]],"dddd")</f>
        <v>Friday</v>
      </c>
      <c r="D2126" s="21">
        <v>24.7</v>
      </c>
      <c r="E2126" s="21">
        <v>71</v>
      </c>
      <c r="F2126" s="21">
        <v>622</v>
      </c>
      <c r="G2126" s="21">
        <v>6.2</v>
      </c>
      <c r="H2126">
        <v>16</v>
      </c>
      <c r="I2126">
        <v>76.459999999999994</v>
      </c>
      <c r="J2126">
        <v>0.71</v>
      </c>
      <c r="K2126" t="str" cm="1">
        <f t="array" ref="K2126">_xlfn.IFS(Table4_2[[#This Row],[Growth Days]]&lt;=14,"Seedling",Table4_2[[#This Row],[Growth Days]]&lt;=35, "Vegetative",Table4_2[[#This Row],[Growth Days]]&lt;=50, "Maturity")</f>
        <v>Vegetative</v>
      </c>
      <c r="L2126" t="str">
        <f>IF(Table4_2[[#This Row],[TDS Value (ppm)]]&lt;560, "Low", IF(Table4_2[[#This Row],[TDS Value (ppm)]]&lt;=800,"Optimal","High"))</f>
        <v>Optimal</v>
      </c>
    </row>
    <row r="2127" spans="1:12" x14ac:dyDescent="0.25">
      <c r="A2127">
        <v>53</v>
      </c>
      <c r="B2127" s="1">
        <v>45163</v>
      </c>
      <c r="C2127" s="1" t="str">
        <f>TEXT(Table4_2[[#This Row],[Date]],"dddd")</f>
        <v>Friday</v>
      </c>
      <c r="D2127" s="21">
        <v>24.8</v>
      </c>
      <c r="E2127" s="21">
        <v>66</v>
      </c>
      <c r="F2127" s="21">
        <v>514</v>
      </c>
      <c r="G2127" s="21">
        <v>6.7</v>
      </c>
      <c r="H2127">
        <v>23</v>
      </c>
      <c r="I2127">
        <v>76.64</v>
      </c>
      <c r="J2127">
        <v>0.66</v>
      </c>
      <c r="K2127" t="str" cm="1">
        <f t="array" ref="K2127">_xlfn.IFS(Table4_2[[#This Row],[Growth Days]]&lt;=14,"Seedling",Table4_2[[#This Row],[Growth Days]]&lt;=35, "Vegetative",Table4_2[[#This Row],[Growth Days]]&lt;=50, "Maturity")</f>
        <v>Vegetative</v>
      </c>
      <c r="L2127" t="str">
        <f>IF(Table4_2[[#This Row],[TDS Value (ppm)]]&lt;560, "Low", IF(Table4_2[[#This Row],[TDS Value (ppm)]]&lt;=800,"Optimal","High"))</f>
        <v>Low</v>
      </c>
    </row>
    <row r="2128" spans="1:12" x14ac:dyDescent="0.25">
      <c r="A2128">
        <v>53</v>
      </c>
      <c r="B2128" s="1">
        <v>45170</v>
      </c>
      <c r="C2128" s="1" t="str">
        <f>TEXT(Table4_2[[#This Row],[Date]],"dddd")</f>
        <v>Friday</v>
      </c>
      <c r="D2128" s="21">
        <v>23.5</v>
      </c>
      <c r="E2128" s="21">
        <v>75</v>
      </c>
      <c r="F2128" s="21">
        <v>494</v>
      </c>
      <c r="G2128" s="21">
        <v>6.7</v>
      </c>
      <c r="H2128">
        <v>30</v>
      </c>
      <c r="I2128">
        <v>74.3</v>
      </c>
      <c r="J2128">
        <v>0.75</v>
      </c>
      <c r="K2128" t="str" cm="1">
        <f t="array" ref="K2128">_xlfn.IFS(Table4_2[[#This Row],[Growth Days]]&lt;=14,"Seedling",Table4_2[[#This Row],[Growth Days]]&lt;=35, "Vegetative",Table4_2[[#This Row],[Growth Days]]&lt;=50, "Maturity")</f>
        <v>Vegetative</v>
      </c>
      <c r="L2128" t="str">
        <f>IF(Table4_2[[#This Row],[TDS Value (ppm)]]&lt;560, "Low", IF(Table4_2[[#This Row],[TDS Value (ppm)]]&lt;=800,"Optimal","High"))</f>
        <v>Low</v>
      </c>
    </row>
    <row r="2129" spans="1:12" x14ac:dyDescent="0.25">
      <c r="A2129">
        <v>53</v>
      </c>
      <c r="B2129" s="1">
        <v>45177</v>
      </c>
      <c r="C2129" s="1" t="str">
        <f>TEXT(Table4_2[[#This Row],[Date]],"dddd")</f>
        <v>Friday</v>
      </c>
      <c r="D2129" s="21">
        <v>20.100000000000001</v>
      </c>
      <c r="E2129" s="21">
        <v>71</v>
      </c>
      <c r="F2129" s="21">
        <v>512</v>
      </c>
      <c r="G2129" s="21">
        <v>6.5</v>
      </c>
      <c r="H2129">
        <v>37</v>
      </c>
      <c r="I2129">
        <v>68.180000000000007</v>
      </c>
      <c r="J2129">
        <v>0.71</v>
      </c>
      <c r="K2129" t="str" cm="1">
        <f t="array" ref="K2129">_xlfn.IFS(Table4_2[[#This Row],[Growth Days]]&lt;=14,"Seedling",Table4_2[[#This Row],[Growth Days]]&lt;=35, "Vegetative",Table4_2[[#This Row],[Growth Days]]&lt;=50, "Maturity")</f>
        <v>Maturity</v>
      </c>
      <c r="L2129" t="str">
        <f>IF(Table4_2[[#This Row],[TDS Value (ppm)]]&lt;560, "Low", IF(Table4_2[[#This Row],[TDS Value (ppm)]]&lt;=800,"Optimal","High"))</f>
        <v>Low</v>
      </c>
    </row>
    <row r="2130" spans="1:12" x14ac:dyDescent="0.25">
      <c r="A2130">
        <v>53</v>
      </c>
      <c r="B2130" s="1">
        <v>45184</v>
      </c>
      <c r="C2130" s="1" t="str">
        <f>TEXT(Table4_2[[#This Row],[Date]],"dddd")</f>
        <v>Friday</v>
      </c>
      <c r="D2130" s="21">
        <v>24.5</v>
      </c>
      <c r="E2130" s="21">
        <v>75</v>
      </c>
      <c r="F2130" s="21">
        <v>519</v>
      </c>
      <c r="G2130" s="21">
        <v>6.2</v>
      </c>
      <c r="H2130">
        <v>44</v>
      </c>
      <c r="I2130">
        <v>76.099999999999994</v>
      </c>
      <c r="J2130">
        <v>0.75</v>
      </c>
      <c r="K2130" t="str" cm="1">
        <f t="array" ref="K2130">_xlfn.IFS(Table4_2[[#This Row],[Growth Days]]&lt;=14,"Seedling",Table4_2[[#This Row],[Growth Days]]&lt;=35, "Vegetative",Table4_2[[#This Row],[Growth Days]]&lt;=50, "Maturity")</f>
        <v>Maturity</v>
      </c>
      <c r="L2130" t="str">
        <f>IF(Table4_2[[#This Row],[TDS Value (ppm)]]&lt;560, "Low", IF(Table4_2[[#This Row],[TDS Value (ppm)]]&lt;=800,"Optimal","High"))</f>
        <v>Low</v>
      </c>
    </row>
    <row r="2131" spans="1:12" x14ac:dyDescent="0.25">
      <c r="A2131">
        <v>54</v>
      </c>
      <c r="B2131" s="1">
        <v>45142</v>
      </c>
      <c r="C2131" s="1" t="str">
        <f>TEXT(Table4_2[[#This Row],[Date]],"dddd")</f>
        <v>Friday</v>
      </c>
      <c r="D2131" s="21">
        <v>19.2</v>
      </c>
      <c r="E2131" s="21">
        <v>58</v>
      </c>
      <c r="F2131" s="21">
        <v>766</v>
      </c>
      <c r="G2131" s="21">
        <v>6.4</v>
      </c>
      <c r="H2131">
        <v>2</v>
      </c>
      <c r="I2131">
        <v>66.56</v>
      </c>
      <c r="J2131">
        <v>0.57999999999999996</v>
      </c>
      <c r="K2131" t="str" cm="1">
        <f t="array" ref="K2131">_xlfn.IFS(Table4_2[[#This Row],[Growth Days]]&lt;=14,"Seedling",Table4_2[[#This Row],[Growth Days]]&lt;=35, "Vegetative",Table4_2[[#This Row],[Growth Days]]&lt;=50, "Maturity")</f>
        <v>Seedling</v>
      </c>
      <c r="L2131" t="str">
        <f>IF(Table4_2[[#This Row],[TDS Value (ppm)]]&lt;560, "Low", IF(Table4_2[[#This Row],[TDS Value (ppm)]]&lt;=800,"Optimal","High"))</f>
        <v>Optimal</v>
      </c>
    </row>
    <row r="2132" spans="1:12" x14ac:dyDescent="0.25">
      <c r="A2132">
        <v>54</v>
      </c>
      <c r="B2132" s="1">
        <v>45149</v>
      </c>
      <c r="C2132" s="1" t="str">
        <f>TEXT(Table4_2[[#This Row],[Date]],"dddd")</f>
        <v>Friday</v>
      </c>
      <c r="D2132" s="21">
        <v>18.399999999999999</v>
      </c>
      <c r="E2132" s="21">
        <v>60</v>
      </c>
      <c r="F2132" s="21">
        <v>622</v>
      </c>
      <c r="G2132" s="21">
        <v>6.8</v>
      </c>
      <c r="H2132">
        <v>9</v>
      </c>
      <c r="I2132">
        <v>65.12</v>
      </c>
      <c r="J2132">
        <v>0.6</v>
      </c>
      <c r="K2132" t="str" cm="1">
        <f t="array" ref="K2132">_xlfn.IFS(Table4_2[[#This Row],[Growth Days]]&lt;=14,"Seedling",Table4_2[[#This Row],[Growth Days]]&lt;=35, "Vegetative",Table4_2[[#This Row],[Growth Days]]&lt;=50, "Maturity")</f>
        <v>Seedling</v>
      </c>
      <c r="L2132" t="str">
        <f>IF(Table4_2[[#This Row],[TDS Value (ppm)]]&lt;560, "Low", IF(Table4_2[[#This Row],[TDS Value (ppm)]]&lt;=800,"Optimal","High"))</f>
        <v>Optimal</v>
      </c>
    </row>
    <row r="2133" spans="1:12" x14ac:dyDescent="0.25">
      <c r="A2133">
        <v>54</v>
      </c>
      <c r="B2133" s="1">
        <v>45156</v>
      </c>
      <c r="C2133" s="1" t="str">
        <f>TEXT(Table4_2[[#This Row],[Date]],"dddd")</f>
        <v>Friday</v>
      </c>
      <c r="D2133" s="21">
        <v>24.2</v>
      </c>
      <c r="E2133" s="21">
        <v>74</v>
      </c>
      <c r="F2133" s="21">
        <v>728</v>
      </c>
      <c r="G2133" s="21">
        <v>6.1</v>
      </c>
      <c r="H2133">
        <v>16</v>
      </c>
      <c r="I2133">
        <v>75.56</v>
      </c>
      <c r="J2133">
        <v>0.74</v>
      </c>
      <c r="K2133" t="str" cm="1">
        <f t="array" ref="K2133">_xlfn.IFS(Table4_2[[#This Row],[Growth Days]]&lt;=14,"Seedling",Table4_2[[#This Row],[Growth Days]]&lt;=35, "Vegetative",Table4_2[[#This Row],[Growth Days]]&lt;=50, "Maturity")</f>
        <v>Vegetative</v>
      </c>
      <c r="L2133" t="str">
        <f>IF(Table4_2[[#This Row],[TDS Value (ppm)]]&lt;560, "Low", IF(Table4_2[[#This Row],[TDS Value (ppm)]]&lt;=800,"Optimal","High"))</f>
        <v>Optimal</v>
      </c>
    </row>
    <row r="2134" spans="1:12" x14ac:dyDescent="0.25">
      <c r="A2134">
        <v>54</v>
      </c>
      <c r="B2134" s="1">
        <v>45163</v>
      </c>
      <c r="C2134" s="1" t="str">
        <f>TEXT(Table4_2[[#This Row],[Date]],"dddd")</f>
        <v>Friday</v>
      </c>
      <c r="D2134" s="21">
        <v>19.7</v>
      </c>
      <c r="E2134" s="21">
        <v>54</v>
      </c>
      <c r="F2134" s="21">
        <v>705</v>
      </c>
      <c r="G2134" s="21">
        <v>6.5</v>
      </c>
      <c r="H2134">
        <v>23</v>
      </c>
      <c r="I2134">
        <v>67.459999999999994</v>
      </c>
      <c r="J2134">
        <v>0.54</v>
      </c>
      <c r="K2134" t="str" cm="1">
        <f t="array" ref="K2134">_xlfn.IFS(Table4_2[[#This Row],[Growth Days]]&lt;=14,"Seedling",Table4_2[[#This Row],[Growth Days]]&lt;=35, "Vegetative",Table4_2[[#This Row],[Growth Days]]&lt;=50, "Maturity")</f>
        <v>Vegetative</v>
      </c>
      <c r="L2134" t="str">
        <f>IF(Table4_2[[#This Row],[TDS Value (ppm)]]&lt;560, "Low", IF(Table4_2[[#This Row],[TDS Value (ppm)]]&lt;=800,"Optimal","High"))</f>
        <v>Optimal</v>
      </c>
    </row>
    <row r="2135" spans="1:12" x14ac:dyDescent="0.25">
      <c r="A2135">
        <v>54</v>
      </c>
      <c r="B2135" s="1">
        <v>45170</v>
      </c>
      <c r="C2135" s="1" t="str">
        <f>TEXT(Table4_2[[#This Row],[Date]],"dddd")</f>
        <v>Friday</v>
      </c>
      <c r="D2135" s="21">
        <v>19.399999999999999</v>
      </c>
      <c r="E2135" s="21">
        <v>50</v>
      </c>
      <c r="F2135" s="21">
        <v>555</v>
      </c>
      <c r="G2135" s="21">
        <v>6.5</v>
      </c>
      <c r="H2135">
        <v>30</v>
      </c>
      <c r="I2135">
        <v>66.92</v>
      </c>
      <c r="J2135">
        <v>0.5</v>
      </c>
      <c r="K2135" t="str" cm="1">
        <f t="array" ref="K2135">_xlfn.IFS(Table4_2[[#This Row],[Growth Days]]&lt;=14,"Seedling",Table4_2[[#This Row],[Growth Days]]&lt;=35, "Vegetative",Table4_2[[#This Row],[Growth Days]]&lt;=50, "Maturity")</f>
        <v>Vegetative</v>
      </c>
      <c r="L2135" t="str">
        <f>IF(Table4_2[[#This Row],[TDS Value (ppm)]]&lt;560, "Low", IF(Table4_2[[#This Row],[TDS Value (ppm)]]&lt;=800,"Optimal","High"))</f>
        <v>Low</v>
      </c>
    </row>
    <row r="2136" spans="1:12" x14ac:dyDescent="0.25">
      <c r="A2136">
        <v>54</v>
      </c>
      <c r="B2136" s="1">
        <v>45177</v>
      </c>
      <c r="C2136" s="1" t="str">
        <f>TEXT(Table4_2[[#This Row],[Date]],"dddd")</f>
        <v>Friday</v>
      </c>
      <c r="D2136" s="21">
        <v>21.3</v>
      </c>
      <c r="E2136" s="21">
        <v>57</v>
      </c>
      <c r="F2136" s="21">
        <v>442</v>
      </c>
      <c r="G2136" s="21">
        <v>6.3</v>
      </c>
      <c r="H2136">
        <v>37</v>
      </c>
      <c r="I2136">
        <v>70.34</v>
      </c>
      <c r="J2136">
        <v>0.56999999999999995</v>
      </c>
      <c r="K2136" t="str" cm="1">
        <f t="array" ref="K2136">_xlfn.IFS(Table4_2[[#This Row],[Growth Days]]&lt;=14,"Seedling",Table4_2[[#This Row],[Growth Days]]&lt;=35, "Vegetative",Table4_2[[#This Row],[Growth Days]]&lt;=50, "Maturity")</f>
        <v>Maturity</v>
      </c>
      <c r="L2136" t="str">
        <f>IF(Table4_2[[#This Row],[TDS Value (ppm)]]&lt;560, "Low", IF(Table4_2[[#This Row],[TDS Value (ppm)]]&lt;=800,"Optimal","High"))</f>
        <v>Low</v>
      </c>
    </row>
    <row r="2137" spans="1:12" x14ac:dyDescent="0.25">
      <c r="A2137">
        <v>54</v>
      </c>
      <c r="B2137" s="1">
        <v>45184</v>
      </c>
      <c r="C2137" s="1" t="str">
        <f>TEXT(Table4_2[[#This Row],[Date]],"dddd")</f>
        <v>Friday</v>
      </c>
      <c r="D2137" s="21">
        <v>23.2</v>
      </c>
      <c r="E2137" s="21">
        <v>51</v>
      </c>
      <c r="F2137" s="21">
        <v>458</v>
      </c>
      <c r="G2137" s="21">
        <v>6.6</v>
      </c>
      <c r="H2137">
        <v>44</v>
      </c>
      <c r="I2137">
        <v>73.760000000000005</v>
      </c>
      <c r="J2137">
        <v>0.51</v>
      </c>
      <c r="K2137" t="str" cm="1">
        <f t="array" ref="K2137">_xlfn.IFS(Table4_2[[#This Row],[Growth Days]]&lt;=14,"Seedling",Table4_2[[#This Row],[Growth Days]]&lt;=35, "Vegetative",Table4_2[[#This Row],[Growth Days]]&lt;=50, "Maturity")</f>
        <v>Maturity</v>
      </c>
      <c r="L2137" t="str">
        <f>IF(Table4_2[[#This Row],[TDS Value (ppm)]]&lt;560, "Low", IF(Table4_2[[#This Row],[TDS Value (ppm)]]&lt;=800,"Optimal","High"))</f>
        <v>Low</v>
      </c>
    </row>
    <row r="2138" spans="1:12" x14ac:dyDescent="0.25">
      <c r="A2138">
        <v>55</v>
      </c>
      <c r="B2138" s="1">
        <v>45142</v>
      </c>
      <c r="C2138" s="1" t="str">
        <f>TEXT(Table4_2[[#This Row],[Date]],"dddd")</f>
        <v>Friday</v>
      </c>
      <c r="D2138" s="21">
        <v>22.8</v>
      </c>
      <c r="E2138" s="21">
        <v>74</v>
      </c>
      <c r="F2138" s="21">
        <v>635</v>
      </c>
      <c r="G2138" s="21">
        <v>6.6</v>
      </c>
      <c r="H2138">
        <v>2</v>
      </c>
      <c r="I2138">
        <v>73.040000000000006</v>
      </c>
      <c r="J2138">
        <v>0.74</v>
      </c>
      <c r="K2138" t="str" cm="1">
        <f t="array" ref="K2138">_xlfn.IFS(Table4_2[[#This Row],[Growth Days]]&lt;=14,"Seedling",Table4_2[[#This Row],[Growth Days]]&lt;=35, "Vegetative",Table4_2[[#This Row],[Growth Days]]&lt;=50, "Maturity")</f>
        <v>Seedling</v>
      </c>
      <c r="L2138" t="str">
        <f>IF(Table4_2[[#This Row],[TDS Value (ppm)]]&lt;560, "Low", IF(Table4_2[[#This Row],[TDS Value (ppm)]]&lt;=800,"Optimal","High"))</f>
        <v>Optimal</v>
      </c>
    </row>
    <row r="2139" spans="1:12" x14ac:dyDescent="0.25">
      <c r="A2139">
        <v>55</v>
      </c>
      <c r="B2139" s="1">
        <v>45149</v>
      </c>
      <c r="C2139" s="1" t="str">
        <f>TEXT(Table4_2[[#This Row],[Date]],"dddd")</f>
        <v>Friday</v>
      </c>
      <c r="D2139" s="21">
        <v>18.7</v>
      </c>
      <c r="E2139" s="21">
        <v>79</v>
      </c>
      <c r="F2139" s="21">
        <v>681</v>
      </c>
      <c r="G2139" s="21">
        <v>6</v>
      </c>
      <c r="H2139">
        <v>9</v>
      </c>
      <c r="I2139">
        <v>65.66</v>
      </c>
      <c r="J2139">
        <v>0.79</v>
      </c>
      <c r="K2139" t="str" cm="1">
        <f t="array" ref="K2139">_xlfn.IFS(Table4_2[[#This Row],[Growth Days]]&lt;=14,"Seedling",Table4_2[[#This Row],[Growth Days]]&lt;=35, "Vegetative",Table4_2[[#This Row],[Growth Days]]&lt;=50, "Maturity")</f>
        <v>Seedling</v>
      </c>
      <c r="L2139" t="str">
        <f>IF(Table4_2[[#This Row],[TDS Value (ppm)]]&lt;560, "Low", IF(Table4_2[[#This Row],[TDS Value (ppm)]]&lt;=800,"Optimal","High"))</f>
        <v>Optimal</v>
      </c>
    </row>
    <row r="2140" spans="1:12" x14ac:dyDescent="0.25">
      <c r="A2140">
        <v>55</v>
      </c>
      <c r="B2140" s="1">
        <v>45156</v>
      </c>
      <c r="C2140" s="1" t="str">
        <f>TEXT(Table4_2[[#This Row],[Date]],"dddd")</f>
        <v>Friday</v>
      </c>
      <c r="D2140" s="21">
        <v>24.1</v>
      </c>
      <c r="E2140" s="21">
        <v>71</v>
      </c>
      <c r="F2140" s="21">
        <v>416</v>
      </c>
      <c r="G2140" s="21">
        <v>6.7</v>
      </c>
      <c r="H2140">
        <v>16</v>
      </c>
      <c r="I2140">
        <v>75.38</v>
      </c>
      <c r="J2140">
        <v>0.71</v>
      </c>
      <c r="K2140" t="str" cm="1">
        <f t="array" ref="K2140">_xlfn.IFS(Table4_2[[#This Row],[Growth Days]]&lt;=14,"Seedling",Table4_2[[#This Row],[Growth Days]]&lt;=35, "Vegetative",Table4_2[[#This Row],[Growth Days]]&lt;=50, "Maturity")</f>
        <v>Vegetative</v>
      </c>
      <c r="L2140" t="str">
        <f>IF(Table4_2[[#This Row],[TDS Value (ppm)]]&lt;560, "Low", IF(Table4_2[[#This Row],[TDS Value (ppm)]]&lt;=800,"Optimal","High"))</f>
        <v>Low</v>
      </c>
    </row>
    <row r="2141" spans="1:12" x14ac:dyDescent="0.25">
      <c r="A2141">
        <v>55</v>
      </c>
      <c r="B2141" s="1">
        <v>45163</v>
      </c>
      <c r="C2141" s="1" t="str">
        <f>TEXT(Table4_2[[#This Row],[Date]],"dddd")</f>
        <v>Friday</v>
      </c>
      <c r="D2141" s="21">
        <v>19.600000000000001</v>
      </c>
      <c r="E2141" s="21">
        <v>76</v>
      </c>
      <c r="F2141" s="21">
        <v>665</v>
      </c>
      <c r="G2141" s="21">
        <v>6.1</v>
      </c>
      <c r="H2141">
        <v>23</v>
      </c>
      <c r="I2141">
        <v>67.28</v>
      </c>
      <c r="J2141">
        <v>0.76</v>
      </c>
      <c r="K2141" t="str" cm="1">
        <f t="array" ref="K2141">_xlfn.IFS(Table4_2[[#This Row],[Growth Days]]&lt;=14,"Seedling",Table4_2[[#This Row],[Growth Days]]&lt;=35, "Vegetative",Table4_2[[#This Row],[Growth Days]]&lt;=50, "Maturity")</f>
        <v>Vegetative</v>
      </c>
      <c r="L2141" t="str">
        <f>IF(Table4_2[[#This Row],[TDS Value (ppm)]]&lt;560, "Low", IF(Table4_2[[#This Row],[TDS Value (ppm)]]&lt;=800,"Optimal","High"))</f>
        <v>Optimal</v>
      </c>
    </row>
    <row r="2142" spans="1:12" x14ac:dyDescent="0.25">
      <c r="A2142">
        <v>55</v>
      </c>
      <c r="B2142" s="1">
        <v>45170</v>
      </c>
      <c r="C2142" s="1" t="str">
        <f>TEXT(Table4_2[[#This Row],[Date]],"dddd")</f>
        <v>Friday</v>
      </c>
      <c r="D2142" s="21">
        <v>24.6</v>
      </c>
      <c r="E2142" s="21">
        <v>75</v>
      </c>
      <c r="F2142" s="21">
        <v>592</v>
      </c>
      <c r="G2142" s="21">
        <v>6.4</v>
      </c>
      <c r="H2142">
        <v>30</v>
      </c>
      <c r="I2142">
        <v>76.28</v>
      </c>
      <c r="J2142">
        <v>0.75</v>
      </c>
      <c r="K2142" t="str" cm="1">
        <f t="array" ref="K2142">_xlfn.IFS(Table4_2[[#This Row],[Growth Days]]&lt;=14,"Seedling",Table4_2[[#This Row],[Growth Days]]&lt;=35, "Vegetative",Table4_2[[#This Row],[Growth Days]]&lt;=50, "Maturity")</f>
        <v>Vegetative</v>
      </c>
      <c r="L2142" t="str">
        <f>IF(Table4_2[[#This Row],[TDS Value (ppm)]]&lt;560, "Low", IF(Table4_2[[#This Row],[TDS Value (ppm)]]&lt;=800,"Optimal","High"))</f>
        <v>Optimal</v>
      </c>
    </row>
    <row r="2143" spans="1:12" x14ac:dyDescent="0.25">
      <c r="A2143">
        <v>55</v>
      </c>
      <c r="B2143" s="1">
        <v>45177</v>
      </c>
      <c r="C2143" s="1" t="str">
        <f>TEXT(Table4_2[[#This Row],[Date]],"dddd")</f>
        <v>Friday</v>
      </c>
      <c r="D2143" s="21">
        <v>19.600000000000001</v>
      </c>
      <c r="E2143" s="21">
        <v>66</v>
      </c>
      <c r="F2143" s="21">
        <v>458</v>
      </c>
      <c r="G2143" s="21">
        <v>6.5</v>
      </c>
      <c r="H2143">
        <v>37</v>
      </c>
      <c r="I2143">
        <v>67.28</v>
      </c>
      <c r="J2143">
        <v>0.66</v>
      </c>
      <c r="K2143" t="str" cm="1">
        <f t="array" ref="K2143">_xlfn.IFS(Table4_2[[#This Row],[Growth Days]]&lt;=14,"Seedling",Table4_2[[#This Row],[Growth Days]]&lt;=35, "Vegetative",Table4_2[[#This Row],[Growth Days]]&lt;=50, "Maturity")</f>
        <v>Maturity</v>
      </c>
      <c r="L2143" t="str">
        <f>IF(Table4_2[[#This Row],[TDS Value (ppm)]]&lt;560, "Low", IF(Table4_2[[#This Row],[TDS Value (ppm)]]&lt;=800,"Optimal","High"))</f>
        <v>Low</v>
      </c>
    </row>
    <row r="2144" spans="1:12" x14ac:dyDescent="0.25">
      <c r="A2144">
        <v>55</v>
      </c>
      <c r="B2144" s="1">
        <v>45184</v>
      </c>
      <c r="C2144" s="1" t="str">
        <f>TEXT(Table4_2[[#This Row],[Date]],"dddd")</f>
        <v>Friday</v>
      </c>
      <c r="D2144" s="21">
        <v>18.899999999999999</v>
      </c>
      <c r="E2144" s="21">
        <v>53</v>
      </c>
      <c r="F2144" s="21">
        <v>629</v>
      </c>
      <c r="G2144" s="21">
        <v>6.1</v>
      </c>
      <c r="H2144">
        <v>44</v>
      </c>
      <c r="I2144">
        <v>66.02</v>
      </c>
      <c r="J2144">
        <v>0.53</v>
      </c>
      <c r="K2144" t="str" cm="1">
        <f t="array" ref="K2144">_xlfn.IFS(Table4_2[[#This Row],[Growth Days]]&lt;=14,"Seedling",Table4_2[[#This Row],[Growth Days]]&lt;=35, "Vegetative",Table4_2[[#This Row],[Growth Days]]&lt;=50, "Maturity")</f>
        <v>Maturity</v>
      </c>
      <c r="L2144" t="str">
        <f>IF(Table4_2[[#This Row],[TDS Value (ppm)]]&lt;560, "Low", IF(Table4_2[[#This Row],[TDS Value (ppm)]]&lt;=800,"Optimal","High"))</f>
        <v>Optimal</v>
      </c>
    </row>
    <row r="2145" spans="1:12" x14ac:dyDescent="0.25">
      <c r="A2145">
        <v>56</v>
      </c>
      <c r="B2145" s="1">
        <v>45142</v>
      </c>
      <c r="C2145" s="1" t="str">
        <f>TEXT(Table4_2[[#This Row],[Date]],"dddd")</f>
        <v>Friday</v>
      </c>
      <c r="D2145" s="21">
        <v>20.100000000000001</v>
      </c>
      <c r="E2145" s="21">
        <v>53</v>
      </c>
      <c r="F2145" s="21">
        <v>524</v>
      </c>
      <c r="G2145" s="21">
        <v>6.7</v>
      </c>
      <c r="H2145">
        <v>2</v>
      </c>
      <c r="I2145">
        <v>68.180000000000007</v>
      </c>
      <c r="J2145">
        <v>0.53</v>
      </c>
      <c r="K2145" t="str" cm="1">
        <f t="array" ref="K2145">_xlfn.IFS(Table4_2[[#This Row],[Growth Days]]&lt;=14,"Seedling",Table4_2[[#This Row],[Growth Days]]&lt;=35, "Vegetative",Table4_2[[#This Row],[Growth Days]]&lt;=50, "Maturity")</f>
        <v>Seedling</v>
      </c>
      <c r="L2145" t="str">
        <f>IF(Table4_2[[#This Row],[TDS Value (ppm)]]&lt;560, "Low", IF(Table4_2[[#This Row],[TDS Value (ppm)]]&lt;=800,"Optimal","High"))</f>
        <v>Low</v>
      </c>
    </row>
    <row r="2146" spans="1:12" x14ac:dyDescent="0.25">
      <c r="A2146">
        <v>56</v>
      </c>
      <c r="B2146" s="1">
        <v>45149</v>
      </c>
      <c r="C2146" s="1" t="str">
        <f>TEXT(Table4_2[[#This Row],[Date]],"dddd")</f>
        <v>Friday</v>
      </c>
      <c r="D2146" s="21">
        <v>24.8</v>
      </c>
      <c r="E2146" s="21">
        <v>50</v>
      </c>
      <c r="F2146" s="21">
        <v>683</v>
      </c>
      <c r="G2146" s="21">
        <v>6</v>
      </c>
      <c r="H2146">
        <v>9</v>
      </c>
      <c r="I2146">
        <v>76.64</v>
      </c>
      <c r="J2146">
        <v>0.5</v>
      </c>
      <c r="K2146" t="str" cm="1">
        <f t="array" ref="K2146">_xlfn.IFS(Table4_2[[#This Row],[Growth Days]]&lt;=14,"Seedling",Table4_2[[#This Row],[Growth Days]]&lt;=35, "Vegetative",Table4_2[[#This Row],[Growth Days]]&lt;=50, "Maturity")</f>
        <v>Seedling</v>
      </c>
      <c r="L2146" t="str">
        <f>IF(Table4_2[[#This Row],[TDS Value (ppm)]]&lt;560, "Low", IF(Table4_2[[#This Row],[TDS Value (ppm)]]&lt;=800,"Optimal","High"))</f>
        <v>Optimal</v>
      </c>
    </row>
    <row r="2147" spans="1:12" x14ac:dyDescent="0.25">
      <c r="A2147">
        <v>56</v>
      </c>
      <c r="B2147" s="1">
        <v>45156</v>
      </c>
      <c r="C2147" s="1" t="str">
        <f>TEXT(Table4_2[[#This Row],[Date]],"dddd")</f>
        <v>Friday</v>
      </c>
      <c r="D2147" s="21">
        <v>23.4</v>
      </c>
      <c r="E2147" s="21">
        <v>58</v>
      </c>
      <c r="F2147" s="21">
        <v>578</v>
      </c>
      <c r="G2147" s="21">
        <v>6.6</v>
      </c>
      <c r="H2147">
        <v>16</v>
      </c>
      <c r="I2147">
        <v>74.12</v>
      </c>
      <c r="J2147">
        <v>0.57999999999999996</v>
      </c>
      <c r="K2147" t="str" cm="1">
        <f t="array" ref="K2147">_xlfn.IFS(Table4_2[[#This Row],[Growth Days]]&lt;=14,"Seedling",Table4_2[[#This Row],[Growth Days]]&lt;=35, "Vegetative",Table4_2[[#This Row],[Growth Days]]&lt;=50, "Maturity")</f>
        <v>Vegetative</v>
      </c>
      <c r="L2147" t="str">
        <f>IF(Table4_2[[#This Row],[TDS Value (ppm)]]&lt;560, "Low", IF(Table4_2[[#This Row],[TDS Value (ppm)]]&lt;=800,"Optimal","High"))</f>
        <v>Optimal</v>
      </c>
    </row>
    <row r="2148" spans="1:12" x14ac:dyDescent="0.25">
      <c r="A2148">
        <v>56</v>
      </c>
      <c r="B2148" s="1">
        <v>45163</v>
      </c>
      <c r="C2148" s="1" t="str">
        <f>TEXT(Table4_2[[#This Row],[Date]],"dddd")</f>
        <v>Friday</v>
      </c>
      <c r="D2148" s="21">
        <v>23.9</v>
      </c>
      <c r="E2148" s="21">
        <v>65</v>
      </c>
      <c r="F2148" s="21">
        <v>467</v>
      </c>
      <c r="G2148" s="21">
        <v>6.2</v>
      </c>
      <c r="H2148">
        <v>23</v>
      </c>
      <c r="I2148">
        <v>75.02</v>
      </c>
      <c r="J2148">
        <v>0.65</v>
      </c>
      <c r="K2148" t="str" cm="1">
        <f t="array" ref="K2148">_xlfn.IFS(Table4_2[[#This Row],[Growth Days]]&lt;=14,"Seedling",Table4_2[[#This Row],[Growth Days]]&lt;=35, "Vegetative",Table4_2[[#This Row],[Growth Days]]&lt;=50, "Maturity")</f>
        <v>Vegetative</v>
      </c>
      <c r="L2148" t="str">
        <f>IF(Table4_2[[#This Row],[TDS Value (ppm)]]&lt;560, "Low", IF(Table4_2[[#This Row],[TDS Value (ppm)]]&lt;=800,"Optimal","High"))</f>
        <v>Low</v>
      </c>
    </row>
    <row r="2149" spans="1:12" x14ac:dyDescent="0.25">
      <c r="A2149">
        <v>56</v>
      </c>
      <c r="B2149" s="1">
        <v>45170</v>
      </c>
      <c r="C2149" s="1" t="str">
        <f>TEXT(Table4_2[[#This Row],[Date]],"dddd")</f>
        <v>Friday</v>
      </c>
      <c r="D2149" s="21">
        <v>24.6</v>
      </c>
      <c r="E2149" s="21">
        <v>68</v>
      </c>
      <c r="F2149" s="21">
        <v>769</v>
      </c>
      <c r="G2149" s="21">
        <v>6.2</v>
      </c>
      <c r="H2149">
        <v>30</v>
      </c>
      <c r="I2149">
        <v>76.28</v>
      </c>
      <c r="J2149">
        <v>0.68</v>
      </c>
      <c r="K2149" t="str" cm="1">
        <f t="array" ref="K2149">_xlfn.IFS(Table4_2[[#This Row],[Growth Days]]&lt;=14,"Seedling",Table4_2[[#This Row],[Growth Days]]&lt;=35, "Vegetative",Table4_2[[#This Row],[Growth Days]]&lt;=50, "Maturity")</f>
        <v>Vegetative</v>
      </c>
      <c r="L2149" t="str">
        <f>IF(Table4_2[[#This Row],[TDS Value (ppm)]]&lt;560, "Low", IF(Table4_2[[#This Row],[TDS Value (ppm)]]&lt;=800,"Optimal","High"))</f>
        <v>Optimal</v>
      </c>
    </row>
    <row r="2150" spans="1:12" x14ac:dyDescent="0.25">
      <c r="A2150">
        <v>56</v>
      </c>
      <c r="B2150" s="1">
        <v>45177</v>
      </c>
      <c r="C2150" s="1" t="str">
        <f>TEXT(Table4_2[[#This Row],[Date]],"dddd")</f>
        <v>Friday</v>
      </c>
      <c r="D2150" s="21">
        <v>18.5</v>
      </c>
      <c r="E2150" s="21">
        <v>75</v>
      </c>
      <c r="F2150" s="21">
        <v>777</v>
      </c>
      <c r="G2150" s="21">
        <v>6.1</v>
      </c>
      <c r="H2150">
        <v>37</v>
      </c>
      <c r="I2150">
        <v>65.3</v>
      </c>
      <c r="J2150">
        <v>0.75</v>
      </c>
      <c r="K2150" t="str" cm="1">
        <f t="array" ref="K2150">_xlfn.IFS(Table4_2[[#This Row],[Growth Days]]&lt;=14,"Seedling",Table4_2[[#This Row],[Growth Days]]&lt;=35, "Vegetative",Table4_2[[#This Row],[Growth Days]]&lt;=50, "Maturity")</f>
        <v>Maturity</v>
      </c>
      <c r="L2150" t="str">
        <f>IF(Table4_2[[#This Row],[TDS Value (ppm)]]&lt;560, "Low", IF(Table4_2[[#This Row],[TDS Value (ppm)]]&lt;=800,"Optimal","High"))</f>
        <v>Optimal</v>
      </c>
    </row>
    <row r="2151" spans="1:12" x14ac:dyDescent="0.25">
      <c r="A2151">
        <v>56</v>
      </c>
      <c r="B2151" s="1">
        <v>45184</v>
      </c>
      <c r="C2151" s="1" t="str">
        <f>TEXT(Table4_2[[#This Row],[Date]],"dddd")</f>
        <v>Friday</v>
      </c>
      <c r="D2151" s="21">
        <v>22.6</v>
      </c>
      <c r="E2151" s="21">
        <v>57</v>
      </c>
      <c r="F2151" s="21">
        <v>501</v>
      </c>
      <c r="G2151" s="21">
        <v>6.5</v>
      </c>
      <c r="H2151">
        <v>44</v>
      </c>
      <c r="I2151">
        <v>72.680000000000007</v>
      </c>
      <c r="J2151">
        <v>0.56999999999999995</v>
      </c>
      <c r="K2151" t="str" cm="1">
        <f t="array" ref="K2151">_xlfn.IFS(Table4_2[[#This Row],[Growth Days]]&lt;=14,"Seedling",Table4_2[[#This Row],[Growth Days]]&lt;=35, "Vegetative",Table4_2[[#This Row],[Growth Days]]&lt;=50, "Maturity")</f>
        <v>Maturity</v>
      </c>
      <c r="L2151" t="str">
        <f>IF(Table4_2[[#This Row],[TDS Value (ppm)]]&lt;560, "Low", IF(Table4_2[[#This Row],[TDS Value (ppm)]]&lt;=800,"Optimal","High"))</f>
        <v>Low</v>
      </c>
    </row>
    <row r="2152" spans="1:12" x14ac:dyDescent="0.25">
      <c r="A2152">
        <v>57</v>
      </c>
      <c r="B2152" s="1">
        <v>45142</v>
      </c>
      <c r="C2152" s="1" t="str">
        <f>TEXT(Table4_2[[#This Row],[Date]],"dddd")</f>
        <v>Friday</v>
      </c>
      <c r="D2152" s="21">
        <v>20.6</v>
      </c>
      <c r="E2152" s="21">
        <v>65</v>
      </c>
      <c r="F2152" s="21">
        <v>732</v>
      </c>
      <c r="G2152" s="21">
        <v>6.6</v>
      </c>
      <c r="H2152">
        <v>2</v>
      </c>
      <c r="I2152">
        <v>69.08</v>
      </c>
      <c r="J2152">
        <v>0.65</v>
      </c>
      <c r="K2152" t="str" cm="1">
        <f t="array" ref="K2152">_xlfn.IFS(Table4_2[[#This Row],[Growth Days]]&lt;=14,"Seedling",Table4_2[[#This Row],[Growth Days]]&lt;=35, "Vegetative",Table4_2[[#This Row],[Growth Days]]&lt;=50, "Maturity")</f>
        <v>Seedling</v>
      </c>
      <c r="L2152" t="str">
        <f>IF(Table4_2[[#This Row],[TDS Value (ppm)]]&lt;560, "Low", IF(Table4_2[[#This Row],[TDS Value (ppm)]]&lt;=800,"Optimal","High"))</f>
        <v>Optimal</v>
      </c>
    </row>
    <row r="2153" spans="1:12" x14ac:dyDescent="0.25">
      <c r="A2153">
        <v>57</v>
      </c>
      <c r="B2153" s="1">
        <v>45149</v>
      </c>
      <c r="C2153" s="1" t="str">
        <f>TEXT(Table4_2[[#This Row],[Date]],"dddd")</f>
        <v>Friday</v>
      </c>
      <c r="D2153" s="21">
        <v>18.2</v>
      </c>
      <c r="E2153" s="21">
        <v>65</v>
      </c>
      <c r="F2153" s="21">
        <v>798</v>
      </c>
      <c r="G2153" s="21">
        <v>6.4</v>
      </c>
      <c r="H2153">
        <v>9</v>
      </c>
      <c r="I2153">
        <v>64.760000000000005</v>
      </c>
      <c r="J2153">
        <v>0.65</v>
      </c>
      <c r="K2153" t="str" cm="1">
        <f t="array" ref="K2153">_xlfn.IFS(Table4_2[[#This Row],[Growth Days]]&lt;=14,"Seedling",Table4_2[[#This Row],[Growth Days]]&lt;=35, "Vegetative",Table4_2[[#This Row],[Growth Days]]&lt;=50, "Maturity")</f>
        <v>Seedling</v>
      </c>
      <c r="L2153" t="str">
        <f>IF(Table4_2[[#This Row],[TDS Value (ppm)]]&lt;560, "Low", IF(Table4_2[[#This Row],[TDS Value (ppm)]]&lt;=800,"Optimal","High"))</f>
        <v>Optimal</v>
      </c>
    </row>
    <row r="2154" spans="1:12" x14ac:dyDescent="0.25">
      <c r="A2154">
        <v>57</v>
      </c>
      <c r="B2154" s="1">
        <v>45156</v>
      </c>
      <c r="C2154" s="1" t="str">
        <f>TEXT(Table4_2[[#This Row],[Date]],"dddd")</f>
        <v>Friday</v>
      </c>
      <c r="D2154" s="21">
        <v>21.6</v>
      </c>
      <c r="E2154" s="21">
        <v>52</v>
      </c>
      <c r="F2154" s="21">
        <v>699</v>
      </c>
      <c r="G2154" s="21">
        <v>6.3</v>
      </c>
      <c r="H2154">
        <v>16</v>
      </c>
      <c r="I2154">
        <v>70.88</v>
      </c>
      <c r="J2154">
        <v>0.52</v>
      </c>
      <c r="K2154" t="str" cm="1">
        <f t="array" ref="K2154">_xlfn.IFS(Table4_2[[#This Row],[Growth Days]]&lt;=14,"Seedling",Table4_2[[#This Row],[Growth Days]]&lt;=35, "Vegetative",Table4_2[[#This Row],[Growth Days]]&lt;=50, "Maturity")</f>
        <v>Vegetative</v>
      </c>
      <c r="L2154" t="str">
        <f>IF(Table4_2[[#This Row],[TDS Value (ppm)]]&lt;560, "Low", IF(Table4_2[[#This Row],[TDS Value (ppm)]]&lt;=800,"Optimal","High"))</f>
        <v>Optimal</v>
      </c>
    </row>
    <row r="2155" spans="1:12" x14ac:dyDescent="0.25">
      <c r="A2155">
        <v>57</v>
      </c>
      <c r="B2155" s="1">
        <v>45163</v>
      </c>
      <c r="C2155" s="1" t="str">
        <f>TEXT(Table4_2[[#This Row],[Date]],"dddd")</f>
        <v>Friday</v>
      </c>
      <c r="D2155" s="21">
        <v>21.7</v>
      </c>
      <c r="E2155" s="21">
        <v>55</v>
      </c>
      <c r="F2155" s="21">
        <v>760</v>
      </c>
      <c r="G2155" s="21">
        <v>6.1</v>
      </c>
      <c r="H2155">
        <v>23</v>
      </c>
      <c r="I2155">
        <v>71.06</v>
      </c>
      <c r="J2155">
        <v>0.55000000000000004</v>
      </c>
      <c r="K2155" t="str" cm="1">
        <f t="array" ref="K2155">_xlfn.IFS(Table4_2[[#This Row],[Growth Days]]&lt;=14,"Seedling",Table4_2[[#This Row],[Growth Days]]&lt;=35, "Vegetative",Table4_2[[#This Row],[Growth Days]]&lt;=50, "Maturity")</f>
        <v>Vegetative</v>
      </c>
      <c r="L2155" t="str">
        <f>IF(Table4_2[[#This Row],[TDS Value (ppm)]]&lt;560, "Low", IF(Table4_2[[#This Row],[TDS Value (ppm)]]&lt;=800,"Optimal","High"))</f>
        <v>Optimal</v>
      </c>
    </row>
    <row r="2156" spans="1:12" x14ac:dyDescent="0.25">
      <c r="A2156">
        <v>57</v>
      </c>
      <c r="B2156" s="1">
        <v>45170</v>
      </c>
      <c r="C2156" s="1" t="str">
        <f>TEXT(Table4_2[[#This Row],[Date]],"dddd")</f>
        <v>Friday</v>
      </c>
      <c r="D2156" s="21">
        <v>23.3</v>
      </c>
      <c r="E2156" s="21">
        <v>51</v>
      </c>
      <c r="F2156" s="21">
        <v>494</v>
      </c>
      <c r="G2156" s="21">
        <v>6</v>
      </c>
      <c r="H2156">
        <v>30</v>
      </c>
      <c r="I2156">
        <v>73.94</v>
      </c>
      <c r="J2156">
        <v>0.51</v>
      </c>
      <c r="K2156" t="str" cm="1">
        <f t="array" ref="K2156">_xlfn.IFS(Table4_2[[#This Row],[Growth Days]]&lt;=14,"Seedling",Table4_2[[#This Row],[Growth Days]]&lt;=35, "Vegetative",Table4_2[[#This Row],[Growth Days]]&lt;=50, "Maturity")</f>
        <v>Vegetative</v>
      </c>
      <c r="L2156" t="str">
        <f>IF(Table4_2[[#This Row],[TDS Value (ppm)]]&lt;560, "Low", IF(Table4_2[[#This Row],[TDS Value (ppm)]]&lt;=800,"Optimal","High"))</f>
        <v>Low</v>
      </c>
    </row>
    <row r="2157" spans="1:12" x14ac:dyDescent="0.25">
      <c r="A2157">
        <v>57</v>
      </c>
      <c r="B2157" s="1">
        <v>45177</v>
      </c>
      <c r="C2157" s="1" t="str">
        <f>TEXT(Table4_2[[#This Row],[Date]],"dddd")</f>
        <v>Friday</v>
      </c>
      <c r="D2157" s="21">
        <v>19.899999999999999</v>
      </c>
      <c r="E2157" s="21">
        <v>74</v>
      </c>
      <c r="F2157" s="21">
        <v>497</v>
      </c>
      <c r="G2157" s="21">
        <v>6.3</v>
      </c>
      <c r="H2157">
        <v>37</v>
      </c>
      <c r="I2157">
        <v>67.819999999999993</v>
      </c>
      <c r="J2157">
        <v>0.74</v>
      </c>
      <c r="K2157" t="str" cm="1">
        <f t="array" ref="K2157">_xlfn.IFS(Table4_2[[#This Row],[Growth Days]]&lt;=14,"Seedling",Table4_2[[#This Row],[Growth Days]]&lt;=35, "Vegetative",Table4_2[[#This Row],[Growth Days]]&lt;=50, "Maturity")</f>
        <v>Maturity</v>
      </c>
      <c r="L2157" t="str">
        <f>IF(Table4_2[[#This Row],[TDS Value (ppm)]]&lt;560, "Low", IF(Table4_2[[#This Row],[TDS Value (ppm)]]&lt;=800,"Optimal","High"))</f>
        <v>Low</v>
      </c>
    </row>
    <row r="2158" spans="1:12" x14ac:dyDescent="0.25">
      <c r="A2158">
        <v>57</v>
      </c>
      <c r="B2158" s="1">
        <v>45184</v>
      </c>
      <c r="C2158" s="1" t="str">
        <f>TEXT(Table4_2[[#This Row],[Date]],"dddd")</f>
        <v>Friday</v>
      </c>
      <c r="D2158" s="21">
        <v>19.600000000000001</v>
      </c>
      <c r="E2158" s="21">
        <v>65</v>
      </c>
      <c r="F2158" s="21">
        <v>432</v>
      </c>
      <c r="G2158" s="21">
        <v>6.6</v>
      </c>
      <c r="H2158">
        <v>44</v>
      </c>
      <c r="I2158">
        <v>67.28</v>
      </c>
      <c r="J2158">
        <v>0.65</v>
      </c>
      <c r="K2158" t="str" cm="1">
        <f t="array" ref="K2158">_xlfn.IFS(Table4_2[[#This Row],[Growth Days]]&lt;=14,"Seedling",Table4_2[[#This Row],[Growth Days]]&lt;=35, "Vegetative",Table4_2[[#This Row],[Growth Days]]&lt;=50, "Maturity")</f>
        <v>Maturity</v>
      </c>
      <c r="L2158" t="str">
        <f>IF(Table4_2[[#This Row],[TDS Value (ppm)]]&lt;560, "Low", IF(Table4_2[[#This Row],[TDS Value (ppm)]]&lt;=800,"Optimal","High"))</f>
        <v>Low</v>
      </c>
    </row>
    <row r="2159" spans="1:12" x14ac:dyDescent="0.25">
      <c r="A2159">
        <v>58</v>
      </c>
      <c r="B2159" s="1">
        <v>45142</v>
      </c>
      <c r="C2159" s="1" t="str">
        <f>TEXT(Table4_2[[#This Row],[Date]],"dddd")</f>
        <v>Friday</v>
      </c>
      <c r="D2159" s="21">
        <v>22.3</v>
      </c>
      <c r="E2159" s="21">
        <v>54</v>
      </c>
      <c r="F2159" s="21">
        <v>511</v>
      </c>
      <c r="G2159" s="21">
        <v>6.6</v>
      </c>
      <c r="H2159">
        <v>2</v>
      </c>
      <c r="I2159">
        <v>72.14</v>
      </c>
      <c r="J2159">
        <v>0.54</v>
      </c>
      <c r="K2159" t="str" cm="1">
        <f t="array" ref="K2159">_xlfn.IFS(Table4_2[[#This Row],[Growth Days]]&lt;=14,"Seedling",Table4_2[[#This Row],[Growth Days]]&lt;=35, "Vegetative",Table4_2[[#This Row],[Growth Days]]&lt;=50, "Maturity")</f>
        <v>Seedling</v>
      </c>
      <c r="L2159" t="str">
        <f>IF(Table4_2[[#This Row],[TDS Value (ppm)]]&lt;560, "Low", IF(Table4_2[[#This Row],[TDS Value (ppm)]]&lt;=800,"Optimal","High"))</f>
        <v>Low</v>
      </c>
    </row>
    <row r="2160" spans="1:12" x14ac:dyDescent="0.25">
      <c r="A2160">
        <v>58</v>
      </c>
      <c r="B2160" s="1">
        <v>45149</v>
      </c>
      <c r="C2160" s="1" t="str">
        <f>TEXT(Table4_2[[#This Row],[Date]],"dddd")</f>
        <v>Friday</v>
      </c>
      <c r="D2160" s="21">
        <v>18.8</v>
      </c>
      <c r="E2160" s="21">
        <v>76</v>
      </c>
      <c r="F2160" s="21">
        <v>672</v>
      </c>
      <c r="G2160" s="21">
        <v>6.7</v>
      </c>
      <c r="H2160">
        <v>9</v>
      </c>
      <c r="I2160">
        <v>65.84</v>
      </c>
      <c r="J2160">
        <v>0.76</v>
      </c>
      <c r="K2160" t="str" cm="1">
        <f t="array" ref="K2160">_xlfn.IFS(Table4_2[[#This Row],[Growth Days]]&lt;=14,"Seedling",Table4_2[[#This Row],[Growth Days]]&lt;=35, "Vegetative",Table4_2[[#This Row],[Growth Days]]&lt;=50, "Maturity")</f>
        <v>Seedling</v>
      </c>
      <c r="L2160" t="str">
        <f>IF(Table4_2[[#This Row],[TDS Value (ppm)]]&lt;560, "Low", IF(Table4_2[[#This Row],[TDS Value (ppm)]]&lt;=800,"Optimal","High"))</f>
        <v>Optimal</v>
      </c>
    </row>
    <row r="2161" spans="1:12" x14ac:dyDescent="0.25">
      <c r="A2161">
        <v>58</v>
      </c>
      <c r="B2161" s="1">
        <v>45156</v>
      </c>
      <c r="C2161" s="1" t="str">
        <f>TEXT(Table4_2[[#This Row],[Date]],"dddd")</f>
        <v>Friday</v>
      </c>
      <c r="D2161" s="21">
        <v>21</v>
      </c>
      <c r="E2161" s="21">
        <v>59</v>
      </c>
      <c r="F2161" s="21">
        <v>766</v>
      </c>
      <c r="G2161" s="21">
        <v>6.1</v>
      </c>
      <c r="H2161">
        <v>16</v>
      </c>
      <c r="I2161">
        <v>69.8</v>
      </c>
      <c r="J2161">
        <v>0.59</v>
      </c>
      <c r="K2161" t="str" cm="1">
        <f t="array" ref="K2161">_xlfn.IFS(Table4_2[[#This Row],[Growth Days]]&lt;=14,"Seedling",Table4_2[[#This Row],[Growth Days]]&lt;=35, "Vegetative",Table4_2[[#This Row],[Growth Days]]&lt;=50, "Maturity")</f>
        <v>Vegetative</v>
      </c>
      <c r="L2161" t="str">
        <f>IF(Table4_2[[#This Row],[TDS Value (ppm)]]&lt;560, "Low", IF(Table4_2[[#This Row],[TDS Value (ppm)]]&lt;=800,"Optimal","High"))</f>
        <v>Optimal</v>
      </c>
    </row>
    <row r="2162" spans="1:12" x14ac:dyDescent="0.25">
      <c r="A2162">
        <v>58</v>
      </c>
      <c r="B2162" s="1">
        <v>45163</v>
      </c>
      <c r="C2162" s="1" t="str">
        <f>TEXT(Table4_2[[#This Row],[Date]],"dddd")</f>
        <v>Friday</v>
      </c>
      <c r="D2162" s="21">
        <v>23.6</v>
      </c>
      <c r="E2162" s="21">
        <v>61</v>
      </c>
      <c r="F2162" s="21">
        <v>686</v>
      </c>
      <c r="G2162" s="21">
        <v>6.4</v>
      </c>
      <c r="H2162">
        <v>23</v>
      </c>
      <c r="I2162">
        <v>74.48</v>
      </c>
      <c r="J2162">
        <v>0.61</v>
      </c>
      <c r="K2162" t="str" cm="1">
        <f t="array" ref="K2162">_xlfn.IFS(Table4_2[[#This Row],[Growth Days]]&lt;=14,"Seedling",Table4_2[[#This Row],[Growth Days]]&lt;=35, "Vegetative",Table4_2[[#This Row],[Growth Days]]&lt;=50, "Maturity")</f>
        <v>Vegetative</v>
      </c>
      <c r="L2162" t="str">
        <f>IF(Table4_2[[#This Row],[TDS Value (ppm)]]&lt;560, "Low", IF(Table4_2[[#This Row],[TDS Value (ppm)]]&lt;=800,"Optimal","High"))</f>
        <v>Optimal</v>
      </c>
    </row>
    <row r="2163" spans="1:12" x14ac:dyDescent="0.25">
      <c r="A2163">
        <v>58</v>
      </c>
      <c r="B2163" s="1">
        <v>45170</v>
      </c>
      <c r="C2163" s="1" t="str">
        <f>TEXT(Table4_2[[#This Row],[Date]],"dddd")</f>
        <v>Friday</v>
      </c>
      <c r="D2163" s="21">
        <v>24.9</v>
      </c>
      <c r="E2163" s="21">
        <v>80</v>
      </c>
      <c r="F2163" s="21">
        <v>755</v>
      </c>
      <c r="G2163" s="21">
        <v>6.4</v>
      </c>
      <c r="H2163">
        <v>30</v>
      </c>
      <c r="I2163">
        <v>76.819999999999993</v>
      </c>
      <c r="J2163">
        <v>0.8</v>
      </c>
      <c r="K2163" t="str" cm="1">
        <f t="array" ref="K2163">_xlfn.IFS(Table4_2[[#This Row],[Growth Days]]&lt;=14,"Seedling",Table4_2[[#This Row],[Growth Days]]&lt;=35, "Vegetative",Table4_2[[#This Row],[Growth Days]]&lt;=50, "Maturity")</f>
        <v>Vegetative</v>
      </c>
      <c r="L2163" t="str">
        <f>IF(Table4_2[[#This Row],[TDS Value (ppm)]]&lt;560, "Low", IF(Table4_2[[#This Row],[TDS Value (ppm)]]&lt;=800,"Optimal","High"))</f>
        <v>Optimal</v>
      </c>
    </row>
    <row r="2164" spans="1:12" x14ac:dyDescent="0.25">
      <c r="A2164">
        <v>58</v>
      </c>
      <c r="B2164" s="1">
        <v>45177</v>
      </c>
      <c r="C2164" s="1" t="str">
        <f>TEXT(Table4_2[[#This Row],[Date]],"dddd")</f>
        <v>Friday</v>
      </c>
      <c r="D2164" s="21">
        <v>20</v>
      </c>
      <c r="E2164" s="21">
        <v>77</v>
      </c>
      <c r="F2164" s="21">
        <v>581</v>
      </c>
      <c r="G2164" s="21">
        <v>6.3</v>
      </c>
      <c r="H2164">
        <v>37</v>
      </c>
      <c r="I2164">
        <v>68</v>
      </c>
      <c r="J2164">
        <v>0.77</v>
      </c>
      <c r="K2164" t="str" cm="1">
        <f t="array" ref="K2164">_xlfn.IFS(Table4_2[[#This Row],[Growth Days]]&lt;=14,"Seedling",Table4_2[[#This Row],[Growth Days]]&lt;=35, "Vegetative",Table4_2[[#This Row],[Growth Days]]&lt;=50, "Maturity")</f>
        <v>Maturity</v>
      </c>
      <c r="L2164" t="str">
        <f>IF(Table4_2[[#This Row],[TDS Value (ppm)]]&lt;560, "Low", IF(Table4_2[[#This Row],[TDS Value (ppm)]]&lt;=800,"Optimal","High"))</f>
        <v>Optimal</v>
      </c>
    </row>
    <row r="2165" spans="1:12" x14ac:dyDescent="0.25">
      <c r="A2165">
        <v>58</v>
      </c>
      <c r="B2165" s="1">
        <v>45184</v>
      </c>
      <c r="C2165" s="1" t="str">
        <f>TEXT(Table4_2[[#This Row],[Date]],"dddd")</f>
        <v>Friday</v>
      </c>
      <c r="D2165" s="21">
        <v>24.7</v>
      </c>
      <c r="E2165" s="21">
        <v>63</v>
      </c>
      <c r="F2165" s="21">
        <v>760</v>
      </c>
      <c r="G2165" s="21">
        <v>6.6</v>
      </c>
      <c r="H2165">
        <v>44</v>
      </c>
      <c r="I2165">
        <v>76.459999999999994</v>
      </c>
      <c r="J2165">
        <v>0.63</v>
      </c>
      <c r="K2165" t="str" cm="1">
        <f t="array" ref="K2165">_xlfn.IFS(Table4_2[[#This Row],[Growth Days]]&lt;=14,"Seedling",Table4_2[[#This Row],[Growth Days]]&lt;=35, "Vegetative",Table4_2[[#This Row],[Growth Days]]&lt;=50, "Maturity")</f>
        <v>Maturity</v>
      </c>
      <c r="L2165" t="str">
        <f>IF(Table4_2[[#This Row],[TDS Value (ppm)]]&lt;560, "Low", IF(Table4_2[[#This Row],[TDS Value (ppm)]]&lt;=800,"Optimal","High"))</f>
        <v>Optimal</v>
      </c>
    </row>
    <row r="2166" spans="1:12" x14ac:dyDescent="0.25">
      <c r="A2166">
        <v>59</v>
      </c>
      <c r="B2166" s="1">
        <v>45142</v>
      </c>
      <c r="C2166" s="1" t="str">
        <f>TEXT(Table4_2[[#This Row],[Date]],"dddd")</f>
        <v>Friday</v>
      </c>
      <c r="D2166" s="21">
        <v>24</v>
      </c>
      <c r="E2166" s="21">
        <v>62</v>
      </c>
      <c r="F2166" s="21">
        <v>643</v>
      </c>
      <c r="G2166" s="21">
        <v>6.5</v>
      </c>
      <c r="H2166">
        <v>2</v>
      </c>
      <c r="I2166">
        <v>75.2</v>
      </c>
      <c r="J2166">
        <v>0.62</v>
      </c>
      <c r="K2166" t="str" cm="1">
        <f t="array" ref="K2166">_xlfn.IFS(Table4_2[[#This Row],[Growth Days]]&lt;=14,"Seedling",Table4_2[[#This Row],[Growth Days]]&lt;=35, "Vegetative",Table4_2[[#This Row],[Growth Days]]&lt;=50, "Maturity")</f>
        <v>Seedling</v>
      </c>
      <c r="L2166" t="str">
        <f>IF(Table4_2[[#This Row],[TDS Value (ppm)]]&lt;560, "Low", IF(Table4_2[[#This Row],[TDS Value (ppm)]]&lt;=800,"Optimal","High"))</f>
        <v>Optimal</v>
      </c>
    </row>
    <row r="2167" spans="1:12" x14ac:dyDescent="0.25">
      <c r="A2167">
        <v>59</v>
      </c>
      <c r="B2167" s="1">
        <v>45149</v>
      </c>
      <c r="C2167" s="1" t="str">
        <f>TEXT(Table4_2[[#This Row],[Date]],"dddd")</f>
        <v>Friday</v>
      </c>
      <c r="D2167" s="21">
        <v>23.5</v>
      </c>
      <c r="E2167" s="21">
        <v>79</v>
      </c>
      <c r="F2167" s="21">
        <v>641</v>
      </c>
      <c r="G2167" s="21">
        <v>6.4</v>
      </c>
      <c r="H2167">
        <v>9</v>
      </c>
      <c r="I2167">
        <v>74.3</v>
      </c>
      <c r="J2167">
        <v>0.79</v>
      </c>
      <c r="K2167" t="str" cm="1">
        <f t="array" ref="K2167">_xlfn.IFS(Table4_2[[#This Row],[Growth Days]]&lt;=14,"Seedling",Table4_2[[#This Row],[Growth Days]]&lt;=35, "Vegetative",Table4_2[[#This Row],[Growth Days]]&lt;=50, "Maturity")</f>
        <v>Seedling</v>
      </c>
      <c r="L2167" t="str">
        <f>IF(Table4_2[[#This Row],[TDS Value (ppm)]]&lt;560, "Low", IF(Table4_2[[#This Row],[TDS Value (ppm)]]&lt;=800,"Optimal","High"))</f>
        <v>Optimal</v>
      </c>
    </row>
    <row r="2168" spans="1:12" x14ac:dyDescent="0.25">
      <c r="A2168">
        <v>59</v>
      </c>
      <c r="B2168" s="1">
        <v>45156</v>
      </c>
      <c r="C2168" s="1" t="str">
        <f>TEXT(Table4_2[[#This Row],[Date]],"dddd")</f>
        <v>Friday</v>
      </c>
      <c r="D2168" s="21">
        <v>19.600000000000001</v>
      </c>
      <c r="E2168" s="21">
        <v>70</v>
      </c>
      <c r="F2168" s="21">
        <v>525</v>
      </c>
      <c r="G2168" s="21">
        <v>6</v>
      </c>
      <c r="H2168">
        <v>16</v>
      </c>
      <c r="I2168">
        <v>67.28</v>
      </c>
      <c r="J2168">
        <v>0.7</v>
      </c>
      <c r="K2168" t="str" cm="1">
        <f t="array" ref="K2168">_xlfn.IFS(Table4_2[[#This Row],[Growth Days]]&lt;=14,"Seedling",Table4_2[[#This Row],[Growth Days]]&lt;=35, "Vegetative",Table4_2[[#This Row],[Growth Days]]&lt;=50, "Maturity")</f>
        <v>Vegetative</v>
      </c>
      <c r="L2168" t="str">
        <f>IF(Table4_2[[#This Row],[TDS Value (ppm)]]&lt;560, "Low", IF(Table4_2[[#This Row],[TDS Value (ppm)]]&lt;=800,"Optimal","High"))</f>
        <v>Low</v>
      </c>
    </row>
    <row r="2169" spans="1:12" x14ac:dyDescent="0.25">
      <c r="A2169">
        <v>59</v>
      </c>
      <c r="B2169" s="1">
        <v>45163</v>
      </c>
      <c r="C2169" s="1" t="str">
        <f>TEXT(Table4_2[[#This Row],[Date]],"dddd")</f>
        <v>Friday</v>
      </c>
      <c r="D2169" s="21">
        <v>20.9</v>
      </c>
      <c r="E2169" s="21">
        <v>75</v>
      </c>
      <c r="F2169" s="21">
        <v>434</v>
      </c>
      <c r="G2169" s="21">
        <v>6.7</v>
      </c>
      <c r="H2169">
        <v>23</v>
      </c>
      <c r="I2169">
        <v>69.62</v>
      </c>
      <c r="J2169">
        <v>0.75</v>
      </c>
      <c r="K2169" t="str" cm="1">
        <f t="array" ref="K2169">_xlfn.IFS(Table4_2[[#This Row],[Growth Days]]&lt;=14,"Seedling",Table4_2[[#This Row],[Growth Days]]&lt;=35, "Vegetative",Table4_2[[#This Row],[Growth Days]]&lt;=50, "Maturity")</f>
        <v>Vegetative</v>
      </c>
      <c r="L2169" t="str">
        <f>IF(Table4_2[[#This Row],[TDS Value (ppm)]]&lt;560, "Low", IF(Table4_2[[#This Row],[TDS Value (ppm)]]&lt;=800,"Optimal","High"))</f>
        <v>Low</v>
      </c>
    </row>
    <row r="2170" spans="1:12" x14ac:dyDescent="0.25">
      <c r="A2170">
        <v>59</v>
      </c>
      <c r="B2170" s="1">
        <v>45170</v>
      </c>
      <c r="C2170" s="1" t="str">
        <f>TEXT(Table4_2[[#This Row],[Date]],"dddd")</f>
        <v>Friday</v>
      </c>
      <c r="D2170" s="21">
        <v>19.100000000000001</v>
      </c>
      <c r="E2170" s="21">
        <v>50</v>
      </c>
      <c r="F2170" s="21">
        <v>490</v>
      </c>
      <c r="G2170" s="21">
        <v>6.5</v>
      </c>
      <c r="H2170">
        <v>30</v>
      </c>
      <c r="I2170">
        <v>66.38</v>
      </c>
      <c r="J2170">
        <v>0.5</v>
      </c>
      <c r="K2170" t="str" cm="1">
        <f t="array" ref="K2170">_xlfn.IFS(Table4_2[[#This Row],[Growth Days]]&lt;=14,"Seedling",Table4_2[[#This Row],[Growth Days]]&lt;=35, "Vegetative",Table4_2[[#This Row],[Growth Days]]&lt;=50, "Maturity")</f>
        <v>Vegetative</v>
      </c>
      <c r="L2170" t="str">
        <f>IF(Table4_2[[#This Row],[TDS Value (ppm)]]&lt;560, "Low", IF(Table4_2[[#This Row],[TDS Value (ppm)]]&lt;=800,"Optimal","High"))</f>
        <v>Low</v>
      </c>
    </row>
    <row r="2171" spans="1:12" x14ac:dyDescent="0.25">
      <c r="A2171">
        <v>59</v>
      </c>
      <c r="B2171" s="1">
        <v>45177</v>
      </c>
      <c r="C2171" s="1" t="str">
        <f>TEXT(Table4_2[[#This Row],[Date]],"dddd")</f>
        <v>Friday</v>
      </c>
      <c r="D2171" s="21">
        <v>23.2</v>
      </c>
      <c r="E2171" s="21">
        <v>63</v>
      </c>
      <c r="F2171" s="21">
        <v>641</v>
      </c>
      <c r="G2171" s="21">
        <v>6.1</v>
      </c>
      <c r="H2171">
        <v>37</v>
      </c>
      <c r="I2171">
        <v>73.760000000000005</v>
      </c>
      <c r="J2171">
        <v>0.63</v>
      </c>
      <c r="K2171" t="str" cm="1">
        <f t="array" ref="K2171">_xlfn.IFS(Table4_2[[#This Row],[Growth Days]]&lt;=14,"Seedling",Table4_2[[#This Row],[Growth Days]]&lt;=35, "Vegetative",Table4_2[[#This Row],[Growth Days]]&lt;=50, "Maturity")</f>
        <v>Maturity</v>
      </c>
      <c r="L2171" t="str">
        <f>IF(Table4_2[[#This Row],[TDS Value (ppm)]]&lt;560, "Low", IF(Table4_2[[#This Row],[TDS Value (ppm)]]&lt;=800,"Optimal","High"))</f>
        <v>Optimal</v>
      </c>
    </row>
    <row r="2172" spans="1:12" x14ac:dyDescent="0.25">
      <c r="A2172">
        <v>59</v>
      </c>
      <c r="B2172" s="1">
        <v>45184</v>
      </c>
      <c r="C2172" s="1" t="str">
        <f>TEXT(Table4_2[[#This Row],[Date]],"dddd")</f>
        <v>Friday</v>
      </c>
      <c r="D2172" s="21">
        <v>21.8</v>
      </c>
      <c r="E2172" s="21">
        <v>69</v>
      </c>
      <c r="F2172" s="21">
        <v>783</v>
      </c>
      <c r="G2172" s="21">
        <v>6.3</v>
      </c>
      <c r="H2172">
        <v>44</v>
      </c>
      <c r="I2172">
        <v>71.239999999999995</v>
      </c>
      <c r="J2172">
        <v>0.69</v>
      </c>
      <c r="K2172" t="str" cm="1">
        <f t="array" ref="K2172">_xlfn.IFS(Table4_2[[#This Row],[Growth Days]]&lt;=14,"Seedling",Table4_2[[#This Row],[Growth Days]]&lt;=35, "Vegetative",Table4_2[[#This Row],[Growth Days]]&lt;=50, "Maturity")</f>
        <v>Maturity</v>
      </c>
      <c r="L2172" t="str">
        <f>IF(Table4_2[[#This Row],[TDS Value (ppm)]]&lt;560, "Low", IF(Table4_2[[#This Row],[TDS Value (ppm)]]&lt;=800,"Optimal","High"))</f>
        <v>Optimal</v>
      </c>
    </row>
    <row r="2173" spans="1:12" x14ac:dyDescent="0.25">
      <c r="A2173">
        <v>60</v>
      </c>
      <c r="B2173" s="1">
        <v>45142</v>
      </c>
      <c r="C2173" s="1" t="str">
        <f>TEXT(Table4_2[[#This Row],[Date]],"dddd")</f>
        <v>Friday</v>
      </c>
      <c r="D2173" s="21">
        <v>21.8</v>
      </c>
      <c r="E2173" s="21">
        <v>62</v>
      </c>
      <c r="F2173" s="21">
        <v>678</v>
      </c>
      <c r="G2173" s="21">
        <v>6.1</v>
      </c>
      <c r="H2173">
        <v>2</v>
      </c>
      <c r="I2173">
        <v>71.239999999999995</v>
      </c>
      <c r="J2173">
        <v>0.62</v>
      </c>
      <c r="K2173" t="str" cm="1">
        <f t="array" ref="K2173">_xlfn.IFS(Table4_2[[#This Row],[Growth Days]]&lt;=14,"Seedling",Table4_2[[#This Row],[Growth Days]]&lt;=35, "Vegetative",Table4_2[[#This Row],[Growth Days]]&lt;=50, "Maturity")</f>
        <v>Seedling</v>
      </c>
      <c r="L2173" t="str">
        <f>IF(Table4_2[[#This Row],[TDS Value (ppm)]]&lt;560, "Low", IF(Table4_2[[#This Row],[TDS Value (ppm)]]&lt;=800,"Optimal","High"))</f>
        <v>Optimal</v>
      </c>
    </row>
    <row r="2174" spans="1:12" x14ac:dyDescent="0.25">
      <c r="A2174">
        <v>60</v>
      </c>
      <c r="B2174" s="1">
        <v>45149</v>
      </c>
      <c r="C2174" s="1" t="str">
        <f>TEXT(Table4_2[[#This Row],[Date]],"dddd")</f>
        <v>Friday</v>
      </c>
      <c r="D2174" s="21">
        <v>19.399999999999999</v>
      </c>
      <c r="E2174" s="21">
        <v>76</v>
      </c>
      <c r="F2174" s="21">
        <v>744</v>
      </c>
      <c r="G2174" s="21">
        <v>6.1</v>
      </c>
      <c r="H2174">
        <v>9</v>
      </c>
      <c r="I2174">
        <v>66.92</v>
      </c>
      <c r="J2174">
        <v>0.76</v>
      </c>
      <c r="K2174" t="str" cm="1">
        <f t="array" ref="K2174">_xlfn.IFS(Table4_2[[#This Row],[Growth Days]]&lt;=14,"Seedling",Table4_2[[#This Row],[Growth Days]]&lt;=35, "Vegetative",Table4_2[[#This Row],[Growth Days]]&lt;=50, "Maturity")</f>
        <v>Seedling</v>
      </c>
      <c r="L2174" t="str">
        <f>IF(Table4_2[[#This Row],[TDS Value (ppm)]]&lt;560, "Low", IF(Table4_2[[#This Row],[TDS Value (ppm)]]&lt;=800,"Optimal","High"))</f>
        <v>Optimal</v>
      </c>
    </row>
    <row r="2175" spans="1:12" x14ac:dyDescent="0.25">
      <c r="A2175">
        <v>60</v>
      </c>
      <c r="B2175" s="1">
        <v>45156</v>
      </c>
      <c r="C2175" s="1" t="str">
        <f>TEXT(Table4_2[[#This Row],[Date]],"dddd")</f>
        <v>Friday</v>
      </c>
      <c r="D2175" s="21">
        <v>18.899999999999999</v>
      </c>
      <c r="E2175" s="21">
        <v>62</v>
      </c>
      <c r="F2175" s="21">
        <v>656</v>
      </c>
      <c r="G2175" s="21">
        <v>6.7</v>
      </c>
      <c r="H2175">
        <v>16</v>
      </c>
      <c r="I2175">
        <v>66.02</v>
      </c>
      <c r="J2175">
        <v>0.62</v>
      </c>
      <c r="K2175" t="str" cm="1">
        <f t="array" ref="K2175">_xlfn.IFS(Table4_2[[#This Row],[Growth Days]]&lt;=14,"Seedling",Table4_2[[#This Row],[Growth Days]]&lt;=35, "Vegetative",Table4_2[[#This Row],[Growth Days]]&lt;=50, "Maturity")</f>
        <v>Vegetative</v>
      </c>
      <c r="L2175" t="str">
        <f>IF(Table4_2[[#This Row],[TDS Value (ppm)]]&lt;560, "Low", IF(Table4_2[[#This Row],[TDS Value (ppm)]]&lt;=800,"Optimal","High"))</f>
        <v>Optimal</v>
      </c>
    </row>
    <row r="2176" spans="1:12" x14ac:dyDescent="0.25">
      <c r="A2176">
        <v>60</v>
      </c>
      <c r="B2176" s="1">
        <v>45163</v>
      </c>
      <c r="C2176" s="1" t="str">
        <f>TEXT(Table4_2[[#This Row],[Date]],"dddd")</f>
        <v>Friday</v>
      </c>
      <c r="D2176" s="21">
        <v>24.9</v>
      </c>
      <c r="E2176" s="21">
        <v>73</v>
      </c>
      <c r="F2176" s="21">
        <v>678</v>
      </c>
      <c r="G2176" s="21">
        <v>6.4</v>
      </c>
      <c r="H2176">
        <v>23</v>
      </c>
      <c r="I2176">
        <v>76.819999999999993</v>
      </c>
      <c r="J2176">
        <v>0.73</v>
      </c>
      <c r="K2176" t="str" cm="1">
        <f t="array" ref="K2176">_xlfn.IFS(Table4_2[[#This Row],[Growth Days]]&lt;=14,"Seedling",Table4_2[[#This Row],[Growth Days]]&lt;=35, "Vegetative",Table4_2[[#This Row],[Growth Days]]&lt;=50, "Maturity")</f>
        <v>Vegetative</v>
      </c>
      <c r="L2176" t="str">
        <f>IF(Table4_2[[#This Row],[TDS Value (ppm)]]&lt;560, "Low", IF(Table4_2[[#This Row],[TDS Value (ppm)]]&lt;=800,"Optimal","High"))</f>
        <v>Optimal</v>
      </c>
    </row>
    <row r="2177" spans="1:12" x14ac:dyDescent="0.25">
      <c r="A2177">
        <v>60</v>
      </c>
      <c r="B2177" s="1">
        <v>45170</v>
      </c>
      <c r="C2177" s="1" t="str">
        <f>TEXT(Table4_2[[#This Row],[Date]],"dddd")</f>
        <v>Friday</v>
      </c>
      <c r="D2177" s="21">
        <v>20.5</v>
      </c>
      <c r="E2177" s="21">
        <v>57</v>
      </c>
      <c r="F2177" s="21">
        <v>424</v>
      </c>
      <c r="G2177" s="21">
        <v>6.7</v>
      </c>
      <c r="H2177">
        <v>30</v>
      </c>
      <c r="I2177">
        <v>68.900000000000006</v>
      </c>
      <c r="J2177">
        <v>0.56999999999999995</v>
      </c>
      <c r="K2177" t="str" cm="1">
        <f t="array" ref="K2177">_xlfn.IFS(Table4_2[[#This Row],[Growth Days]]&lt;=14,"Seedling",Table4_2[[#This Row],[Growth Days]]&lt;=35, "Vegetative",Table4_2[[#This Row],[Growth Days]]&lt;=50, "Maturity")</f>
        <v>Vegetative</v>
      </c>
      <c r="L2177" t="str">
        <f>IF(Table4_2[[#This Row],[TDS Value (ppm)]]&lt;560, "Low", IF(Table4_2[[#This Row],[TDS Value (ppm)]]&lt;=800,"Optimal","High"))</f>
        <v>Low</v>
      </c>
    </row>
    <row r="2178" spans="1:12" x14ac:dyDescent="0.25">
      <c r="A2178">
        <v>60</v>
      </c>
      <c r="B2178" s="1">
        <v>45177</v>
      </c>
      <c r="C2178" s="1" t="str">
        <f>TEXT(Table4_2[[#This Row],[Date]],"dddd")</f>
        <v>Friday</v>
      </c>
      <c r="D2178" s="21">
        <v>21.6</v>
      </c>
      <c r="E2178" s="21">
        <v>76</v>
      </c>
      <c r="F2178" s="21">
        <v>536</v>
      </c>
      <c r="G2178" s="21">
        <v>6.6</v>
      </c>
      <c r="H2178">
        <v>37</v>
      </c>
      <c r="I2178">
        <v>70.88</v>
      </c>
      <c r="J2178">
        <v>0.76</v>
      </c>
      <c r="K2178" t="str" cm="1">
        <f t="array" ref="K2178">_xlfn.IFS(Table4_2[[#This Row],[Growth Days]]&lt;=14,"Seedling",Table4_2[[#This Row],[Growth Days]]&lt;=35, "Vegetative",Table4_2[[#This Row],[Growth Days]]&lt;=50, "Maturity")</f>
        <v>Maturity</v>
      </c>
      <c r="L2178" t="str">
        <f>IF(Table4_2[[#This Row],[TDS Value (ppm)]]&lt;560, "Low", IF(Table4_2[[#This Row],[TDS Value (ppm)]]&lt;=800,"Optimal","High"))</f>
        <v>Low</v>
      </c>
    </row>
    <row r="2179" spans="1:12" x14ac:dyDescent="0.25">
      <c r="A2179">
        <v>60</v>
      </c>
      <c r="B2179" s="1">
        <v>45184</v>
      </c>
      <c r="C2179" s="1" t="str">
        <f>TEXT(Table4_2[[#This Row],[Date]],"dddd")</f>
        <v>Friday</v>
      </c>
      <c r="D2179" s="21">
        <v>22</v>
      </c>
      <c r="E2179" s="21">
        <v>74</v>
      </c>
      <c r="F2179" s="21">
        <v>753</v>
      </c>
      <c r="G2179" s="21">
        <v>6.7</v>
      </c>
      <c r="H2179">
        <v>44</v>
      </c>
      <c r="I2179">
        <v>71.599999999999994</v>
      </c>
      <c r="J2179">
        <v>0.74</v>
      </c>
      <c r="K2179" t="str" cm="1">
        <f t="array" ref="K2179">_xlfn.IFS(Table4_2[[#This Row],[Growth Days]]&lt;=14,"Seedling",Table4_2[[#This Row],[Growth Days]]&lt;=35, "Vegetative",Table4_2[[#This Row],[Growth Days]]&lt;=50, "Maturity")</f>
        <v>Maturity</v>
      </c>
      <c r="L2179" t="str">
        <f>IF(Table4_2[[#This Row],[TDS Value (ppm)]]&lt;560, "Low", IF(Table4_2[[#This Row],[TDS Value (ppm)]]&lt;=800,"Optimal","High"))</f>
        <v>Optimal</v>
      </c>
    </row>
    <row r="2180" spans="1:12" x14ac:dyDescent="0.25">
      <c r="A2180">
        <v>61</v>
      </c>
      <c r="B2180" s="1">
        <v>45142</v>
      </c>
      <c r="C2180" s="1" t="str">
        <f>TEXT(Table4_2[[#This Row],[Date]],"dddd")</f>
        <v>Friday</v>
      </c>
      <c r="D2180" s="21">
        <v>18.3</v>
      </c>
      <c r="E2180" s="21">
        <v>52</v>
      </c>
      <c r="F2180" s="21">
        <v>486</v>
      </c>
      <c r="G2180" s="21">
        <v>6.3</v>
      </c>
      <c r="H2180">
        <v>2</v>
      </c>
      <c r="I2180">
        <v>64.94</v>
      </c>
      <c r="J2180">
        <v>0.52</v>
      </c>
      <c r="K2180" t="str" cm="1">
        <f t="array" ref="K2180">_xlfn.IFS(Table4_2[[#This Row],[Growth Days]]&lt;=14,"Seedling",Table4_2[[#This Row],[Growth Days]]&lt;=35, "Vegetative",Table4_2[[#This Row],[Growth Days]]&lt;=50, "Maturity")</f>
        <v>Seedling</v>
      </c>
      <c r="L2180" t="str">
        <f>IF(Table4_2[[#This Row],[TDS Value (ppm)]]&lt;560, "Low", IF(Table4_2[[#This Row],[TDS Value (ppm)]]&lt;=800,"Optimal","High"))</f>
        <v>Low</v>
      </c>
    </row>
    <row r="2181" spans="1:12" x14ac:dyDescent="0.25">
      <c r="A2181">
        <v>61</v>
      </c>
      <c r="B2181" s="1">
        <v>45149</v>
      </c>
      <c r="C2181" s="1" t="str">
        <f>TEXT(Table4_2[[#This Row],[Date]],"dddd")</f>
        <v>Friday</v>
      </c>
      <c r="D2181" s="21">
        <v>22.3</v>
      </c>
      <c r="E2181" s="21">
        <v>78</v>
      </c>
      <c r="F2181" s="21">
        <v>452</v>
      </c>
      <c r="G2181" s="21">
        <v>6.4</v>
      </c>
      <c r="H2181">
        <v>9</v>
      </c>
      <c r="I2181">
        <v>72.14</v>
      </c>
      <c r="J2181">
        <v>0.78</v>
      </c>
      <c r="K2181" t="str" cm="1">
        <f t="array" ref="K2181">_xlfn.IFS(Table4_2[[#This Row],[Growth Days]]&lt;=14,"Seedling",Table4_2[[#This Row],[Growth Days]]&lt;=35, "Vegetative",Table4_2[[#This Row],[Growth Days]]&lt;=50, "Maturity")</f>
        <v>Seedling</v>
      </c>
      <c r="L2181" t="str">
        <f>IF(Table4_2[[#This Row],[TDS Value (ppm)]]&lt;560, "Low", IF(Table4_2[[#This Row],[TDS Value (ppm)]]&lt;=800,"Optimal","High"))</f>
        <v>Low</v>
      </c>
    </row>
    <row r="2182" spans="1:12" x14ac:dyDescent="0.25">
      <c r="A2182">
        <v>61</v>
      </c>
      <c r="B2182" s="1">
        <v>45156</v>
      </c>
      <c r="C2182" s="1" t="str">
        <f>TEXT(Table4_2[[#This Row],[Date]],"dddd")</f>
        <v>Friday</v>
      </c>
      <c r="D2182" s="21">
        <v>23.4</v>
      </c>
      <c r="E2182" s="21">
        <v>77</v>
      </c>
      <c r="F2182" s="21">
        <v>620</v>
      </c>
      <c r="G2182" s="21">
        <v>6.8</v>
      </c>
      <c r="H2182">
        <v>16</v>
      </c>
      <c r="I2182">
        <v>74.12</v>
      </c>
      <c r="J2182">
        <v>0.77</v>
      </c>
      <c r="K2182" t="str" cm="1">
        <f t="array" ref="K2182">_xlfn.IFS(Table4_2[[#This Row],[Growth Days]]&lt;=14,"Seedling",Table4_2[[#This Row],[Growth Days]]&lt;=35, "Vegetative",Table4_2[[#This Row],[Growth Days]]&lt;=50, "Maturity")</f>
        <v>Vegetative</v>
      </c>
      <c r="L2182" t="str">
        <f>IF(Table4_2[[#This Row],[TDS Value (ppm)]]&lt;560, "Low", IF(Table4_2[[#This Row],[TDS Value (ppm)]]&lt;=800,"Optimal","High"))</f>
        <v>Optimal</v>
      </c>
    </row>
    <row r="2183" spans="1:12" x14ac:dyDescent="0.25">
      <c r="A2183">
        <v>61</v>
      </c>
      <c r="B2183" s="1">
        <v>45163</v>
      </c>
      <c r="C2183" s="1" t="str">
        <f>TEXT(Table4_2[[#This Row],[Date]],"dddd")</f>
        <v>Friday</v>
      </c>
      <c r="D2183" s="21">
        <v>22</v>
      </c>
      <c r="E2183" s="21">
        <v>57</v>
      </c>
      <c r="F2183" s="21">
        <v>702</v>
      </c>
      <c r="G2183" s="21">
        <v>6.7</v>
      </c>
      <c r="H2183">
        <v>23</v>
      </c>
      <c r="I2183">
        <v>71.599999999999994</v>
      </c>
      <c r="J2183">
        <v>0.56999999999999995</v>
      </c>
      <c r="K2183" t="str" cm="1">
        <f t="array" ref="K2183">_xlfn.IFS(Table4_2[[#This Row],[Growth Days]]&lt;=14,"Seedling",Table4_2[[#This Row],[Growth Days]]&lt;=35, "Vegetative",Table4_2[[#This Row],[Growth Days]]&lt;=50, "Maturity")</f>
        <v>Vegetative</v>
      </c>
      <c r="L2183" t="str">
        <f>IF(Table4_2[[#This Row],[TDS Value (ppm)]]&lt;560, "Low", IF(Table4_2[[#This Row],[TDS Value (ppm)]]&lt;=800,"Optimal","High"))</f>
        <v>Optimal</v>
      </c>
    </row>
    <row r="2184" spans="1:12" x14ac:dyDescent="0.25">
      <c r="A2184">
        <v>61</v>
      </c>
      <c r="B2184" s="1">
        <v>45170</v>
      </c>
      <c r="C2184" s="1" t="str">
        <f>TEXT(Table4_2[[#This Row],[Date]],"dddd")</f>
        <v>Friday</v>
      </c>
      <c r="D2184" s="21">
        <v>24.7</v>
      </c>
      <c r="E2184" s="21">
        <v>52</v>
      </c>
      <c r="F2184" s="21">
        <v>737</v>
      </c>
      <c r="G2184" s="21">
        <v>6.7</v>
      </c>
      <c r="H2184">
        <v>30</v>
      </c>
      <c r="I2184">
        <v>76.459999999999994</v>
      </c>
      <c r="J2184">
        <v>0.52</v>
      </c>
      <c r="K2184" t="str" cm="1">
        <f t="array" ref="K2184">_xlfn.IFS(Table4_2[[#This Row],[Growth Days]]&lt;=14,"Seedling",Table4_2[[#This Row],[Growth Days]]&lt;=35, "Vegetative",Table4_2[[#This Row],[Growth Days]]&lt;=50, "Maturity")</f>
        <v>Vegetative</v>
      </c>
      <c r="L2184" t="str">
        <f>IF(Table4_2[[#This Row],[TDS Value (ppm)]]&lt;560, "Low", IF(Table4_2[[#This Row],[TDS Value (ppm)]]&lt;=800,"Optimal","High"))</f>
        <v>Optimal</v>
      </c>
    </row>
    <row r="2185" spans="1:12" x14ac:dyDescent="0.25">
      <c r="A2185">
        <v>61</v>
      </c>
      <c r="B2185" s="1">
        <v>45177</v>
      </c>
      <c r="C2185" s="1" t="str">
        <f>TEXT(Table4_2[[#This Row],[Date]],"dddd")</f>
        <v>Friday</v>
      </c>
      <c r="D2185" s="21">
        <v>18.399999999999999</v>
      </c>
      <c r="E2185" s="21">
        <v>73</v>
      </c>
      <c r="F2185" s="21">
        <v>645</v>
      </c>
      <c r="G2185" s="21">
        <v>6.2</v>
      </c>
      <c r="H2185">
        <v>37</v>
      </c>
      <c r="I2185">
        <v>65.12</v>
      </c>
      <c r="J2185">
        <v>0.73</v>
      </c>
      <c r="K2185" t="str" cm="1">
        <f t="array" ref="K2185">_xlfn.IFS(Table4_2[[#This Row],[Growth Days]]&lt;=14,"Seedling",Table4_2[[#This Row],[Growth Days]]&lt;=35, "Vegetative",Table4_2[[#This Row],[Growth Days]]&lt;=50, "Maturity")</f>
        <v>Maturity</v>
      </c>
      <c r="L2185" t="str">
        <f>IF(Table4_2[[#This Row],[TDS Value (ppm)]]&lt;560, "Low", IF(Table4_2[[#This Row],[TDS Value (ppm)]]&lt;=800,"Optimal","High"))</f>
        <v>Optimal</v>
      </c>
    </row>
    <row r="2186" spans="1:12" x14ac:dyDescent="0.25">
      <c r="A2186">
        <v>61</v>
      </c>
      <c r="B2186" s="1">
        <v>45184</v>
      </c>
      <c r="C2186" s="1" t="str">
        <f>TEXT(Table4_2[[#This Row],[Date]],"dddd")</f>
        <v>Friday</v>
      </c>
      <c r="D2186" s="21">
        <v>24</v>
      </c>
      <c r="E2186" s="21">
        <v>52</v>
      </c>
      <c r="F2186" s="21">
        <v>605</v>
      </c>
      <c r="G2186" s="21">
        <v>6.7</v>
      </c>
      <c r="H2186">
        <v>44</v>
      </c>
      <c r="I2186">
        <v>75.2</v>
      </c>
      <c r="J2186">
        <v>0.52</v>
      </c>
      <c r="K2186" t="str" cm="1">
        <f t="array" ref="K2186">_xlfn.IFS(Table4_2[[#This Row],[Growth Days]]&lt;=14,"Seedling",Table4_2[[#This Row],[Growth Days]]&lt;=35, "Vegetative",Table4_2[[#This Row],[Growth Days]]&lt;=50, "Maturity")</f>
        <v>Maturity</v>
      </c>
      <c r="L2186" t="str">
        <f>IF(Table4_2[[#This Row],[TDS Value (ppm)]]&lt;560, "Low", IF(Table4_2[[#This Row],[TDS Value (ppm)]]&lt;=800,"Optimal","High"))</f>
        <v>Optimal</v>
      </c>
    </row>
    <row r="2187" spans="1:12" x14ac:dyDescent="0.25">
      <c r="A2187">
        <v>62</v>
      </c>
      <c r="B2187" s="1">
        <v>45142</v>
      </c>
      <c r="C2187" s="1" t="str">
        <f>TEXT(Table4_2[[#This Row],[Date]],"dddd")</f>
        <v>Friday</v>
      </c>
      <c r="D2187" s="21">
        <v>23.2</v>
      </c>
      <c r="E2187" s="21">
        <v>75</v>
      </c>
      <c r="F2187" s="21">
        <v>653</v>
      </c>
      <c r="G2187" s="21">
        <v>6.2</v>
      </c>
      <c r="H2187">
        <v>2</v>
      </c>
      <c r="I2187">
        <v>73.760000000000005</v>
      </c>
      <c r="J2187">
        <v>0.75</v>
      </c>
      <c r="K2187" t="str" cm="1">
        <f t="array" ref="K2187">_xlfn.IFS(Table4_2[[#This Row],[Growth Days]]&lt;=14,"Seedling",Table4_2[[#This Row],[Growth Days]]&lt;=35, "Vegetative",Table4_2[[#This Row],[Growth Days]]&lt;=50, "Maturity")</f>
        <v>Seedling</v>
      </c>
      <c r="L2187" t="str">
        <f>IF(Table4_2[[#This Row],[TDS Value (ppm)]]&lt;560, "Low", IF(Table4_2[[#This Row],[TDS Value (ppm)]]&lt;=800,"Optimal","High"))</f>
        <v>Optimal</v>
      </c>
    </row>
    <row r="2188" spans="1:12" x14ac:dyDescent="0.25">
      <c r="A2188">
        <v>62</v>
      </c>
      <c r="B2188" s="1">
        <v>45149</v>
      </c>
      <c r="C2188" s="1" t="str">
        <f>TEXT(Table4_2[[#This Row],[Date]],"dddd")</f>
        <v>Friday</v>
      </c>
      <c r="D2188" s="21">
        <v>20.399999999999999</v>
      </c>
      <c r="E2188" s="21">
        <v>62</v>
      </c>
      <c r="F2188" s="21">
        <v>503</v>
      </c>
      <c r="G2188" s="21">
        <v>6.2</v>
      </c>
      <c r="H2188">
        <v>9</v>
      </c>
      <c r="I2188">
        <v>68.72</v>
      </c>
      <c r="J2188">
        <v>0.62</v>
      </c>
      <c r="K2188" t="str" cm="1">
        <f t="array" ref="K2188">_xlfn.IFS(Table4_2[[#This Row],[Growth Days]]&lt;=14,"Seedling",Table4_2[[#This Row],[Growth Days]]&lt;=35, "Vegetative",Table4_2[[#This Row],[Growth Days]]&lt;=50, "Maturity")</f>
        <v>Seedling</v>
      </c>
      <c r="L2188" t="str">
        <f>IF(Table4_2[[#This Row],[TDS Value (ppm)]]&lt;560, "Low", IF(Table4_2[[#This Row],[TDS Value (ppm)]]&lt;=800,"Optimal","High"))</f>
        <v>Low</v>
      </c>
    </row>
    <row r="2189" spans="1:12" x14ac:dyDescent="0.25">
      <c r="A2189">
        <v>62</v>
      </c>
      <c r="B2189" s="1">
        <v>45156</v>
      </c>
      <c r="C2189" s="1" t="str">
        <f>TEXT(Table4_2[[#This Row],[Date]],"dddd")</f>
        <v>Friday</v>
      </c>
      <c r="D2189" s="21">
        <v>20.8</v>
      </c>
      <c r="E2189" s="21">
        <v>56</v>
      </c>
      <c r="F2189" s="21">
        <v>436</v>
      </c>
      <c r="G2189" s="21">
        <v>6.7</v>
      </c>
      <c r="H2189">
        <v>16</v>
      </c>
      <c r="I2189">
        <v>69.44</v>
      </c>
      <c r="J2189">
        <v>0.56000000000000005</v>
      </c>
      <c r="K2189" t="str" cm="1">
        <f t="array" ref="K2189">_xlfn.IFS(Table4_2[[#This Row],[Growth Days]]&lt;=14,"Seedling",Table4_2[[#This Row],[Growth Days]]&lt;=35, "Vegetative",Table4_2[[#This Row],[Growth Days]]&lt;=50, "Maturity")</f>
        <v>Vegetative</v>
      </c>
      <c r="L2189" t="str">
        <f>IF(Table4_2[[#This Row],[TDS Value (ppm)]]&lt;560, "Low", IF(Table4_2[[#This Row],[TDS Value (ppm)]]&lt;=800,"Optimal","High"))</f>
        <v>Low</v>
      </c>
    </row>
    <row r="2190" spans="1:12" x14ac:dyDescent="0.25">
      <c r="A2190">
        <v>62</v>
      </c>
      <c r="B2190" s="1">
        <v>45163</v>
      </c>
      <c r="C2190" s="1" t="str">
        <f>TEXT(Table4_2[[#This Row],[Date]],"dddd")</f>
        <v>Friday</v>
      </c>
      <c r="D2190" s="21">
        <v>24</v>
      </c>
      <c r="E2190" s="21">
        <v>59</v>
      </c>
      <c r="F2190" s="21">
        <v>526</v>
      </c>
      <c r="G2190" s="21">
        <v>6.6</v>
      </c>
      <c r="H2190">
        <v>23</v>
      </c>
      <c r="I2190">
        <v>75.2</v>
      </c>
      <c r="J2190">
        <v>0.59</v>
      </c>
      <c r="K2190" t="str" cm="1">
        <f t="array" ref="K2190">_xlfn.IFS(Table4_2[[#This Row],[Growth Days]]&lt;=14,"Seedling",Table4_2[[#This Row],[Growth Days]]&lt;=35, "Vegetative",Table4_2[[#This Row],[Growth Days]]&lt;=50, "Maturity")</f>
        <v>Vegetative</v>
      </c>
      <c r="L2190" t="str">
        <f>IF(Table4_2[[#This Row],[TDS Value (ppm)]]&lt;560, "Low", IF(Table4_2[[#This Row],[TDS Value (ppm)]]&lt;=800,"Optimal","High"))</f>
        <v>Low</v>
      </c>
    </row>
    <row r="2191" spans="1:12" x14ac:dyDescent="0.25">
      <c r="A2191">
        <v>62</v>
      </c>
      <c r="B2191" s="1">
        <v>45170</v>
      </c>
      <c r="C2191" s="1" t="str">
        <f>TEXT(Table4_2[[#This Row],[Date]],"dddd")</f>
        <v>Friday</v>
      </c>
      <c r="D2191" s="21">
        <v>18.5</v>
      </c>
      <c r="E2191" s="21">
        <v>53</v>
      </c>
      <c r="F2191" s="21">
        <v>427</v>
      </c>
      <c r="G2191" s="21">
        <v>6.3</v>
      </c>
      <c r="H2191">
        <v>30</v>
      </c>
      <c r="I2191">
        <v>65.3</v>
      </c>
      <c r="J2191">
        <v>0.53</v>
      </c>
      <c r="K2191" t="str" cm="1">
        <f t="array" ref="K2191">_xlfn.IFS(Table4_2[[#This Row],[Growth Days]]&lt;=14,"Seedling",Table4_2[[#This Row],[Growth Days]]&lt;=35, "Vegetative",Table4_2[[#This Row],[Growth Days]]&lt;=50, "Maturity")</f>
        <v>Vegetative</v>
      </c>
      <c r="L2191" t="str">
        <f>IF(Table4_2[[#This Row],[TDS Value (ppm)]]&lt;560, "Low", IF(Table4_2[[#This Row],[TDS Value (ppm)]]&lt;=800,"Optimal","High"))</f>
        <v>Low</v>
      </c>
    </row>
    <row r="2192" spans="1:12" x14ac:dyDescent="0.25">
      <c r="A2192">
        <v>62</v>
      </c>
      <c r="B2192" s="1">
        <v>45177</v>
      </c>
      <c r="C2192" s="1" t="str">
        <f>TEXT(Table4_2[[#This Row],[Date]],"dddd")</f>
        <v>Friday</v>
      </c>
      <c r="D2192" s="21">
        <v>19.100000000000001</v>
      </c>
      <c r="E2192" s="21">
        <v>72</v>
      </c>
      <c r="F2192" s="21">
        <v>462</v>
      </c>
      <c r="G2192" s="21">
        <v>6.5</v>
      </c>
      <c r="H2192">
        <v>37</v>
      </c>
      <c r="I2192">
        <v>66.38</v>
      </c>
      <c r="J2192">
        <v>0.72</v>
      </c>
      <c r="K2192" t="str" cm="1">
        <f t="array" ref="K2192">_xlfn.IFS(Table4_2[[#This Row],[Growth Days]]&lt;=14,"Seedling",Table4_2[[#This Row],[Growth Days]]&lt;=35, "Vegetative",Table4_2[[#This Row],[Growth Days]]&lt;=50, "Maturity")</f>
        <v>Maturity</v>
      </c>
      <c r="L2192" t="str">
        <f>IF(Table4_2[[#This Row],[TDS Value (ppm)]]&lt;560, "Low", IF(Table4_2[[#This Row],[TDS Value (ppm)]]&lt;=800,"Optimal","High"))</f>
        <v>Low</v>
      </c>
    </row>
    <row r="2193" spans="1:12" x14ac:dyDescent="0.25">
      <c r="A2193">
        <v>62</v>
      </c>
      <c r="B2193" s="1">
        <v>45184</v>
      </c>
      <c r="C2193" s="1" t="str">
        <f>TEXT(Table4_2[[#This Row],[Date]],"dddd")</f>
        <v>Friday</v>
      </c>
      <c r="D2193" s="21">
        <v>21.4</v>
      </c>
      <c r="E2193" s="21">
        <v>70</v>
      </c>
      <c r="F2193" s="21">
        <v>754</v>
      </c>
      <c r="G2193" s="21">
        <v>6.1</v>
      </c>
      <c r="H2193">
        <v>44</v>
      </c>
      <c r="I2193">
        <v>70.52</v>
      </c>
      <c r="J2193">
        <v>0.7</v>
      </c>
      <c r="K2193" t="str" cm="1">
        <f t="array" ref="K2193">_xlfn.IFS(Table4_2[[#This Row],[Growth Days]]&lt;=14,"Seedling",Table4_2[[#This Row],[Growth Days]]&lt;=35, "Vegetative",Table4_2[[#This Row],[Growth Days]]&lt;=50, "Maturity")</f>
        <v>Maturity</v>
      </c>
      <c r="L2193" t="str">
        <f>IF(Table4_2[[#This Row],[TDS Value (ppm)]]&lt;560, "Low", IF(Table4_2[[#This Row],[TDS Value (ppm)]]&lt;=800,"Optimal","High"))</f>
        <v>Optimal</v>
      </c>
    </row>
    <row r="2194" spans="1:12" x14ac:dyDescent="0.25">
      <c r="A2194">
        <v>63</v>
      </c>
      <c r="B2194" s="1">
        <v>45142</v>
      </c>
      <c r="C2194" s="1" t="str">
        <f>TEXT(Table4_2[[#This Row],[Date]],"dddd")</f>
        <v>Friday</v>
      </c>
      <c r="D2194" s="21">
        <v>23.3</v>
      </c>
      <c r="E2194" s="21">
        <v>77</v>
      </c>
      <c r="F2194" s="21">
        <v>713</v>
      </c>
      <c r="G2194" s="21">
        <v>6.5</v>
      </c>
      <c r="H2194">
        <v>2</v>
      </c>
      <c r="I2194">
        <v>73.94</v>
      </c>
      <c r="J2194">
        <v>0.77</v>
      </c>
      <c r="K2194" t="str" cm="1">
        <f t="array" ref="K2194">_xlfn.IFS(Table4_2[[#This Row],[Growth Days]]&lt;=14,"Seedling",Table4_2[[#This Row],[Growth Days]]&lt;=35, "Vegetative",Table4_2[[#This Row],[Growth Days]]&lt;=50, "Maturity")</f>
        <v>Seedling</v>
      </c>
      <c r="L2194" t="str">
        <f>IF(Table4_2[[#This Row],[TDS Value (ppm)]]&lt;560, "Low", IF(Table4_2[[#This Row],[TDS Value (ppm)]]&lt;=800,"Optimal","High"))</f>
        <v>Optimal</v>
      </c>
    </row>
    <row r="2195" spans="1:12" x14ac:dyDescent="0.25">
      <c r="A2195">
        <v>63</v>
      </c>
      <c r="B2195" s="1">
        <v>45149</v>
      </c>
      <c r="C2195" s="1" t="str">
        <f>TEXT(Table4_2[[#This Row],[Date]],"dddd")</f>
        <v>Friday</v>
      </c>
      <c r="D2195" s="21">
        <v>23.2</v>
      </c>
      <c r="E2195" s="21">
        <v>52</v>
      </c>
      <c r="F2195" s="21">
        <v>479</v>
      </c>
      <c r="G2195" s="21">
        <v>6.1</v>
      </c>
      <c r="H2195">
        <v>9</v>
      </c>
      <c r="I2195">
        <v>73.760000000000005</v>
      </c>
      <c r="J2195">
        <v>0.52</v>
      </c>
      <c r="K2195" t="str" cm="1">
        <f t="array" ref="K2195">_xlfn.IFS(Table4_2[[#This Row],[Growth Days]]&lt;=14,"Seedling",Table4_2[[#This Row],[Growth Days]]&lt;=35, "Vegetative",Table4_2[[#This Row],[Growth Days]]&lt;=50, "Maturity")</f>
        <v>Seedling</v>
      </c>
      <c r="L2195" t="str">
        <f>IF(Table4_2[[#This Row],[TDS Value (ppm)]]&lt;560, "Low", IF(Table4_2[[#This Row],[TDS Value (ppm)]]&lt;=800,"Optimal","High"))</f>
        <v>Low</v>
      </c>
    </row>
    <row r="2196" spans="1:12" x14ac:dyDescent="0.25">
      <c r="A2196">
        <v>63</v>
      </c>
      <c r="B2196" s="1">
        <v>45156</v>
      </c>
      <c r="C2196" s="1" t="str">
        <f>TEXT(Table4_2[[#This Row],[Date]],"dddd")</f>
        <v>Friday</v>
      </c>
      <c r="D2196" s="21">
        <v>23.5</v>
      </c>
      <c r="E2196" s="21">
        <v>76</v>
      </c>
      <c r="F2196" s="21">
        <v>478</v>
      </c>
      <c r="G2196" s="21">
        <v>6.1</v>
      </c>
      <c r="H2196">
        <v>16</v>
      </c>
      <c r="I2196">
        <v>74.3</v>
      </c>
      <c r="J2196">
        <v>0.76</v>
      </c>
      <c r="K2196" t="str" cm="1">
        <f t="array" ref="K2196">_xlfn.IFS(Table4_2[[#This Row],[Growth Days]]&lt;=14,"Seedling",Table4_2[[#This Row],[Growth Days]]&lt;=35, "Vegetative",Table4_2[[#This Row],[Growth Days]]&lt;=50, "Maturity")</f>
        <v>Vegetative</v>
      </c>
      <c r="L2196" t="str">
        <f>IF(Table4_2[[#This Row],[TDS Value (ppm)]]&lt;560, "Low", IF(Table4_2[[#This Row],[TDS Value (ppm)]]&lt;=800,"Optimal","High"))</f>
        <v>Low</v>
      </c>
    </row>
    <row r="2197" spans="1:12" x14ac:dyDescent="0.25">
      <c r="A2197">
        <v>63</v>
      </c>
      <c r="B2197" s="1">
        <v>45163</v>
      </c>
      <c r="C2197" s="1" t="str">
        <f>TEXT(Table4_2[[#This Row],[Date]],"dddd")</f>
        <v>Friday</v>
      </c>
      <c r="D2197" s="21">
        <v>24.3</v>
      </c>
      <c r="E2197" s="21">
        <v>55</v>
      </c>
      <c r="F2197" s="21">
        <v>603</v>
      </c>
      <c r="G2197" s="21">
        <v>6.1</v>
      </c>
      <c r="H2197">
        <v>23</v>
      </c>
      <c r="I2197">
        <v>75.739999999999995</v>
      </c>
      <c r="J2197">
        <v>0.55000000000000004</v>
      </c>
      <c r="K2197" t="str" cm="1">
        <f t="array" ref="K2197">_xlfn.IFS(Table4_2[[#This Row],[Growth Days]]&lt;=14,"Seedling",Table4_2[[#This Row],[Growth Days]]&lt;=35, "Vegetative",Table4_2[[#This Row],[Growth Days]]&lt;=50, "Maturity")</f>
        <v>Vegetative</v>
      </c>
      <c r="L2197" t="str">
        <f>IF(Table4_2[[#This Row],[TDS Value (ppm)]]&lt;560, "Low", IF(Table4_2[[#This Row],[TDS Value (ppm)]]&lt;=800,"Optimal","High"))</f>
        <v>Optimal</v>
      </c>
    </row>
    <row r="2198" spans="1:12" x14ac:dyDescent="0.25">
      <c r="A2198">
        <v>63</v>
      </c>
      <c r="B2198" s="1">
        <v>45170</v>
      </c>
      <c r="C2198" s="1" t="str">
        <f>TEXT(Table4_2[[#This Row],[Date]],"dddd")</f>
        <v>Friday</v>
      </c>
      <c r="D2198" s="21">
        <v>21.8</v>
      </c>
      <c r="E2198" s="21">
        <v>71</v>
      </c>
      <c r="F2198" s="21">
        <v>444</v>
      </c>
      <c r="G2198" s="21">
        <v>6.8</v>
      </c>
      <c r="H2198">
        <v>30</v>
      </c>
      <c r="I2198">
        <v>71.239999999999995</v>
      </c>
      <c r="J2198">
        <v>0.71</v>
      </c>
      <c r="K2198" t="str" cm="1">
        <f t="array" ref="K2198">_xlfn.IFS(Table4_2[[#This Row],[Growth Days]]&lt;=14,"Seedling",Table4_2[[#This Row],[Growth Days]]&lt;=35, "Vegetative",Table4_2[[#This Row],[Growth Days]]&lt;=50, "Maturity")</f>
        <v>Vegetative</v>
      </c>
      <c r="L2198" t="str">
        <f>IF(Table4_2[[#This Row],[TDS Value (ppm)]]&lt;560, "Low", IF(Table4_2[[#This Row],[TDS Value (ppm)]]&lt;=800,"Optimal","High"))</f>
        <v>Low</v>
      </c>
    </row>
    <row r="2199" spans="1:12" x14ac:dyDescent="0.25">
      <c r="A2199">
        <v>63</v>
      </c>
      <c r="B2199" s="1">
        <v>45177</v>
      </c>
      <c r="C2199" s="1" t="str">
        <f>TEXT(Table4_2[[#This Row],[Date]],"dddd")</f>
        <v>Friday</v>
      </c>
      <c r="D2199" s="21">
        <v>22.4</v>
      </c>
      <c r="E2199" s="21">
        <v>69</v>
      </c>
      <c r="F2199" s="21">
        <v>708</v>
      </c>
      <c r="G2199" s="21">
        <v>6</v>
      </c>
      <c r="H2199">
        <v>37</v>
      </c>
      <c r="I2199">
        <v>72.319999999999993</v>
      </c>
      <c r="J2199">
        <v>0.69</v>
      </c>
      <c r="K2199" t="str" cm="1">
        <f t="array" ref="K2199">_xlfn.IFS(Table4_2[[#This Row],[Growth Days]]&lt;=14,"Seedling",Table4_2[[#This Row],[Growth Days]]&lt;=35, "Vegetative",Table4_2[[#This Row],[Growth Days]]&lt;=50, "Maturity")</f>
        <v>Maturity</v>
      </c>
      <c r="L2199" t="str">
        <f>IF(Table4_2[[#This Row],[TDS Value (ppm)]]&lt;560, "Low", IF(Table4_2[[#This Row],[TDS Value (ppm)]]&lt;=800,"Optimal","High"))</f>
        <v>Optimal</v>
      </c>
    </row>
    <row r="2200" spans="1:12" x14ac:dyDescent="0.25">
      <c r="A2200">
        <v>63</v>
      </c>
      <c r="B2200" s="1">
        <v>45184</v>
      </c>
      <c r="C2200" s="1" t="str">
        <f>TEXT(Table4_2[[#This Row],[Date]],"dddd")</f>
        <v>Friday</v>
      </c>
      <c r="D2200" s="21">
        <v>23.5</v>
      </c>
      <c r="E2200" s="21">
        <v>53</v>
      </c>
      <c r="F2200" s="21">
        <v>560</v>
      </c>
      <c r="G2200" s="21">
        <v>6.6</v>
      </c>
      <c r="H2200">
        <v>44</v>
      </c>
      <c r="I2200">
        <v>74.3</v>
      </c>
      <c r="J2200">
        <v>0.53</v>
      </c>
      <c r="K2200" t="str" cm="1">
        <f t="array" ref="K2200">_xlfn.IFS(Table4_2[[#This Row],[Growth Days]]&lt;=14,"Seedling",Table4_2[[#This Row],[Growth Days]]&lt;=35, "Vegetative",Table4_2[[#This Row],[Growth Days]]&lt;=50, "Maturity")</f>
        <v>Maturity</v>
      </c>
      <c r="L2200" t="str">
        <f>IF(Table4_2[[#This Row],[TDS Value (ppm)]]&lt;560, "Low", IF(Table4_2[[#This Row],[TDS Value (ppm)]]&lt;=800,"Optimal","High"))</f>
        <v>Optimal</v>
      </c>
    </row>
    <row r="2201" spans="1:12" x14ac:dyDescent="0.25">
      <c r="A2201">
        <v>64</v>
      </c>
      <c r="B2201" s="1">
        <v>45142</v>
      </c>
      <c r="C2201" s="1" t="str">
        <f>TEXT(Table4_2[[#This Row],[Date]],"dddd")</f>
        <v>Friday</v>
      </c>
      <c r="D2201" s="21">
        <v>18.3</v>
      </c>
      <c r="E2201" s="21">
        <v>70</v>
      </c>
      <c r="F2201" s="21">
        <v>581</v>
      </c>
      <c r="G2201" s="21">
        <v>6.5</v>
      </c>
      <c r="H2201">
        <v>2</v>
      </c>
      <c r="I2201">
        <v>64.94</v>
      </c>
      <c r="J2201">
        <v>0.7</v>
      </c>
      <c r="K2201" t="str" cm="1">
        <f t="array" ref="K2201">_xlfn.IFS(Table4_2[[#This Row],[Growth Days]]&lt;=14,"Seedling",Table4_2[[#This Row],[Growth Days]]&lt;=35, "Vegetative",Table4_2[[#This Row],[Growth Days]]&lt;=50, "Maturity")</f>
        <v>Seedling</v>
      </c>
      <c r="L2201" t="str">
        <f>IF(Table4_2[[#This Row],[TDS Value (ppm)]]&lt;560, "Low", IF(Table4_2[[#This Row],[TDS Value (ppm)]]&lt;=800,"Optimal","High"))</f>
        <v>Optimal</v>
      </c>
    </row>
    <row r="2202" spans="1:12" x14ac:dyDescent="0.25">
      <c r="A2202">
        <v>64</v>
      </c>
      <c r="B2202" s="1">
        <v>45149</v>
      </c>
      <c r="C2202" s="1" t="str">
        <f>TEXT(Table4_2[[#This Row],[Date]],"dddd")</f>
        <v>Friday</v>
      </c>
      <c r="D2202" s="21">
        <v>22.3</v>
      </c>
      <c r="E2202" s="21">
        <v>64</v>
      </c>
      <c r="F2202" s="21">
        <v>749</v>
      </c>
      <c r="G2202" s="21">
        <v>6.6</v>
      </c>
      <c r="H2202">
        <v>9</v>
      </c>
      <c r="I2202">
        <v>72.14</v>
      </c>
      <c r="J2202">
        <v>0.64</v>
      </c>
      <c r="K2202" t="str" cm="1">
        <f t="array" ref="K2202">_xlfn.IFS(Table4_2[[#This Row],[Growth Days]]&lt;=14,"Seedling",Table4_2[[#This Row],[Growth Days]]&lt;=35, "Vegetative",Table4_2[[#This Row],[Growth Days]]&lt;=50, "Maturity")</f>
        <v>Seedling</v>
      </c>
      <c r="L2202" t="str">
        <f>IF(Table4_2[[#This Row],[TDS Value (ppm)]]&lt;560, "Low", IF(Table4_2[[#This Row],[TDS Value (ppm)]]&lt;=800,"Optimal","High"))</f>
        <v>Optimal</v>
      </c>
    </row>
    <row r="2203" spans="1:12" x14ac:dyDescent="0.25">
      <c r="A2203">
        <v>64</v>
      </c>
      <c r="B2203" s="1">
        <v>45156</v>
      </c>
      <c r="C2203" s="1" t="str">
        <f>TEXT(Table4_2[[#This Row],[Date]],"dddd")</f>
        <v>Friday</v>
      </c>
      <c r="D2203" s="21">
        <v>22.3</v>
      </c>
      <c r="E2203" s="21">
        <v>60</v>
      </c>
      <c r="F2203" s="21">
        <v>433</v>
      </c>
      <c r="G2203" s="21">
        <v>6.2</v>
      </c>
      <c r="H2203">
        <v>16</v>
      </c>
      <c r="I2203">
        <v>72.14</v>
      </c>
      <c r="J2203">
        <v>0.6</v>
      </c>
      <c r="K2203" t="str" cm="1">
        <f t="array" ref="K2203">_xlfn.IFS(Table4_2[[#This Row],[Growth Days]]&lt;=14,"Seedling",Table4_2[[#This Row],[Growth Days]]&lt;=35, "Vegetative",Table4_2[[#This Row],[Growth Days]]&lt;=50, "Maturity")</f>
        <v>Vegetative</v>
      </c>
      <c r="L2203" t="str">
        <f>IF(Table4_2[[#This Row],[TDS Value (ppm)]]&lt;560, "Low", IF(Table4_2[[#This Row],[TDS Value (ppm)]]&lt;=800,"Optimal","High"))</f>
        <v>Low</v>
      </c>
    </row>
    <row r="2204" spans="1:12" x14ac:dyDescent="0.25">
      <c r="A2204">
        <v>64</v>
      </c>
      <c r="B2204" s="1">
        <v>45163</v>
      </c>
      <c r="C2204" s="1" t="str">
        <f>TEXT(Table4_2[[#This Row],[Date]],"dddd")</f>
        <v>Friday</v>
      </c>
      <c r="D2204" s="21">
        <v>20.8</v>
      </c>
      <c r="E2204" s="21">
        <v>80</v>
      </c>
      <c r="F2204" s="21">
        <v>634</v>
      </c>
      <c r="G2204" s="21">
        <v>6.7</v>
      </c>
      <c r="H2204">
        <v>23</v>
      </c>
      <c r="I2204">
        <v>69.44</v>
      </c>
      <c r="J2204">
        <v>0.8</v>
      </c>
      <c r="K2204" t="str" cm="1">
        <f t="array" ref="K2204">_xlfn.IFS(Table4_2[[#This Row],[Growth Days]]&lt;=14,"Seedling",Table4_2[[#This Row],[Growth Days]]&lt;=35, "Vegetative",Table4_2[[#This Row],[Growth Days]]&lt;=50, "Maturity")</f>
        <v>Vegetative</v>
      </c>
      <c r="L2204" t="str">
        <f>IF(Table4_2[[#This Row],[TDS Value (ppm)]]&lt;560, "Low", IF(Table4_2[[#This Row],[TDS Value (ppm)]]&lt;=800,"Optimal","High"))</f>
        <v>Optimal</v>
      </c>
    </row>
    <row r="2205" spans="1:12" x14ac:dyDescent="0.25">
      <c r="A2205">
        <v>64</v>
      </c>
      <c r="B2205" s="1">
        <v>45170</v>
      </c>
      <c r="C2205" s="1" t="str">
        <f>TEXT(Table4_2[[#This Row],[Date]],"dddd")</f>
        <v>Friday</v>
      </c>
      <c r="D2205" s="21">
        <v>18.600000000000001</v>
      </c>
      <c r="E2205" s="21">
        <v>80</v>
      </c>
      <c r="F2205" s="21">
        <v>443</v>
      </c>
      <c r="G2205" s="21">
        <v>6.8</v>
      </c>
      <c r="H2205">
        <v>30</v>
      </c>
      <c r="I2205">
        <v>65.48</v>
      </c>
      <c r="J2205">
        <v>0.8</v>
      </c>
      <c r="K2205" t="str" cm="1">
        <f t="array" ref="K2205">_xlfn.IFS(Table4_2[[#This Row],[Growth Days]]&lt;=14,"Seedling",Table4_2[[#This Row],[Growth Days]]&lt;=35, "Vegetative",Table4_2[[#This Row],[Growth Days]]&lt;=50, "Maturity")</f>
        <v>Vegetative</v>
      </c>
      <c r="L2205" t="str">
        <f>IF(Table4_2[[#This Row],[TDS Value (ppm)]]&lt;560, "Low", IF(Table4_2[[#This Row],[TDS Value (ppm)]]&lt;=800,"Optimal","High"))</f>
        <v>Low</v>
      </c>
    </row>
    <row r="2206" spans="1:12" x14ac:dyDescent="0.25">
      <c r="A2206">
        <v>64</v>
      </c>
      <c r="B2206" s="1">
        <v>45177</v>
      </c>
      <c r="C2206" s="1" t="str">
        <f>TEXT(Table4_2[[#This Row],[Date]],"dddd")</f>
        <v>Friday</v>
      </c>
      <c r="D2206" s="21">
        <v>18.899999999999999</v>
      </c>
      <c r="E2206" s="21">
        <v>68</v>
      </c>
      <c r="F2206" s="21">
        <v>781</v>
      </c>
      <c r="G2206" s="21">
        <v>6.1</v>
      </c>
      <c r="H2206">
        <v>37</v>
      </c>
      <c r="I2206">
        <v>66.02</v>
      </c>
      <c r="J2206">
        <v>0.68</v>
      </c>
      <c r="K2206" t="str" cm="1">
        <f t="array" ref="K2206">_xlfn.IFS(Table4_2[[#This Row],[Growth Days]]&lt;=14,"Seedling",Table4_2[[#This Row],[Growth Days]]&lt;=35, "Vegetative",Table4_2[[#This Row],[Growth Days]]&lt;=50, "Maturity")</f>
        <v>Maturity</v>
      </c>
      <c r="L2206" t="str">
        <f>IF(Table4_2[[#This Row],[TDS Value (ppm)]]&lt;560, "Low", IF(Table4_2[[#This Row],[TDS Value (ppm)]]&lt;=800,"Optimal","High"))</f>
        <v>Optimal</v>
      </c>
    </row>
    <row r="2207" spans="1:12" x14ac:dyDescent="0.25">
      <c r="A2207">
        <v>64</v>
      </c>
      <c r="B2207" s="1">
        <v>45184</v>
      </c>
      <c r="C2207" s="1" t="str">
        <f>TEXT(Table4_2[[#This Row],[Date]],"dddd")</f>
        <v>Friday</v>
      </c>
      <c r="D2207" s="21">
        <v>23.5</v>
      </c>
      <c r="E2207" s="21">
        <v>72</v>
      </c>
      <c r="F2207" s="21">
        <v>422</v>
      </c>
      <c r="G2207" s="21">
        <v>6.6</v>
      </c>
      <c r="H2207">
        <v>44</v>
      </c>
      <c r="I2207">
        <v>74.3</v>
      </c>
      <c r="J2207">
        <v>0.72</v>
      </c>
      <c r="K2207" t="str" cm="1">
        <f t="array" ref="K2207">_xlfn.IFS(Table4_2[[#This Row],[Growth Days]]&lt;=14,"Seedling",Table4_2[[#This Row],[Growth Days]]&lt;=35, "Vegetative",Table4_2[[#This Row],[Growth Days]]&lt;=50, "Maturity")</f>
        <v>Maturity</v>
      </c>
      <c r="L2207" t="str">
        <f>IF(Table4_2[[#This Row],[TDS Value (ppm)]]&lt;560, "Low", IF(Table4_2[[#This Row],[TDS Value (ppm)]]&lt;=800,"Optimal","High"))</f>
        <v>Low</v>
      </c>
    </row>
    <row r="2208" spans="1:12" x14ac:dyDescent="0.25">
      <c r="A2208">
        <v>65</v>
      </c>
      <c r="B2208" s="1">
        <v>45142</v>
      </c>
      <c r="C2208" s="1" t="str">
        <f>TEXT(Table4_2[[#This Row],[Date]],"dddd")</f>
        <v>Friday</v>
      </c>
      <c r="D2208" s="21">
        <v>24.2</v>
      </c>
      <c r="E2208" s="21">
        <v>74</v>
      </c>
      <c r="F2208" s="21">
        <v>492</v>
      </c>
      <c r="G2208" s="21">
        <v>6.8</v>
      </c>
      <c r="H2208">
        <v>2</v>
      </c>
      <c r="I2208">
        <v>75.56</v>
      </c>
      <c r="J2208">
        <v>0.74</v>
      </c>
      <c r="K2208" t="str" cm="1">
        <f t="array" ref="K2208">_xlfn.IFS(Table4_2[[#This Row],[Growth Days]]&lt;=14,"Seedling",Table4_2[[#This Row],[Growth Days]]&lt;=35, "Vegetative",Table4_2[[#This Row],[Growth Days]]&lt;=50, "Maturity")</f>
        <v>Seedling</v>
      </c>
      <c r="L2208" t="str">
        <f>IF(Table4_2[[#This Row],[TDS Value (ppm)]]&lt;560, "Low", IF(Table4_2[[#This Row],[TDS Value (ppm)]]&lt;=800,"Optimal","High"))</f>
        <v>Low</v>
      </c>
    </row>
    <row r="2209" spans="1:12" x14ac:dyDescent="0.25">
      <c r="A2209">
        <v>65</v>
      </c>
      <c r="B2209" s="1">
        <v>45149</v>
      </c>
      <c r="C2209" s="1" t="str">
        <f>TEXT(Table4_2[[#This Row],[Date]],"dddd")</f>
        <v>Friday</v>
      </c>
      <c r="D2209" s="21">
        <v>19.399999999999999</v>
      </c>
      <c r="E2209" s="21">
        <v>79</v>
      </c>
      <c r="F2209" s="21">
        <v>443</v>
      </c>
      <c r="G2209" s="21">
        <v>6.1</v>
      </c>
      <c r="H2209">
        <v>9</v>
      </c>
      <c r="I2209">
        <v>66.92</v>
      </c>
      <c r="J2209">
        <v>0.79</v>
      </c>
      <c r="K2209" t="str" cm="1">
        <f t="array" ref="K2209">_xlfn.IFS(Table4_2[[#This Row],[Growth Days]]&lt;=14,"Seedling",Table4_2[[#This Row],[Growth Days]]&lt;=35, "Vegetative",Table4_2[[#This Row],[Growth Days]]&lt;=50, "Maturity")</f>
        <v>Seedling</v>
      </c>
      <c r="L2209" t="str">
        <f>IF(Table4_2[[#This Row],[TDS Value (ppm)]]&lt;560, "Low", IF(Table4_2[[#This Row],[TDS Value (ppm)]]&lt;=800,"Optimal","High"))</f>
        <v>Low</v>
      </c>
    </row>
    <row r="2210" spans="1:12" x14ac:dyDescent="0.25">
      <c r="A2210">
        <v>65</v>
      </c>
      <c r="B2210" s="1">
        <v>45156</v>
      </c>
      <c r="C2210" s="1" t="str">
        <f>TEXT(Table4_2[[#This Row],[Date]],"dddd")</f>
        <v>Friday</v>
      </c>
      <c r="D2210" s="21">
        <v>18.8</v>
      </c>
      <c r="E2210" s="21">
        <v>66</v>
      </c>
      <c r="F2210" s="21">
        <v>555</v>
      </c>
      <c r="G2210" s="21">
        <v>6.8</v>
      </c>
      <c r="H2210">
        <v>16</v>
      </c>
      <c r="I2210">
        <v>65.84</v>
      </c>
      <c r="J2210">
        <v>0.66</v>
      </c>
      <c r="K2210" t="str" cm="1">
        <f t="array" ref="K2210">_xlfn.IFS(Table4_2[[#This Row],[Growth Days]]&lt;=14,"Seedling",Table4_2[[#This Row],[Growth Days]]&lt;=35, "Vegetative",Table4_2[[#This Row],[Growth Days]]&lt;=50, "Maturity")</f>
        <v>Vegetative</v>
      </c>
      <c r="L2210" t="str">
        <f>IF(Table4_2[[#This Row],[TDS Value (ppm)]]&lt;560, "Low", IF(Table4_2[[#This Row],[TDS Value (ppm)]]&lt;=800,"Optimal","High"))</f>
        <v>Low</v>
      </c>
    </row>
    <row r="2211" spans="1:12" x14ac:dyDescent="0.25">
      <c r="A2211">
        <v>65</v>
      </c>
      <c r="B2211" s="1">
        <v>45163</v>
      </c>
      <c r="C2211" s="1" t="str">
        <f>TEXT(Table4_2[[#This Row],[Date]],"dddd")</f>
        <v>Friday</v>
      </c>
      <c r="D2211" s="21">
        <v>22.2</v>
      </c>
      <c r="E2211" s="21">
        <v>52</v>
      </c>
      <c r="F2211" s="21">
        <v>401</v>
      </c>
      <c r="G2211" s="21">
        <v>6.6</v>
      </c>
      <c r="H2211">
        <v>23</v>
      </c>
      <c r="I2211">
        <v>71.959999999999994</v>
      </c>
      <c r="J2211">
        <v>0.52</v>
      </c>
      <c r="K2211" t="str" cm="1">
        <f t="array" ref="K2211">_xlfn.IFS(Table4_2[[#This Row],[Growth Days]]&lt;=14,"Seedling",Table4_2[[#This Row],[Growth Days]]&lt;=35, "Vegetative",Table4_2[[#This Row],[Growth Days]]&lt;=50, "Maturity")</f>
        <v>Vegetative</v>
      </c>
      <c r="L2211" t="str">
        <f>IF(Table4_2[[#This Row],[TDS Value (ppm)]]&lt;560, "Low", IF(Table4_2[[#This Row],[TDS Value (ppm)]]&lt;=800,"Optimal","High"))</f>
        <v>Low</v>
      </c>
    </row>
    <row r="2212" spans="1:12" x14ac:dyDescent="0.25">
      <c r="A2212">
        <v>65</v>
      </c>
      <c r="B2212" s="1">
        <v>45170</v>
      </c>
      <c r="C2212" s="1" t="str">
        <f>TEXT(Table4_2[[#This Row],[Date]],"dddd")</f>
        <v>Friday</v>
      </c>
      <c r="D2212" s="21">
        <v>21.8</v>
      </c>
      <c r="E2212" s="21">
        <v>51</v>
      </c>
      <c r="F2212" s="21">
        <v>717</v>
      </c>
      <c r="G2212" s="21">
        <v>6.5</v>
      </c>
      <c r="H2212">
        <v>30</v>
      </c>
      <c r="I2212">
        <v>71.239999999999995</v>
      </c>
      <c r="J2212">
        <v>0.51</v>
      </c>
      <c r="K2212" t="str" cm="1">
        <f t="array" ref="K2212">_xlfn.IFS(Table4_2[[#This Row],[Growth Days]]&lt;=14,"Seedling",Table4_2[[#This Row],[Growth Days]]&lt;=35, "Vegetative",Table4_2[[#This Row],[Growth Days]]&lt;=50, "Maturity")</f>
        <v>Vegetative</v>
      </c>
      <c r="L2212" t="str">
        <f>IF(Table4_2[[#This Row],[TDS Value (ppm)]]&lt;560, "Low", IF(Table4_2[[#This Row],[TDS Value (ppm)]]&lt;=800,"Optimal","High"))</f>
        <v>Optimal</v>
      </c>
    </row>
    <row r="2213" spans="1:12" x14ac:dyDescent="0.25">
      <c r="A2213">
        <v>65</v>
      </c>
      <c r="B2213" s="1">
        <v>45177</v>
      </c>
      <c r="C2213" s="1" t="str">
        <f>TEXT(Table4_2[[#This Row],[Date]],"dddd")</f>
        <v>Friday</v>
      </c>
      <c r="D2213" s="21">
        <v>18.2</v>
      </c>
      <c r="E2213" s="21">
        <v>80</v>
      </c>
      <c r="F2213" s="21">
        <v>593</v>
      </c>
      <c r="G2213" s="21">
        <v>6.5</v>
      </c>
      <c r="H2213">
        <v>37</v>
      </c>
      <c r="I2213">
        <v>64.760000000000005</v>
      </c>
      <c r="J2213">
        <v>0.8</v>
      </c>
      <c r="K2213" t="str" cm="1">
        <f t="array" ref="K2213">_xlfn.IFS(Table4_2[[#This Row],[Growth Days]]&lt;=14,"Seedling",Table4_2[[#This Row],[Growth Days]]&lt;=35, "Vegetative",Table4_2[[#This Row],[Growth Days]]&lt;=50, "Maturity")</f>
        <v>Maturity</v>
      </c>
      <c r="L2213" t="str">
        <f>IF(Table4_2[[#This Row],[TDS Value (ppm)]]&lt;560, "Low", IF(Table4_2[[#This Row],[TDS Value (ppm)]]&lt;=800,"Optimal","High"))</f>
        <v>Optimal</v>
      </c>
    </row>
    <row r="2214" spans="1:12" x14ac:dyDescent="0.25">
      <c r="A2214">
        <v>65</v>
      </c>
      <c r="B2214" s="1">
        <v>45184</v>
      </c>
      <c r="C2214" s="1" t="str">
        <f>TEXT(Table4_2[[#This Row],[Date]],"dddd")</f>
        <v>Friday</v>
      </c>
      <c r="D2214" s="21">
        <v>21.8</v>
      </c>
      <c r="E2214" s="21">
        <v>58</v>
      </c>
      <c r="F2214" s="21">
        <v>679</v>
      </c>
      <c r="G2214" s="21">
        <v>6</v>
      </c>
      <c r="H2214">
        <v>44</v>
      </c>
      <c r="I2214">
        <v>71.239999999999995</v>
      </c>
      <c r="J2214">
        <v>0.57999999999999996</v>
      </c>
      <c r="K2214" t="str" cm="1">
        <f t="array" ref="K2214">_xlfn.IFS(Table4_2[[#This Row],[Growth Days]]&lt;=14,"Seedling",Table4_2[[#This Row],[Growth Days]]&lt;=35, "Vegetative",Table4_2[[#This Row],[Growth Days]]&lt;=50, "Maturity")</f>
        <v>Maturity</v>
      </c>
      <c r="L2214" t="str">
        <f>IF(Table4_2[[#This Row],[TDS Value (ppm)]]&lt;560, "Low", IF(Table4_2[[#This Row],[TDS Value (ppm)]]&lt;=800,"Optimal","High"))</f>
        <v>Optimal</v>
      </c>
    </row>
    <row r="2215" spans="1:12" x14ac:dyDescent="0.25">
      <c r="A2215">
        <v>66</v>
      </c>
      <c r="B2215" s="1">
        <v>45142</v>
      </c>
      <c r="C2215" s="1" t="str">
        <f>TEXT(Table4_2[[#This Row],[Date]],"dddd")</f>
        <v>Friday</v>
      </c>
      <c r="D2215" s="21">
        <v>23.4</v>
      </c>
      <c r="E2215" s="21">
        <v>68</v>
      </c>
      <c r="F2215" s="21">
        <v>563</v>
      </c>
      <c r="G2215" s="21">
        <v>6.6</v>
      </c>
      <c r="H2215">
        <v>2</v>
      </c>
      <c r="I2215">
        <v>74.12</v>
      </c>
      <c r="J2215">
        <v>0.68</v>
      </c>
      <c r="K2215" t="str" cm="1">
        <f t="array" ref="K2215">_xlfn.IFS(Table4_2[[#This Row],[Growth Days]]&lt;=14,"Seedling",Table4_2[[#This Row],[Growth Days]]&lt;=35, "Vegetative",Table4_2[[#This Row],[Growth Days]]&lt;=50, "Maturity")</f>
        <v>Seedling</v>
      </c>
      <c r="L2215" t="str">
        <f>IF(Table4_2[[#This Row],[TDS Value (ppm)]]&lt;560, "Low", IF(Table4_2[[#This Row],[TDS Value (ppm)]]&lt;=800,"Optimal","High"))</f>
        <v>Optimal</v>
      </c>
    </row>
    <row r="2216" spans="1:12" x14ac:dyDescent="0.25">
      <c r="A2216">
        <v>66</v>
      </c>
      <c r="B2216" s="1">
        <v>45149</v>
      </c>
      <c r="C2216" s="1" t="str">
        <f>TEXT(Table4_2[[#This Row],[Date]],"dddd")</f>
        <v>Friday</v>
      </c>
      <c r="D2216" s="21">
        <v>20.399999999999999</v>
      </c>
      <c r="E2216" s="21">
        <v>73</v>
      </c>
      <c r="F2216" s="21">
        <v>623</v>
      </c>
      <c r="G2216" s="21">
        <v>6.7</v>
      </c>
      <c r="H2216">
        <v>9</v>
      </c>
      <c r="I2216">
        <v>68.72</v>
      </c>
      <c r="J2216">
        <v>0.73</v>
      </c>
      <c r="K2216" t="str" cm="1">
        <f t="array" ref="K2216">_xlfn.IFS(Table4_2[[#This Row],[Growth Days]]&lt;=14,"Seedling",Table4_2[[#This Row],[Growth Days]]&lt;=35, "Vegetative",Table4_2[[#This Row],[Growth Days]]&lt;=50, "Maturity")</f>
        <v>Seedling</v>
      </c>
      <c r="L2216" t="str">
        <f>IF(Table4_2[[#This Row],[TDS Value (ppm)]]&lt;560, "Low", IF(Table4_2[[#This Row],[TDS Value (ppm)]]&lt;=800,"Optimal","High"))</f>
        <v>Optimal</v>
      </c>
    </row>
    <row r="2217" spans="1:12" x14ac:dyDescent="0.25">
      <c r="A2217">
        <v>66</v>
      </c>
      <c r="B2217" s="1">
        <v>45156</v>
      </c>
      <c r="C2217" s="1" t="str">
        <f>TEXT(Table4_2[[#This Row],[Date]],"dddd")</f>
        <v>Friday</v>
      </c>
      <c r="D2217" s="21">
        <v>19.2</v>
      </c>
      <c r="E2217" s="21">
        <v>52</v>
      </c>
      <c r="F2217" s="21">
        <v>550</v>
      </c>
      <c r="G2217" s="21">
        <v>6.7</v>
      </c>
      <c r="H2217">
        <v>16</v>
      </c>
      <c r="I2217">
        <v>66.56</v>
      </c>
      <c r="J2217">
        <v>0.52</v>
      </c>
      <c r="K2217" t="str" cm="1">
        <f t="array" ref="K2217">_xlfn.IFS(Table4_2[[#This Row],[Growth Days]]&lt;=14,"Seedling",Table4_2[[#This Row],[Growth Days]]&lt;=35, "Vegetative",Table4_2[[#This Row],[Growth Days]]&lt;=50, "Maturity")</f>
        <v>Vegetative</v>
      </c>
      <c r="L2217" t="str">
        <f>IF(Table4_2[[#This Row],[TDS Value (ppm)]]&lt;560, "Low", IF(Table4_2[[#This Row],[TDS Value (ppm)]]&lt;=800,"Optimal","High"))</f>
        <v>Low</v>
      </c>
    </row>
    <row r="2218" spans="1:12" x14ac:dyDescent="0.25">
      <c r="A2218">
        <v>66</v>
      </c>
      <c r="B2218" s="1">
        <v>45163</v>
      </c>
      <c r="C2218" s="1" t="str">
        <f>TEXT(Table4_2[[#This Row],[Date]],"dddd")</f>
        <v>Friday</v>
      </c>
      <c r="D2218" s="21">
        <v>21.6</v>
      </c>
      <c r="E2218" s="21">
        <v>70</v>
      </c>
      <c r="F2218" s="21">
        <v>432</v>
      </c>
      <c r="G2218" s="21">
        <v>6.5</v>
      </c>
      <c r="H2218">
        <v>23</v>
      </c>
      <c r="I2218">
        <v>70.88</v>
      </c>
      <c r="J2218">
        <v>0.7</v>
      </c>
      <c r="K2218" t="str" cm="1">
        <f t="array" ref="K2218">_xlfn.IFS(Table4_2[[#This Row],[Growth Days]]&lt;=14,"Seedling",Table4_2[[#This Row],[Growth Days]]&lt;=35, "Vegetative",Table4_2[[#This Row],[Growth Days]]&lt;=50, "Maturity")</f>
        <v>Vegetative</v>
      </c>
      <c r="L2218" t="str">
        <f>IF(Table4_2[[#This Row],[TDS Value (ppm)]]&lt;560, "Low", IF(Table4_2[[#This Row],[TDS Value (ppm)]]&lt;=800,"Optimal","High"))</f>
        <v>Low</v>
      </c>
    </row>
    <row r="2219" spans="1:12" x14ac:dyDescent="0.25">
      <c r="A2219">
        <v>66</v>
      </c>
      <c r="B2219" s="1">
        <v>45170</v>
      </c>
      <c r="C2219" s="1" t="str">
        <f>TEXT(Table4_2[[#This Row],[Date]],"dddd")</f>
        <v>Friday</v>
      </c>
      <c r="D2219" s="21">
        <v>23.6</v>
      </c>
      <c r="E2219" s="21">
        <v>57</v>
      </c>
      <c r="F2219" s="21">
        <v>614</v>
      </c>
      <c r="G2219" s="21">
        <v>6.1</v>
      </c>
      <c r="H2219">
        <v>30</v>
      </c>
      <c r="I2219">
        <v>74.48</v>
      </c>
      <c r="J2219">
        <v>0.56999999999999995</v>
      </c>
      <c r="K2219" t="str" cm="1">
        <f t="array" ref="K2219">_xlfn.IFS(Table4_2[[#This Row],[Growth Days]]&lt;=14,"Seedling",Table4_2[[#This Row],[Growth Days]]&lt;=35, "Vegetative",Table4_2[[#This Row],[Growth Days]]&lt;=50, "Maturity")</f>
        <v>Vegetative</v>
      </c>
      <c r="L2219" t="str">
        <f>IF(Table4_2[[#This Row],[TDS Value (ppm)]]&lt;560, "Low", IF(Table4_2[[#This Row],[TDS Value (ppm)]]&lt;=800,"Optimal","High"))</f>
        <v>Optimal</v>
      </c>
    </row>
    <row r="2220" spans="1:12" x14ac:dyDescent="0.25">
      <c r="A2220">
        <v>66</v>
      </c>
      <c r="B2220" s="1">
        <v>45177</v>
      </c>
      <c r="C2220" s="1" t="str">
        <f>TEXT(Table4_2[[#This Row],[Date]],"dddd")</f>
        <v>Friday</v>
      </c>
      <c r="D2220" s="21">
        <v>18.3</v>
      </c>
      <c r="E2220" s="21">
        <v>50</v>
      </c>
      <c r="F2220" s="21">
        <v>670</v>
      </c>
      <c r="G2220" s="21">
        <v>6.2</v>
      </c>
      <c r="H2220">
        <v>37</v>
      </c>
      <c r="I2220">
        <v>64.94</v>
      </c>
      <c r="J2220">
        <v>0.5</v>
      </c>
      <c r="K2220" t="str" cm="1">
        <f t="array" ref="K2220">_xlfn.IFS(Table4_2[[#This Row],[Growth Days]]&lt;=14,"Seedling",Table4_2[[#This Row],[Growth Days]]&lt;=35, "Vegetative",Table4_2[[#This Row],[Growth Days]]&lt;=50, "Maturity")</f>
        <v>Maturity</v>
      </c>
      <c r="L2220" t="str">
        <f>IF(Table4_2[[#This Row],[TDS Value (ppm)]]&lt;560, "Low", IF(Table4_2[[#This Row],[TDS Value (ppm)]]&lt;=800,"Optimal","High"))</f>
        <v>Optimal</v>
      </c>
    </row>
    <row r="2221" spans="1:12" x14ac:dyDescent="0.25">
      <c r="A2221">
        <v>66</v>
      </c>
      <c r="B2221" s="1">
        <v>45184</v>
      </c>
      <c r="C2221" s="1" t="str">
        <f>TEXT(Table4_2[[#This Row],[Date]],"dddd")</f>
        <v>Friday</v>
      </c>
      <c r="D2221" s="21">
        <v>19</v>
      </c>
      <c r="E2221" s="21">
        <v>64</v>
      </c>
      <c r="F2221" s="21">
        <v>731</v>
      </c>
      <c r="G2221" s="21">
        <v>6</v>
      </c>
      <c r="H2221">
        <v>44</v>
      </c>
      <c r="I2221">
        <v>66.2</v>
      </c>
      <c r="J2221">
        <v>0.64</v>
      </c>
      <c r="K2221" t="str" cm="1">
        <f t="array" ref="K2221">_xlfn.IFS(Table4_2[[#This Row],[Growth Days]]&lt;=14,"Seedling",Table4_2[[#This Row],[Growth Days]]&lt;=35, "Vegetative",Table4_2[[#This Row],[Growth Days]]&lt;=50, "Maturity")</f>
        <v>Maturity</v>
      </c>
      <c r="L2221" t="str">
        <f>IF(Table4_2[[#This Row],[TDS Value (ppm)]]&lt;560, "Low", IF(Table4_2[[#This Row],[TDS Value (ppm)]]&lt;=800,"Optimal","High"))</f>
        <v>Optimal</v>
      </c>
    </row>
    <row r="2222" spans="1:12" x14ac:dyDescent="0.25">
      <c r="A2222">
        <v>67</v>
      </c>
      <c r="B2222" s="1">
        <v>45142</v>
      </c>
      <c r="C2222" s="1" t="str">
        <f>TEXT(Table4_2[[#This Row],[Date]],"dddd")</f>
        <v>Friday</v>
      </c>
      <c r="D2222" s="21">
        <v>19.600000000000001</v>
      </c>
      <c r="E2222" s="21">
        <v>62</v>
      </c>
      <c r="F2222" s="21">
        <v>741</v>
      </c>
      <c r="G2222" s="21">
        <v>6.2</v>
      </c>
      <c r="H2222">
        <v>2</v>
      </c>
      <c r="I2222">
        <v>67.28</v>
      </c>
      <c r="J2222">
        <v>0.62</v>
      </c>
      <c r="K2222" t="str" cm="1">
        <f t="array" ref="K2222">_xlfn.IFS(Table4_2[[#This Row],[Growth Days]]&lt;=14,"Seedling",Table4_2[[#This Row],[Growth Days]]&lt;=35, "Vegetative",Table4_2[[#This Row],[Growth Days]]&lt;=50, "Maturity")</f>
        <v>Seedling</v>
      </c>
      <c r="L2222" t="str">
        <f>IF(Table4_2[[#This Row],[TDS Value (ppm)]]&lt;560, "Low", IF(Table4_2[[#This Row],[TDS Value (ppm)]]&lt;=800,"Optimal","High"))</f>
        <v>Optimal</v>
      </c>
    </row>
    <row r="2223" spans="1:12" x14ac:dyDescent="0.25">
      <c r="A2223">
        <v>67</v>
      </c>
      <c r="B2223" s="1">
        <v>45149</v>
      </c>
      <c r="C2223" s="1" t="str">
        <f>TEXT(Table4_2[[#This Row],[Date]],"dddd")</f>
        <v>Friday</v>
      </c>
      <c r="D2223" s="21">
        <v>18.899999999999999</v>
      </c>
      <c r="E2223" s="21">
        <v>58</v>
      </c>
      <c r="F2223" s="21">
        <v>656</v>
      </c>
      <c r="G2223" s="21">
        <v>6.7</v>
      </c>
      <c r="H2223">
        <v>9</v>
      </c>
      <c r="I2223">
        <v>66.02</v>
      </c>
      <c r="J2223">
        <v>0.57999999999999996</v>
      </c>
      <c r="K2223" t="str" cm="1">
        <f t="array" ref="K2223">_xlfn.IFS(Table4_2[[#This Row],[Growth Days]]&lt;=14,"Seedling",Table4_2[[#This Row],[Growth Days]]&lt;=35, "Vegetative",Table4_2[[#This Row],[Growth Days]]&lt;=50, "Maturity")</f>
        <v>Seedling</v>
      </c>
      <c r="L2223" t="str">
        <f>IF(Table4_2[[#This Row],[TDS Value (ppm)]]&lt;560, "Low", IF(Table4_2[[#This Row],[TDS Value (ppm)]]&lt;=800,"Optimal","High"))</f>
        <v>Optimal</v>
      </c>
    </row>
    <row r="2224" spans="1:12" x14ac:dyDescent="0.25">
      <c r="A2224">
        <v>67</v>
      </c>
      <c r="B2224" s="1">
        <v>45156</v>
      </c>
      <c r="C2224" s="1" t="str">
        <f>TEXT(Table4_2[[#This Row],[Date]],"dddd")</f>
        <v>Friday</v>
      </c>
      <c r="D2224" s="21">
        <v>21.3</v>
      </c>
      <c r="E2224" s="21">
        <v>62</v>
      </c>
      <c r="F2224" s="21">
        <v>765</v>
      </c>
      <c r="G2224" s="21">
        <v>6.7</v>
      </c>
      <c r="H2224">
        <v>16</v>
      </c>
      <c r="I2224">
        <v>70.34</v>
      </c>
      <c r="J2224">
        <v>0.62</v>
      </c>
      <c r="K2224" t="str" cm="1">
        <f t="array" ref="K2224">_xlfn.IFS(Table4_2[[#This Row],[Growth Days]]&lt;=14,"Seedling",Table4_2[[#This Row],[Growth Days]]&lt;=35, "Vegetative",Table4_2[[#This Row],[Growth Days]]&lt;=50, "Maturity")</f>
        <v>Vegetative</v>
      </c>
      <c r="L2224" t="str">
        <f>IF(Table4_2[[#This Row],[TDS Value (ppm)]]&lt;560, "Low", IF(Table4_2[[#This Row],[TDS Value (ppm)]]&lt;=800,"Optimal","High"))</f>
        <v>Optimal</v>
      </c>
    </row>
    <row r="2225" spans="1:12" x14ac:dyDescent="0.25">
      <c r="A2225">
        <v>67</v>
      </c>
      <c r="B2225" s="1">
        <v>45163</v>
      </c>
      <c r="C2225" s="1" t="str">
        <f>TEXT(Table4_2[[#This Row],[Date]],"dddd")</f>
        <v>Friday</v>
      </c>
      <c r="D2225" s="21">
        <v>21.9</v>
      </c>
      <c r="E2225" s="21">
        <v>51</v>
      </c>
      <c r="F2225" s="21">
        <v>700</v>
      </c>
      <c r="G2225" s="21">
        <v>6.5</v>
      </c>
      <c r="H2225">
        <v>23</v>
      </c>
      <c r="I2225">
        <v>71.42</v>
      </c>
      <c r="J2225">
        <v>0.51</v>
      </c>
      <c r="K2225" t="str" cm="1">
        <f t="array" ref="K2225">_xlfn.IFS(Table4_2[[#This Row],[Growth Days]]&lt;=14,"Seedling",Table4_2[[#This Row],[Growth Days]]&lt;=35, "Vegetative",Table4_2[[#This Row],[Growth Days]]&lt;=50, "Maturity")</f>
        <v>Vegetative</v>
      </c>
      <c r="L2225" t="str">
        <f>IF(Table4_2[[#This Row],[TDS Value (ppm)]]&lt;560, "Low", IF(Table4_2[[#This Row],[TDS Value (ppm)]]&lt;=800,"Optimal","High"))</f>
        <v>Optimal</v>
      </c>
    </row>
    <row r="2226" spans="1:12" x14ac:dyDescent="0.25">
      <c r="A2226">
        <v>67</v>
      </c>
      <c r="B2226" s="1">
        <v>45170</v>
      </c>
      <c r="C2226" s="1" t="str">
        <f>TEXT(Table4_2[[#This Row],[Date]],"dddd")</f>
        <v>Friday</v>
      </c>
      <c r="D2226" s="21">
        <v>21.5</v>
      </c>
      <c r="E2226" s="21">
        <v>68</v>
      </c>
      <c r="F2226" s="21">
        <v>461</v>
      </c>
      <c r="G2226" s="21">
        <v>6.5</v>
      </c>
      <c r="H2226">
        <v>30</v>
      </c>
      <c r="I2226">
        <v>70.7</v>
      </c>
      <c r="J2226">
        <v>0.68</v>
      </c>
      <c r="K2226" t="str" cm="1">
        <f t="array" ref="K2226">_xlfn.IFS(Table4_2[[#This Row],[Growth Days]]&lt;=14,"Seedling",Table4_2[[#This Row],[Growth Days]]&lt;=35, "Vegetative",Table4_2[[#This Row],[Growth Days]]&lt;=50, "Maturity")</f>
        <v>Vegetative</v>
      </c>
      <c r="L2226" t="str">
        <f>IF(Table4_2[[#This Row],[TDS Value (ppm)]]&lt;560, "Low", IF(Table4_2[[#This Row],[TDS Value (ppm)]]&lt;=800,"Optimal","High"))</f>
        <v>Low</v>
      </c>
    </row>
    <row r="2227" spans="1:12" x14ac:dyDescent="0.25">
      <c r="A2227">
        <v>67</v>
      </c>
      <c r="B2227" s="1">
        <v>45177</v>
      </c>
      <c r="C2227" s="1" t="str">
        <f>TEXT(Table4_2[[#This Row],[Date]],"dddd")</f>
        <v>Friday</v>
      </c>
      <c r="D2227" s="21">
        <v>18.2</v>
      </c>
      <c r="E2227" s="21">
        <v>79</v>
      </c>
      <c r="F2227" s="21">
        <v>415</v>
      </c>
      <c r="G2227" s="21">
        <v>6.5</v>
      </c>
      <c r="H2227">
        <v>37</v>
      </c>
      <c r="I2227">
        <v>64.760000000000005</v>
      </c>
      <c r="J2227">
        <v>0.79</v>
      </c>
      <c r="K2227" t="str" cm="1">
        <f t="array" ref="K2227">_xlfn.IFS(Table4_2[[#This Row],[Growth Days]]&lt;=14,"Seedling",Table4_2[[#This Row],[Growth Days]]&lt;=35, "Vegetative",Table4_2[[#This Row],[Growth Days]]&lt;=50, "Maturity")</f>
        <v>Maturity</v>
      </c>
      <c r="L2227" t="str">
        <f>IF(Table4_2[[#This Row],[TDS Value (ppm)]]&lt;560, "Low", IF(Table4_2[[#This Row],[TDS Value (ppm)]]&lt;=800,"Optimal","High"))</f>
        <v>Low</v>
      </c>
    </row>
    <row r="2228" spans="1:12" x14ac:dyDescent="0.25">
      <c r="A2228">
        <v>67</v>
      </c>
      <c r="B2228" s="1">
        <v>45184</v>
      </c>
      <c r="C2228" s="1" t="str">
        <f>TEXT(Table4_2[[#This Row],[Date]],"dddd")</f>
        <v>Friday</v>
      </c>
      <c r="D2228" s="21">
        <v>19.899999999999999</v>
      </c>
      <c r="E2228" s="21">
        <v>60</v>
      </c>
      <c r="F2228" s="21">
        <v>711</v>
      </c>
      <c r="G2228" s="21">
        <v>6.3</v>
      </c>
      <c r="H2228">
        <v>44</v>
      </c>
      <c r="I2228">
        <v>67.819999999999993</v>
      </c>
      <c r="J2228">
        <v>0.6</v>
      </c>
      <c r="K2228" t="str" cm="1">
        <f t="array" ref="K2228">_xlfn.IFS(Table4_2[[#This Row],[Growth Days]]&lt;=14,"Seedling",Table4_2[[#This Row],[Growth Days]]&lt;=35, "Vegetative",Table4_2[[#This Row],[Growth Days]]&lt;=50, "Maturity")</f>
        <v>Maturity</v>
      </c>
      <c r="L2228" t="str">
        <f>IF(Table4_2[[#This Row],[TDS Value (ppm)]]&lt;560, "Low", IF(Table4_2[[#This Row],[TDS Value (ppm)]]&lt;=800,"Optimal","High"))</f>
        <v>Optimal</v>
      </c>
    </row>
    <row r="2229" spans="1:12" x14ac:dyDescent="0.25">
      <c r="A2229">
        <v>68</v>
      </c>
      <c r="B2229" s="1">
        <v>45142</v>
      </c>
      <c r="C2229" s="1" t="str">
        <f>TEXT(Table4_2[[#This Row],[Date]],"dddd")</f>
        <v>Friday</v>
      </c>
      <c r="D2229" s="21">
        <v>20.8</v>
      </c>
      <c r="E2229" s="21">
        <v>55</v>
      </c>
      <c r="F2229" s="21">
        <v>692</v>
      </c>
      <c r="G2229" s="21">
        <v>6.4</v>
      </c>
      <c r="H2229">
        <v>2</v>
      </c>
      <c r="I2229">
        <v>69.44</v>
      </c>
      <c r="J2229">
        <v>0.55000000000000004</v>
      </c>
      <c r="K2229" t="str" cm="1">
        <f t="array" ref="K2229">_xlfn.IFS(Table4_2[[#This Row],[Growth Days]]&lt;=14,"Seedling",Table4_2[[#This Row],[Growth Days]]&lt;=35, "Vegetative",Table4_2[[#This Row],[Growth Days]]&lt;=50, "Maturity")</f>
        <v>Seedling</v>
      </c>
      <c r="L2229" t="str">
        <f>IF(Table4_2[[#This Row],[TDS Value (ppm)]]&lt;560, "Low", IF(Table4_2[[#This Row],[TDS Value (ppm)]]&lt;=800,"Optimal","High"))</f>
        <v>Optimal</v>
      </c>
    </row>
    <row r="2230" spans="1:12" x14ac:dyDescent="0.25">
      <c r="A2230">
        <v>68</v>
      </c>
      <c r="B2230" s="1">
        <v>45149</v>
      </c>
      <c r="C2230" s="1" t="str">
        <f>TEXT(Table4_2[[#This Row],[Date]],"dddd")</f>
        <v>Friday</v>
      </c>
      <c r="D2230" s="21">
        <v>20.3</v>
      </c>
      <c r="E2230" s="21">
        <v>67</v>
      </c>
      <c r="F2230" s="21">
        <v>407</v>
      </c>
      <c r="G2230" s="21">
        <v>6.1</v>
      </c>
      <c r="H2230">
        <v>9</v>
      </c>
      <c r="I2230">
        <v>68.540000000000006</v>
      </c>
      <c r="J2230">
        <v>0.67</v>
      </c>
      <c r="K2230" t="str" cm="1">
        <f t="array" ref="K2230">_xlfn.IFS(Table4_2[[#This Row],[Growth Days]]&lt;=14,"Seedling",Table4_2[[#This Row],[Growth Days]]&lt;=35, "Vegetative",Table4_2[[#This Row],[Growth Days]]&lt;=50, "Maturity")</f>
        <v>Seedling</v>
      </c>
      <c r="L2230" t="str">
        <f>IF(Table4_2[[#This Row],[TDS Value (ppm)]]&lt;560, "Low", IF(Table4_2[[#This Row],[TDS Value (ppm)]]&lt;=800,"Optimal","High"))</f>
        <v>Low</v>
      </c>
    </row>
    <row r="2231" spans="1:12" x14ac:dyDescent="0.25">
      <c r="A2231">
        <v>68</v>
      </c>
      <c r="B2231" s="1">
        <v>45156</v>
      </c>
      <c r="C2231" s="1" t="str">
        <f>TEXT(Table4_2[[#This Row],[Date]],"dddd")</f>
        <v>Friday</v>
      </c>
      <c r="D2231" s="21">
        <v>22.5</v>
      </c>
      <c r="E2231" s="21">
        <v>61</v>
      </c>
      <c r="F2231" s="21">
        <v>583</v>
      </c>
      <c r="G2231" s="21">
        <v>6.5</v>
      </c>
      <c r="H2231">
        <v>16</v>
      </c>
      <c r="I2231">
        <v>72.5</v>
      </c>
      <c r="J2231">
        <v>0.61</v>
      </c>
      <c r="K2231" t="str" cm="1">
        <f t="array" ref="K2231">_xlfn.IFS(Table4_2[[#This Row],[Growth Days]]&lt;=14,"Seedling",Table4_2[[#This Row],[Growth Days]]&lt;=35, "Vegetative",Table4_2[[#This Row],[Growth Days]]&lt;=50, "Maturity")</f>
        <v>Vegetative</v>
      </c>
      <c r="L2231" t="str">
        <f>IF(Table4_2[[#This Row],[TDS Value (ppm)]]&lt;560, "Low", IF(Table4_2[[#This Row],[TDS Value (ppm)]]&lt;=800,"Optimal","High"))</f>
        <v>Optimal</v>
      </c>
    </row>
    <row r="2232" spans="1:12" x14ac:dyDescent="0.25">
      <c r="A2232">
        <v>68</v>
      </c>
      <c r="B2232" s="1">
        <v>45163</v>
      </c>
      <c r="C2232" s="1" t="str">
        <f>TEXT(Table4_2[[#This Row],[Date]],"dddd")</f>
        <v>Friday</v>
      </c>
      <c r="D2232" s="21">
        <v>20.9</v>
      </c>
      <c r="E2232" s="21">
        <v>73</v>
      </c>
      <c r="F2232" s="21">
        <v>648</v>
      </c>
      <c r="G2232" s="21">
        <v>6.2</v>
      </c>
      <c r="H2232">
        <v>23</v>
      </c>
      <c r="I2232">
        <v>69.62</v>
      </c>
      <c r="J2232">
        <v>0.73</v>
      </c>
      <c r="K2232" t="str" cm="1">
        <f t="array" ref="K2232">_xlfn.IFS(Table4_2[[#This Row],[Growth Days]]&lt;=14,"Seedling",Table4_2[[#This Row],[Growth Days]]&lt;=35, "Vegetative",Table4_2[[#This Row],[Growth Days]]&lt;=50, "Maturity")</f>
        <v>Vegetative</v>
      </c>
      <c r="L2232" t="str">
        <f>IF(Table4_2[[#This Row],[TDS Value (ppm)]]&lt;560, "Low", IF(Table4_2[[#This Row],[TDS Value (ppm)]]&lt;=800,"Optimal","High"))</f>
        <v>Optimal</v>
      </c>
    </row>
    <row r="2233" spans="1:12" x14ac:dyDescent="0.25">
      <c r="A2233">
        <v>68</v>
      </c>
      <c r="B2233" s="1">
        <v>45170</v>
      </c>
      <c r="C2233" s="1" t="str">
        <f>TEXT(Table4_2[[#This Row],[Date]],"dddd")</f>
        <v>Friday</v>
      </c>
      <c r="D2233" s="21">
        <v>24.2</v>
      </c>
      <c r="E2233" s="21">
        <v>59</v>
      </c>
      <c r="F2233" s="21">
        <v>617</v>
      </c>
      <c r="G2233" s="21">
        <v>6.2</v>
      </c>
      <c r="H2233">
        <v>30</v>
      </c>
      <c r="I2233">
        <v>75.56</v>
      </c>
      <c r="J2233">
        <v>0.59</v>
      </c>
      <c r="K2233" t="str" cm="1">
        <f t="array" ref="K2233">_xlfn.IFS(Table4_2[[#This Row],[Growth Days]]&lt;=14,"Seedling",Table4_2[[#This Row],[Growth Days]]&lt;=35, "Vegetative",Table4_2[[#This Row],[Growth Days]]&lt;=50, "Maturity")</f>
        <v>Vegetative</v>
      </c>
      <c r="L2233" t="str">
        <f>IF(Table4_2[[#This Row],[TDS Value (ppm)]]&lt;560, "Low", IF(Table4_2[[#This Row],[TDS Value (ppm)]]&lt;=800,"Optimal","High"))</f>
        <v>Optimal</v>
      </c>
    </row>
    <row r="2234" spans="1:12" x14ac:dyDescent="0.25">
      <c r="A2234">
        <v>68</v>
      </c>
      <c r="B2234" s="1">
        <v>45177</v>
      </c>
      <c r="C2234" s="1" t="str">
        <f>TEXT(Table4_2[[#This Row],[Date]],"dddd")</f>
        <v>Friday</v>
      </c>
      <c r="D2234" s="21">
        <v>19.899999999999999</v>
      </c>
      <c r="E2234" s="21">
        <v>73</v>
      </c>
      <c r="F2234" s="21">
        <v>481</v>
      </c>
      <c r="G2234" s="21">
        <v>6.7</v>
      </c>
      <c r="H2234">
        <v>37</v>
      </c>
      <c r="I2234">
        <v>67.819999999999993</v>
      </c>
      <c r="J2234">
        <v>0.73</v>
      </c>
      <c r="K2234" t="str" cm="1">
        <f t="array" ref="K2234">_xlfn.IFS(Table4_2[[#This Row],[Growth Days]]&lt;=14,"Seedling",Table4_2[[#This Row],[Growth Days]]&lt;=35, "Vegetative",Table4_2[[#This Row],[Growth Days]]&lt;=50, "Maturity")</f>
        <v>Maturity</v>
      </c>
      <c r="L2234" t="str">
        <f>IF(Table4_2[[#This Row],[TDS Value (ppm)]]&lt;560, "Low", IF(Table4_2[[#This Row],[TDS Value (ppm)]]&lt;=800,"Optimal","High"))</f>
        <v>Low</v>
      </c>
    </row>
    <row r="2235" spans="1:12" x14ac:dyDescent="0.25">
      <c r="A2235">
        <v>68</v>
      </c>
      <c r="B2235" s="1">
        <v>45184</v>
      </c>
      <c r="C2235" s="1" t="str">
        <f>TEXT(Table4_2[[#This Row],[Date]],"dddd")</f>
        <v>Friday</v>
      </c>
      <c r="D2235" s="21">
        <v>24.6</v>
      </c>
      <c r="E2235" s="21">
        <v>74</v>
      </c>
      <c r="F2235" s="21">
        <v>507</v>
      </c>
      <c r="G2235" s="21">
        <v>6.5</v>
      </c>
      <c r="H2235">
        <v>44</v>
      </c>
      <c r="I2235">
        <v>76.28</v>
      </c>
      <c r="J2235">
        <v>0.74</v>
      </c>
      <c r="K2235" t="str" cm="1">
        <f t="array" ref="K2235">_xlfn.IFS(Table4_2[[#This Row],[Growth Days]]&lt;=14,"Seedling",Table4_2[[#This Row],[Growth Days]]&lt;=35, "Vegetative",Table4_2[[#This Row],[Growth Days]]&lt;=50, "Maturity")</f>
        <v>Maturity</v>
      </c>
      <c r="L2235" t="str">
        <f>IF(Table4_2[[#This Row],[TDS Value (ppm)]]&lt;560, "Low", IF(Table4_2[[#This Row],[TDS Value (ppm)]]&lt;=800,"Optimal","High"))</f>
        <v>Low</v>
      </c>
    </row>
    <row r="2236" spans="1:12" x14ac:dyDescent="0.25">
      <c r="A2236">
        <v>69</v>
      </c>
      <c r="B2236" s="1">
        <v>45142</v>
      </c>
      <c r="C2236" s="1" t="str">
        <f>TEXT(Table4_2[[#This Row],[Date]],"dddd")</f>
        <v>Friday</v>
      </c>
      <c r="D2236" s="21">
        <v>21.5</v>
      </c>
      <c r="E2236" s="21">
        <v>69</v>
      </c>
      <c r="F2236" s="21">
        <v>749</v>
      </c>
      <c r="G2236" s="21">
        <v>6.3</v>
      </c>
      <c r="H2236">
        <v>2</v>
      </c>
      <c r="I2236">
        <v>70.7</v>
      </c>
      <c r="J2236">
        <v>0.69</v>
      </c>
      <c r="K2236" t="str" cm="1">
        <f t="array" ref="K2236">_xlfn.IFS(Table4_2[[#This Row],[Growth Days]]&lt;=14,"Seedling",Table4_2[[#This Row],[Growth Days]]&lt;=35, "Vegetative",Table4_2[[#This Row],[Growth Days]]&lt;=50, "Maturity")</f>
        <v>Seedling</v>
      </c>
      <c r="L2236" t="str">
        <f>IF(Table4_2[[#This Row],[TDS Value (ppm)]]&lt;560, "Low", IF(Table4_2[[#This Row],[TDS Value (ppm)]]&lt;=800,"Optimal","High"))</f>
        <v>Optimal</v>
      </c>
    </row>
    <row r="2237" spans="1:12" x14ac:dyDescent="0.25">
      <c r="A2237">
        <v>69</v>
      </c>
      <c r="B2237" s="1">
        <v>45149</v>
      </c>
      <c r="C2237" s="1" t="str">
        <f>TEXT(Table4_2[[#This Row],[Date]],"dddd")</f>
        <v>Friday</v>
      </c>
      <c r="D2237" s="21">
        <v>20.3</v>
      </c>
      <c r="E2237" s="21">
        <v>69</v>
      </c>
      <c r="F2237" s="21">
        <v>793</v>
      </c>
      <c r="G2237" s="21">
        <v>6.4</v>
      </c>
      <c r="H2237">
        <v>9</v>
      </c>
      <c r="I2237">
        <v>68.540000000000006</v>
      </c>
      <c r="J2237">
        <v>0.69</v>
      </c>
      <c r="K2237" t="str" cm="1">
        <f t="array" ref="K2237">_xlfn.IFS(Table4_2[[#This Row],[Growth Days]]&lt;=14,"Seedling",Table4_2[[#This Row],[Growth Days]]&lt;=35, "Vegetative",Table4_2[[#This Row],[Growth Days]]&lt;=50, "Maturity")</f>
        <v>Seedling</v>
      </c>
      <c r="L2237" t="str">
        <f>IF(Table4_2[[#This Row],[TDS Value (ppm)]]&lt;560, "Low", IF(Table4_2[[#This Row],[TDS Value (ppm)]]&lt;=800,"Optimal","High"))</f>
        <v>Optimal</v>
      </c>
    </row>
    <row r="2238" spans="1:12" x14ac:dyDescent="0.25">
      <c r="A2238">
        <v>69</v>
      </c>
      <c r="B2238" s="1">
        <v>45156</v>
      </c>
      <c r="C2238" s="1" t="str">
        <f>TEXT(Table4_2[[#This Row],[Date]],"dddd")</f>
        <v>Friday</v>
      </c>
      <c r="D2238" s="21">
        <v>24.8</v>
      </c>
      <c r="E2238" s="21">
        <v>53</v>
      </c>
      <c r="F2238" s="21">
        <v>496</v>
      </c>
      <c r="G2238" s="21">
        <v>6.6</v>
      </c>
      <c r="H2238">
        <v>16</v>
      </c>
      <c r="I2238">
        <v>76.64</v>
      </c>
      <c r="J2238">
        <v>0.53</v>
      </c>
      <c r="K2238" t="str" cm="1">
        <f t="array" ref="K2238">_xlfn.IFS(Table4_2[[#This Row],[Growth Days]]&lt;=14,"Seedling",Table4_2[[#This Row],[Growth Days]]&lt;=35, "Vegetative",Table4_2[[#This Row],[Growth Days]]&lt;=50, "Maturity")</f>
        <v>Vegetative</v>
      </c>
      <c r="L2238" t="str">
        <f>IF(Table4_2[[#This Row],[TDS Value (ppm)]]&lt;560, "Low", IF(Table4_2[[#This Row],[TDS Value (ppm)]]&lt;=800,"Optimal","High"))</f>
        <v>Low</v>
      </c>
    </row>
    <row r="2239" spans="1:12" x14ac:dyDescent="0.25">
      <c r="A2239">
        <v>69</v>
      </c>
      <c r="B2239" s="1">
        <v>45163</v>
      </c>
      <c r="C2239" s="1" t="str">
        <f>TEXT(Table4_2[[#This Row],[Date]],"dddd")</f>
        <v>Friday</v>
      </c>
      <c r="D2239" s="21">
        <v>18.5</v>
      </c>
      <c r="E2239" s="21">
        <v>52</v>
      </c>
      <c r="F2239" s="21">
        <v>655</v>
      </c>
      <c r="G2239" s="21">
        <v>6.4</v>
      </c>
      <c r="H2239">
        <v>23</v>
      </c>
      <c r="I2239">
        <v>65.3</v>
      </c>
      <c r="J2239">
        <v>0.52</v>
      </c>
      <c r="K2239" t="str" cm="1">
        <f t="array" ref="K2239">_xlfn.IFS(Table4_2[[#This Row],[Growth Days]]&lt;=14,"Seedling",Table4_2[[#This Row],[Growth Days]]&lt;=35, "Vegetative",Table4_2[[#This Row],[Growth Days]]&lt;=50, "Maturity")</f>
        <v>Vegetative</v>
      </c>
      <c r="L2239" t="str">
        <f>IF(Table4_2[[#This Row],[TDS Value (ppm)]]&lt;560, "Low", IF(Table4_2[[#This Row],[TDS Value (ppm)]]&lt;=800,"Optimal","High"))</f>
        <v>Optimal</v>
      </c>
    </row>
    <row r="2240" spans="1:12" x14ac:dyDescent="0.25">
      <c r="A2240">
        <v>69</v>
      </c>
      <c r="B2240" s="1">
        <v>45170</v>
      </c>
      <c r="C2240" s="1" t="str">
        <f>TEXT(Table4_2[[#This Row],[Date]],"dddd")</f>
        <v>Friday</v>
      </c>
      <c r="D2240" s="21">
        <v>20.2</v>
      </c>
      <c r="E2240" s="21">
        <v>55</v>
      </c>
      <c r="F2240" s="21">
        <v>746</v>
      </c>
      <c r="G2240" s="21">
        <v>6.6</v>
      </c>
      <c r="H2240">
        <v>30</v>
      </c>
      <c r="I2240">
        <v>68.36</v>
      </c>
      <c r="J2240">
        <v>0.55000000000000004</v>
      </c>
      <c r="K2240" t="str" cm="1">
        <f t="array" ref="K2240">_xlfn.IFS(Table4_2[[#This Row],[Growth Days]]&lt;=14,"Seedling",Table4_2[[#This Row],[Growth Days]]&lt;=35, "Vegetative",Table4_2[[#This Row],[Growth Days]]&lt;=50, "Maturity")</f>
        <v>Vegetative</v>
      </c>
      <c r="L2240" t="str">
        <f>IF(Table4_2[[#This Row],[TDS Value (ppm)]]&lt;560, "Low", IF(Table4_2[[#This Row],[TDS Value (ppm)]]&lt;=800,"Optimal","High"))</f>
        <v>Optimal</v>
      </c>
    </row>
    <row r="2241" spans="1:12" x14ac:dyDescent="0.25">
      <c r="A2241">
        <v>69</v>
      </c>
      <c r="B2241" s="1">
        <v>45177</v>
      </c>
      <c r="C2241" s="1" t="str">
        <f>TEXT(Table4_2[[#This Row],[Date]],"dddd")</f>
        <v>Friday</v>
      </c>
      <c r="D2241" s="21">
        <v>19.600000000000001</v>
      </c>
      <c r="E2241" s="21">
        <v>77</v>
      </c>
      <c r="F2241" s="21">
        <v>622</v>
      </c>
      <c r="G2241" s="21">
        <v>6.8</v>
      </c>
      <c r="H2241">
        <v>37</v>
      </c>
      <c r="I2241">
        <v>67.28</v>
      </c>
      <c r="J2241">
        <v>0.77</v>
      </c>
      <c r="K2241" t="str" cm="1">
        <f t="array" ref="K2241">_xlfn.IFS(Table4_2[[#This Row],[Growth Days]]&lt;=14,"Seedling",Table4_2[[#This Row],[Growth Days]]&lt;=35, "Vegetative",Table4_2[[#This Row],[Growth Days]]&lt;=50, "Maturity")</f>
        <v>Maturity</v>
      </c>
      <c r="L2241" t="str">
        <f>IF(Table4_2[[#This Row],[TDS Value (ppm)]]&lt;560, "Low", IF(Table4_2[[#This Row],[TDS Value (ppm)]]&lt;=800,"Optimal","High"))</f>
        <v>Optimal</v>
      </c>
    </row>
    <row r="2242" spans="1:12" x14ac:dyDescent="0.25">
      <c r="A2242">
        <v>69</v>
      </c>
      <c r="B2242" s="1">
        <v>45184</v>
      </c>
      <c r="C2242" s="1" t="str">
        <f>TEXT(Table4_2[[#This Row],[Date]],"dddd")</f>
        <v>Friday</v>
      </c>
      <c r="D2242" s="21">
        <v>19.2</v>
      </c>
      <c r="E2242" s="21">
        <v>60</v>
      </c>
      <c r="F2242" s="21">
        <v>681</v>
      </c>
      <c r="G2242" s="21">
        <v>6.3</v>
      </c>
      <c r="H2242">
        <v>44</v>
      </c>
      <c r="I2242">
        <v>66.56</v>
      </c>
      <c r="J2242">
        <v>0.6</v>
      </c>
      <c r="K2242" t="str" cm="1">
        <f t="array" ref="K2242">_xlfn.IFS(Table4_2[[#This Row],[Growth Days]]&lt;=14,"Seedling",Table4_2[[#This Row],[Growth Days]]&lt;=35, "Vegetative",Table4_2[[#This Row],[Growth Days]]&lt;=50, "Maturity")</f>
        <v>Maturity</v>
      </c>
      <c r="L2242" t="str">
        <f>IF(Table4_2[[#This Row],[TDS Value (ppm)]]&lt;560, "Low", IF(Table4_2[[#This Row],[TDS Value (ppm)]]&lt;=800,"Optimal","High"))</f>
        <v>Optimal</v>
      </c>
    </row>
    <row r="2243" spans="1:12" x14ac:dyDescent="0.25">
      <c r="A2243">
        <v>70</v>
      </c>
      <c r="B2243" s="1">
        <v>45142</v>
      </c>
      <c r="C2243" s="1" t="str">
        <f>TEXT(Table4_2[[#This Row],[Date]],"dddd")</f>
        <v>Friday</v>
      </c>
      <c r="D2243" s="21">
        <v>23.8</v>
      </c>
      <c r="E2243" s="21">
        <v>77</v>
      </c>
      <c r="F2243" s="21">
        <v>617</v>
      </c>
      <c r="G2243" s="21">
        <v>6.7</v>
      </c>
      <c r="H2243">
        <v>2</v>
      </c>
      <c r="I2243">
        <v>74.84</v>
      </c>
      <c r="J2243">
        <v>0.77</v>
      </c>
      <c r="K2243" t="str" cm="1">
        <f t="array" ref="K2243">_xlfn.IFS(Table4_2[[#This Row],[Growth Days]]&lt;=14,"Seedling",Table4_2[[#This Row],[Growth Days]]&lt;=35, "Vegetative",Table4_2[[#This Row],[Growth Days]]&lt;=50, "Maturity")</f>
        <v>Seedling</v>
      </c>
      <c r="L2243" t="str">
        <f>IF(Table4_2[[#This Row],[TDS Value (ppm)]]&lt;560, "Low", IF(Table4_2[[#This Row],[TDS Value (ppm)]]&lt;=800,"Optimal","High"))</f>
        <v>Optimal</v>
      </c>
    </row>
    <row r="2244" spans="1:12" x14ac:dyDescent="0.25">
      <c r="A2244">
        <v>70</v>
      </c>
      <c r="B2244" s="1">
        <v>45149</v>
      </c>
      <c r="C2244" s="1" t="str">
        <f>TEXT(Table4_2[[#This Row],[Date]],"dddd")</f>
        <v>Friday</v>
      </c>
      <c r="D2244" s="21">
        <v>23</v>
      </c>
      <c r="E2244" s="21">
        <v>54</v>
      </c>
      <c r="F2244" s="21">
        <v>650</v>
      </c>
      <c r="G2244" s="21">
        <v>6.6</v>
      </c>
      <c r="H2244">
        <v>9</v>
      </c>
      <c r="I2244">
        <v>73.400000000000006</v>
      </c>
      <c r="J2244">
        <v>0.54</v>
      </c>
      <c r="K2244" t="str" cm="1">
        <f t="array" ref="K2244">_xlfn.IFS(Table4_2[[#This Row],[Growth Days]]&lt;=14,"Seedling",Table4_2[[#This Row],[Growth Days]]&lt;=35, "Vegetative",Table4_2[[#This Row],[Growth Days]]&lt;=50, "Maturity")</f>
        <v>Seedling</v>
      </c>
      <c r="L2244" t="str">
        <f>IF(Table4_2[[#This Row],[TDS Value (ppm)]]&lt;560, "Low", IF(Table4_2[[#This Row],[TDS Value (ppm)]]&lt;=800,"Optimal","High"))</f>
        <v>Optimal</v>
      </c>
    </row>
    <row r="2245" spans="1:12" x14ac:dyDescent="0.25">
      <c r="A2245">
        <v>70</v>
      </c>
      <c r="B2245" s="1">
        <v>45156</v>
      </c>
      <c r="C2245" s="1" t="str">
        <f>TEXT(Table4_2[[#This Row],[Date]],"dddd")</f>
        <v>Friday</v>
      </c>
      <c r="D2245" s="21">
        <v>19.399999999999999</v>
      </c>
      <c r="E2245" s="21">
        <v>51</v>
      </c>
      <c r="F2245" s="21">
        <v>423</v>
      </c>
      <c r="G2245" s="21">
        <v>6.4</v>
      </c>
      <c r="H2245">
        <v>16</v>
      </c>
      <c r="I2245">
        <v>66.92</v>
      </c>
      <c r="J2245">
        <v>0.51</v>
      </c>
      <c r="K2245" t="str" cm="1">
        <f t="array" ref="K2245">_xlfn.IFS(Table4_2[[#This Row],[Growth Days]]&lt;=14,"Seedling",Table4_2[[#This Row],[Growth Days]]&lt;=35, "Vegetative",Table4_2[[#This Row],[Growth Days]]&lt;=50, "Maturity")</f>
        <v>Vegetative</v>
      </c>
      <c r="L2245" t="str">
        <f>IF(Table4_2[[#This Row],[TDS Value (ppm)]]&lt;560, "Low", IF(Table4_2[[#This Row],[TDS Value (ppm)]]&lt;=800,"Optimal","High"))</f>
        <v>Low</v>
      </c>
    </row>
    <row r="2246" spans="1:12" x14ac:dyDescent="0.25">
      <c r="A2246">
        <v>70</v>
      </c>
      <c r="B2246" s="1">
        <v>45163</v>
      </c>
      <c r="C2246" s="1" t="str">
        <f>TEXT(Table4_2[[#This Row],[Date]],"dddd")</f>
        <v>Friday</v>
      </c>
      <c r="D2246" s="21">
        <v>18.399999999999999</v>
      </c>
      <c r="E2246" s="21">
        <v>51</v>
      </c>
      <c r="F2246" s="21">
        <v>750</v>
      </c>
      <c r="G2246" s="21">
        <v>6.5</v>
      </c>
      <c r="H2246">
        <v>23</v>
      </c>
      <c r="I2246">
        <v>65.12</v>
      </c>
      <c r="J2246">
        <v>0.51</v>
      </c>
      <c r="K2246" t="str" cm="1">
        <f t="array" ref="K2246">_xlfn.IFS(Table4_2[[#This Row],[Growth Days]]&lt;=14,"Seedling",Table4_2[[#This Row],[Growth Days]]&lt;=35, "Vegetative",Table4_2[[#This Row],[Growth Days]]&lt;=50, "Maturity")</f>
        <v>Vegetative</v>
      </c>
      <c r="L2246" t="str">
        <f>IF(Table4_2[[#This Row],[TDS Value (ppm)]]&lt;560, "Low", IF(Table4_2[[#This Row],[TDS Value (ppm)]]&lt;=800,"Optimal","High"))</f>
        <v>Optimal</v>
      </c>
    </row>
    <row r="2247" spans="1:12" x14ac:dyDescent="0.25">
      <c r="A2247">
        <v>70</v>
      </c>
      <c r="B2247" s="1">
        <v>45170</v>
      </c>
      <c r="C2247" s="1" t="str">
        <f>TEXT(Table4_2[[#This Row],[Date]],"dddd")</f>
        <v>Friday</v>
      </c>
      <c r="D2247" s="21">
        <v>20.2</v>
      </c>
      <c r="E2247" s="21">
        <v>60</v>
      </c>
      <c r="F2247" s="21">
        <v>490</v>
      </c>
      <c r="G2247" s="21">
        <v>6.5</v>
      </c>
      <c r="H2247">
        <v>30</v>
      </c>
      <c r="I2247">
        <v>68.36</v>
      </c>
      <c r="J2247">
        <v>0.6</v>
      </c>
      <c r="K2247" t="str" cm="1">
        <f t="array" ref="K2247">_xlfn.IFS(Table4_2[[#This Row],[Growth Days]]&lt;=14,"Seedling",Table4_2[[#This Row],[Growth Days]]&lt;=35, "Vegetative",Table4_2[[#This Row],[Growth Days]]&lt;=50, "Maturity")</f>
        <v>Vegetative</v>
      </c>
      <c r="L2247" t="str">
        <f>IF(Table4_2[[#This Row],[TDS Value (ppm)]]&lt;560, "Low", IF(Table4_2[[#This Row],[TDS Value (ppm)]]&lt;=800,"Optimal","High"))</f>
        <v>Low</v>
      </c>
    </row>
    <row r="2248" spans="1:12" x14ac:dyDescent="0.25">
      <c r="A2248">
        <v>70</v>
      </c>
      <c r="B2248" s="1">
        <v>45177</v>
      </c>
      <c r="C2248" s="1" t="str">
        <f>TEXT(Table4_2[[#This Row],[Date]],"dddd")</f>
        <v>Friday</v>
      </c>
      <c r="D2248" s="21">
        <v>23.6</v>
      </c>
      <c r="E2248" s="21">
        <v>54</v>
      </c>
      <c r="F2248" s="21">
        <v>649</v>
      </c>
      <c r="G2248" s="21">
        <v>6.1</v>
      </c>
      <c r="H2248">
        <v>37</v>
      </c>
      <c r="I2248">
        <v>74.48</v>
      </c>
      <c r="J2248">
        <v>0.54</v>
      </c>
      <c r="K2248" t="str" cm="1">
        <f t="array" ref="K2248">_xlfn.IFS(Table4_2[[#This Row],[Growth Days]]&lt;=14,"Seedling",Table4_2[[#This Row],[Growth Days]]&lt;=35, "Vegetative",Table4_2[[#This Row],[Growth Days]]&lt;=50, "Maturity")</f>
        <v>Maturity</v>
      </c>
      <c r="L2248" t="str">
        <f>IF(Table4_2[[#This Row],[TDS Value (ppm)]]&lt;560, "Low", IF(Table4_2[[#This Row],[TDS Value (ppm)]]&lt;=800,"Optimal","High"))</f>
        <v>Optimal</v>
      </c>
    </row>
    <row r="2249" spans="1:12" x14ac:dyDescent="0.25">
      <c r="A2249">
        <v>70</v>
      </c>
      <c r="B2249" s="1">
        <v>45184</v>
      </c>
      <c r="C2249" s="1" t="str">
        <f>TEXT(Table4_2[[#This Row],[Date]],"dddd")</f>
        <v>Friday</v>
      </c>
      <c r="D2249" s="21">
        <v>22.5</v>
      </c>
      <c r="E2249" s="21">
        <v>62</v>
      </c>
      <c r="F2249" s="21">
        <v>476</v>
      </c>
      <c r="G2249" s="21">
        <v>6.6</v>
      </c>
      <c r="H2249">
        <v>44</v>
      </c>
      <c r="I2249">
        <v>72.5</v>
      </c>
      <c r="J2249">
        <v>0.62</v>
      </c>
      <c r="K2249" t="str" cm="1">
        <f t="array" ref="K2249">_xlfn.IFS(Table4_2[[#This Row],[Growth Days]]&lt;=14,"Seedling",Table4_2[[#This Row],[Growth Days]]&lt;=35, "Vegetative",Table4_2[[#This Row],[Growth Days]]&lt;=50, "Maturity")</f>
        <v>Maturity</v>
      </c>
      <c r="L2249" t="str">
        <f>IF(Table4_2[[#This Row],[TDS Value (ppm)]]&lt;560, "Low", IF(Table4_2[[#This Row],[TDS Value (ppm)]]&lt;=800,"Optimal","High"))</f>
        <v>Low</v>
      </c>
    </row>
    <row r="2250" spans="1:12" x14ac:dyDescent="0.25">
      <c r="A2250">
        <v>1</v>
      </c>
      <c r="B2250" s="1">
        <v>45143</v>
      </c>
      <c r="C2250" s="1" t="str">
        <f>TEXT(Table4_2[[#This Row],[Date]],"dddd")</f>
        <v>Saturday</v>
      </c>
      <c r="D2250" s="21">
        <v>33.4</v>
      </c>
      <c r="E2250" s="21">
        <v>59</v>
      </c>
      <c r="F2250" s="21">
        <v>678</v>
      </c>
      <c r="G2250" s="21">
        <v>6.4</v>
      </c>
      <c r="H2250">
        <v>3</v>
      </c>
      <c r="I2250">
        <v>92.12</v>
      </c>
      <c r="J2250">
        <v>0.59</v>
      </c>
      <c r="K2250" t="str" cm="1">
        <f t="array" ref="K2250">_xlfn.IFS(Table4_2[[#This Row],[Growth Days]]&lt;=14,"Seedling",Table4_2[[#This Row],[Growth Days]]&lt;=35, "Vegetative",Table4_2[[#This Row],[Growth Days]]&lt;=50, "Maturity")</f>
        <v>Seedling</v>
      </c>
      <c r="L2250" t="str">
        <f>IF(Table4_2[[#This Row],[TDS Value (ppm)]]&lt;560, "Low", IF(Table4_2[[#This Row],[TDS Value (ppm)]]&lt;=800,"Optimal","High"))</f>
        <v>Optimal</v>
      </c>
    </row>
    <row r="2251" spans="1:12" x14ac:dyDescent="0.25">
      <c r="A2251">
        <v>1</v>
      </c>
      <c r="B2251" s="1">
        <v>45150</v>
      </c>
      <c r="C2251" s="1" t="str">
        <f>TEXT(Table4_2[[#This Row],[Date]],"dddd")</f>
        <v>Saturday</v>
      </c>
      <c r="D2251" s="21">
        <v>30.2</v>
      </c>
      <c r="E2251" s="21">
        <v>59</v>
      </c>
      <c r="F2251" s="21">
        <v>607</v>
      </c>
      <c r="G2251" s="21">
        <v>6.2</v>
      </c>
      <c r="H2251">
        <v>10</v>
      </c>
      <c r="I2251">
        <v>86.36</v>
      </c>
      <c r="J2251">
        <v>0.59</v>
      </c>
      <c r="K2251" t="str" cm="1">
        <f t="array" ref="K2251">_xlfn.IFS(Table4_2[[#This Row],[Growth Days]]&lt;=14,"Seedling",Table4_2[[#This Row],[Growth Days]]&lt;=35, "Vegetative",Table4_2[[#This Row],[Growth Days]]&lt;=50, "Maturity")</f>
        <v>Seedling</v>
      </c>
      <c r="L2251" t="str">
        <f>IF(Table4_2[[#This Row],[TDS Value (ppm)]]&lt;560, "Low", IF(Table4_2[[#This Row],[TDS Value (ppm)]]&lt;=800,"Optimal","High"))</f>
        <v>Optimal</v>
      </c>
    </row>
    <row r="2252" spans="1:12" x14ac:dyDescent="0.25">
      <c r="A2252">
        <v>1</v>
      </c>
      <c r="B2252" s="1">
        <v>45157</v>
      </c>
      <c r="C2252" s="1" t="str">
        <f>TEXT(Table4_2[[#This Row],[Date]],"dddd")</f>
        <v>Saturday</v>
      </c>
      <c r="D2252" s="21">
        <v>30.8</v>
      </c>
      <c r="E2252" s="21">
        <v>57</v>
      </c>
      <c r="F2252" s="21">
        <v>580</v>
      </c>
      <c r="G2252" s="21">
        <v>6.2</v>
      </c>
      <c r="H2252">
        <v>17</v>
      </c>
      <c r="I2252">
        <v>87.44</v>
      </c>
      <c r="J2252">
        <v>0.56999999999999995</v>
      </c>
      <c r="K2252" t="str" cm="1">
        <f t="array" ref="K2252">_xlfn.IFS(Table4_2[[#This Row],[Growth Days]]&lt;=14,"Seedling",Table4_2[[#This Row],[Growth Days]]&lt;=35, "Vegetative",Table4_2[[#This Row],[Growth Days]]&lt;=50, "Maturity")</f>
        <v>Vegetative</v>
      </c>
      <c r="L2252" t="str">
        <f>IF(Table4_2[[#This Row],[TDS Value (ppm)]]&lt;560, "Low", IF(Table4_2[[#This Row],[TDS Value (ppm)]]&lt;=800,"Optimal","High"))</f>
        <v>Optimal</v>
      </c>
    </row>
    <row r="2253" spans="1:12" x14ac:dyDescent="0.25">
      <c r="A2253">
        <v>1</v>
      </c>
      <c r="B2253" s="1">
        <v>45164</v>
      </c>
      <c r="C2253" s="1" t="str">
        <f>TEXT(Table4_2[[#This Row],[Date]],"dddd")</f>
        <v>Saturday</v>
      </c>
      <c r="D2253" s="21">
        <v>31.4</v>
      </c>
      <c r="E2253" s="21">
        <v>61</v>
      </c>
      <c r="F2253" s="21">
        <v>719</v>
      </c>
      <c r="G2253" s="21">
        <v>6.4</v>
      </c>
      <c r="H2253">
        <v>24</v>
      </c>
      <c r="I2253">
        <v>88.52</v>
      </c>
      <c r="J2253">
        <v>0.61</v>
      </c>
      <c r="K2253" t="str" cm="1">
        <f t="array" ref="K2253">_xlfn.IFS(Table4_2[[#This Row],[Growth Days]]&lt;=14,"Seedling",Table4_2[[#This Row],[Growth Days]]&lt;=35, "Vegetative",Table4_2[[#This Row],[Growth Days]]&lt;=50, "Maturity")</f>
        <v>Vegetative</v>
      </c>
      <c r="L2253" t="str">
        <f>IF(Table4_2[[#This Row],[TDS Value (ppm)]]&lt;560, "Low", IF(Table4_2[[#This Row],[TDS Value (ppm)]]&lt;=800,"Optimal","High"))</f>
        <v>Optimal</v>
      </c>
    </row>
    <row r="2254" spans="1:12" x14ac:dyDescent="0.25">
      <c r="A2254">
        <v>1</v>
      </c>
      <c r="B2254" s="1">
        <v>45171</v>
      </c>
      <c r="C2254" s="1" t="str">
        <f>TEXT(Table4_2[[#This Row],[Date]],"dddd")</f>
        <v>Saturday</v>
      </c>
      <c r="D2254" s="21">
        <v>31.7</v>
      </c>
      <c r="E2254" s="21">
        <v>52</v>
      </c>
      <c r="F2254" s="21">
        <v>603</v>
      </c>
      <c r="G2254" s="21">
        <v>6.7</v>
      </c>
      <c r="H2254">
        <v>31</v>
      </c>
      <c r="I2254">
        <v>89.06</v>
      </c>
      <c r="J2254">
        <v>0.52</v>
      </c>
      <c r="K2254" t="str" cm="1">
        <f t="array" ref="K2254">_xlfn.IFS(Table4_2[[#This Row],[Growth Days]]&lt;=14,"Seedling",Table4_2[[#This Row],[Growth Days]]&lt;=35, "Vegetative",Table4_2[[#This Row],[Growth Days]]&lt;=50, "Maturity")</f>
        <v>Vegetative</v>
      </c>
      <c r="L2254" t="str">
        <f>IF(Table4_2[[#This Row],[TDS Value (ppm)]]&lt;560, "Low", IF(Table4_2[[#This Row],[TDS Value (ppm)]]&lt;=800,"Optimal","High"))</f>
        <v>Optimal</v>
      </c>
    </row>
    <row r="2255" spans="1:12" x14ac:dyDescent="0.25">
      <c r="A2255">
        <v>1</v>
      </c>
      <c r="B2255" s="1">
        <v>45178</v>
      </c>
      <c r="C2255" s="1" t="str">
        <f>TEXT(Table4_2[[#This Row],[Date]],"dddd")</f>
        <v>Saturday</v>
      </c>
      <c r="D2255" s="21">
        <v>20.100000000000001</v>
      </c>
      <c r="E2255" s="21">
        <v>61</v>
      </c>
      <c r="F2255" s="21">
        <v>621</v>
      </c>
      <c r="G2255" s="21">
        <v>6.5</v>
      </c>
      <c r="H2255">
        <v>38</v>
      </c>
      <c r="I2255">
        <v>68.180000000000007</v>
      </c>
      <c r="J2255">
        <v>0.61</v>
      </c>
      <c r="K2255" t="str" cm="1">
        <f t="array" ref="K2255">_xlfn.IFS(Table4_2[[#This Row],[Growth Days]]&lt;=14,"Seedling",Table4_2[[#This Row],[Growth Days]]&lt;=35, "Vegetative",Table4_2[[#This Row],[Growth Days]]&lt;=50, "Maturity")</f>
        <v>Maturity</v>
      </c>
      <c r="L2255" t="str">
        <f>IF(Table4_2[[#This Row],[TDS Value (ppm)]]&lt;560, "Low", IF(Table4_2[[#This Row],[TDS Value (ppm)]]&lt;=800,"Optimal","High"))</f>
        <v>Optimal</v>
      </c>
    </row>
    <row r="2256" spans="1:12" x14ac:dyDescent="0.25">
      <c r="A2256">
        <v>1</v>
      </c>
      <c r="B2256" s="1">
        <v>45185</v>
      </c>
      <c r="C2256" s="1" t="str">
        <f>TEXT(Table4_2[[#This Row],[Date]],"dddd")</f>
        <v>Saturday</v>
      </c>
      <c r="D2256" s="21">
        <v>31.5</v>
      </c>
      <c r="E2256" s="21">
        <v>68</v>
      </c>
      <c r="F2256" s="21">
        <v>637</v>
      </c>
      <c r="G2256" s="21">
        <v>6.2</v>
      </c>
      <c r="H2256">
        <v>45</v>
      </c>
      <c r="I2256">
        <v>88.7</v>
      </c>
      <c r="J2256">
        <v>0.68</v>
      </c>
      <c r="K2256" t="str" cm="1">
        <f t="array" ref="K2256">_xlfn.IFS(Table4_2[[#This Row],[Growth Days]]&lt;=14,"Seedling",Table4_2[[#This Row],[Growth Days]]&lt;=35, "Vegetative",Table4_2[[#This Row],[Growth Days]]&lt;=50, "Maturity")</f>
        <v>Maturity</v>
      </c>
      <c r="L2256" t="str">
        <f>IF(Table4_2[[#This Row],[TDS Value (ppm)]]&lt;560, "Low", IF(Table4_2[[#This Row],[TDS Value (ppm)]]&lt;=800,"Optimal","High"))</f>
        <v>Optimal</v>
      </c>
    </row>
    <row r="2257" spans="1:12" x14ac:dyDescent="0.25">
      <c r="A2257">
        <v>2</v>
      </c>
      <c r="B2257" s="1">
        <v>45143</v>
      </c>
      <c r="C2257" s="1" t="str">
        <f>TEXT(Table4_2[[#This Row],[Date]],"dddd")</f>
        <v>Saturday</v>
      </c>
      <c r="D2257" s="21">
        <v>33.4</v>
      </c>
      <c r="E2257" s="21">
        <v>55</v>
      </c>
      <c r="F2257" s="21">
        <v>749</v>
      </c>
      <c r="G2257" s="21">
        <v>6.7</v>
      </c>
      <c r="H2257">
        <v>3</v>
      </c>
      <c r="I2257">
        <v>92.12</v>
      </c>
      <c r="J2257">
        <v>0.55000000000000004</v>
      </c>
      <c r="K2257" t="str" cm="1">
        <f t="array" ref="K2257">_xlfn.IFS(Table4_2[[#This Row],[Growth Days]]&lt;=14,"Seedling",Table4_2[[#This Row],[Growth Days]]&lt;=35, "Vegetative",Table4_2[[#This Row],[Growth Days]]&lt;=50, "Maturity")</f>
        <v>Seedling</v>
      </c>
      <c r="L2257" t="str">
        <f>IF(Table4_2[[#This Row],[TDS Value (ppm)]]&lt;560, "Low", IF(Table4_2[[#This Row],[TDS Value (ppm)]]&lt;=800,"Optimal","High"))</f>
        <v>Optimal</v>
      </c>
    </row>
    <row r="2258" spans="1:12" x14ac:dyDescent="0.25">
      <c r="A2258">
        <v>2</v>
      </c>
      <c r="B2258" s="1">
        <v>45150</v>
      </c>
      <c r="C2258" s="1" t="str">
        <f>TEXT(Table4_2[[#This Row],[Date]],"dddd")</f>
        <v>Saturday</v>
      </c>
      <c r="D2258" s="21">
        <v>30.2</v>
      </c>
      <c r="E2258" s="21">
        <v>65</v>
      </c>
      <c r="F2258" s="21">
        <v>416</v>
      </c>
      <c r="G2258" s="21">
        <v>6.6</v>
      </c>
      <c r="H2258">
        <v>10</v>
      </c>
      <c r="I2258">
        <v>86.36</v>
      </c>
      <c r="J2258">
        <v>0.65</v>
      </c>
      <c r="K2258" t="str" cm="1">
        <f t="array" ref="K2258">_xlfn.IFS(Table4_2[[#This Row],[Growth Days]]&lt;=14,"Seedling",Table4_2[[#This Row],[Growth Days]]&lt;=35, "Vegetative",Table4_2[[#This Row],[Growth Days]]&lt;=50, "Maturity")</f>
        <v>Seedling</v>
      </c>
      <c r="L2258" t="str">
        <f>IF(Table4_2[[#This Row],[TDS Value (ppm)]]&lt;560, "Low", IF(Table4_2[[#This Row],[TDS Value (ppm)]]&lt;=800,"Optimal","High"))</f>
        <v>Low</v>
      </c>
    </row>
    <row r="2259" spans="1:12" x14ac:dyDescent="0.25">
      <c r="A2259">
        <v>2</v>
      </c>
      <c r="B2259" s="1">
        <v>45157</v>
      </c>
      <c r="C2259" s="1" t="str">
        <f>TEXT(Table4_2[[#This Row],[Date]],"dddd")</f>
        <v>Saturday</v>
      </c>
      <c r="D2259" s="21">
        <v>30.8</v>
      </c>
      <c r="E2259" s="21">
        <v>56</v>
      </c>
      <c r="F2259" s="21">
        <v>430</v>
      </c>
      <c r="G2259" s="21">
        <v>6.5</v>
      </c>
      <c r="H2259">
        <v>17</v>
      </c>
      <c r="I2259">
        <v>87.44</v>
      </c>
      <c r="J2259">
        <v>0.56000000000000005</v>
      </c>
      <c r="K2259" t="str" cm="1">
        <f t="array" ref="K2259">_xlfn.IFS(Table4_2[[#This Row],[Growth Days]]&lt;=14,"Seedling",Table4_2[[#This Row],[Growth Days]]&lt;=35, "Vegetative",Table4_2[[#This Row],[Growth Days]]&lt;=50, "Maturity")</f>
        <v>Vegetative</v>
      </c>
      <c r="L2259" t="str">
        <f>IF(Table4_2[[#This Row],[TDS Value (ppm)]]&lt;560, "Low", IF(Table4_2[[#This Row],[TDS Value (ppm)]]&lt;=800,"Optimal","High"))</f>
        <v>Low</v>
      </c>
    </row>
    <row r="2260" spans="1:12" x14ac:dyDescent="0.25">
      <c r="A2260">
        <v>2</v>
      </c>
      <c r="B2260" s="1">
        <v>45164</v>
      </c>
      <c r="C2260" s="1" t="str">
        <f>TEXT(Table4_2[[#This Row],[Date]],"dddd")</f>
        <v>Saturday</v>
      </c>
      <c r="D2260" s="21">
        <v>31.4</v>
      </c>
      <c r="E2260" s="21">
        <v>64</v>
      </c>
      <c r="F2260" s="21">
        <v>529</v>
      </c>
      <c r="G2260" s="21">
        <v>6.2</v>
      </c>
      <c r="H2260">
        <v>24</v>
      </c>
      <c r="I2260">
        <v>88.52</v>
      </c>
      <c r="J2260">
        <v>0.64</v>
      </c>
      <c r="K2260" t="str" cm="1">
        <f t="array" ref="K2260">_xlfn.IFS(Table4_2[[#This Row],[Growth Days]]&lt;=14,"Seedling",Table4_2[[#This Row],[Growth Days]]&lt;=35, "Vegetative",Table4_2[[#This Row],[Growth Days]]&lt;=50, "Maturity")</f>
        <v>Vegetative</v>
      </c>
      <c r="L2260" t="str">
        <f>IF(Table4_2[[#This Row],[TDS Value (ppm)]]&lt;560, "Low", IF(Table4_2[[#This Row],[TDS Value (ppm)]]&lt;=800,"Optimal","High"))</f>
        <v>Low</v>
      </c>
    </row>
    <row r="2261" spans="1:12" x14ac:dyDescent="0.25">
      <c r="A2261">
        <v>2</v>
      </c>
      <c r="B2261" s="1">
        <v>45171</v>
      </c>
      <c r="C2261" s="1" t="str">
        <f>TEXT(Table4_2[[#This Row],[Date]],"dddd")</f>
        <v>Saturday</v>
      </c>
      <c r="D2261" s="21">
        <v>31.7</v>
      </c>
      <c r="E2261" s="21">
        <v>73</v>
      </c>
      <c r="F2261" s="21">
        <v>598</v>
      </c>
      <c r="G2261" s="21">
        <v>6.5</v>
      </c>
      <c r="H2261">
        <v>31</v>
      </c>
      <c r="I2261">
        <v>89.06</v>
      </c>
      <c r="J2261">
        <v>0.73</v>
      </c>
      <c r="K2261" t="str" cm="1">
        <f t="array" ref="K2261">_xlfn.IFS(Table4_2[[#This Row],[Growth Days]]&lt;=14,"Seedling",Table4_2[[#This Row],[Growth Days]]&lt;=35, "Vegetative",Table4_2[[#This Row],[Growth Days]]&lt;=50, "Maturity")</f>
        <v>Vegetative</v>
      </c>
      <c r="L2261" t="str">
        <f>IF(Table4_2[[#This Row],[TDS Value (ppm)]]&lt;560, "Low", IF(Table4_2[[#This Row],[TDS Value (ppm)]]&lt;=800,"Optimal","High"))</f>
        <v>Optimal</v>
      </c>
    </row>
    <row r="2262" spans="1:12" x14ac:dyDescent="0.25">
      <c r="A2262">
        <v>2</v>
      </c>
      <c r="B2262" s="1">
        <v>45178</v>
      </c>
      <c r="C2262" s="1" t="str">
        <f>TEXT(Table4_2[[#This Row],[Date]],"dddd")</f>
        <v>Saturday</v>
      </c>
      <c r="D2262" s="21">
        <v>20.100000000000001</v>
      </c>
      <c r="E2262" s="21">
        <v>63</v>
      </c>
      <c r="F2262" s="21">
        <v>785</v>
      </c>
      <c r="G2262" s="21">
        <v>6.3</v>
      </c>
      <c r="H2262">
        <v>38</v>
      </c>
      <c r="I2262">
        <v>68.180000000000007</v>
      </c>
      <c r="J2262">
        <v>0.63</v>
      </c>
      <c r="K2262" t="str" cm="1">
        <f t="array" ref="K2262">_xlfn.IFS(Table4_2[[#This Row],[Growth Days]]&lt;=14,"Seedling",Table4_2[[#This Row],[Growth Days]]&lt;=35, "Vegetative",Table4_2[[#This Row],[Growth Days]]&lt;=50, "Maturity")</f>
        <v>Maturity</v>
      </c>
      <c r="L2262" t="str">
        <f>IF(Table4_2[[#This Row],[TDS Value (ppm)]]&lt;560, "Low", IF(Table4_2[[#This Row],[TDS Value (ppm)]]&lt;=800,"Optimal","High"))</f>
        <v>Optimal</v>
      </c>
    </row>
    <row r="2263" spans="1:12" x14ac:dyDescent="0.25">
      <c r="A2263">
        <v>2</v>
      </c>
      <c r="B2263" s="1">
        <v>45185</v>
      </c>
      <c r="C2263" s="1" t="str">
        <f>TEXT(Table4_2[[#This Row],[Date]],"dddd")</f>
        <v>Saturday</v>
      </c>
      <c r="D2263" s="21">
        <v>31.5</v>
      </c>
      <c r="E2263" s="21">
        <v>79</v>
      </c>
      <c r="F2263" s="21">
        <v>719</v>
      </c>
      <c r="G2263" s="21">
        <v>6.7</v>
      </c>
      <c r="H2263">
        <v>45</v>
      </c>
      <c r="I2263">
        <v>88.7</v>
      </c>
      <c r="J2263">
        <v>0.79</v>
      </c>
      <c r="K2263" t="str" cm="1">
        <f t="array" ref="K2263">_xlfn.IFS(Table4_2[[#This Row],[Growth Days]]&lt;=14,"Seedling",Table4_2[[#This Row],[Growth Days]]&lt;=35, "Vegetative",Table4_2[[#This Row],[Growth Days]]&lt;=50, "Maturity")</f>
        <v>Maturity</v>
      </c>
      <c r="L2263" t="str">
        <f>IF(Table4_2[[#This Row],[TDS Value (ppm)]]&lt;560, "Low", IF(Table4_2[[#This Row],[TDS Value (ppm)]]&lt;=800,"Optimal","High"))</f>
        <v>Optimal</v>
      </c>
    </row>
    <row r="2264" spans="1:12" x14ac:dyDescent="0.25">
      <c r="A2264">
        <v>3</v>
      </c>
      <c r="B2264" s="1">
        <v>45143</v>
      </c>
      <c r="C2264" s="1" t="str">
        <f>TEXT(Table4_2[[#This Row],[Date]],"dddd")</f>
        <v>Saturday</v>
      </c>
      <c r="D2264" s="21">
        <v>33.4</v>
      </c>
      <c r="E2264" s="21">
        <v>65</v>
      </c>
      <c r="F2264" s="21">
        <v>636</v>
      </c>
      <c r="G2264" s="21">
        <v>6.7</v>
      </c>
      <c r="H2264">
        <v>3</v>
      </c>
      <c r="I2264">
        <v>92.12</v>
      </c>
      <c r="J2264">
        <v>0.65</v>
      </c>
      <c r="K2264" t="str" cm="1">
        <f t="array" ref="K2264">_xlfn.IFS(Table4_2[[#This Row],[Growth Days]]&lt;=14,"Seedling",Table4_2[[#This Row],[Growth Days]]&lt;=35, "Vegetative",Table4_2[[#This Row],[Growth Days]]&lt;=50, "Maturity")</f>
        <v>Seedling</v>
      </c>
      <c r="L2264" t="str">
        <f>IF(Table4_2[[#This Row],[TDS Value (ppm)]]&lt;560, "Low", IF(Table4_2[[#This Row],[TDS Value (ppm)]]&lt;=800,"Optimal","High"))</f>
        <v>Optimal</v>
      </c>
    </row>
    <row r="2265" spans="1:12" x14ac:dyDescent="0.25">
      <c r="A2265">
        <v>3</v>
      </c>
      <c r="B2265" s="1">
        <v>45150</v>
      </c>
      <c r="C2265" s="1" t="str">
        <f>TEXT(Table4_2[[#This Row],[Date]],"dddd")</f>
        <v>Saturday</v>
      </c>
      <c r="D2265" s="21">
        <v>30.2</v>
      </c>
      <c r="E2265" s="21">
        <v>69</v>
      </c>
      <c r="F2265" s="21">
        <v>473</v>
      </c>
      <c r="G2265" s="21">
        <v>6.4</v>
      </c>
      <c r="H2265">
        <v>10</v>
      </c>
      <c r="I2265">
        <v>86.36</v>
      </c>
      <c r="J2265">
        <v>0.69</v>
      </c>
      <c r="K2265" t="str" cm="1">
        <f t="array" ref="K2265">_xlfn.IFS(Table4_2[[#This Row],[Growth Days]]&lt;=14,"Seedling",Table4_2[[#This Row],[Growth Days]]&lt;=35, "Vegetative",Table4_2[[#This Row],[Growth Days]]&lt;=50, "Maturity")</f>
        <v>Seedling</v>
      </c>
      <c r="L2265" t="str">
        <f>IF(Table4_2[[#This Row],[TDS Value (ppm)]]&lt;560, "Low", IF(Table4_2[[#This Row],[TDS Value (ppm)]]&lt;=800,"Optimal","High"))</f>
        <v>Low</v>
      </c>
    </row>
    <row r="2266" spans="1:12" x14ac:dyDescent="0.25">
      <c r="A2266">
        <v>3</v>
      </c>
      <c r="B2266" s="1">
        <v>45157</v>
      </c>
      <c r="C2266" s="1" t="str">
        <f>TEXT(Table4_2[[#This Row],[Date]],"dddd")</f>
        <v>Saturday</v>
      </c>
      <c r="D2266" s="21">
        <v>30.8</v>
      </c>
      <c r="E2266" s="21">
        <v>67</v>
      </c>
      <c r="F2266" s="21">
        <v>682</v>
      </c>
      <c r="G2266" s="21">
        <v>6.6</v>
      </c>
      <c r="H2266">
        <v>17</v>
      </c>
      <c r="I2266">
        <v>87.44</v>
      </c>
      <c r="J2266">
        <v>0.67</v>
      </c>
      <c r="K2266" t="str" cm="1">
        <f t="array" ref="K2266">_xlfn.IFS(Table4_2[[#This Row],[Growth Days]]&lt;=14,"Seedling",Table4_2[[#This Row],[Growth Days]]&lt;=35, "Vegetative",Table4_2[[#This Row],[Growth Days]]&lt;=50, "Maturity")</f>
        <v>Vegetative</v>
      </c>
      <c r="L2266" t="str">
        <f>IF(Table4_2[[#This Row],[TDS Value (ppm)]]&lt;560, "Low", IF(Table4_2[[#This Row],[TDS Value (ppm)]]&lt;=800,"Optimal","High"))</f>
        <v>Optimal</v>
      </c>
    </row>
    <row r="2267" spans="1:12" x14ac:dyDescent="0.25">
      <c r="A2267">
        <v>3</v>
      </c>
      <c r="B2267" s="1">
        <v>45164</v>
      </c>
      <c r="C2267" s="1" t="str">
        <f>TEXT(Table4_2[[#This Row],[Date]],"dddd")</f>
        <v>Saturday</v>
      </c>
      <c r="D2267" s="21">
        <v>31.4</v>
      </c>
      <c r="E2267" s="21">
        <v>53</v>
      </c>
      <c r="F2267" s="21">
        <v>491</v>
      </c>
      <c r="G2267" s="21">
        <v>6.4</v>
      </c>
      <c r="H2267">
        <v>24</v>
      </c>
      <c r="I2267">
        <v>88.52</v>
      </c>
      <c r="J2267">
        <v>0.53</v>
      </c>
      <c r="K2267" t="str" cm="1">
        <f t="array" ref="K2267">_xlfn.IFS(Table4_2[[#This Row],[Growth Days]]&lt;=14,"Seedling",Table4_2[[#This Row],[Growth Days]]&lt;=35, "Vegetative",Table4_2[[#This Row],[Growth Days]]&lt;=50, "Maturity")</f>
        <v>Vegetative</v>
      </c>
      <c r="L2267" t="str">
        <f>IF(Table4_2[[#This Row],[TDS Value (ppm)]]&lt;560, "Low", IF(Table4_2[[#This Row],[TDS Value (ppm)]]&lt;=800,"Optimal","High"))</f>
        <v>Low</v>
      </c>
    </row>
    <row r="2268" spans="1:12" x14ac:dyDescent="0.25">
      <c r="A2268">
        <v>3</v>
      </c>
      <c r="B2268" s="1">
        <v>45171</v>
      </c>
      <c r="C2268" s="1" t="str">
        <f>TEXT(Table4_2[[#This Row],[Date]],"dddd")</f>
        <v>Saturday</v>
      </c>
      <c r="D2268" s="21">
        <v>31.7</v>
      </c>
      <c r="E2268" s="21">
        <v>75</v>
      </c>
      <c r="F2268" s="21">
        <v>577</v>
      </c>
      <c r="G2268" s="21">
        <v>6.2</v>
      </c>
      <c r="H2268">
        <v>31</v>
      </c>
      <c r="I2268">
        <v>89.06</v>
      </c>
      <c r="J2268">
        <v>0.75</v>
      </c>
      <c r="K2268" t="str" cm="1">
        <f t="array" ref="K2268">_xlfn.IFS(Table4_2[[#This Row],[Growth Days]]&lt;=14,"Seedling",Table4_2[[#This Row],[Growth Days]]&lt;=35, "Vegetative",Table4_2[[#This Row],[Growth Days]]&lt;=50, "Maturity")</f>
        <v>Vegetative</v>
      </c>
      <c r="L2268" t="str">
        <f>IF(Table4_2[[#This Row],[TDS Value (ppm)]]&lt;560, "Low", IF(Table4_2[[#This Row],[TDS Value (ppm)]]&lt;=800,"Optimal","High"))</f>
        <v>Optimal</v>
      </c>
    </row>
    <row r="2269" spans="1:12" x14ac:dyDescent="0.25">
      <c r="A2269">
        <v>3</v>
      </c>
      <c r="B2269" s="1">
        <v>45178</v>
      </c>
      <c r="C2269" s="1" t="str">
        <f>TEXT(Table4_2[[#This Row],[Date]],"dddd")</f>
        <v>Saturday</v>
      </c>
      <c r="D2269" s="21">
        <v>20.100000000000001</v>
      </c>
      <c r="E2269" s="21">
        <v>80</v>
      </c>
      <c r="F2269" s="21">
        <v>428</v>
      </c>
      <c r="G2269" s="21">
        <v>6.5</v>
      </c>
      <c r="H2269">
        <v>38</v>
      </c>
      <c r="I2269">
        <v>68.180000000000007</v>
      </c>
      <c r="J2269">
        <v>0.8</v>
      </c>
      <c r="K2269" t="str" cm="1">
        <f t="array" ref="K2269">_xlfn.IFS(Table4_2[[#This Row],[Growth Days]]&lt;=14,"Seedling",Table4_2[[#This Row],[Growth Days]]&lt;=35, "Vegetative",Table4_2[[#This Row],[Growth Days]]&lt;=50, "Maturity")</f>
        <v>Maturity</v>
      </c>
      <c r="L2269" t="str">
        <f>IF(Table4_2[[#This Row],[TDS Value (ppm)]]&lt;560, "Low", IF(Table4_2[[#This Row],[TDS Value (ppm)]]&lt;=800,"Optimal","High"))</f>
        <v>Low</v>
      </c>
    </row>
    <row r="2270" spans="1:12" x14ac:dyDescent="0.25">
      <c r="A2270">
        <v>3</v>
      </c>
      <c r="B2270" s="1">
        <v>45185</v>
      </c>
      <c r="C2270" s="1" t="str">
        <f>TEXT(Table4_2[[#This Row],[Date]],"dddd")</f>
        <v>Saturday</v>
      </c>
      <c r="D2270" s="21">
        <v>31.5</v>
      </c>
      <c r="E2270" s="21">
        <v>73</v>
      </c>
      <c r="F2270" s="21">
        <v>691</v>
      </c>
      <c r="G2270" s="21">
        <v>6.7</v>
      </c>
      <c r="H2270">
        <v>45</v>
      </c>
      <c r="I2270">
        <v>88.7</v>
      </c>
      <c r="J2270">
        <v>0.73</v>
      </c>
      <c r="K2270" t="str" cm="1">
        <f t="array" ref="K2270">_xlfn.IFS(Table4_2[[#This Row],[Growth Days]]&lt;=14,"Seedling",Table4_2[[#This Row],[Growth Days]]&lt;=35, "Vegetative",Table4_2[[#This Row],[Growth Days]]&lt;=50, "Maturity")</f>
        <v>Maturity</v>
      </c>
      <c r="L2270" t="str">
        <f>IF(Table4_2[[#This Row],[TDS Value (ppm)]]&lt;560, "Low", IF(Table4_2[[#This Row],[TDS Value (ppm)]]&lt;=800,"Optimal","High"))</f>
        <v>Optimal</v>
      </c>
    </row>
    <row r="2271" spans="1:12" x14ac:dyDescent="0.25">
      <c r="A2271">
        <v>4</v>
      </c>
      <c r="B2271" s="1">
        <v>45143</v>
      </c>
      <c r="C2271" s="1" t="str">
        <f>TEXT(Table4_2[[#This Row],[Date]],"dddd")</f>
        <v>Saturday</v>
      </c>
      <c r="D2271" s="21">
        <v>33.4</v>
      </c>
      <c r="E2271" s="21">
        <v>60</v>
      </c>
      <c r="F2271" s="21">
        <v>794</v>
      </c>
      <c r="G2271" s="21">
        <v>6.3</v>
      </c>
      <c r="H2271">
        <v>3</v>
      </c>
      <c r="I2271">
        <v>92.12</v>
      </c>
      <c r="J2271">
        <v>0.6</v>
      </c>
      <c r="K2271" t="str" cm="1">
        <f t="array" ref="K2271">_xlfn.IFS(Table4_2[[#This Row],[Growth Days]]&lt;=14,"Seedling",Table4_2[[#This Row],[Growth Days]]&lt;=35, "Vegetative",Table4_2[[#This Row],[Growth Days]]&lt;=50, "Maturity")</f>
        <v>Seedling</v>
      </c>
      <c r="L2271" t="str">
        <f>IF(Table4_2[[#This Row],[TDS Value (ppm)]]&lt;560, "Low", IF(Table4_2[[#This Row],[TDS Value (ppm)]]&lt;=800,"Optimal","High"))</f>
        <v>Optimal</v>
      </c>
    </row>
    <row r="2272" spans="1:12" x14ac:dyDescent="0.25">
      <c r="A2272">
        <v>4</v>
      </c>
      <c r="B2272" s="1">
        <v>45150</v>
      </c>
      <c r="C2272" s="1" t="str">
        <f>TEXT(Table4_2[[#This Row],[Date]],"dddd")</f>
        <v>Saturday</v>
      </c>
      <c r="D2272" s="21">
        <v>30.2</v>
      </c>
      <c r="E2272" s="21">
        <v>66</v>
      </c>
      <c r="F2272" s="21">
        <v>762</v>
      </c>
      <c r="G2272" s="21">
        <v>6.3</v>
      </c>
      <c r="H2272">
        <v>10</v>
      </c>
      <c r="I2272">
        <v>86.36</v>
      </c>
      <c r="J2272">
        <v>0.66</v>
      </c>
      <c r="K2272" t="str" cm="1">
        <f t="array" ref="K2272">_xlfn.IFS(Table4_2[[#This Row],[Growth Days]]&lt;=14,"Seedling",Table4_2[[#This Row],[Growth Days]]&lt;=35, "Vegetative",Table4_2[[#This Row],[Growth Days]]&lt;=50, "Maturity")</f>
        <v>Seedling</v>
      </c>
      <c r="L2272" t="str">
        <f>IF(Table4_2[[#This Row],[TDS Value (ppm)]]&lt;560, "Low", IF(Table4_2[[#This Row],[TDS Value (ppm)]]&lt;=800,"Optimal","High"))</f>
        <v>Optimal</v>
      </c>
    </row>
    <row r="2273" spans="1:12" x14ac:dyDescent="0.25">
      <c r="A2273">
        <v>4</v>
      </c>
      <c r="B2273" s="1">
        <v>45157</v>
      </c>
      <c r="C2273" s="1" t="str">
        <f>TEXT(Table4_2[[#This Row],[Date]],"dddd")</f>
        <v>Saturday</v>
      </c>
      <c r="D2273" s="21">
        <v>30.8</v>
      </c>
      <c r="E2273" s="21">
        <v>77</v>
      </c>
      <c r="F2273" s="21">
        <v>518</v>
      </c>
      <c r="G2273" s="21">
        <v>6.7</v>
      </c>
      <c r="H2273">
        <v>17</v>
      </c>
      <c r="I2273">
        <v>87.44</v>
      </c>
      <c r="J2273">
        <v>0.77</v>
      </c>
      <c r="K2273" t="str" cm="1">
        <f t="array" ref="K2273">_xlfn.IFS(Table4_2[[#This Row],[Growth Days]]&lt;=14,"Seedling",Table4_2[[#This Row],[Growth Days]]&lt;=35, "Vegetative",Table4_2[[#This Row],[Growth Days]]&lt;=50, "Maturity")</f>
        <v>Vegetative</v>
      </c>
      <c r="L2273" t="str">
        <f>IF(Table4_2[[#This Row],[TDS Value (ppm)]]&lt;560, "Low", IF(Table4_2[[#This Row],[TDS Value (ppm)]]&lt;=800,"Optimal","High"))</f>
        <v>Low</v>
      </c>
    </row>
    <row r="2274" spans="1:12" x14ac:dyDescent="0.25">
      <c r="A2274">
        <v>4</v>
      </c>
      <c r="B2274" s="1">
        <v>45164</v>
      </c>
      <c r="C2274" s="1" t="str">
        <f>TEXT(Table4_2[[#This Row],[Date]],"dddd")</f>
        <v>Saturday</v>
      </c>
      <c r="D2274" s="21">
        <v>31.4</v>
      </c>
      <c r="E2274" s="21">
        <v>53</v>
      </c>
      <c r="F2274" s="21">
        <v>402</v>
      </c>
      <c r="G2274" s="21">
        <v>6.7</v>
      </c>
      <c r="H2274">
        <v>24</v>
      </c>
      <c r="I2274">
        <v>88.52</v>
      </c>
      <c r="J2274">
        <v>0.53</v>
      </c>
      <c r="K2274" t="str" cm="1">
        <f t="array" ref="K2274">_xlfn.IFS(Table4_2[[#This Row],[Growth Days]]&lt;=14,"Seedling",Table4_2[[#This Row],[Growth Days]]&lt;=35, "Vegetative",Table4_2[[#This Row],[Growth Days]]&lt;=50, "Maturity")</f>
        <v>Vegetative</v>
      </c>
      <c r="L2274" t="str">
        <f>IF(Table4_2[[#This Row],[TDS Value (ppm)]]&lt;560, "Low", IF(Table4_2[[#This Row],[TDS Value (ppm)]]&lt;=800,"Optimal","High"))</f>
        <v>Low</v>
      </c>
    </row>
    <row r="2275" spans="1:12" x14ac:dyDescent="0.25">
      <c r="A2275">
        <v>4</v>
      </c>
      <c r="B2275" s="1">
        <v>45171</v>
      </c>
      <c r="C2275" s="1" t="str">
        <f>TEXT(Table4_2[[#This Row],[Date]],"dddd")</f>
        <v>Saturday</v>
      </c>
      <c r="D2275" s="21">
        <v>31.7</v>
      </c>
      <c r="E2275" s="21">
        <v>71</v>
      </c>
      <c r="F2275" s="21">
        <v>711</v>
      </c>
      <c r="G2275" s="21">
        <v>6.8</v>
      </c>
      <c r="H2275">
        <v>31</v>
      </c>
      <c r="I2275">
        <v>89.06</v>
      </c>
      <c r="J2275">
        <v>0.71</v>
      </c>
      <c r="K2275" t="str" cm="1">
        <f t="array" ref="K2275">_xlfn.IFS(Table4_2[[#This Row],[Growth Days]]&lt;=14,"Seedling",Table4_2[[#This Row],[Growth Days]]&lt;=35, "Vegetative",Table4_2[[#This Row],[Growth Days]]&lt;=50, "Maturity")</f>
        <v>Vegetative</v>
      </c>
      <c r="L2275" t="str">
        <f>IF(Table4_2[[#This Row],[TDS Value (ppm)]]&lt;560, "Low", IF(Table4_2[[#This Row],[TDS Value (ppm)]]&lt;=800,"Optimal","High"))</f>
        <v>Optimal</v>
      </c>
    </row>
    <row r="2276" spans="1:12" x14ac:dyDescent="0.25">
      <c r="A2276">
        <v>4</v>
      </c>
      <c r="B2276" s="1">
        <v>45178</v>
      </c>
      <c r="C2276" s="1" t="str">
        <f>TEXT(Table4_2[[#This Row],[Date]],"dddd")</f>
        <v>Saturday</v>
      </c>
      <c r="D2276" s="21">
        <v>20.100000000000001</v>
      </c>
      <c r="E2276" s="21">
        <v>51</v>
      </c>
      <c r="F2276" s="21">
        <v>530</v>
      </c>
      <c r="G2276" s="21">
        <v>6.2</v>
      </c>
      <c r="H2276">
        <v>38</v>
      </c>
      <c r="I2276">
        <v>68.180000000000007</v>
      </c>
      <c r="J2276">
        <v>0.51</v>
      </c>
      <c r="K2276" t="str" cm="1">
        <f t="array" ref="K2276">_xlfn.IFS(Table4_2[[#This Row],[Growth Days]]&lt;=14,"Seedling",Table4_2[[#This Row],[Growth Days]]&lt;=35, "Vegetative",Table4_2[[#This Row],[Growth Days]]&lt;=50, "Maturity")</f>
        <v>Maturity</v>
      </c>
      <c r="L2276" t="str">
        <f>IF(Table4_2[[#This Row],[TDS Value (ppm)]]&lt;560, "Low", IF(Table4_2[[#This Row],[TDS Value (ppm)]]&lt;=800,"Optimal","High"))</f>
        <v>Low</v>
      </c>
    </row>
    <row r="2277" spans="1:12" x14ac:dyDescent="0.25">
      <c r="A2277">
        <v>4</v>
      </c>
      <c r="B2277" s="1">
        <v>45185</v>
      </c>
      <c r="C2277" s="1" t="str">
        <f>TEXT(Table4_2[[#This Row],[Date]],"dddd")</f>
        <v>Saturday</v>
      </c>
      <c r="D2277" s="21">
        <v>31.5</v>
      </c>
      <c r="E2277" s="21">
        <v>63</v>
      </c>
      <c r="F2277" s="21">
        <v>654</v>
      </c>
      <c r="G2277" s="21">
        <v>6.7</v>
      </c>
      <c r="H2277">
        <v>45</v>
      </c>
      <c r="I2277">
        <v>88.7</v>
      </c>
      <c r="J2277">
        <v>0.63</v>
      </c>
      <c r="K2277" t="str" cm="1">
        <f t="array" ref="K2277">_xlfn.IFS(Table4_2[[#This Row],[Growth Days]]&lt;=14,"Seedling",Table4_2[[#This Row],[Growth Days]]&lt;=35, "Vegetative",Table4_2[[#This Row],[Growth Days]]&lt;=50, "Maturity")</f>
        <v>Maturity</v>
      </c>
      <c r="L2277" t="str">
        <f>IF(Table4_2[[#This Row],[TDS Value (ppm)]]&lt;560, "Low", IF(Table4_2[[#This Row],[TDS Value (ppm)]]&lt;=800,"Optimal","High"))</f>
        <v>Optimal</v>
      </c>
    </row>
    <row r="2278" spans="1:12" x14ac:dyDescent="0.25">
      <c r="A2278">
        <v>5</v>
      </c>
      <c r="B2278" s="1">
        <v>45143</v>
      </c>
      <c r="C2278" s="1" t="str">
        <f>TEXT(Table4_2[[#This Row],[Date]],"dddd")</f>
        <v>Saturday</v>
      </c>
      <c r="D2278" s="21">
        <v>33.4</v>
      </c>
      <c r="E2278" s="21">
        <v>54</v>
      </c>
      <c r="F2278" s="21">
        <v>449</v>
      </c>
      <c r="G2278" s="21">
        <v>6.1</v>
      </c>
      <c r="H2278">
        <v>3</v>
      </c>
      <c r="I2278">
        <v>92.12</v>
      </c>
      <c r="J2278">
        <v>0.54</v>
      </c>
      <c r="K2278" t="str" cm="1">
        <f t="array" ref="K2278">_xlfn.IFS(Table4_2[[#This Row],[Growth Days]]&lt;=14,"Seedling",Table4_2[[#This Row],[Growth Days]]&lt;=35, "Vegetative",Table4_2[[#This Row],[Growth Days]]&lt;=50, "Maturity")</f>
        <v>Seedling</v>
      </c>
      <c r="L2278" t="str">
        <f>IF(Table4_2[[#This Row],[TDS Value (ppm)]]&lt;560, "Low", IF(Table4_2[[#This Row],[TDS Value (ppm)]]&lt;=800,"Optimal","High"))</f>
        <v>Low</v>
      </c>
    </row>
    <row r="2279" spans="1:12" x14ac:dyDescent="0.25">
      <c r="A2279">
        <v>5</v>
      </c>
      <c r="B2279" s="1">
        <v>45150</v>
      </c>
      <c r="C2279" s="1" t="str">
        <f>TEXT(Table4_2[[#This Row],[Date]],"dddd")</f>
        <v>Saturday</v>
      </c>
      <c r="D2279" s="21">
        <v>30.2</v>
      </c>
      <c r="E2279" s="21">
        <v>77</v>
      </c>
      <c r="F2279" s="21">
        <v>417</v>
      </c>
      <c r="G2279" s="21">
        <v>6.8</v>
      </c>
      <c r="H2279">
        <v>10</v>
      </c>
      <c r="I2279">
        <v>86.36</v>
      </c>
      <c r="J2279">
        <v>0.77</v>
      </c>
      <c r="K2279" t="str" cm="1">
        <f t="array" ref="K2279">_xlfn.IFS(Table4_2[[#This Row],[Growth Days]]&lt;=14,"Seedling",Table4_2[[#This Row],[Growth Days]]&lt;=35, "Vegetative",Table4_2[[#This Row],[Growth Days]]&lt;=50, "Maturity")</f>
        <v>Seedling</v>
      </c>
      <c r="L2279" t="str">
        <f>IF(Table4_2[[#This Row],[TDS Value (ppm)]]&lt;560, "Low", IF(Table4_2[[#This Row],[TDS Value (ppm)]]&lt;=800,"Optimal","High"))</f>
        <v>Low</v>
      </c>
    </row>
    <row r="2280" spans="1:12" x14ac:dyDescent="0.25">
      <c r="A2280">
        <v>5</v>
      </c>
      <c r="B2280" s="1">
        <v>45157</v>
      </c>
      <c r="C2280" s="1" t="str">
        <f>TEXT(Table4_2[[#This Row],[Date]],"dddd")</f>
        <v>Saturday</v>
      </c>
      <c r="D2280" s="21">
        <v>30.8</v>
      </c>
      <c r="E2280" s="21">
        <v>68</v>
      </c>
      <c r="F2280" s="21">
        <v>678</v>
      </c>
      <c r="G2280" s="21">
        <v>6.1</v>
      </c>
      <c r="H2280">
        <v>17</v>
      </c>
      <c r="I2280">
        <v>87.44</v>
      </c>
      <c r="J2280">
        <v>0.68</v>
      </c>
      <c r="K2280" t="str" cm="1">
        <f t="array" ref="K2280">_xlfn.IFS(Table4_2[[#This Row],[Growth Days]]&lt;=14,"Seedling",Table4_2[[#This Row],[Growth Days]]&lt;=35, "Vegetative",Table4_2[[#This Row],[Growth Days]]&lt;=50, "Maturity")</f>
        <v>Vegetative</v>
      </c>
      <c r="L2280" t="str">
        <f>IF(Table4_2[[#This Row],[TDS Value (ppm)]]&lt;560, "Low", IF(Table4_2[[#This Row],[TDS Value (ppm)]]&lt;=800,"Optimal","High"))</f>
        <v>Optimal</v>
      </c>
    </row>
    <row r="2281" spans="1:12" x14ac:dyDescent="0.25">
      <c r="A2281">
        <v>5</v>
      </c>
      <c r="B2281" s="1">
        <v>45164</v>
      </c>
      <c r="C2281" s="1" t="str">
        <f>TEXT(Table4_2[[#This Row],[Date]],"dddd")</f>
        <v>Saturday</v>
      </c>
      <c r="D2281" s="21">
        <v>31.4</v>
      </c>
      <c r="E2281" s="21">
        <v>55</v>
      </c>
      <c r="F2281" s="21">
        <v>749</v>
      </c>
      <c r="G2281" s="21">
        <v>6.7</v>
      </c>
      <c r="H2281">
        <v>24</v>
      </c>
      <c r="I2281">
        <v>88.52</v>
      </c>
      <c r="J2281">
        <v>0.55000000000000004</v>
      </c>
      <c r="K2281" t="str" cm="1">
        <f t="array" ref="K2281">_xlfn.IFS(Table4_2[[#This Row],[Growth Days]]&lt;=14,"Seedling",Table4_2[[#This Row],[Growth Days]]&lt;=35, "Vegetative",Table4_2[[#This Row],[Growth Days]]&lt;=50, "Maturity")</f>
        <v>Vegetative</v>
      </c>
      <c r="L2281" t="str">
        <f>IF(Table4_2[[#This Row],[TDS Value (ppm)]]&lt;560, "Low", IF(Table4_2[[#This Row],[TDS Value (ppm)]]&lt;=800,"Optimal","High"))</f>
        <v>Optimal</v>
      </c>
    </row>
    <row r="2282" spans="1:12" x14ac:dyDescent="0.25">
      <c r="A2282">
        <v>5</v>
      </c>
      <c r="B2282" s="1">
        <v>45171</v>
      </c>
      <c r="C2282" s="1" t="str">
        <f>TEXT(Table4_2[[#This Row],[Date]],"dddd")</f>
        <v>Saturday</v>
      </c>
      <c r="D2282" s="21">
        <v>31.7</v>
      </c>
      <c r="E2282" s="21">
        <v>56</v>
      </c>
      <c r="F2282" s="21">
        <v>413</v>
      </c>
      <c r="G2282" s="21">
        <v>6.4</v>
      </c>
      <c r="H2282">
        <v>31</v>
      </c>
      <c r="I2282">
        <v>89.06</v>
      </c>
      <c r="J2282">
        <v>0.56000000000000005</v>
      </c>
      <c r="K2282" t="str" cm="1">
        <f t="array" ref="K2282">_xlfn.IFS(Table4_2[[#This Row],[Growth Days]]&lt;=14,"Seedling",Table4_2[[#This Row],[Growth Days]]&lt;=35, "Vegetative",Table4_2[[#This Row],[Growth Days]]&lt;=50, "Maturity")</f>
        <v>Vegetative</v>
      </c>
      <c r="L2282" t="str">
        <f>IF(Table4_2[[#This Row],[TDS Value (ppm)]]&lt;560, "Low", IF(Table4_2[[#This Row],[TDS Value (ppm)]]&lt;=800,"Optimal","High"))</f>
        <v>Low</v>
      </c>
    </row>
    <row r="2283" spans="1:12" x14ac:dyDescent="0.25">
      <c r="A2283">
        <v>5</v>
      </c>
      <c r="B2283" s="1">
        <v>45178</v>
      </c>
      <c r="C2283" s="1" t="str">
        <f>TEXT(Table4_2[[#This Row],[Date]],"dddd")</f>
        <v>Saturday</v>
      </c>
      <c r="D2283" s="21">
        <v>20.100000000000001</v>
      </c>
      <c r="E2283" s="21">
        <v>54</v>
      </c>
      <c r="F2283" s="21">
        <v>661</v>
      </c>
      <c r="G2283" s="21">
        <v>6.3</v>
      </c>
      <c r="H2283">
        <v>38</v>
      </c>
      <c r="I2283">
        <v>68.180000000000007</v>
      </c>
      <c r="J2283">
        <v>0.54</v>
      </c>
      <c r="K2283" t="str" cm="1">
        <f t="array" ref="K2283">_xlfn.IFS(Table4_2[[#This Row],[Growth Days]]&lt;=14,"Seedling",Table4_2[[#This Row],[Growth Days]]&lt;=35, "Vegetative",Table4_2[[#This Row],[Growth Days]]&lt;=50, "Maturity")</f>
        <v>Maturity</v>
      </c>
      <c r="L2283" t="str">
        <f>IF(Table4_2[[#This Row],[TDS Value (ppm)]]&lt;560, "Low", IF(Table4_2[[#This Row],[TDS Value (ppm)]]&lt;=800,"Optimal","High"))</f>
        <v>Optimal</v>
      </c>
    </row>
    <row r="2284" spans="1:12" x14ac:dyDescent="0.25">
      <c r="A2284">
        <v>5</v>
      </c>
      <c r="B2284" s="1">
        <v>45185</v>
      </c>
      <c r="C2284" s="1" t="str">
        <f>TEXT(Table4_2[[#This Row],[Date]],"dddd")</f>
        <v>Saturday</v>
      </c>
      <c r="D2284" s="21">
        <v>31.5</v>
      </c>
      <c r="E2284" s="21">
        <v>80</v>
      </c>
      <c r="F2284" s="21">
        <v>483</v>
      </c>
      <c r="G2284" s="21">
        <v>6.5</v>
      </c>
      <c r="H2284">
        <v>45</v>
      </c>
      <c r="I2284">
        <v>88.7</v>
      </c>
      <c r="J2284">
        <v>0.8</v>
      </c>
      <c r="K2284" t="str" cm="1">
        <f t="array" ref="K2284">_xlfn.IFS(Table4_2[[#This Row],[Growth Days]]&lt;=14,"Seedling",Table4_2[[#This Row],[Growth Days]]&lt;=35, "Vegetative",Table4_2[[#This Row],[Growth Days]]&lt;=50, "Maturity")</f>
        <v>Maturity</v>
      </c>
      <c r="L2284" t="str">
        <f>IF(Table4_2[[#This Row],[TDS Value (ppm)]]&lt;560, "Low", IF(Table4_2[[#This Row],[TDS Value (ppm)]]&lt;=800,"Optimal","High"))</f>
        <v>Low</v>
      </c>
    </row>
    <row r="2285" spans="1:12" x14ac:dyDescent="0.25">
      <c r="A2285">
        <v>6</v>
      </c>
      <c r="B2285" s="1">
        <v>45143</v>
      </c>
      <c r="C2285" s="1" t="str">
        <f>TEXT(Table4_2[[#This Row],[Date]],"dddd")</f>
        <v>Saturday</v>
      </c>
      <c r="D2285" s="21">
        <v>33.4</v>
      </c>
      <c r="E2285" s="21">
        <v>66</v>
      </c>
      <c r="F2285" s="21">
        <v>662</v>
      </c>
      <c r="G2285" s="21">
        <v>6.4</v>
      </c>
      <c r="H2285">
        <v>3</v>
      </c>
      <c r="I2285">
        <v>92.12</v>
      </c>
      <c r="J2285">
        <v>0.66</v>
      </c>
      <c r="K2285" t="str" cm="1">
        <f t="array" ref="K2285">_xlfn.IFS(Table4_2[[#This Row],[Growth Days]]&lt;=14,"Seedling",Table4_2[[#This Row],[Growth Days]]&lt;=35, "Vegetative",Table4_2[[#This Row],[Growth Days]]&lt;=50, "Maturity")</f>
        <v>Seedling</v>
      </c>
      <c r="L2285" t="str">
        <f>IF(Table4_2[[#This Row],[TDS Value (ppm)]]&lt;560, "Low", IF(Table4_2[[#This Row],[TDS Value (ppm)]]&lt;=800,"Optimal","High"))</f>
        <v>Optimal</v>
      </c>
    </row>
    <row r="2286" spans="1:12" x14ac:dyDescent="0.25">
      <c r="A2286">
        <v>6</v>
      </c>
      <c r="B2286" s="1">
        <v>45150</v>
      </c>
      <c r="C2286" s="1" t="str">
        <f>TEXT(Table4_2[[#This Row],[Date]],"dddd")</f>
        <v>Saturday</v>
      </c>
      <c r="D2286" s="21">
        <v>30.2</v>
      </c>
      <c r="E2286" s="21">
        <v>71</v>
      </c>
      <c r="F2286" s="21">
        <v>485</v>
      </c>
      <c r="G2286" s="21">
        <v>6.4</v>
      </c>
      <c r="H2286">
        <v>10</v>
      </c>
      <c r="I2286">
        <v>86.36</v>
      </c>
      <c r="J2286">
        <v>0.71</v>
      </c>
      <c r="K2286" t="str" cm="1">
        <f t="array" ref="K2286">_xlfn.IFS(Table4_2[[#This Row],[Growth Days]]&lt;=14,"Seedling",Table4_2[[#This Row],[Growth Days]]&lt;=35, "Vegetative",Table4_2[[#This Row],[Growth Days]]&lt;=50, "Maturity")</f>
        <v>Seedling</v>
      </c>
      <c r="L2286" t="str">
        <f>IF(Table4_2[[#This Row],[TDS Value (ppm)]]&lt;560, "Low", IF(Table4_2[[#This Row],[TDS Value (ppm)]]&lt;=800,"Optimal","High"))</f>
        <v>Low</v>
      </c>
    </row>
    <row r="2287" spans="1:12" x14ac:dyDescent="0.25">
      <c r="A2287">
        <v>6</v>
      </c>
      <c r="B2287" s="1">
        <v>45157</v>
      </c>
      <c r="C2287" s="1" t="str">
        <f>TEXT(Table4_2[[#This Row],[Date]],"dddd")</f>
        <v>Saturday</v>
      </c>
      <c r="D2287" s="21">
        <v>30.8</v>
      </c>
      <c r="E2287" s="21">
        <v>58</v>
      </c>
      <c r="F2287" s="21">
        <v>583</v>
      </c>
      <c r="G2287" s="21">
        <v>6.6</v>
      </c>
      <c r="H2287">
        <v>17</v>
      </c>
      <c r="I2287">
        <v>87.44</v>
      </c>
      <c r="J2287">
        <v>0.57999999999999996</v>
      </c>
      <c r="K2287" t="str" cm="1">
        <f t="array" ref="K2287">_xlfn.IFS(Table4_2[[#This Row],[Growth Days]]&lt;=14,"Seedling",Table4_2[[#This Row],[Growth Days]]&lt;=35, "Vegetative",Table4_2[[#This Row],[Growth Days]]&lt;=50, "Maturity")</f>
        <v>Vegetative</v>
      </c>
      <c r="L2287" t="str">
        <f>IF(Table4_2[[#This Row],[TDS Value (ppm)]]&lt;560, "Low", IF(Table4_2[[#This Row],[TDS Value (ppm)]]&lt;=800,"Optimal","High"))</f>
        <v>Optimal</v>
      </c>
    </row>
    <row r="2288" spans="1:12" x14ac:dyDescent="0.25">
      <c r="A2288">
        <v>6</v>
      </c>
      <c r="B2288" s="1">
        <v>45164</v>
      </c>
      <c r="C2288" s="1" t="str">
        <f>TEXT(Table4_2[[#This Row],[Date]],"dddd")</f>
        <v>Saturday</v>
      </c>
      <c r="D2288" s="21">
        <v>31.4</v>
      </c>
      <c r="E2288" s="21">
        <v>52</v>
      </c>
      <c r="F2288" s="21">
        <v>500</v>
      </c>
      <c r="G2288" s="21">
        <v>6.2</v>
      </c>
      <c r="H2288">
        <v>24</v>
      </c>
      <c r="I2288">
        <v>88.52</v>
      </c>
      <c r="J2288">
        <v>0.52</v>
      </c>
      <c r="K2288" t="str" cm="1">
        <f t="array" ref="K2288">_xlfn.IFS(Table4_2[[#This Row],[Growth Days]]&lt;=14,"Seedling",Table4_2[[#This Row],[Growth Days]]&lt;=35, "Vegetative",Table4_2[[#This Row],[Growth Days]]&lt;=50, "Maturity")</f>
        <v>Vegetative</v>
      </c>
      <c r="L2288" t="str">
        <f>IF(Table4_2[[#This Row],[TDS Value (ppm)]]&lt;560, "Low", IF(Table4_2[[#This Row],[TDS Value (ppm)]]&lt;=800,"Optimal","High"))</f>
        <v>Low</v>
      </c>
    </row>
    <row r="2289" spans="1:12" x14ac:dyDescent="0.25">
      <c r="A2289">
        <v>6</v>
      </c>
      <c r="B2289" s="1">
        <v>45171</v>
      </c>
      <c r="C2289" s="1" t="str">
        <f>TEXT(Table4_2[[#This Row],[Date]],"dddd")</f>
        <v>Saturday</v>
      </c>
      <c r="D2289" s="21">
        <v>31.7</v>
      </c>
      <c r="E2289" s="21">
        <v>77</v>
      </c>
      <c r="F2289" s="21">
        <v>742</v>
      </c>
      <c r="G2289" s="21">
        <v>6.5</v>
      </c>
      <c r="H2289">
        <v>31</v>
      </c>
      <c r="I2289">
        <v>89.06</v>
      </c>
      <c r="J2289">
        <v>0.77</v>
      </c>
      <c r="K2289" t="str" cm="1">
        <f t="array" ref="K2289">_xlfn.IFS(Table4_2[[#This Row],[Growth Days]]&lt;=14,"Seedling",Table4_2[[#This Row],[Growth Days]]&lt;=35, "Vegetative",Table4_2[[#This Row],[Growth Days]]&lt;=50, "Maturity")</f>
        <v>Vegetative</v>
      </c>
      <c r="L2289" t="str">
        <f>IF(Table4_2[[#This Row],[TDS Value (ppm)]]&lt;560, "Low", IF(Table4_2[[#This Row],[TDS Value (ppm)]]&lt;=800,"Optimal","High"))</f>
        <v>Optimal</v>
      </c>
    </row>
    <row r="2290" spans="1:12" x14ac:dyDescent="0.25">
      <c r="A2290">
        <v>6</v>
      </c>
      <c r="B2290" s="1">
        <v>45178</v>
      </c>
      <c r="C2290" s="1" t="str">
        <f>TEXT(Table4_2[[#This Row],[Date]],"dddd")</f>
        <v>Saturday</v>
      </c>
      <c r="D2290" s="21">
        <v>20.100000000000001</v>
      </c>
      <c r="E2290" s="21">
        <v>55</v>
      </c>
      <c r="F2290" s="21">
        <v>490</v>
      </c>
      <c r="G2290" s="21">
        <v>6.5</v>
      </c>
      <c r="H2290">
        <v>38</v>
      </c>
      <c r="I2290">
        <v>68.180000000000007</v>
      </c>
      <c r="J2290">
        <v>0.55000000000000004</v>
      </c>
      <c r="K2290" t="str" cm="1">
        <f t="array" ref="K2290">_xlfn.IFS(Table4_2[[#This Row],[Growth Days]]&lt;=14,"Seedling",Table4_2[[#This Row],[Growth Days]]&lt;=35, "Vegetative",Table4_2[[#This Row],[Growth Days]]&lt;=50, "Maturity")</f>
        <v>Maturity</v>
      </c>
      <c r="L2290" t="str">
        <f>IF(Table4_2[[#This Row],[TDS Value (ppm)]]&lt;560, "Low", IF(Table4_2[[#This Row],[TDS Value (ppm)]]&lt;=800,"Optimal","High"))</f>
        <v>Low</v>
      </c>
    </row>
    <row r="2291" spans="1:12" x14ac:dyDescent="0.25">
      <c r="A2291">
        <v>6</v>
      </c>
      <c r="B2291" s="1">
        <v>45185</v>
      </c>
      <c r="C2291" s="1" t="str">
        <f>TEXT(Table4_2[[#This Row],[Date]],"dddd")</f>
        <v>Saturday</v>
      </c>
      <c r="D2291" s="21">
        <v>31.5</v>
      </c>
      <c r="E2291" s="21">
        <v>71</v>
      </c>
      <c r="F2291" s="21">
        <v>591</v>
      </c>
      <c r="G2291" s="21">
        <v>6.4</v>
      </c>
      <c r="H2291">
        <v>45</v>
      </c>
      <c r="I2291">
        <v>88.7</v>
      </c>
      <c r="J2291">
        <v>0.71</v>
      </c>
      <c r="K2291" t="str" cm="1">
        <f t="array" ref="K2291">_xlfn.IFS(Table4_2[[#This Row],[Growth Days]]&lt;=14,"Seedling",Table4_2[[#This Row],[Growth Days]]&lt;=35, "Vegetative",Table4_2[[#This Row],[Growth Days]]&lt;=50, "Maturity")</f>
        <v>Maturity</v>
      </c>
      <c r="L2291" t="str">
        <f>IF(Table4_2[[#This Row],[TDS Value (ppm)]]&lt;560, "Low", IF(Table4_2[[#This Row],[TDS Value (ppm)]]&lt;=800,"Optimal","High"))</f>
        <v>Optimal</v>
      </c>
    </row>
    <row r="2292" spans="1:12" x14ac:dyDescent="0.25">
      <c r="A2292">
        <v>7</v>
      </c>
      <c r="B2292" s="1">
        <v>45143</v>
      </c>
      <c r="C2292" s="1" t="str">
        <f>TEXT(Table4_2[[#This Row],[Date]],"dddd")</f>
        <v>Saturday</v>
      </c>
      <c r="D2292" s="21">
        <v>33.4</v>
      </c>
      <c r="E2292" s="21">
        <v>51</v>
      </c>
      <c r="F2292" s="21">
        <v>507</v>
      </c>
      <c r="G2292" s="21">
        <v>6.1</v>
      </c>
      <c r="H2292">
        <v>3</v>
      </c>
      <c r="I2292">
        <v>92.12</v>
      </c>
      <c r="J2292">
        <v>0.51</v>
      </c>
      <c r="K2292" t="str" cm="1">
        <f t="array" ref="K2292">_xlfn.IFS(Table4_2[[#This Row],[Growth Days]]&lt;=14,"Seedling",Table4_2[[#This Row],[Growth Days]]&lt;=35, "Vegetative",Table4_2[[#This Row],[Growth Days]]&lt;=50, "Maturity")</f>
        <v>Seedling</v>
      </c>
      <c r="L2292" t="str">
        <f>IF(Table4_2[[#This Row],[TDS Value (ppm)]]&lt;560, "Low", IF(Table4_2[[#This Row],[TDS Value (ppm)]]&lt;=800,"Optimal","High"))</f>
        <v>Low</v>
      </c>
    </row>
    <row r="2293" spans="1:12" x14ac:dyDescent="0.25">
      <c r="A2293">
        <v>7</v>
      </c>
      <c r="B2293" s="1">
        <v>45150</v>
      </c>
      <c r="C2293" s="1" t="str">
        <f>TEXT(Table4_2[[#This Row],[Date]],"dddd")</f>
        <v>Saturday</v>
      </c>
      <c r="D2293" s="21">
        <v>30.2</v>
      </c>
      <c r="E2293" s="21">
        <v>80</v>
      </c>
      <c r="F2293" s="21">
        <v>782</v>
      </c>
      <c r="G2293" s="21">
        <v>6.5</v>
      </c>
      <c r="H2293">
        <v>10</v>
      </c>
      <c r="I2293">
        <v>86.36</v>
      </c>
      <c r="J2293">
        <v>0.8</v>
      </c>
      <c r="K2293" t="str" cm="1">
        <f t="array" ref="K2293">_xlfn.IFS(Table4_2[[#This Row],[Growth Days]]&lt;=14,"Seedling",Table4_2[[#This Row],[Growth Days]]&lt;=35, "Vegetative",Table4_2[[#This Row],[Growth Days]]&lt;=50, "Maturity")</f>
        <v>Seedling</v>
      </c>
      <c r="L2293" t="str">
        <f>IF(Table4_2[[#This Row],[TDS Value (ppm)]]&lt;560, "Low", IF(Table4_2[[#This Row],[TDS Value (ppm)]]&lt;=800,"Optimal","High"))</f>
        <v>Optimal</v>
      </c>
    </row>
    <row r="2294" spans="1:12" x14ac:dyDescent="0.25">
      <c r="A2294">
        <v>7</v>
      </c>
      <c r="B2294" s="1">
        <v>45157</v>
      </c>
      <c r="C2294" s="1" t="str">
        <f>TEXT(Table4_2[[#This Row],[Date]],"dddd")</f>
        <v>Saturday</v>
      </c>
      <c r="D2294" s="21">
        <v>30.8</v>
      </c>
      <c r="E2294" s="21">
        <v>60</v>
      </c>
      <c r="F2294" s="21">
        <v>701</v>
      </c>
      <c r="G2294" s="21">
        <v>6.3</v>
      </c>
      <c r="H2294">
        <v>17</v>
      </c>
      <c r="I2294">
        <v>87.44</v>
      </c>
      <c r="J2294">
        <v>0.6</v>
      </c>
      <c r="K2294" t="str" cm="1">
        <f t="array" ref="K2294">_xlfn.IFS(Table4_2[[#This Row],[Growth Days]]&lt;=14,"Seedling",Table4_2[[#This Row],[Growth Days]]&lt;=35, "Vegetative",Table4_2[[#This Row],[Growth Days]]&lt;=50, "Maturity")</f>
        <v>Vegetative</v>
      </c>
      <c r="L2294" t="str">
        <f>IF(Table4_2[[#This Row],[TDS Value (ppm)]]&lt;560, "Low", IF(Table4_2[[#This Row],[TDS Value (ppm)]]&lt;=800,"Optimal","High"))</f>
        <v>Optimal</v>
      </c>
    </row>
    <row r="2295" spans="1:12" x14ac:dyDescent="0.25">
      <c r="A2295">
        <v>7</v>
      </c>
      <c r="B2295" s="1">
        <v>45164</v>
      </c>
      <c r="C2295" s="1" t="str">
        <f>TEXT(Table4_2[[#This Row],[Date]],"dddd")</f>
        <v>Saturday</v>
      </c>
      <c r="D2295" s="21">
        <v>31.4</v>
      </c>
      <c r="E2295" s="21">
        <v>61</v>
      </c>
      <c r="F2295" s="21">
        <v>640</v>
      </c>
      <c r="G2295" s="21">
        <v>6.6</v>
      </c>
      <c r="H2295">
        <v>24</v>
      </c>
      <c r="I2295">
        <v>88.52</v>
      </c>
      <c r="J2295">
        <v>0.61</v>
      </c>
      <c r="K2295" t="str" cm="1">
        <f t="array" ref="K2295">_xlfn.IFS(Table4_2[[#This Row],[Growth Days]]&lt;=14,"Seedling",Table4_2[[#This Row],[Growth Days]]&lt;=35, "Vegetative",Table4_2[[#This Row],[Growth Days]]&lt;=50, "Maturity")</f>
        <v>Vegetative</v>
      </c>
      <c r="L2295" t="str">
        <f>IF(Table4_2[[#This Row],[TDS Value (ppm)]]&lt;560, "Low", IF(Table4_2[[#This Row],[TDS Value (ppm)]]&lt;=800,"Optimal","High"))</f>
        <v>Optimal</v>
      </c>
    </row>
    <row r="2296" spans="1:12" x14ac:dyDescent="0.25">
      <c r="A2296">
        <v>7</v>
      </c>
      <c r="B2296" s="1">
        <v>45171</v>
      </c>
      <c r="C2296" s="1" t="str">
        <f>TEXT(Table4_2[[#This Row],[Date]],"dddd")</f>
        <v>Saturday</v>
      </c>
      <c r="D2296" s="21">
        <v>31.7</v>
      </c>
      <c r="E2296" s="21">
        <v>67</v>
      </c>
      <c r="F2296" s="21">
        <v>696</v>
      </c>
      <c r="G2296" s="21">
        <v>6.7</v>
      </c>
      <c r="H2296">
        <v>31</v>
      </c>
      <c r="I2296">
        <v>89.06</v>
      </c>
      <c r="J2296">
        <v>0.67</v>
      </c>
      <c r="K2296" t="str" cm="1">
        <f t="array" ref="K2296">_xlfn.IFS(Table4_2[[#This Row],[Growth Days]]&lt;=14,"Seedling",Table4_2[[#This Row],[Growth Days]]&lt;=35, "Vegetative",Table4_2[[#This Row],[Growth Days]]&lt;=50, "Maturity")</f>
        <v>Vegetative</v>
      </c>
      <c r="L2296" t="str">
        <f>IF(Table4_2[[#This Row],[TDS Value (ppm)]]&lt;560, "Low", IF(Table4_2[[#This Row],[TDS Value (ppm)]]&lt;=800,"Optimal","High"))</f>
        <v>Optimal</v>
      </c>
    </row>
    <row r="2297" spans="1:12" x14ac:dyDescent="0.25">
      <c r="A2297">
        <v>7</v>
      </c>
      <c r="B2297" s="1">
        <v>45178</v>
      </c>
      <c r="C2297" s="1" t="str">
        <f>TEXT(Table4_2[[#This Row],[Date]],"dddd")</f>
        <v>Saturday</v>
      </c>
      <c r="D2297" s="21">
        <v>20.100000000000001</v>
      </c>
      <c r="E2297" s="21">
        <v>63</v>
      </c>
      <c r="F2297" s="21">
        <v>555</v>
      </c>
      <c r="G2297" s="21">
        <v>6.2</v>
      </c>
      <c r="H2297">
        <v>38</v>
      </c>
      <c r="I2297">
        <v>68.180000000000007</v>
      </c>
      <c r="J2297">
        <v>0.63</v>
      </c>
      <c r="K2297" t="str" cm="1">
        <f t="array" ref="K2297">_xlfn.IFS(Table4_2[[#This Row],[Growth Days]]&lt;=14,"Seedling",Table4_2[[#This Row],[Growth Days]]&lt;=35, "Vegetative",Table4_2[[#This Row],[Growth Days]]&lt;=50, "Maturity")</f>
        <v>Maturity</v>
      </c>
      <c r="L2297" t="str">
        <f>IF(Table4_2[[#This Row],[TDS Value (ppm)]]&lt;560, "Low", IF(Table4_2[[#This Row],[TDS Value (ppm)]]&lt;=800,"Optimal","High"))</f>
        <v>Low</v>
      </c>
    </row>
    <row r="2298" spans="1:12" x14ac:dyDescent="0.25">
      <c r="A2298">
        <v>7</v>
      </c>
      <c r="B2298" s="1">
        <v>45185</v>
      </c>
      <c r="C2298" s="1" t="str">
        <f>TEXT(Table4_2[[#This Row],[Date]],"dddd")</f>
        <v>Saturday</v>
      </c>
      <c r="D2298" s="21">
        <v>31.5</v>
      </c>
      <c r="E2298" s="21">
        <v>72</v>
      </c>
      <c r="F2298" s="21">
        <v>508</v>
      </c>
      <c r="G2298" s="21">
        <v>6.3</v>
      </c>
      <c r="H2298">
        <v>45</v>
      </c>
      <c r="I2298">
        <v>88.7</v>
      </c>
      <c r="J2298">
        <v>0.72</v>
      </c>
      <c r="K2298" t="str" cm="1">
        <f t="array" ref="K2298">_xlfn.IFS(Table4_2[[#This Row],[Growth Days]]&lt;=14,"Seedling",Table4_2[[#This Row],[Growth Days]]&lt;=35, "Vegetative",Table4_2[[#This Row],[Growth Days]]&lt;=50, "Maturity")</f>
        <v>Maturity</v>
      </c>
      <c r="L2298" t="str">
        <f>IF(Table4_2[[#This Row],[TDS Value (ppm)]]&lt;560, "Low", IF(Table4_2[[#This Row],[TDS Value (ppm)]]&lt;=800,"Optimal","High"))</f>
        <v>Low</v>
      </c>
    </row>
    <row r="2299" spans="1:12" x14ac:dyDescent="0.25">
      <c r="A2299">
        <v>8</v>
      </c>
      <c r="B2299" s="1">
        <v>45143</v>
      </c>
      <c r="C2299" s="1" t="str">
        <f>TEXT(Table4_2[[#This Row],[Date]],"dddd")</f>
        <v>Saturday</v>
      </c>
      <c r="D2299" s="21">
        <v>33.4</v>
      </c>
      <c r="E2299" s="21">
        <v>72</v>
      </c>
      <c r="F2299" s="21">
        <v>454</v>
      </c>
      <c r="G2299" s="21">
        <v>6.7</v>
      </c>
      <c r="H2299">
        <v>3</v>
      </c>
      <c r="I2299">
        <v>92.12</v>
      </c>
      <c r="J2299">
        <v>0.72</v>
      </c>
      <c r="K2299" t="str" cm="1">
        <f t="array" ref="K2299">_xlfn.IFS(Table4_2[[#This Row],[Growth Days]]&lt;=14,"Seedling",Table4_2[[#This Row],[Growth Days]]&lt;=35, "Vegetative",Table4_2[[#This Row],[Growth Days]]&lt;=50, "Maturity")</f>
        <v>Seedling</v>
      </c>
      <c r="L2299" t="str">
        <f>IF(Table4_2[[#This Row],[TDS Value (ppm)]]&lt;560, "Low", IF(Table4_2[[#This Row],[TDS Value (ppm)]]&lt;=800,"Optimal","High"))</f>
        <v>Low</v>
      </c>
    </row>
    <row r="2300" spans="1:12" x14ac:dyDescent="0.25">
      <c r="A2300">
        <v>8</v>
      </c>
      <c r="B2300" s="1">
        <v>45150</v>
      </c>
      <c r="C2300" s="1" t="str">
        <f>TEXT(Table4_2[[#This Row],[Date]],"dddd")</f>
        <v>Saturday</v>
      </c>
      <c r="D2300" s="21">
        <v>30.2</v>
      </c>
      <c r="E2300" s="21">
        <v>55</v>
      </c>
      <c r="F2300" s="21">
        <v>403</v>
      </c>
      <c r="G2300" s="21">
        <v>6.6</v>
      </c>
      <c r="H2300">
        <v>10</v>
      </c>
      <c r="I2300">
        <v>86.36</v>
      </c>
      <c r="J2300">
        <v>0.55000000000000004</v>
      </c>
      <c r="K2300" t="str" cm="1">
        <f t="array" ref="K2300">_xlfn.IFS(Table4_2[[#This Row],[Growth Days]]&lt;=14,"Seedling",Table4_2[[#This Row],[Growth Days]]&lt;=35, "Vegetative",Table4_2[[#This Row],[Growth Days]]&lt;=50, "Maturity")</f>
        <v>Seedling</v>
      </c>
      <c r="L2300" t="str">
        <f>IF(Table4_2[[#This Row],[TDS Value (ppm)]]&lt;560, "Low", IF(Table4_2[[#This Row],[TDS Value (ppm)]]&lt;=800,"Optimal","High"))</f>
        <v>Low</v>
      </c>
    </row>
    <row r="2301" spans="1:12" x14ac:dyDescent="0.25">
      <c r="A2301">
        <v>8</v>
      </c>
      <c r="B2301" s="1">
        <v>45157</v>
      </c>
      <c r="C2301" s="1" t="str">
        <f>TEXT(Table4_2[[#This Row],[Date]],"dddd")</f>
        <v>Saturday</v>
      </c>
      <c r="D2301" s="21">
        <v>30.8</v>
      </c>
      <c r="E2301" s="21">
        <v>62</v>
      </c>
      <c r="F2301" s="21">
        <v>422</v>
      </c>
      <c r="G2301" s="21">
        <v>6.4</v>
      </c>
      <c r="H2301">
        <v>17</v>
      </c>
      <c r="I2301">
        <v>87.44</v>
      </c>
      <c r="J2301">
        <v>0.62</v>
      </c>
      <c r="K2301" t="str" cm="1">
        <f t="array" ref="K2301">_xlfn.IFS(Table4_2[[#This Row],[Growth Days]]&lt;=14,"Seedling",Table4_2[[#This Row],[Growth Days]]&lt;=35, "Vegetative",Table4_2[[#This Row],[Growth Days]]&lt;=50, "Maturity")</f>
        <v>Vegetative</v>
      </c>
      <c r="L2301" t="str">
        <f>IF(Table4_2[[#This Row],[TDS Value (ppm)]]&lt;560, "Low", IF(Table4_2[[#This Row],[TDS Value (ppm)]]&lt;=800,"Optimal","High"))</f>
        <v>Low</v>
      </c>
    </row>
    <row r="2302" spans="1:12" x14ac:dyDescent="0.25">
      <c r="A2302">
        <v>8</v>
      </c>
      <c r="B2302" s="1">
        <v>45164</v>
      </c>
      <c r="C2302" s="1" t="str">
        <f>TEXT(Table4_2[[#This Row],[Date]],"dddd")</f>
        <v>Saturday</v>
      </c>
      <c r="D2302" s="21">
        <v>31.4</v>
      </c>
      <c r="E2302" s="21">
        <v>79</v>
      </c>
      <c r="F2302" s="21">
        <v>619</v>
      </c>
      <c r="G2302" s="21">
        <v>6.3</v>
      </c>
      <c r="H2302">
        <v>24</v>
      </c>
      <c r="I2302">
        <v>88.52</v>
      </c>
      <c r="J2302">
        <v>0.79</v>
      </c>
      <c r="K2302" t="str" cm="1">
        <f t="array" ref="K2302">_xlfn.IFS(Table4_2[[#This Row],[Growth Days]]&lt;=14,"Seedling",Table4_2[[#This Row],[Growth Days]]&lt;=35, "Vegetative",Table4_2[[#This Row],[Growth Days]]&lt;=50, "Maturity")</f>
        <v>Vegetative</v>
      </c>
      <c r="L2302" t="str">
        <f>IF(Table4_2[[#This Row],[TDS Value (ppm)]]&lt;560, "Low", IF(Table4_2[[#This Row],[TDS Value (ppm)]]&lt;=800,"Optimal","High"))</f>
        <v>Optimal</v>
      </c>
    </row>
    <row r="2303" spans="1:12" x14ac:dyDescent="0.25">
      <c r="A2303">
        <v>8</v>
      </c>
      <c r="B2303" s="1">
        <v>45171</v>
      </c>
      <c r="C2303" s="1" t="str">
        <f>TEXT(Table4_2[[#This Row],[Date]],"dddd")</f>
        <v>Saturday</v>
      </c>
      <c r="D2303" s="21">
        <v>31.7</v>
      </c>
      <c r="E2303" s="21">
        <v>54</v>
      </c>
      <c r="F2303" s="21">
        <v>458</v>
      </c>
      <c r="G2303" s="21">
        <v>6.6</v>
      </c>
      <c r="H2303">
        <v>31</v>
      </c>
      <c r="I2303">
        <v>89.06</v>
      </c>
      <c r="J2303">
        <v>0.54</v>
      </c>
      <c r="K2303" t="str" cm="1">
        <f t="array" ref="K2303">_xlfn.IFS(Table4_2[[#This Row],[Growth Days]]&lt;=14,"Seedling",Table4_2[[#This Row],[Growth Days]]&lt;=35, "Vegetative",Table4_2[[#This Row],[Growth Days]]&lt;=50, "Maturity")</f>
        <v>Vegetative</v>
      </c>
      <c r="L2303" t="str">
        <f>IF(Table4_2[[#This Row],[TDS Value (ppm)]]&lt;560, "Low", IF(Table4_2[[#This Row],[TDS Value (ppm)]]&lt;=800,"Optimal","High"))</f>
        <v>Low</v>
      </c>
    </row>
    <row r="2304" spans="1:12" x14ac:dyDescent="0.25">
      <c r="A2304">
        <v>8</v>
      </c>
      <c r="B2304" s="1">
        <v>45178</v>
      </c>
      <c r="C2304" s="1" t="str">
        <f>TEXT(Table4_2[[#This Row],[Date]],"dddd")</f>
        <v>Saturday</v>
      </c>
      <c r="D2304" s="21">
        <v>20.100000000000001</v>
      </c>
      <c r="E2304" s="21">
        <v>69</v>
      </c>
      <c r="F2304" s="21">
        <v>763</v>
      </c>
      <c r="G2304" s="21">
        <v>6.8</v>
      </c>
      <c r="H2304">
        <v>38</v>
      </c>
      <c r="I2304">
        <v>68.180000000000007</v>
      </c>
      <c r="J2304">
        <v>0.69</v>
      </c>
      <c r="K2304" t="str" cm="1">
        <f t="array" ref="K2304">_xlfn.IFS(Table4_2[[#This Row],[Growth Days]]&lt;=14,"Seedling",Table4_2[[#This Row],[Growth Days]]&lt;=35, "Vegetative",Table4_2[[#This Row],[Growth Days]]&lt;=50, "Maturity")</f>
        <v>Maturity</v>
      </c>
      <c r="L2304" t="str">
        <f>IF(Table4_2[[#This Row],[TDS Value (ppm)]]&lt;560, "Low", IF(Table4_2[[#This Row],[TDS Value (ppm)]]&lt;=800,"Optimal","High"))</f>
        <v>Optimal</v>
      </c>
    </row>
    <row r="2305" spans="1:12" x14ac:dyDescent="0.25">
      <c r="A2305">
        <v>8</v>
      </c>
      <c r="B2305" s="1">
        <v>45185</v>
      </c>
      <c r="C2305" s="1" t="str">
        <f>TEXT(Table4_2[[#This Row],[Date]],"dddd")</f>
        <v>Saturday</v>
      </c>
      <c r="D2305" s="21">
        <v>31.5</v>
      </c>
      <c r="E2305" s="21">
        <v>65</v>
      </c>
      <c r="F2305" s="21">
        <v>546</v>
      </c>
      <c r="G2305" s="21">
        <v>6.2</v>
      </c>
      <c r="H2305">
        <v>45</v>
      </c>
      <c r="I2305">
        <v>88.7</v>
      </c>
      <c r="J2305">
        <v>0.65</v>
      </c>
      <c r="K2305" t="str" cm="1">
        <f t="array" ref="K2305">_xlfn.IFS(Table4_2[[#This Row],[Growth Days]]&lt;=14,"Seedling",Table4_2[[#This Row],[Growth Days]]&lt;=35, "Vegetative",Table4_2[[#This Row],[Growth Days]]&lt;=50, "Maturity")</f>
        <v>Maturity</v>
      </c>
      <c r="L2305" t="str">
        <f>IF(Table4_2[[#This Row],[TDS Value (ppm)]]&lt;560, "Low", IF(Table4_2[[#This Row],[TDS Value (ppm)]]&lt;=800,"Optimal","High"))</f>
        <v>Low</v>
      </c>
    </row>
    <row r="2306" spans="1:12" x14ac:dyDescent="0.25">
      <c r="A2306">
        <v>9</v>
      </c>
      <c r="B2306" s="1">
        <v>45143</v>
      </c>
      <c r="C2306" s="1" t="str">
        <f>TEXT(Table4_2[[#This Row],[Date]],"dddd")</f>
        <v>Saturday</v>
      </c>
      <c r="D2306" s="21">
        <v>33.4</v>
      </c>
      <c r="E2306" s="21">
        <v>70</v>
      </c>
      <c r="F2306" s="21">
        <v>671</v>
      </c>
      <c r="G2306" s="21">
        <v>6.3</v>
      </c>
      <c r="H2306">
        <v>3</v>
      </c>
      <c r="I2306">
        <v>92.12</v>
      </c>
      <c r="J2306">
        <v>0.7</v>
      </c>
      <c r="K2306" t="str" cm="1">
        <f t="array" ref="K2306">_xlfn.IFS(Table4_2[[#This Row],[Growth Days]]&lt;=14,"Seedling",Table4_2[[#This Row],[Growth Days]]&lt;=35, "Vegetative",Table4_2[[#This Row],[Growth Days]]&lt;=50, "Maturity")</f>
        <v>Seedling</v>
      </c>
      <c r="L2306" t="str">
        <f>IF(Table4_2[[#This Row],[TDS Value (ppm)]]&lt;560, "Low", IF(Table4_2[[#This Row],[TDS Value (ppm)]]&lt;=800,"Optimal","High"))</f>
        <v>Optimal</v>
      </c>
    </row>
    <row r="2307" spans="1:12" x14ac:dyDescent="0.25">
      <c r="A2307">
        <v>9</v>
      </c>
      <c r="B2307" s="1">
        <v>45150</v>
      </c>
      <c r="C2307" s="1" t="str">
        <f>TEXT(Table4_2[[#This Row],[Date]],"dddd")</f>
        <v>Saturday</v>
      </c>
      <c r="D2307" s="21">
        <v>30.2</v>
      </c>
      <c r="E2307" s="21">
        <v>74</v>
      </c>
      <c r="F2307" s="21">
        <v>563</v>
      </c>
      <c r="G2307" s="21">
        <v>6.8</v>
      </c>
      <c r="H2307">
        <v>10</v>
      </c>
      <c r="I2307">
        <v>86.36</v>
      </c>
      <c r="J2307">
        <v>0.74</v>
      </c>
      <c r="K2307" t="str" cm="1">
        <f t="array" ref="K2307">_xlfn.IFS(Table4_2[[#This Row],[Growth Days]]&lt;=14,"Seedling",Table4_2[[#This Row],[Growth Days]]&lt;=35, "Vegetative",Table4_2[[#This Row],[Growth Days]]&lt;=50, "Maturity")</f>
        <v>Seedling</v>
      </c>
      <c r="L2307" t="str">
        <f>IF(Table4_2[[#This Row],[TDS Value (ppm)]]&lt;560, "Low", IF(Table4_2[[#This Row],[TDS Value (ppm)]]&lt;=800,"Optimal","High"))</f>
        <v>Optimal</v>
      </c>
    </row>
    <row r="2308" spans="1:12" x14ac:dyDescent="0.25">
      <c r="A2308">
        <v>9</v>
      </c>
      <c r="B2308" s="1">
        <v>45157</v>
      </c>
      <c r="C2308" s="1" t="str">
        <f>TEXT(Table4_2[[#This Row],[Date]],"dddd")</f>
        <v>Saturday</v>
      </c>
      <c r="D2308" s="21">
        <v>30.8</v>
      </c>
      <c r="E2308" s="21">
        <v>73</v>
      </c>
      <c r="F2308" s="21">
        <v>610</v>
      </c>
      <c r="G2308" s="21">
        <v>6.5</v>
      </c>
      <c r="H2308">
        <v>17</v>
      </c>
      <c r="I2308">
        <v>87.44</v>
      </c>
      <c r="J2308">
        <v>0.73</v>
      </c>
      <c r="K2308" t="str" cm="1">
        <f t="array" ref="K2308">_xlfn.IFS(Table4_2[[#This Row],[Growth Days]]&lt;=14,"Seedling",Table4_2[[#This Row],[Growth Days]]&lt;=35, "Vegetative",Table4_2[[#This Row],[Growth Days]]&lt;=50, "Maturity")</f>
        <v>Vegetative</v>
      </c>
      <c r="L2308" t="str">
        <f>IF(Table4_2[[#This Row],[TDS Value (ppm)]]&lt;560, "Low", IF(Table4_2[[#This Row],[TDS Value (ppm)]]&lt;=800,"Optimal","High"))</f>
        <v>Optimal</v>
      </c>
    </row>
    <row r="2309" spans="1:12" x14ac:dyDescent="0.25">
      <c r="A2309">
        <v>9</v>
      </c>
      <c r="B2309" s="1">
        <v>45164</v>
      </c>
      <c r="C2309" s="1" t="str">
        <f>TEXT(Table4_2[[#This Row],[Date]],"dddd")</f>
        <v>Saturday</v>
      </c>
      <c r="D2309" s="21">
        <v>31.4</v>
      </c>
      <c r="E2309" s="21">
        <v>69</v>
      </c>
      <c r="F2309" s="21">
        <v>721</v>
      </c>
      <c r="G2309" s="21">
        <v>6.1</v>
      </c>
      <c r="H2309">
        <v>24</v>
      </c>
      <c r="I2309">
        <v>88.52</v>
      </c>
      <c r="J2309">
        <v>0.69</v>
      </c>
      <c r="K2309" t="str" cm="1">
        <f t="array" ref="K2309">_xlfn.IFS(Table4_2[[#This Row],[Growth Days]]&lt;=14,"Seedling",Table4_2[[#This Row],[Growth Days]]&lt;=35, "Vegetative",Table4_2[[#This Row],[Growth Days]]&lt;=50, "Maturity")</f>
        <v>Vegetative</v>
      </c>
      <c r="L2309" t="str">
        <f>IF(Table4_2[[#This Row],[TDS Value (ppm)]]&lt;560, "Low", IF(Table4_2[[#This Row],[TDS Value (ppm)]]&lt;=800,"Optimal","High"))</f>
        <v>Optimal</v>
      </c>
    </row>
    <row r="2310" spans="1:12" x14ac:dyDescent="0.25">
      <c r="A2310">
        <v>9</v>
      </c>
      <c r="B2310" s="1">
        <v>45171</v>
      </c>
      <c r="C2310" s="1" t="str">
        <f>TEXT(Table4_2[[#This Row],[Date]],"dddd")</f>
        <v>Saturday</v>
      </c>
      <c r="D2310" s="21">
        <v>31.7</v>
      </c>
      <c r="E2310" s="21">
        <v>77</v>
      </c>
      <c r="F2310" s="21">
        <v>501</v>
      </c>
      <c r="G2310" s="21">
        <v>6.4</v>
      </c>
      <c r="H2310">
        <v>31</v>
      </c>
      <c r="I2310">
        <v>89.06</v>
      </c>
      <c r="J2310">
        <v>0.77</v>
      </c>
      <c r="K2310" t="str" cm="1">
        <f t="array" ref="K2310">_xlfn.IFS(Table4_2[[#This Row],[Growth Days]]&lt;=14,"Seedling",Table4_2[[#This Row],[Growth Days]]&lt;=35, "Vegetative",Table4_2[[#This Row],[Growth Days]]&lt;=50, "Maturity")</f>
        <v>Vegetative</v>
      </c>
      <c r="L2310" t="str">
        <f>IF(Table4_2[[#This Row],[TDS Value (ppm)]]&lt;560, "Low", IF(Table4_2[[#This Row],[TDS Value (ppm)]]&lt;=800,"Optimal","High"))</f>
        <v>Low</v>
      </c>
    </row>
    <row r="2311" spans="1:12" x14ac:dyDescent="0.25">
      <c r="A2311">
        <v>9</v>
      </c>
      <c r="B2311" s="1">
        <v>45178</v>
      </c>
      <c r="C2311" s="1" t="str">
        <f>TEXT(Table4_2[[#This Row],[Date]],"dddd")</f>
        <v>Saturday</v>
      </c>
      <c r="D2311" s="21">
        <v>20.100000000000001</v>
      </c>
      <c r="E2311" s="21">
        <v>66</v>
      </c>
      <c r="F2311" s="21">
        <v>644</v>
      </c>
      <c r="G2311" s="21">
        <v>6.4</v>
      </c>
      <c r="H2311">
        <v>38</v>
      </c>
      <c r="I2311">
        <v>68.180000000000007</v>
      </c>
      <c r="J2311">
        <v>0.66</v>
      </c>
      <c r="K2311" t="str" cm="1">
        <f t="array" ref="K2311">_xlfn.IFS(Table4_2[[#This Row],[Growth Days]]&lt;=14,"Seedling",Table4_2[[#This Row],[Growth Days]]&lt;=35, "Vegetative",Table4_2[[#This Row],[Growth Days]]&lt;=50, "Maturity")</f>
        <v>Maturity</v>
      </c>
      <c r="L2311" t="str">
        <f>IF(Table4_2[[#This Row],[TDS Value (ppm)]]&lt;560, "Low", IF(Table4_2[[#This Row],[TDS Value (ppm)]]&lt;=800,"Optimal","High"))</f>
        <v>Optimal</v>
      </c>
    </row>
    <row r="2312" spans="1:12" x14ac:dyDescent="0.25">
      <c r="A2312">
        <v>9</v>
      </c>
      <c r="B2312" s="1">
        <v>45185</v>
      </c>
      <c r="C2312" s="1" t="str">
        <f>TEXT(Table4_2[[#This Row],[Date]],"dddd")</f>
        <v>Saturday</v>
      </c>
      <c r="D2312" s="21">
        <v>31.5</v>
      </c>
      <c r="E2312" s="21">
        <v>78</v>
      </c>
      <c r="F2312" s="21">
        <v>722</v>
      </c>
      <c r="G2312" s="21">
        <v>6.1</v>
      </c>
      <c r="H2312">
        <v>45</v>
      </c>
      <c r="I2312">
        <v>88.7</v>
      </c>
      <c r="J2312">
        <v>0.78</v>
      </c>
      <c r="K2312" t="str" cm="1">
        <f t="array" ref="K2312">_xlfn.IFS(Table4_2[[#This Row],[Growth Days]]&lt;=14,"Seedling",Table4_2[[#This Row],[Growth Days]]&lt;=35, "Vegetative",Table4_2[[#This Row],[Growth Days]]&lt;=50, "Maturity")</f>
        <v>Maturity</v>
      </c>
      <c r="L2312" t="str">
        <f>IF(Table4_2[[#This Row],[TDS Value (ppm)]]&lt;560, "Low", IF(Table4_2[[#This Row],[TDS Value (ppm)]]&lt;=800,"Optimal","High"))</f>
        <v>Optimal</v>
      </c>
    </row>
    <row r="2313" spans="1:12" x14ac:dyDescent="0.25">
      <c r="A2313">
        <v>10</v>
      </c>
      <c r="B2313" s="1">
        <v>45143</v>
      </c>
      <c r="C2313" s="1" t="str">
        <f>TEXT(Table4_2[[#This Row],[Date]],"dddd")</f>
        <v>Saturday</v>
      </c>
      <c r="D2313" s="21">
        <v>33.4</v>
      </c>
      <c r="E2313" s="21">
        <v>76</v>
      </c>
      <c r="F2313" s="21">
        <v>679</v>
      </c>
      <c r="G2313" s="21">
        <v>6.1</v>
      </c>
      <c r="H2313">
        <v>3</v>
      </c>
      <c r="I2313">
        <v>92.12</v>
      </c>
      <c r="J2313">
        <v>0.76</v>
      </c>
      <c r="K2313" t="str" cm="1">
        <f t="array" ref="K2313">_xlfn.IFS(Table4_2[[#This Row],[Growth Days]]&lt;=14,"Seedling",Table4_2[[#This Row],[Growth Days]]&lt;=35, "Vegetative",Table4_2[[#This Row],[Growth Days]]&lt;=50, "Maturity")</f>
        <v>Seedling</v>
      </c>
      <c r="L2313" t="str">
        <f>IF(Table4_2[[#This Row],[TDS Value (ppm)]]&lt;560, "Low", IF(Table4_2[[#This Row],[TDS Value (ppm)]]&lt;=800,"Optimal","High"))</f>
        <v>Optimal</v>
      </c>
    </row>
    <row r="2314" spans="1:12" x14ac:dyDescent="0.25">
      <c r="A2314">
        <v>10</v>
      </c>
      <c r="B2314" s="1">
        <v>45150</v>
      </c>
      <c r="C2314" s="1" t="str">
        <f>TEXT(Table4_2[[#This Row],[Date]],"dddd")</f>
        <v>Saturday</v>
      </c>
      <c r="D2314" s="21">
        <v>30.2</v>
      </c>
      <c r="E2314" s="21">
        <v>60</v>
      </c>
      <c r="F2314" s="21">
        <v>800</v>
      </c>
      <c r="G2314" s="21">
        <v>6.7</v>
      </c>
      <c r="H2314">
        <v>10</v>
      </c>
      <c r="I2314">
        <v>86.36</v>
      </c>
      <c r="J2314">
        <v>0.6</v>
      </c>
      <c r="K2314" t="str" cm="1">
        <f t="array" ref="K2314">_xlfn.IFS(Table4_2[[#This Row],[Growth Days]]&lt;=14,"Seedling",Table4_2[[#This Row],[Growth Days]]&lt;=35, "Vegetative",Table4_2[[#This Row],[Growth Days]]&lt;=50, "Maturity")</f>
        <v>Seedling</v>
      </c>
      <c r="L2314" t="str">
        <f>IF(Table4_2[[#This Row],[TDS Value (ppm)]]&lt;560, "Low", IF(Table4_2[[#This Row],[TDS Value (ppm)]]&lt;=800,"Optimal","High"))</f>
        <v>Optimal</v>
      </c>
    </row>
    <row r="2315" spans="1:12" x14ac:dyDescent="0.25">
      <c r="A2315">
        <v>10</v>
      </c>
      <c r="B2315" s="1">
        <v>45157</v>
      </c>
      <c r="C2315" s="1" t="str">
        <f>TEXT(Table4_2[[#This Row],[Date]],"dddd")</f>
        <v>Saturday</v>
      </c>
      <c r="D2315" s="21">
        <v>30.8</v>
      </c>
      <c r="E2315" s="21">
        <v>50</v>
      </c>
      <c r="F2315" s="21">
        <v>493</v>
      </c>
      <c r="G2315" s="21">
        <v>6</v>
      </c>
      <c r="H2315">
        <v>17</v>
      </c>
      <c r="I2315">
        <v>87.44</v>
      </c>
      <c r="J2315">
        <v>0.5</v>
      </c>
      <c r="K2315" t="str" cm="1">
        <f t="array" ref="K2315">_xlfn.IFS(Table4_2[[#This Row],[Growth Days]]&lt;=14,"Seedling",Table4_2[[#This Row],[Growth Days]]&lt;=35, "Vegetative",Table4_2[[#This Row],[Growth Days]]&lt;=50, "Maturity")</f>
        <v>Vegetative</v>
      </c>
      <c r="L2315" t="str">
        <f>IF(Table4_2[[#This Row],[TDS Value (ppm)]]&lt;560, "Low", IF(Table4_2[[#This Row],[TDS Value (ppm)]]&lt;=800,"Optimal","High"))</f>
        <v>Low</v>
      </c>
    </row>
    <row r="2316" spans="1:12" x14ac:dyDescent="0.25">
      <c r="A2316">
        <v>10</v>
      </c>
      <c r="B2316" s="1">
        <v>45164</v>
      </c>
      <c r="C2316" s="1" t="str">
        <f>TEXT(Table4_2[[#This Row],[Date]],"dddd")</f>
        <v>Saturday</v>
      </c>
      <c r="D2316" s="21">
        <v>31.4</v>
      </c>
      <c r="E2316" s="21">
        <v>60</v>
      </c>
      <c r="F2316" s="21">
        <v>593</v>
      </c>
      <c r="G2316" s="21">
        <v>6.3</v>
      </c>
      <c r="H2316">
        <v>24</v>
      </c>
      <c r="I2316">
        <v>88.52</v>
      </c>
      <c r="J2316">
        <v>0.6</v>
      </c>
      <c r="K2316" t="str" cm="1">
        <f t="array" ref="K2316">_xlfn.IFS(Table4_2[[#This Row],[Growth Days]]&lt;=14,"Seedling",Table4_2[[#This Row],[Growth Days]]&lt;=35, "Vegetative",Table4_2[[#This Row],[Growth Days]]&lt;=50, "Maturity")</f>
        <v>Vegetative</v>
      </c>
      <c r="L2316" t="str">
        <f>IF(Table4_2[[#This Row],[TDS Value (ppm)]]&lt;560, "Low", IF(Table4_2[[#This Row],[TDS Value (ppm)]]&lt;=800,"Optimal","High"))</f>
        <v>Optimal</v>
      </c>
    </row>
    <row r="2317" spans="1:12" x14ac:dyDescent="0.25">
      <c r="A2317">
        <v>10</v>
      </c>
      <c r="B2317" s="1">
        <v>45171</v>
      </c>
      <c r="C2317" s="1" t="str">
        <f>TEXT(Table4_2[[#This Row],[Date]],"dddd")</f>
        <v>Saturday</v>
      </c>
      <c r="D2317" s="21">
        <v>31.7</v>
      </c>
      <c r="E2317" s="21">
        <v>78</v>
      </c>
      <c r="F2317" s="21">
        <v>697</v>
      </c>
      <c r="G2317" s="21">
        <v>6.4</v>
      </c>
      <c r="H2317">
        <v>31</v>
      </c>
      <c r="I2317">
        <v>89.06</v>
      </c>
      <c r="J2317">
        <v>0.78</v>
      </c>
      <c r="K2317" t="str" cm="1">
        <f t="array" ref="K2317">_xlfn.IFS(Table4_2[[#This Row],[Growth Days]]&lt;=14,"Seedling",Table4_2[[#This Row],[Growth Days]]&lt;=35, "Vegetative",Table4_2[[#This Row],[Growth Days]]&lt;=50, "Maturity")</f>
        <v>Vegetative</v>
      </c>
      <c r="L2317" t="str">
        <f>IF(Table4_2[[#This Row],[TDS Value (ppm)]]&lt;560, "Low", IF(Table4_2[[#This Row],[TDS Value (ppm)]]&lt;=800,"Optimal","High"))</f>
        <v>Optimal</v>
      </c>
    </row>
    <row r="2318" spans="1:12" x14ac:dyDescent="0.25">
      <c r="A2318">
        <v>10</v>
      </c>
      <c r="B2318" s="1">
        <v>45178</v>
      </c>
      <c r="C2318" s="1" t="str">
        <f>TEXT(Table4_2[[#This Row],[Date]],"dddd")</f>
        <v>Saturday</v>
      </c>
      <c r="D2318" s="21">
        <v>20.100000000000001</v>
      </c>
      <c r="E2318" s="21">
        <v>69</v>
      </c>
      <c r="F2318" s="21">
        <v>648</v>
      </c>
      <c r="G2318" s="21">
        <v>6.7</v>
      </c>
      <c r="H2318">
        <v>38</v>
      </c>
      <c r="I2318">
        <v>68.180000000000007</v>
      </c>
      <c r="J2318">
        <v>0.69</v>
      </c>
      <c r="K2318" t="str" cm="1">
        <f t="array" ref="K2318">_xlfn.IFS(Table4_2[[#This Row],[Growth Days]]&lt;=14,"Seedling",Table4_2[[#This Row],[Growth Days]]&lt;=35, "Vegetative",Table4_2[[#This Row],[Growth Days]]&lt;=50, "Maturity")</f>
        <v>Maturity</v>
      </c>
      <c r="L2318" t="str">
        <f>IF(Table4_2[[#This Row],[TDS Value (ppm)]]&lt;560, "Low", IF(Table4_2[[#This Row],[TDS Value (ppm)]]&lt;=800,"Optimal","High"))</f>
        <v>Optimal</v>
      </c>
    </row>
    <row r="2319" spans="1:12" x14ac:dyDescent="0.25">
      <c r="A2319">
        <v>10</v>
      </c>
      <c r="B2319" s="1">
        <v>45185</v>
      </c>
      <c r="C2319" s="1" t="str">
        <f>TEXT(Table4_2[[#This Row],[Date]],"dddd")</f>
        <v>Saturday</v>
      </c>
      <c r="D2319" s="21">
        <v>31.5</v>
      </c>
      <c r="E2319" s="21">
        <v>67</v>
      </c>
      <c r="F2319" s="21">
        <v>638</v>
      </c>
      <c r="G2319" s="21">
        <v>6.2</v>
      </c>
      <c r="H2319">
        <v>45</v>
      </c>
      <c r="I2319">
        <v>88.7</v>
      </c>
      <c r="J2319">
        <v>0.67</v>
      </c>
      <c r="K2319" t="str" cm="1">
        <f t="array" ref="K2319">_xlfn.IFS(Table4_2[[#This Row],[Growth Days]]&lt;=14,"Seedling",Table4_2[[#This Row],[Growth Days]]&lt;=35, "Vegetative",Table4_2[[#This Row],[Growth Days]]&lt;=50, "Maturity")</f>
        <v>Maturity</v>
      </c>
      <c r="L2319" t="str">
        <f>IF(Table4_2[[#This Row],[TDS Value (ppm)]]&lt;560, "Low", IF(Table4_2[[#This Row],[TDS Value (ppm)]]&lt;=800,"Optimal","High"))</f>
        <v>Optimal</v>
      </c>
    </row>
    <row r="2320" spans="1:12" x14ac:dyDescent="0.25">
      <c r="A2320">
        <v>11</v>
      </c>
      <c r="B2320" s="1">
        <v>45143</v>
      </c>
      <c r="C2320" s="1" t="str">
        <f>TEXT(Table4_2[[#This Row],[Date]],"dddd")</f>
        <v>Saturday</v>
      </c>
      <c r="D2320" s="21">
        <v>33.4</v>
      </c>
      <c r="E2320" s="21">
        <v>63</v>
      </c>
      <c r="F2320" s="21">
        <v>716</v>
      </c>
      <c r="G2320" s="21">
        <v>6.6</v>
      </c>
      <c r="H2320">
        <v>3</v>
      </c>
      <c r="I2320">
        <v>92.12</v>
      </c>
      <c r="J2320">
        <v>0.63</v>
      </c>
      <c r="K2320" t="str" cm="1">
        <f t="array" ref="K2320">_xlfn.IFS(Table4_2[[#This Row],[Growth Days]]&lt;=14,"Seedling",Table4_2[[#This Row],[Growth Days]]&lt;=35, "Vegetative",Table4_2[[#This Row],[Growth Days]]&lt;=50, "Maturity")</f>
        <v>Seedling</v>
      </c>
      <c r="L2320" t="str">
        <f>IF(Table4_2[[#This Row],[TDS Value (ppm)]]&lt;560, "Low", IF(Table4_2[[#This Row],[TDS Value (ppm)]]&lt;=800,"Optimal","High"))</f>
        <v>Optimal</v>
      </c>
    </row>
    <row r="2321" spans="1:12" x14ac:dyDescent="0.25">
      <c r="A2321">
        <v>11</v>
      </c>
      <c r="B2321" s="1">
        <v>45150</v>
      </c>
      <c r="C2321" s="1" t="str">
        <f>TEXT(Table4_2[[#This Row],[Date]],"dddd")</f>
        <v>Saturday</v>
      </c>
      <c r="D2321" s="21">
        <v>30.2</v>
      </c>
      <c r="E2321" s="21">
        <v>51</v>
      </c>
      <c r="F2321" s="21">
        <v>752</v>
      </c>
      <c r="G2321" s="21">
        <v>6.2</v>
      </c>
      <c r="H2321">
        <v>10</v>
      </c>
      <c r="I2321">
        <v>86.36</v>
      </c>
      <c r="J2321">
        <v>0.51</v>
      </c>
      <c r="K2321" t="str" cm="1">
        <f t="array" ref="K2321">_xlfn.IFS(Table4_2[[#This Row],[Growth Days]]&lt;=14,"Seedling",Table4_2[[#This Row],[Growth Days]]&lt;=35, "Vegetative",Table4_2[[#This Row],[Growth Days]]&lt;=50, "Maturity")</f>
        <v>Seedling</v>
      </c>
      <c r="L2321" t="str">
        <f>IF(Table4_2[[#This Row],[TDS Value (ppm)]]&lt;560, "Low", IF(Table4_2[[#This Row],[TDS Value (ppm)]]&lt;=800,"Optimal","High"))</f>
        <v>Optimal</v>
      </c>
    </row>
    <row r="2322" spans="1:12" x14ac:dyDescent="0.25">
      <c r="A2322">
        <v>11</v>
      </c>
      <c r="B2322" s="1">
        <v>45157</v>
      </c>
      <c r="C2322" s="1" t="str">
        <f>TEXT(Table4_2[[#This Row],[Date]],"dddd")</f>
        <v>Saturday</v>
      </c>
      <c r="D2322" s="21">
        <v>30.8</v>
      </c>
      <c r="E2322" s="21">
        <v>76</v>
      </c>
      <c r="F2322" s="21">
        <v>466</v>
      </c>
      <c r="G2322" s="21">
        <v>6.1</v>
      </c>
      <c r="H2322">
        <v>17</v>
      </c>
      <c r="I2322">
        <v>87.44</v>
      </c>
      <c r="J2322">
        <v>0.76</v>
      </c>
      <c r="K2322" t="str" cm="1">
        <f t="array" ref="K2322">_xlfn.IFS(Table4_2[[#This Row],[Growth Days]]&lt;=14,"Seedling",Table4_2[[#This Row],[Growth Days]]&lt;=35, "Vegetative",Table4_2[[#This Row],[Growth Days]]&lt;=50, "Maturity")</f>
        <v>Vegetative</v>
      </c>
      <c r="L2322" t="str">
        <f>IF(Table4_2[[#This Row],[TDS Value (ppm)]]&lt;560, "Low", IF(Table4_2[[#This Row],[TDS Value (ppm)]]&lt;=800,"Optimal","High"))</f>
        <v>Low</v>
      </c>
    </row>
    <row r="2323" spans="1:12" x14ac:dyDescent="0.25">
      <c r="A2323">
        <v>11</v>
      </c>
      <c r="B2323" s="1">
        <v>45164</v>
      </c>
      <c r="C2323" s="1" t="str">
        <f>TEXT(Table4_2[[#This Row],[Date]],"dddd")</f>
        <v>Saturday</v>
      </c>
      <c r="D2323" s="21">
        <v>31.4</v>
      </c>
      <c r="E2323" s="21">
        <v>79</v>
      </c>
      <c r="F2323" s="21">
        <v>509</v>
      </c>
      <c r="G2323" s="21">
        <v>6.3</v>
      </c>
      <c r="H2323">
        <v>24</v>
      </c>
      <c r="I2323">
        <v>88.52</v>
      </c>
      <c r="J2323">
        <v>0.79</v>
      </c>
      <c r="K2323" t="str" cm="1">
        <f t="array" ref="K2323">_xlfn.IFS(Table4_2[[#This Row],[Growth Days]]&lt;=14,"Seedling",Table4_2[[#This Row],[Growth Days]]&lt;=35, "Vegetative",Table4_2[[#This Row],[Growth Days]]&lt;=50, "Maturity")</f>
        <v>Vegetative</v>
      </c>
      <c r="L2323" t="str">
        <f>IF(Table4_2[[#This Row],[TDS Value (ppm)]]&lt;560, "Low", IF(Table4_2[[#This Row],[TDS Value (ppm)]]&lt;=800,"Optimal","High"))</f>
        <v>Low</v>
      </c>
    </row>
    <row r="2324" spans="1:12" x14ac:dyDescent="0.25">
      <c r="A2324">
        <v>11</v>
      </c>
      <c r="B2324" s="1">
        <v>45171</v>
      </c>
      <c r="C2324" s="1" t="str">
        <f>TEXT(Table4_2[[#This Row],[Date]],"dddd")</f>
        <v>Saturday</v>
      </c>
      <c r="D2324" s="21">
        <v>31.7</v>
      </c>
      <c r="E2324" s="21">
        <v>67</v>
      </c>
      <c r="F2324" s="21">
        <v>473</v>
      </c>
      <c r="G2324" s="21">
        <v>6.7</v>
      </c>
      <c r="H2324">
        <v>31</v>
      </c>
      <c r="I2324">
        <v>89.06</v>
      </c>
      <c r="J2324">
        <v>0.67</v>
      </c>
      <c r="K2324" t="str" cm="1">
        <f t="array" ref="K2324">_xlfn.IFS(Table4_2[[#This Row],[Growth Days]]&lt;=14,"Seedling",Table4_2[[#This Row],[Growth Days]]&lt;=35, "Vegetative",Table4_2[[#This Row],[Growth Days]]&lt;=50, "Maturity")</f>
        <v>Vegetative</v>
      </c>
      <c r="L2324" t="str">
        <f>IF(Table4_2[[#This Row],[TDS Value (ppm)]]&lt;560, "Low", IF(Table4_2[[#This Row],[TDS Value (ppm)]]&lt;=800,"Optimal","High"))</f>
        <v>Low</v>
      </c>
    </row>
    <row r="2325" spans="1:12" x14ac:dyDescent="0.25">
      <c r="A2325">
        <v>11</v>
      </c>
      <c r="B2325" s="1">
        <v>45178</v>
      </c>
      <c r="C2325" s="1" t="str">
        <f>TEXT(Table4_2[[#This Row],[Date]],"dddd")</f>
        <v>Saturday</v>
      </c>
      <c r="D2325" s="21">
        <v>20.100000000000001</v>
      </c>
      <c r="E2325" s="21">
        <v>50</v>
      </c>
      <c r="F2325" s="21">
        <v>662</v>
      </c>
      <c r="G2325" s="21">
        <v>6</v>
      </c>
      <c r="H2325">
        <v>38</v>
      </c>
      <c r="I2325">
        <v>68.180000000000007</v>
      </c>
      <c r="J2325">
        <v>0.5</v>
      </c>
      <c r="K2325" t="str" cm="1">
        <f t="array" ref="K2325">_xlfn.IFS(Table4_2[[#This Row],[Growth Days]]&lt;=14,"Seedling",Table4_2[[#This Row],[Growth Days]]&lt;=35, "Vegetative",Table4_2[[#This Row],[Growth Days]]&lt;=50, "Maturity")</f>
        <v>Maturity</v>
      </c>
      <c r="L2325" t="str">
        <f>IF(Table4_2[[#This Row],[TDS Value (ppm)]]&lt;560, "Low", IF(Table4_2[[#This Row],[TDS Value (ppm)]]&lt;=800,"Optimal","High"))</f>
        <v>Optimal</v>
      </c>
    </row>
    <row r="2326" spans="1:12" x14ac:dyDescent="0.25">
      <c r="A2326">
        <v>11</v>
      </c>
      <c r="B2326" s="1">
        <v>45185</v>
      </c>
      <c r="C2326" s="1" t="str">
        <f>TEXT(Table4_2[[#This Row],[Date]],"dddd")</f>
        <v>Saturday</v>
      </c>
      <c r="D2326" s="21">
        <v>31.5</v>
      </c>
      <c r="E2326" s="21">
        <v>79</v>
      </c>
      <c r="F2326" s="21">
        <v>508</v>
      </c>
      <c r="G2326" s="21">
        <v>6.5</v>
      </c>
      <c r="H2326">
        <v>45</v>
      </c>
      <c r="I2326">
        <v>88.7</v>
      </c>
      <c r="J2326">
        <v>0.79</v>
      </c>
      <c r="K2326" t="str" cm="1">
        <f t="array" ref="K2326">_xlfn.IFS(Table4_2[[#This Row],[Growth Days]]&lt;=14,"Seedling",Table4_2[[#This Row],[Growth Days]]&lt;=35, "Vegetative",Table4_2[[#This Row],[Growth Days]]&lt;=50, "Maturity")</f>
        <v>Maturity</v>
      </c>
      <c r="L2326" t="str">
        <f>IF(Table4_2[[#This Row],[TDS Value (ppm)]]&lt;560, "Low", IF(Table4_2[[#This Row],[TDS Value (ppm)]]&lt;=800,"Optimal","High"))</f>
        <v>Low</v>
      </c>
    </row>
    <row r="2327" spans="1:12" x14ac:dyDescent="0.25">
      <c r="A2327">
        <v>12</v>
      </c>
      <c r="B2327" s="1">
        <v>45143</v>
      </c>
      <c r="C2327" s="1" t="str">
        <f>TEXT(Table4_2[[#This Row],[Date]],"dddd")</f>
        <v>Saturday</v>
      </c>
      <c r="D2327" s="21">
        <v>33.4</v>
      </c>
      <c r="E2327" s="21">
        <v>75</v>
      </c>
      <c r="F2327" s="21">
        <v>756</v>
      </c>
      <c r="G2327" s="21">
        <v>6.6</v>
      </c>
      <c r="H2327">
        <v>3</v>
      </c>
      <c r="I2327">
        <v>92.12</v>
      </c>
      <c r="J2327">
        <v>0.75</v>
      </c>
      <c r="K2327" t="str" cm="1">
        <f t="array" ref="K2327">_xlfn.IFS(Table4_2[[#This Row],[Growth Days]]&lt;=14,"Seedling",Table4_2[[#This Row],[Growth Days]]&lt;=35, "Vegetative",Table4_2[[#This Row],[Growth Days]]&lt;=50, "Maturity")</f>
        <v>Seedling</v>
      </c>
      <c r="L2327" t="str">
        <f>IF(Table4_2[[#This Row],[TDS Value (ppm)]]&lt;560, "Low", IF(Table4_2[[#This Row],[TDS Value (ppm)]]&lt;=800,"Optimal","High"))</f>
        <v>Optimal</v>
      </c>
    </row>
    <row r="2328" spans="1:12" x14ac:dyDescent="0.25">
      <c r="A2328">
        <v>12</v>
      </c>
      <c r="B2328" s="1">
        <v>45150</v>
      </c>
      <c r="C2328" s="1" t="str">
        <f>TEXT(Table4_2[[#This Row],[Date]],"dddd")</f>
        <v>Saturday</v>
      </c>
      <c r="D2328" s="21">
        <v>30.2</v>
      </c>
      <c r="E2328" s="21">
        <v>51</v>
      </c>
      <c r="F2328" s="21">
        <v>711</v>
      </c>
      <c r="G2328" s="21">
        <v>6</v>
      </c>
      <c r="H2328">
        <v>10</v>
      </c>
      <c r="I2328">
        <v>86.36</v>
      </c>
      <c r="J2328">
        <v>0.51</v>
      </c>
      <c r="K2328" t="str" cm="1">
        <f t="array" ref="K2328">_xlfn.IFS(Table4_2[[#This Row],[Growth Days]]&lt;=14,"Seedling",Table4_2[[#This Row],[Growth Days]]&lt;=35, "Vegetative",Table4_2[[#This Row],[Growth Days]]&lt;=50, "Maturity")</f>
        <v>Seedling</v>
      </c>
      <c r="L2328" t="str">
        <f>IF(Table4_2[[#This Row],[TDS Value (ppm)]]&lt;560, "Low", IF(Table4_2[[#This Row],[TDS Value (ppm)]]&lt;=800,"Optimal","High"))</f>
        <v>Optimal</v>
      </c>
    </row>
    <row r="2329" spans="1:12" x14ac:dyDescent="0.25">
      <c r="A2329">
        <v>12</v>
      </c>
      <c r="B2329" s="1">
        <v>45157</v>
      </c>
      <c r="C2329" s="1" t="str">
        <f>TEXT(Table4_2[[#This Row],[Date]],"dddd")</f>
        <v>Saturday</v>
      </c>
      <c r="D2329" s="21">
        <v>30.8</v>
      </c>
      <c r="E2329" s="21">
        <v>62</v>
      </c>
      <c r="F2329" s="21">
        <v>742</v>
      </c>
      <c r="G2329" s="21">
        <v>6.7</v>
      </c>
      <c r="H2329">
        <v>17</v>
      </c>
      <c r="I2329">
        <v>87.44</v>
      </c>
      <c r="J2329">
        <v>0.62</v>
      </c>
      <c r="K2329" t="str" cm="1">
        <f t="array" ref="K2329">_xlfn.IFS(Table4_2[[#This Row],[Growth Days]]&lt;=14,"Seedling",Table4_2[[#This Row],[Growth Days]]&lt;=35, "Vegetative",Table4_2[[#This Row],[Growth Days]]&lt;=50, "Maturity")</f>
        <v>Vegetative</v>
      </c>
      <c r="L2329" t="str">
        <f>IF(Table4_2[[#This Row],[TDS Value (ppm)]]&lt;560, "Low", IF(Table4_2[[#This Row],[TDS Value (ppm)]]&lt;=800,"Optimal","High"))</f>
        <v>Optimal</v>
      </c>
    </row>
    <row r="2330" spans="1:12" x14ac:dyDescent="0.25">
      <c r="A2330">
        <v>12</v>
      </c>
      <c r="B2330" s="1">
        <v>45164</v>
      </c>
      <c r="C2330" s="1" t="str">
        <f>TEXT(Table4_2[[#This Row],[Date]],"dddd")</f>
        <v>Saturday</v>
      </c>
      <c r="D2330" s="21">
        <v>31.4</v>
      </c>
      <c r="E2330" s="21">
        <v>72</v>
      </c>
      <c r="F2330" s="21">
        <v>483</v>
      </c>
      <c r="G2330" s="21">
        <v>6.6</v>
      </c>
      <c r="H2330">
        <v>24</v>
      </c>
      <c r="I2330">
        <v>88.52</v>
      </c>
      <c r="J2330">
        <v>0.72</v>
      </c>
      <c r="K2330" t="str" cm="1">
        <f t="array" ref="K2330">_xlfn.IFS(Table4_2[[#This Row],[Growth Days]]&lt;=14,"Seedling",Table4_2[[#This Row],[Growth Days]]&lt;=35, "Vegetative",Table4_2[[#This Row],[Growth Days]]&lt;=50, "Maturity")</f>
        <v>Vegetative</v>
      </c>
      <c r="L2330" t="str">
        <f>IF(Table4_2[[#This Row],[TDS Value (ppm)]]&lt;560, "Low", IF(Table4_2[[#This Row],[TDS Value (ppm)]]&lt;=800,"Optimal","High"))</f>
        <v>Low</v>
      </c>
    </row>
    <row r="2331" spans="1:12" x14ac:dyDescent="0.25">
      <c r="A2331">
        <v>12</v>
      </c>
      <c r="B2331" s="1">
        <v>45171</v>
      </c>
      <c r="C2331" s="1" t="str">
        <f>TEXT(Table4_2[[#This Row],[Date]],"dddd")</f>
        <v>Saturday</v>
      </c>
      <c r="D2331" s="21">
        <v>31.7</v>
      </c>
      <c r="E2331" s="21">
        <v>60</v>
      </c>
      <c r="F2331" s="21">
        <v>450</v>
      </c>
      <c r="G2331" s="21">
        <v>6.1</v>
      </c>
      <c r="H2331">
        <v>31</v>
      </c>
      <c r="I2331">
        <v>89.06</v>
      </c>
      <c r="J2331">
        <v>0.6</v>
      </c>
      <c r="K2331" t="str" cm="1">
        <f t="array" ref="K2331">_xlfn.IFS(Table4_2[[#This Row],[Growth Days]]&lt;=14,"Seedling",Table4_2[[#This Row],[Growth Days]]&lt;=35, "Vegetative",Table4_2[[#This Row],[Growth Days]]&lt;=50, "Maturity")</f>
        <v>Vegetative</v>
      </c>
      <c r="L2331" t="str">
        <f>IF(Table4_2[[#This Row],[TDS Value (ppm)]]&lt;560, "Low", IF(Table4_2[[#This Row],[TDS Value (ppm)]]&lt;=800,"Optimal","High"))</f>
        <v>Low</v>
      </c>
    </row>
    <row r="2332" spans="1:12" x14ac:dyDescent="0.25">
      <c r="A2332">
        <v>12</v>
      </c>
      <c r="B2332" s="1">
        <v>45178</v>
      </c>
      <c r="C2332" s="1" t="str">
        <f>TEXT(Table4_2[[#This Row],[Date]],"dddd")</f>
        <v>Saturday</v>
      </c>
      <c r="D2332" s="21">
        <v>20.100000000000001</v>
      </c>
      <c r="E2332" s="21">
        <v>58</v>
      </c>
      <c r="F2332" s="21">
        <v>752</v>
      </c>
      <c r="G2332" s="21">
        <v>6.2</v>
      </c>
      <c r="H2332">
        <v>38</v>
      </c>
      <c r="I2332">
        <v>68.180000000000007</v>
      </c>
      <c r="J2332">
        <v>0.57999999999999996</v>
      </c>
      <c r="K2332" t="str" cm="1">
        <f t="array" ref="K2332">_xlfn.IFS(Table4_2[[#This Row],[Growth Days]]&lt;=14,"Seedling",Table4_2[[#This Row],[Growth Days]]&lt;=35, "Vegetative",Table4_2[[#This Row],[Growth Days]]&lt;=50, "Maturity")</f>
        <v>Maturity</v>
      </c>
      <c r="L2332" t="str">
        <f>IF(Table4_2[[#This Row],[TDS Value (ppm)]]&lt;560, "Low", IF(Table4_2[[#This Row],[TDS Value (ppm)]]&lt;=800,"Optimal","High"))</f>
        <v>Optimal</v>
      </c>
    </row>
    <row r="2333" spans="1:12" x14ac:dyDescent="0.25">
      <c r="A2333">
        <v>12</v>
      </c>
      <c r="B2333" s="1">
        <v>45185</v>
      </c>
      <c r="C2333" s="1" t="str">
        <f>TEXT(Table4_2[[#This Row],[Date]],"dddd")</f>
        <v>Saturday</v>
      </c>
      <c r="D2333" s="21">
        <v>31.5</v>
      </c>
      <c r="E2333" s="21">
        <v>72</v>
      </c>
      <c r="F2333" s="21">
        <v>735</v>
      </c>
      <c r="G2333" s="21">
        <v>6</v>
      </c>
      <c r="H2333">
        <v>45</v>
      </c>
      <c r="I2333">
        <v>88.7</v>
      </c>
      <c r="J2333">
        <v>0.72</v>
      </c>
      <c r="K2333" t="str" cm="1">
        <f t="array" ref="K2333">_xlfn.IFS(Table4_2[[#This Row],[Growth Days]]&lt;=14,"Seedling",Table4_2[[#This Row],[Growth Days]]&lt;=35, "Vegetative",Table4_2[[#This Row],[Growth Days]]&lt;=50, "Maturity")</f>
        <v>Maturity</v>
      </c>
      <c r="L2333" t="str">
        <f>IF(Table4_2[[#This Row],[TDS Value (ppm)]]&lt;560, "Low", IF(Table4_2[[#This Row],[TDS Value (ppm)]]&lt;=800,"Optimal","High"))</f>
        <v>Optimal</v>
      </c>
    </row>
    <row r="2334" spans="1:12" x14ac:dyDescent="0.25">
      <c r="A2334">
        <v>13</v>
      </c>
      <c r="B2334" s="1">
        <v>45143</v>
      </c>
      <c r="C2334" s="1" t="str">
        <f>TEXT(Table4_2[[#This Row],[Date]],"dddd")</f>
        <v>Saturday</v>
      </c>
      <c r="D2334" s="21">
        <v>33.4</v>
      </c>
      <c r="E2334" s="21">
        <v>71</v>
      </c>
      <c r="F2334" s="21">
        <v>789</v>
      </c>
      <c r="G2334" s="21">
        <v>6.2</v>
      </c>
      <c r="H2334">
        <v>3</v>
      </c>
      <c r="I2334">
        <v>92.12</v>
      </c>
      <c r="J2334">
        <v>0.71</v>
      </c>
      <c r="K2334" t="str" cm="1">
        <f t="array" ref="K2334">_xlfn.IFS(Table4_2[[#This Row],[Growth Days]]&lt;=14,"Seedling",Table4_2[[#This Row],[Growth Days]]&lt;=35, "Vegetative",Table4_2[[#This Row],[Growth Days]]&lt;=50, "Maturity")</f>
        <v>Seedling</v>
      </c>
      <c r="L2334" t="str">
        <f>IF(Table4_2[[#This Row],[TDS Value (ppm)]]&lt;560, "Low", IF(Table4_2[[#This Row],[TDS Value (ppm)]]&lt;=800,"Optimal","High"))</f>
        <v>Optimal</v>
      </c>
    </row>
    <row r="2335" spans="1:12" x14ac:dyDescent="0.25">
      <c r="A2335">
        <v>13</v>
      </c>
      <c r="B2335" s="1">
        <v>45150</v>
      </c>
      <c r="C2335" s="1" t="str">
        <f>TEXT(Table4_2[[#This Row],[Date]],"dddd")</f>
        <v>Saturday</v>
      </c>
      <c r="D2335" s="21">
        <v>30.2</v>
      </c>
      <c r="E2335" s="21">
        <v>73</v>
      </c>
      <c r="F2335" s="21">
        <v>546</v>
      </c>
      <c r="G2335" s="21">
        <v>6.8</v>
      </c>
      <c r="H2335">
        <v>10</v>
      </c>
      <c r="I2335">
        <v>86.36</v>
      </c>
      <c r="J2335">
        <v>0.73</v>
      </c>
      <c r="K2335" t="str" cm="1">
        <f t="array" ref="K2335">_xlfn.IFS(Table4_2[[#This Row],[Growth Days]]&lt;=14,"Seedling",Table4_2[[#This Row],[Growth Days]]&lt;=35, "Vegetative",Table4_2[[#This Row],[Growth Days]]&lt;=50, "Maturity")</f>
        <v>Seedling</v>
      </c>
      <c r="L2335" t="str">
        <f>IF(Table4_2[[#This Row],[TDS Value (ppm)]]&lt;560, "Low", IF(Table4_2[[#This Row],[TDS Value (ppm)]]&lt;=800,"Optimal","High"))</f>
        <v>Low</v>
      </c>
    </row>
    <row r="2336" spans="1:12" x14ac:dyDescent="0.25">
      <c r="A2336">
        <v>13</v>
      </c>
      <c r="B2336" s="1">
        <v>45157</v>
      </c>
      <c r="C2336" s="1" t="str">
        <f>TEXT(Table4_2[[#This Row],[Date]],"dddd")</f>
        <v>Saturday</v>
      </c>
      <c r="D2336" s="21">
        <v>30.8</v>
      </c>
      <c r="E2336" s="21">
        <v>52</v>
      </c>
      <c r="F2336" s="21">
        <v>565</v>
      </c>
      <c r="G2336" s="21">
        <v>6.3</v>
      </c>
      <c r="H2336">
        <v>17</v>
      </c>
      <c r="I2336">
        <v>87.44</v>
      </c>
      <c r="J2336">
        <v>0.52</v>
      </c>
      <c r="K2336" t="str" cm="1">
        <f t="array" ref="K2336">_xlfn.IFS(Table4_2[[#This Row],[Growth Days]]&lt;=14,"Seedling",Table4_2[[#This Row],[Growth Days]]&lt;=35, "Vegetative",Table4_2[[#This Row],[Growth Days]]&lt;=50, "Maturity")</f>
        <v>Vegetative</v>
      </c>
      <c r="L2336" t="str">
        <f>IF(Table4_2[[#This Row],[TDS Value (ppm)]]&lt;560, "Low", IF(Table4_2[[#This Row],[TDS Value (ppm)]]&lt;=800,"Optimal","High"))</f>
        <v>Optimal</v>
      </c>
    </row>
    <row r="2337" spans="1:12" x14ac:dyDescent="0.25">
      <c r="A2337">
        <v>13</v>
      </c>
      <c r="B2337" s="1">
        <v>45164</v>
      </c>
      <c r="C2337" s="1" t="str">
        <f>TEXT(Table4_2[[#This Row],[Date]],"dddd")</f>
        <v>Saturday</v>
      </c>
      <c r="D2337" s="21">
        <v>31.4</v>
      </c>
      <c r="E2337" s="21">
        <v>73</v>
      </c>
      <c r="F2337" s="21">
        <v>626</v>
      </c>
      <c r="G2337" s="21">
        <v>6.5</v>
      </c>
      <c r="H2337">
        <v>24</v>
      </c>
      <c r="I2337">
        <v>88.52</v>
      </c>
      <c r="J2337">
        <v>0.73</v>
      </c>
      <c r="K2337" t="str" cm="1">
        <f t="array" ref="K2337">_xlfn.IFS(Table4_2[[#This Row],[Growth Days]]&lt;=14,"Seedling",Table4_2[[#This Row],[Growth Days]]&lt;=35, "Vegetative",Table4_2[[#This Row],[Growth Days]]&lt;=50, "Maturity")</f>
        <v>Vegetative</v>
      </c>
      <c r="L2337" t="str">
        <f>IF(Table4_2[[#This Row],[TDS Value (ppm)]]&lt;560, "Low", IF(Table4_2[[#This Row],[TDS Value (ppm)]]&lt;=800,"Optimal","High"))</f>
        <v>Optimal</v>
      </c>
    </row>
    <row r="2338" spans="1:12" x14ac:dyDescent="0.25">
      <c r="A2338">
        <v>13</v>
      </c>
      <c r="B2338" s="1">
        <v>45171</v>
      </c>
      <c r="C2338" s="1" t="str">
        <f>TEXT(Table4_2[[#This Row],[Date]],"dddd")</f>
        <v>Saturday</v>
      </c>
      <c r="D2338" s="21">
        <v>31.7</v>
      </c>
      <c r="E2338" s="21">
        <v>77</v>
      </c>
      <c r="F2338" s="21">
        <v>626</v>
      </c>
      <c r="G2338" s="21">
        <v>6.2</v>
      </c>
      <c r="H2338">
        <v>31</v>
      </c>
      <c r="I2338">
        <v>89.06</v>
      </c>
      <c r="J2338">
        <v>0.77</v>
      </c>
      <c r="K2338" t="str" cm="1">
        <f t="array" ref="K2338">_xlfn.IFS(Table4_2[[#This Row],[Growth Days]]&lt;=14,"Seedling",Table4_2[[#This Row],[Growth Days]]&lt;=35, "Vegetative",Table4_2[[#This Row],[Growth Days]]&lt;=50, "Maturity")</f>
        <v>Vegetative</v>
      </c>
      <c r="L2338" t="str">
        <f>IF(Table4_2[[#This Row],[TDS Value (ppm)]]&lt;560, "Low", IF(Table4_2[[#This Row],[TDS Value (ppm)]]&lt;=800,"Optimal","High"))</f>
        <v>Optimal</v>
      </c>
    </row>
    <row r="2339" spans="1:12" x14ac:dyDescent="0.25">
      <c r="A2339">
        <v>13</v>
      </c>
      <c r="B2339" s="1">
        <v>45178</v>
      </c>
      <c r="C2339" s="1" t="str">
        <f>TEXT(Table4_2[[#This Row],[Date]],"dddd")</f>
        <v>Saturday</v>
      </c>
      <c r="D2339" s="21">
        <v>20.100000000000001</v>
      </c>
      <c r="E2339" s="21">
        <v>78</v>
      </c>
      <c r="F2339" s="21">
        <v>419</v>
      </c>
      <c r="G2339" s="21">
        <v>6.4</v>
      </c>
      <c r="H2339">
        <v>38</v>
      </c>
      <c r="I2339">
        <v>68.180000000000007</v>
      </c>
      <c r="J2339">
        <v>0.78</v>
      </c>
      <c r="K2339" t="str" cm="1">
        <f t="array" ref="K2339">_xlfn.IFS(Table4_2[[#This Row],[Growth Days]]&lt;=14,"Seedling",Table4_2[[#This Row],[Growth Days]]&lt;=35, "Vegetative",Table4_2[[#This Row],[Growth Days]]&lt;=50, "Maturity")</f>
        <v>Maturity</v>
      </c>
      <c r="L2339" t="str">
        <f>IF(Table4_2[[#This Row],[TDS Value (ppm)]]&lt;560, "Low", IF(Table4_2[[#This Row],[TDS Value (ppm)]]&lt;=800,"Optimal","High"))</f>
        <v>Low</v>
      </c>
    </row>
    <row r="2340" spans="1:12" x14ac:dyDescent="0.25">
      <c r="A2340">
        <v>13</v>
      </c>
      <c r="B2340" s="1">
        <v>45185</v>
      </c>
      <c r="C2340" s="1" t="str">
        <f>TEXT(Table4_2[[#This Row],[Date]],"dddd")</f>
        <v>Saturday</v>
      </c>
      <c r="D2340" s="21">
        <v>31.5</v>
      </c>
      <c r="E2340" s="21">
        <v>69</v>
      </c>
      <c r="F2340" s="21">
        <v>732</v>
      </c>
      <c r="G2340" s="21">
        <v>6.5</v>
      </c>
      <c r="H2340">
        <v>45</v>
      </c>
      <c r="I2340">
        <v>88.7</v>
      </c>
      <c r="J2340">
        <v>0.69</v>
      </c>
      <c r="K2340" t="str" cm="1">
        <f t="array" ref="K2340">_xlfn.IFS(Table4_2[[#This Row],[Growth Days]]&lt;=14,"Seedling",Table4_2[[#This Row],[Growth Days]]&lt;=35, "Vegetative",Table4_2[[#This Row],[Growth Days]]&lt;=50, "Maturity")</f>
        <v>Maturity</v>
      </c>
      <c r="L2340" t="str">
        <f>IF(Table4_2[[#This Row],[TDS Value (ppm)]]&lt;560, "Low", IF(Table4_2[[#This Row],[TDS Value (ppm)]]&lt;=800,"Optimal","High"))</f>
        <v>Optimal</v>
      </c>
    </row>
    <row r="2341" spans="1:12" x14ac:dyDescent="0.25">
      <c r="A2341">
        <v>14</v>
      </c>
      <c r="B2341" s="1">
        <v>45143</v>
      </c>
      <c r="C2341" s="1" t="str">
        <f>TEXT(Table4_2[[#This Row],[Date]],"dddd")</f>
        <v>Saturday</v>
      </c>
      <c r="D2341" s="21">
        <v>33.4</v>
      </c>
      <c r="E2341" s="21">
        <v>59</v>
      </c>
      <c r="F2341" s="21">
        <v>498</v>
      </c>
      <c r="G2341" s="21">
        <v>6.3</v>
      </c>
      <c r="H2341">
        <v>3</v>
      </c>
      <c r="I2341">
        <v>92.12</v>
      </c>
      <c r="J2341">
        <v>0.59</v>
      </c>
      <c r="K2341" t="str" cm="1">
        <f t="array" ref="K2341">_xlfn.IFS(Table4_2[[#This Row],[Growth Days]]&lt;=14,"Seedling",Table4_2[[#This Row],[Growth Days]]&lt;=35, "Vegetative",Table4_2[[#This Row],[Growth Days]]&lt;=50, "Maturity")</f>
        <v>Seedling</v>
      </c>
      <c r="L2341" t="str">
        <f>IF(Table4_2[[#This Row],[TDS Value (ppm)]]&lt;560, "Low", IF(Table4_2[[#This Row],[TDS Value (ppm)]]&lt;=800,"Optimal","High"))</f>
        <v>Low</v>
      </c>
    </row>
    <row r="2342" spans="1:12" x14ac:dyDescent="0.25">
      <c r="A2342">
        <v>14</v>
      </c>
      <c r="B2342" s="1">
        <v>45150</v>
      </c>
      <c r="C2342" s="1" t="str">
        <f>TEXT(Table4_2[[#This Row],[Date]],"dddd")</f>
        <v>Saturday</v>
      </c>
      <c r="D2342" s="21">
        <v>30.2</v>
      </c>
      <c r="E2342" s="21">
        <v>78</v>
      </c>
      <c r="F2342" s="21">
        <v>514</v>
      </c>
      <c r="G2342" s="21">
        <v>6.7</v>
      </c>
      <c r="H2342">
        <v>10</v>
      </c>
      <c r="I2342">
        <v>86.36</v>
      </c>
      <c r="J2342">
        <v>0.78</v>
      </c>
      <c r="K2342" t="str" cm="1">
        <f t="array" ref="K2342">_xlfn.IFS(Table4_2[[#This Row],[Growth Days]]&lt;=14,"Seedling",Table4_2[[#This Row],[Growth Days]]&lt;=35, "Vegetative",Table4_2[[#This Row],[Growth Days]]&lt;=50, "Maturity")</f>
        <v>Seedling</v>
      </c>
      <c r="L2342" t="str">
        <f>IF(Table4_2[[#This Row],[TDS Value (ppm)]]&lt;560, "Low", IF(Table4_2[[#This Row],[TDS Value (ppm)]]&lt;=800,"Optimal","High"))</f>
        <v>Low</v>
      </c>
    </row>
    <row r="2343" spans="1:12" x14ac:dyDescent="0.25">
      <c r="A2343">
        <v>14</v>
      </c>
      <c r="B2343" s="1">
        <v>45157</v>
      </c>
      <c r="C2343" s="1" t="str">
        <f>TEXT(Table4_2[[#This Row],[Date]],"dddd")</f>
        <v>Saturday</v>
      </c>
      <c r="D2343" s="21">
        <v>30.8</v>
      </c>
      <c r="E2343" s="21">
        <v>65</v>
      </c>
      <c r="F2343" s="21">
        <v>453</v>
      </c>
      <c r="G2343" s="21">
        <v>6.4</v>
      </c>
      <c r="H2343">
        <v>17</v>
      </c>
      <c r="I2343">
        <v>87.44</v>
      </c>
      <c r="J2343">
        <v>0.65</v>
      </c>
      <c r="K2343" t="str" cm="1">
        <f t="array" ref="K2343">_xlfn.IFS(Table4_2[[#This Row],[Growth Days]]&lt;=14,"Seedling",Table4_2[[#This Row],[Growth Days]]&lt;=35, "Vegetative",Table4_2[[#This Row],[Growth Days]]&lt;=50, "Maturity")</f>
        <v>Vegetative</v>
      </c>
      <c r="L2343" t="str">
        <f>IF(Table4_2[[#This Row],[TDS Value (ppm)]]&lt;560, "Low", IF(Table4_2[[#This Row],[TDS Value (ppm)]]&lt;=800,"Optimal","High"))</f>
        <v>Low</v>
      </c>
    </row>
    <row r="2344" spans="1:12" x14ac:dyDescent="0.25">
      <c r="A2344">
        <v>14</v>
      </c>
      <c r="B2344" s="1">
        <v>45164</v>
      </c>
      <c r="C2344" s="1" t="str">
        <f>TEXT(Table4_2[[#This Row],[Date]],"dddd")</f>
        <v>Saturday</v>
      </c>
      <c r="D2344" s="21">
        <v>31.4</v>
      </c>
      <c r="E2344" s="21">
        <v>58</v>
      </c>
      <c r="F2344" s="21">
        <v>637</v>
      </c>
      <c r="G2344" s="21">
        <v>6.2</v>
      </c>
      <c r="H2344">
        <v>24</v>
      </c>
      <c r="I2344">
        <v>88.52</v>
      </c>
      <c r="J2344">
        <v>0.57999999999999996</v>
      </c>
      <c r="K2344" t="str" cm="1">
        <f t="array" ref="K2344">_xlfn.IFS(Table4_2[[#This Row],[Growth Days]]&lt;=14,"Seedling",Table4_2[[#This Row],[Growth Days]]&lt;=35, "Vegetative",Table4_2[[#This Row],[Growth Days]]&lt;=50, "Maturity")</f>
        <v>Vegetative</v>
      </c>
      <c r="L2344" t="str">
        <f>IF(Table4_2[[#This Row],[TDS Value (ppm)]]&lt;560, "Low", IF(Table4_2[[#This Row],[TDS Value (ppm)]]&lt;=800,"Optimal","High"))</f>
        <v>Optimal</v>
      </c>
    </row>
    <row r="2345" spans="1:12" x14ac:dyDescent="0.25">
      <c r="A2345">
        <v>14</v>
      </c>
      <c r="B2345" s="1">
        <v>45171</v>
      </c>
      <c r="C2345" s="1" t="str">
        <f>TEXT(Table4_2[[#This Row],[Date]],"dddd")</f>
        <v>Saturday</v>
      </c>
      <c r="D2345" s="21">
        <v>31.7</v>
      </c>
      <c r="E2345" s="21">
        <v>51</v>
      </c>
      <c r="F2345" s="21">
        <v>472</v>
      </c>
      <c r="G2345" s="21">
        <v>6.4</v>
      </c>
      <c r="H2345">
        <v>31</v>
      </c>
      <c r="I2345">
        <v>89.06</v>
      </c>
      <c r="J2345">
        <v>0.51</v>
      </c>
      <c r="K2345" t="str" cm="1">
        <f t="array" ref="K2345">_xlfn.IFS(Table4_2[[#This Row],[Growth Days]]&lt;=14,"Seedling",Table4_2[[#This Row],[Growth Days]]&lt;=35, "Vegetative",Table4_2[[#This Row],[Growth Days]]&lt;=50, "Maturity")</f>
        <v>Vegetative</v>
      </c>
      <c r="L2345" t="str">
        <f>IF(Table4_2[[#This Row],[TDS Value (ppm)]]&lt;560, "Low", IF(Table4_2[[#This Row],[TDS Value (ppm)]]&lt;=800,"Optimal","High"))</f>
        <v>Low</v>
      </c>
    </row>
    <row r="2346" spans="1:12" x14ac:dyDescent="0.25">
      <c r="A2346">
        <v>14</v>
      </c>
      <c r="B2346" s="1">
        <v>45178</v>
      </c>
      <c r="C2346" s="1" t="str">
        <f>TEXT(Table4_2[[#This Row],[Date]],"dddd")</f>
        <v>Saturday</v>
      </c>
      <c r="D2346" s="21">
        <v>20.100000000000001</v>
      </c>
      <c r="E2346" s="21">
        <v>64</v>
      </c>
      <c r="F2346" s="21">
        <v>590</v>
      </c>
      <c r="G2346" s="21">
        <v>6.4</v>
      </c>
      <c r="H2346">
        <v>38</v>
      </c>
      <c r="I2346">
        <v>68.180000000000007</v>
      </c>
      <c r="J2346">
        <v>0.64</v>
      </c>
      <c r="K2346" t="str" cm="1">
        <f t="array" ref="K2346">_xlfn.IFS(Table4_2[[#This Row],[Growth Days]]&lt;=14,"Seedling",Table4_2[[#This Row],[Growth Days]]&lt;=35, "Vegetative",Table4_2[[#This Row],[Growth Days]]&lt;=50, "Maturity")</f>
        <v>Maturity</v>
      </c>
      <c r="L2346" t="str">
        <f>IF(Table4_2[[#This Row],[TDS Value (ppm)]]&lt;560, "Low", IF(Table4_2[[#This Row],[TDS Value (ppm)]]&lt;=800,"Optimal","High"))</f>
        <v>Optimal</v>
      </c>
    </row>
    <row r="2347" spans="1:12" x14ac:dyDescent="0.25">
      <c r="A2347">
        <v>14</v>
      </c>
      <c r="B2347" s="1">
        <v>45185</v>
      </c>
      <c r="C2347" s="1" t="str">
        <f>TEXT(Table4_2[[#This Row],[Date]],"dddd")</f>
        <v>Saturday</v>
      </c>
      <c r="D2347" s="21">
        <v>31.5</v>
      </c>
      <c r="E2347" s="21">
        <v>75</v>
      </c>
      <c r="F2347" s="21">
        <v>663</v>
      </c>
      <c r="G2347" s="21">
        <v>6.5</v>
      </c>
      <c r="H2347">
        <v>45</v>
      </c>
      <c r="I2347">
        <v>88.7</v>
      </c>
      <c r="J2347">
        <v>0.75</v>
      </c>
      <c r="K2347" t="str" cm="1">
        <f t="array" ref="K2347">_xlfn.IFS(Table4_2[[#This Row],[Growth Days]]&lt;=14,"Seedling",Table4_2[[#This Row],[Growth Days]]&lt;=35, "Vegetative",Table4_2[[#This Row],[Growth Days]]&lt;=50, "Maturity")</f>
        <v>Maturity</v>
      </c>
      <c r="L2347" t="str">
        <f>IF(Table4_2[[#This Row],[TDS Value (ppm)]]&lt;560, "Low", IF(Table4_2[[#This Row],[TDS Value (ppm)]]&lt;=800,"Optimal","High"))</f>
        <v>Optimal</v>
      </c>
    </row>
    <row r="2348" spans="1:12" x14ac:dyDescent="0.25">
      <c r="A2348">
        <v>15</v>
      </c>
      <c r="B2348" s="1">
        <v>45143</v>
      </c>
      <c r="C2348" s="1" t="str">
        <f>TEXT(Table4_2[[#This Row],[Date]],"dddd")</f>
        <v>Saturday</v>
      </c>
      <c r="D2348" s="21">
        <v>33.4</v>
      </c>
      <c r="E2348" s="21">
        <v>56</v>
      </c>
      <c r="F2348" s="21">
        <v>590</v>
      </c>
      <c r="G2348" s="21">
        <v>6.7</v>
      </c>
      <c r="H2348">
        <v>3</v>
      </c>
      <c r="I2348">
        <v>92.12</v>
      </c>
      <c r="J2348">
        <v>0.56000000000000005</v>
      </c>
      <c r="K2348" t="str" cm="1">
        <f t="array" ref="K2348">_xlfn.IFS(Table4_2[[#This Row],[Growth Days]]&lt;=14,"Seedling",Table4_2[[#This Row],[Growth Days]]&lt;=35, "Vegetative",Table4_2[[#This Row],[Growth Days]]&lt;=50, "Maturity")</f>
        <v>Seedling</v>
      </c>
      <c r="L2348" t="str">
        <f>IF(Table4_2[[#This Row],[TDS Value (ppm)]]&lt;560, "Low", IF(Table4_2[[#This Row],[TDS Value (ppm)]]&lt;=800,"Optimal","High"))</f>
        <v>Optimal</v>
      </c>
    </row>
    <row r="2349" spans="1:12" x14ac:dyDescent="0.25">
      <c r="A2349">
        <v>15</v>
      </c>
      <c r="B2349" s="1">
        <v>45150</v>
      </c>
      <c r="C2349" s="1" t="str">
        <f>TEXT(Table4_2[[#This Row],[Date]],"dddd")</f>
        <v>Saturday</v>
      </c>
      <c r="D2349" s="21">
        <v>30.2</v>
      </c>
      <c r="E2349" s="21">
        <v>54</v>
      </c>
      <c r="F2349" s="21">
        <v>743</v>
      </c>
      <c r="G2349" s="21">
        <v>6.1</v>
      </c>
      <c r="H2349">
        <v>10</v>
      </c>
      <c r="I2349">
        <v>86.36</v>
      </c>
      <c r="J2349">
        <v>0.54</v>
      </c>
      <c r="K2349" t="str" cm="1">
        <f t="array" ref="K2349">_xlfn.IFS(Table4_2[[#This Row],[Growth Days]]&lt;=14,"Seedling",Table4_2[[#This Row],[Growth Days]]&lt;=35, "Vegetative",Table4_2[[#This Row],[Growth Days]]&lt;=50, "Maturity")</f>
        <v>Seedling</v>
      </c>
      <c r="L2349" t="str">
        <f>IF(Table4_2[[#This Row],[TDS Value (ppm)]]&lt;560, "Low", IF(Table4_2[[#This Row],[TDS Value (ppm)]]&lt;=800,"Optimal","High"))</f>
        <v>Optimal</v>
      </c>
    </row>
    <row r="2350" spans="1:12" x14ac:dyDescent="0.25">
      <c r="A2350">
        <v>15</v>
      </c>
      <c r="B2350" s="1">
        <v>45157</v>
      </c>
      <c r="C2350" s="1" t="str">
        <f>TEXT(Table4_2[[#This Row],[Date]],"dddd")</f>
        <v>Saturday</v>
      </c>
      <c r="D2350" s="21">
        <v>30.8</v>
      </c>
      <c r="E2350" s="21">
        <v>80</v>
      </c>
      <c r="F2350" s="21">
        <v>501</v>
      </c>
      <c r="G2350" s="21">
        <v>6.5</v>
      </c>
      <c r="H2350">
        <v>17</v>
      </c>
      <c r="I2350">
        <v>87.44</v>
      </c>
      <c r="J2350">
        <v>0.8</v>
      </c>
      <c r="K2350" t="str" cm="1">
        <f t="array" ref="K2350">_xlfn.IFS(Table4_2[[#This Row],[Growth Days]]&lt;=14,"Seedling",Table4_2[[#This Row],[Growth Days]]&lt;=35, "Vegetative",Table4_2[[#This Row],[Growth Days]]&lt;=50, "Maturity")</f>
        <v>Vegetative</v>
      </c>
      <c r="L2350" t="str">
        <f>IF(Table4_2[[#This Row],[TDS Value (ppm)]]&lt;560, "Low", IF(Table4_2[[#This Row],[TDS Value (ppm)]]&lt;=800,"Optimal","High"))</f>
        <v>Low</v>
      </c>
    </row>
    <row r="2351" spans="1:12" x14ac:dyDescent="0.25">
      <c r="A2351">
        <v>15</v>
      </c>
      <c r="B2351" s="1">
        <v>45164</v>
      </c>
      <c r="C2351" s="1" t="str">
        <f>TEXT(Table4_2[[#This Row],[Date]],"dddd")</f>
        <v>Saturday</v>
      </c>
      <c r="D2351" s="21">
        <v>31.4</v>
      </c>
      <c r="E2351" s="21">
        <v>63</v>
      </c>
      <c r="F2351" s="21">
        <v>759</v>
      </c>
      <c r="G2351" s="21">
        <v>6.1</v>
      </c>
      <c r="H2351">
        <v>24</v>
      </c>
      <c r="I2351">
        <v>88.52</v>
      </c>
      <c r="J2351">
        <v>0.63</v>
      </c>
      <c r="K2351" t="str" cm="1">
        <f t="array" ref="K2351">_xlfn.IFS(Table4_2[[#This Row],[Growth Days]]&lt;=14,"Seedling",Table4_2[[#This Row],[Growth Days]]&lt;=35, "Vegetative",Table4_2[[#This Row],[Growth Days]]&lt;=50, "Maturity")</f>
        <v>Vegetative</v>
      </c>
      <c r="L2351" t="str">
        <f>IF(Table4_2[[#This Row],[TDS Value (ppm)]]&lt;560, "Low", IF(Table4_2[[#This Row],[TDS Value (ppm)]]&lt;=800,"Optimal","High"))</f>
        <v>Optimal</v>
      </c>
    </row>
    <row r="2352" spans="1:12" x14ac:dyDescent="0.25">
      <c r="A2352">
        <v>15</v>
      </c>
      <c r="B2352" s="1">
        <v>45171</v>
      </c>
      <c r="C2352" s="1" t="str">
        <f>TEXT(Table4_2[[#This Row],[Date]],"dddd")</f>
        <v>Saturday</v>
      </c>
      <c r="D2352" s="21">
        <v>31.7</v>
      </c>
      <c r="E2352" s="21">
        <v>73</v>
      </c>
      <c r="F2352" s="21">
        <v>559</v>
      </c>
      <c r="G2352" s="21">
        <v>6.6</v>
      </c>
      <c r="H2352">
        <v>31</v>
      </c>
      <c r="I2352">
        <v>89.06</v>
      </c>
      <c r="J2352">
        <v>0.73</v>
      </c>
      <c r="K2352" t="str" cm="1">
        <f t="array" ref="K2352">_xlfn.IFS(Table4_2[[#This Row],[Growth Days]]&lt;=14,"Seedling",Table4_2[[#This Row],[Growth Days]]&lt;=35, "Vegetative",Table4_2[[#This Row],[Growth Days]]&lt;=50, "Maturity")</f>
        <v>Vegetative</v>
      </c>
      <c r="L2352" t="str">
        <f>IF(Table4_2[[#This Row],[TDS Value (ppm)]]&lt;560, "Low", IF(Table4_2[[#This Row],[TDS Value (ppm)]]&lt;=800,"Optimal","High"))</f>
        <v>Low</v>
      </c>
    </row>
    <row r="2353" spans="1:12" x14ac:dyDescent="0.25">
      <c r="A2353">
        <v>15</v>
      </c>
      <c r="B2353" s="1">
        <v>45178</v>
      </c>
      <c r="C2353" s="1" t="str">
        <f>TEXT(Table4_2[[#This Row],[Date]],"dddd")</f>
        <v>Saturday</v>
      </c>
      <c r="D2353" s="21">
        <v>20.100000000000001</v>
      </c>
      <c r="E2353" s="21">
        <v>50</v>
      </c>
      <c r="F2353" s="21">
        <v>556</v>
      </c>
      <c r="G2353" s="21">
        <v>6</v>
      </c>
      <c r="H2353">
        <v>38</v>
      </c>
      <c r="I2353">
        <v>68.180000000000007</v>
      </c>
      <c r="J2353">
        <v>0.5</v>
      </c>
      <c r="K2353" t="str" cm="1">
        <f t="array" ref="K2353">_xlfn.IFS(Table4_2[[#This Row],[Growth Days]]&lt;=14,"Seedling",Table4_2[[#This Row],[Growth Days]]&lt;=35, "Vegetative",Table4_2[[#This Row],[Growth Days]]&lt;=50, "Maturity")</f>
        <v>Maturity</v>
      </c>
      <c r="L2353" t="str">
        <f>IF(Table4_2[[#This Row],[TDS Value (ppm)]]&lt;560, "Low", IF(Table4_2[[#This Row],[TDS Value (ppm)]]&lt;=800,"Optimal","High"))</f>
        <v>Low</v>
      </c>
    </row>
    <row r="2354" spans="1:12" x14ac:dyDescent="0.25">
      <c r="A2354">
        <v>15</v>
      </c>
      <c r="B2354" s="1">
        <v>45185</v>
      </c>
      <c r="C2354" s="1" t="str">
        <f>TEXT(Table4_2[[#This Row],[Date]],"dddd")</f>
        <v>Saturday</v>
      </c>
      <c r="D2354" s="21">
        <v>31.5</v>
      </c>
      <c r="E2354" s="21">
        <v>57</v>
      </c>
      <c r="F2354" s="21">
        <v>783</v>
      </c>
      <c r="G2354" s="21">
        <v>6.7</v>
      </c>
      <c r="H2354">
        <v>45</v>
      </c>
      <c r="I2354">
        <v>88.7</v>
      </c>
      <c r="J2354">
        <v>0.56999999999999995</v>
      </c>
      <c r="K2354" t="str" cm="1">
        <f t="array" ref="K2354">_xlfn.IFS(Table4_2[[#This Row],[Growth Days]]&lt;=14,"Seedling",Table4_2[[#This Row],[Growth Days]]&lt;=35, "Vegetative",Table4_2[[#This Row],[Growth Days]]&lt;=50, "Maturity")</f>
        <v>Maturity</v>
      </c>
      <c r="L2354" t="str">
        <f>IF(Table4_2[[#This Row],[TDS Value (ppm)]]&lt;560, "Low", IF(Table4_2[[#This Row],[TDS Value (ppm)]]&lt;=800,"Optimal","High"))</f>
        <v>Optimal</v>
      </c>
    </row>
    <row r="2355" spans="1:12" x14ac:dyDescent="0.25">
      <c r="A2355">
        <v>16</v>
      </c>
      <c r="B2355" s="1">
        <v>45143</v>
      </c>
      <c r="C2355" s="1" t="str">
        <f>TEXT(Table4_2[[#This Row],[Date]],"dddd")</f>
        <v>Saturday</v>
      </c>
      <c r="D2355" s="21">
        <v>33.4</v>
      </c>
      <c r="E2355" s="21">
        <v>71</v>
      </c>
      <c r="F2355" s="21">
        <v>533</v>
      </c>
      <c r="G2355" s="21">
        <v>6.8</v>
      </c>
      <c r="H2355">
        <v>3</v>
      </c>
      <c r="I2355">
        <v>92.12</v>
      </c>
      <c r="J2355">
        <v>0.71</v>
      </c>
      <c r="K2355" t="str" cm="1">
        <f t="array" ref="K2355">_xlfn.IFS(Table4_2[[#This Row],[Growth Days]]&lt;=14,"Seedling",Table4_2[[#This Row],[Growth Days]]&lt;=35, "Vegetative",Table4_2[[#This Row],[Growth Days]]&lt;=50, "Maturity")</f>
        <v>Seedling</v>
      </c>
      <c r="L2355" t="str">
        <f>IF(Table4_2[[#This Row],[TDS Value (ppm)]]&lt;560, "Low", IF(Table4_2[[#This Row],[TDS Value (ppm)]]&lt;=800,"Optimal","High"))</f>
        <v>Low</v>
      </c>
    </row>
    <row r="2356" spans="1:12" x14ac:dyDescent="0.25">
      <c r="A2356">
        <v>16</v>
      </c>
      <c r="B2356" s="1">
        <v>45150</v>
      </c>
      <c r="C2356" s="1" t="str">
        <f>TEXT(Table4_2[[#This Row],[Date]],"dddd")</f>
        <v>Saturday</v>
      </c>
      <c r="D2356" s="21">
        <v>30.2</v>
      </c>
      <c r="E2356" s="21">
        <v>68</v>
      </c>
      <c r="F2356" s="21">
        <v>454</v>
      </c>
      <c r="G2356" s="21">
        <v>6.4</v>
      </c>
      <c r="H2356">
        <v>10</v>
      </c>
      <c r="I2356">
        <v>86.36</v>
      </c>
      <c r="J2356">
        <v>0.68</v>
      </c>
      <c r="K2356" t="str" cm="1">
        <f t="array" ref="K2356">_xlfn.IFS(Table4_2[[#This Row],[Growth Days]]&lt;=14,"Seedling",Table4_2[[#This Row],[Growth Days]]&lt;=35, "Vegetative",Table4_2[[#This Row],[Growth Days]]&lt;=50, "Maturity")</f>
        <v>Seedling</v>
      </c>
      <c r="L2356" t="str">
        <f>IF(Table4_2[[#This Row],[TDS Value (ppm)]]&lt;560, "Low", IF(Table4_2[[#This Row],[TDS Value (ppm)]]&lt;=800,"Optimal","High"))</f>
        <v>Low</v>
      </c>
    </row>
    <row r="2357" spans="1:12" x14ac:dyDescent="0.25">
      <c r="A2357">
        <v>16</v>
      </c>
      <c r="B2357" s="1">
        <v>45157</v>
      </c>
      <c r="C2357" s="1" t="str">
        <f>TEXT(Table4_2[[#This Row],[Date]],"dddd")</f>
        <v>Saturday</v>
      </c>
      <c r="D2357" s="21">
        <v>30.8</v>
      </c>
      <c r="E2357" s="21">
        <v>66</v>
      </c>
      <c r="F2357" s="21">
        <v>454</v>
      </c>
      <c r="G2357" s="21">
        <v>6.7</v>
      </c>
      <c r="H2357">
        <v>17</v>
      </c>
      <c r="I2357">
        <v>87.44</v>
      </c>
      <c r="J2357">
        <v>0.66</v>
      </c>
      <c r="K2357" t="str" cm="1">
        <f t="array" ref="K2357">_xlfn.IFS(Table4_2[[#This Row],[Growth Days]]&lt;=14,"Seedling",Table4_2[[#This Row],[Growth Days]]&lt;=35, "Vegetative",Table4_2[[#This Row],[Growth Days]]&lt;=50, "Maturity")</f>
        <v>Vegetative</v>
      </c>
      <c r="L2357" t="str">
        <f>IF(Table4_2[[#This Row],[TDS Value (ppm)]]&lt;560, "Low", IF(Table4_2[[#This Row],[TDS Value (ppm)]]&lt;=800,"Optimal","High"))</f>
        <v>Low</v>
      </c>
    </row>
    <row r="2358" spans="1:12" x14ac:dyDescent="0.25">
      <c r="A2358">
        <v>16</v>
      </c>
      <c r="B2358" s="1">
        <v>45164</v>
      </c>
      <c r="C2358" s="1" t="str">
        <f>TEXT(Table4_2[[#This Row],[Date]],"dddd")</f>
        <v>Saturday</v>
      </c>
      <c r="D2358" s="21">
        <v>31.4</v>
      </c>
      <c r="E2358" s="21">
        <v>67</v>
      </c>
      <c r="F2358" s="21">
        <v>462</v>
      </c>
      <c r="G2358" s="21">
        <v>6</v>
      </c>
      <c r="H2358">
        <v>24</v>
      </c>
      <c r="I2358">
        <v>88.52</v>
      </c>
      <c r="J2358">
        <v>0.67</v>
      </c>
      <c r="K2358" t="str" cm="1">
        <f t="array" ref="K2358">_xlfn.IFS(Table4_2[[#This Row],[Growth Days]]&lt;=14,"Seedling",Table4_2[[#This Row],[Growth Days]]&lt;=35, "Vegetative",Table4_2[[#This Row],[Growth Days]]&lt;=50, "Maturity")</f>
        <v>Vegetative</v>
      </c>
      <c r="L2358" t="str">
        <f>IF(Table4_2[[#This Row],[TDS Value (ppm)]]&lt;560, "Low", IF(Table4_2[[#This Row],[TDS Value (ppm)]]&lt;=800,"Optimal","High"))</f>
        <v>Low</v>
      </c>
    </row>
    <row r="2359" spans="1:12" x14ac:dyDescent="0.25">
      <c r="A2359">
        <v>16</v>
      </c>
      <c r="B2359" s="1">
        <v>45171</v>
      </c>
      <c r="C2359" s="1" t="str">
        <f>TEXT(Table4_2[[#This Row],[Date]],"dddd")</f>
        <v>Saturday</v>
      </c>
      <c r="D2359" s="21">
        <v>31.7</v>
      </c>
      <c r="E2359" s="21">
        <v>67</v>
      </c>
      <c r="F2359" s="21">
        <v>793</v>
      </c>
      <c r="G2359" s="21">
        <v>6.5</v>
      </c>
      <c r="H2359">
        <v>31</v>
      </c>
      <c r="I2359">
        <v>89.06</v>
      </c>
      <c r="J2359">
        <v>0.67</v>
      </c>
      <c r="K2359" t="str" cm="1">
        <f t="array" ref="K2359">_xlfn.IFS(Table4_2[[#This Row],[Growth Days]]&lt;=14,"Seedling",Table4_2[[#This Row],[Growth Days]]&lt;=35, "Vegetative",Table4_2[[#This Row],[Growth Days]]&lt;=50, "Maturity")</f>
        <v>Vegetative</v>
      </c>
      <c r="L2359" t="str">
        <f>IF(Table4_2[[#This Row],[TDS Value (ppm)]]&lt;560, "Low", IF(Table4_2[[#This Row],[TDS Value (ppm)]]&lt;=800,"Optimal","High"))</f>
        <v>Optimal</v>
      </c>
    </row>
    <row r="2360" spans="1:12" x14ac:dyDescent="0.25">
      <c r="A2360">
        <v>16</v>
      </c>
      <c r="B2360" s="1">
        <v>45178</v>
      </c>
      <c r="C2360" s="1" t="str">
        <f>TEXT(Table4_2[[#This Row],[Date]],"dddd")</f>
        <v>Saturday</v>
      </c>
      <c r="D2360" s="21">
        <v>20.100000000000001</v>
      </c>
      <c r="E2360" s="21">
        <v>76</v>
      </c>
      <c r="F2360" s="21">
        <v>409</v>
      </c>
      <c r="G2360" s="21">
        <v>6.6</v>
      </c>
      <c r="H2360">
        <v>38</v>
      </c>
      <c r="I2360">
        <v>68.180000000000007</v>
      </c>
      <c r="J2360">
        <v>0.76</v>
      </c>
      <c r="K2360" t="str" cm="1">
        <f t="array" ref="K2360">_xlfn.IFS(Table4_2[[#This Row],[Growth Days]]&lt;=14,"Seedling",Table4_2[[#This Row],[Growth Days]]&lt;=35, "Vegetative",Table4_2[[#This Row],[Growth Days]]&lt;=50, "Maturity")</f>
        <v>Maturity</v>
      </c>
      <c r="L2360" t="str">
        <f>IF(Table4_2[[#This Row],[TDS Value (ppm)]]&lt;560, "Low", IF(Table4_2[[#This Row],[TDS Value (ppm)]]&lt;=800,"Optimal","High"))</f>
        <v>Low</v>
      </c>
    </row>
    <row r="2361" spans="1:12" x14ac:dyDescent="0.25">
      <c r="A2361">
        <v>16</v>
      </c>
      <c r="B2361" s="1">
        <v>45185</v>
      </c>
      <c r="C2361" s="1" t="str">
        <f>TEXT(Table4_2[[#This Row],[Date]],"dddd")</f>
        <v>Saturday</v>
      </c>
      <c r="D2361" s="21">
        <v>31.5</v>
      </c>
      <c r="E2361" s="21">
        <v>79</v>
      </c>
      <c r="F2361" s="21">
        <v>742</v>
      </c>
      <c r="G2361" s="21">
        <v>6.4</v>
      </c>
      <c r="H2361">
        <v>45</v>
      </c>
      <c r="I2361">
        <v>88.7</v>
      </c>
      <c r="J2361">
        <v>0.79</v>
      </c>
      <c r="K2361" t="str" cm="1">
        <f t="array" ref="K2361">_xlfn.IFS(Table4_2[[#This Row],[Growth Days]]&lt;=14,"Seedling",Table4_2[[#This Row],[Growth Days]]&lt;=35, "Vegetative",Table4_2[[#This Row],[Growth Days]]&lt;=50, "Maturity")</f>
        <v>Maturity</v>
      </c>
      <c r="L2361" t="str">
        <f>IF(Table4_2[[#This Row],[TDS Value (ppm)]]&lt;560, "Low", IF(Table4_2[[#This Row],[TDS Value (ppm)]]&lt;=800,"Optimal","High"))</f>
        <v>Optimal</v>
      </c>
    </row>
    <row r="2362" spans="1:12" x14ac:dyDescent="0.25">
      <c r="A2362">
        <v>17</v>
      </c>
      <c r="B2362" s="1">
        <v>45143</v>
      </c>
      <c r="C2362" s="1" t="str">
        <f>TEXT(Table4_2[[#This Row],[Date]],"dddd")</f>
        <v>Saturday</v>
      </c>
      <c r="D2362" s="21">
        <v>33.4</v>
      </c>
      <c r="E2362" s="21">
        <v>77</v>
      </c>
      <c r="F2362" s="21">
        <v>491</v>
      </c>
      <c r="G2362" s="21">
        <v>6.4</v>
      </c>
      <c r="H2362">
        <v>3</v>
      </c>
      <c r="I2362">
        <v>92.12</v>
      </c>
      <c r="J2362">
        <v>0.77</v>
      </c>
      <c r="K2362" t="str" cm="1">
        <f t="array" ref="K2362">_xlfn.IFS(Table4_2[[#This Row],[Growth Days]]&lt;=14,"Seedling",Table4_2[[#This Row],[Growth Days]]&lt;=35, "Vegetative",Table4_2[[#This Row],[Growth Days]]&lt;=50, "Maturity")</f>
        <v>Seedling</v>
      </c>
      <c r="L2362" t="str">
        <f>IF(Table4_2[[#This Row],[TDS Value (ppm)]]&lt;560, "Low", IF(Table4_2[[#This Row],[TDS Value (ppm)]]&lt;=800,"Optimal","High"))</f>
        <v>Low</v>
      </c>
    </row>
    <row r="2363" spans="1:12" x14ac:dyDescent="0.25">
      <c r="A2363">
        <v>17</v>
      </c>
      <c r="B2363" s="1">
        <v>45150</v>
      </c>
      <c r="C2363" s="1" t="str">
        <f>TEXT(Table4_2[[#This Row],[Date]],"dddd")</f>
        <v>Saturday</v>
      </c>
      <c r="D2363" s="21">
        <v>30.2</v>
      </c>
      <c r="E2363" s="21">
        <v>58</v>
      </c>
      <c r="F2363" s="21">
        <v>462</v>
      </c>
      <c r="G2363" s="21">
        <v>6</v>
      </c>
      <c r="H2363">
        <v>10</v>
      </c>
      <c r="I2363">
        <v>86.36</v>
      </c>
      <c r="J2363">
        <v>0.57999999999999996</v>
      </c>
      <c r="K2363" t="str" cm="1">
        <f t="array" ref="K2363">_xlfn.IFS(Table4_2[[#This Row],[Growth Days]]&lt;=14,"Seedling",Table4_2[[#This Row],[Growth Days]]&lt;=35, "Vegetative",Table4_2[[#This Row],[Growth Days]]&lt;=50, "Maturity")</f>
        <v>Seedling</v>
      </c>
      <c r="L2363" t="str">
        <f>IF(Table4_2[[#This Row],[TDS Value (ppm)]]&lt;560, "Low", IF(Table4_2[[#This Row],[TDS Value (ppm)]]&lt;=800,"Optimal","High"))</f>
        <v>Low</v>
      </c>
    </row>
    <row r="2364" spans="1:12" x14ac:dyDescent="0.25">
      <c r="A2364">
        <v>17</v>
      </c>
      <c r="B2364" s="1">
        <v>45157</v>
      </c>
      <c r="C2364" s="1" t="str">
        <f>TEXT(Table4_2[[#This Row],[Date]],"dddd")</f>
        <v>Saturday</v>
      </c>
      <c r="D2364" s="21">
        <v>30.8</v>
      </c>
      <c r="E2364" s="21">
        <v>52</v>
      </c>
      <c r="F2364" s="21">
        <v>595</v>
      </c>
      <c r="G2364" s="21">
        <v>6.8</v>
      </c>
      <c r="H2364">
        <v>17</v>
      </c>
      <c r="I2364">
        <v>87.44</v>
      </c>
      <c r="J2364">
        <v>0.52</v>
      </c>
      <c r="K2364" t="str" cm="1">
        <f t="array" ref="K2364">_xlfn.IFS(Table4_2[[#This Row],[Growth Days]]&lt;=14,"Seedling",Table4_2[[#This Row],[Growth Days]]&lt;=35, "Vegetative",Table4_2[[#This Row],[Growth Days]]&lt;=50, "Maturity")</f>
        <v>Vegetative</v>
      </c>
      <c r="L2364" t="str">
        <f>IF(Table4_2[[#This Row],[TDS Value (ppm)]]&lt;560, "Low", IF(Table4_2[[#This Row],[TDS Value (ppm)]]&lt;=800,"Optimal","High"))</f>
        <v>Optimal</v>
      </c>
    </row>
    <row r="2365" spans="1:12" x14ac:dyDescent="0.25">
      <c r="A2365">
        <v>17</v>
      </c>
      <c r="B2365" s="1">
        <v>45164</v>
      </c>
      <c r="C2365" s="1" t="str">
        <f>TEXT(Table4_2[[#This Row],[Date]],"dddd")</f>
        <v>Saturday</v>
      </c>
      <c r="D2365" s="21">
        <v>31.4</v>
      </c>
      <c r="E2365" s="21">
        <v>70</v>
      </c>
      <c r="F2365" s="21">
        <v>416</v>
      </c>
      <c r="G2365" s="21">
        <v>6.6</v>
      </c>
      <c r="H2365">
        <v>24</v>
      </c>
      <c r="I2365">
        <v>88.52</v>
      </c>
      <c r="J2365">
        <v>0.7</v>
      </c>
      <c r="K2365" t="str" cm="1">
        <f t="array" ref="K2365">_xlfn.IFS(Table4_2[[#This Row],[Growth Days]]&lt;=14,"Seedling",Table4_2[[#This Row],[Growth Days]]&lt;=35, "Vegetative",Table4_2[[#This Row],[Growth Days]]&lt;=50, "Maturity")</f>
        <v>Vegetative</v>
      </c>
      <c r="L2365" t="str">
        <f>IF(Table4_2[[#This Row],[TDS Value (ppm)]]&lt;560, "Low", IF(Table4_2[[#This Row],[TDS Value (ppm)]]&lt;=800,"Optimal","High"))</f>
        <v>Low</v>
      </c>
    </row>
    <row r="2366" spans="1:12" x14ac:dyDescent="0.25">
      <c r="A2366">
        <v>17</v>
      </c>
      <c r="B2366" s="1">
        <v>45171</v>
      </c>
      <c r="C2366" s="1" t="str">
        <f>TEXT(Table4_2[[#This Row],[Date]],"dddd")</f>
        <v>Saturday</v>
      </c>
      <c r="D2366" s="21">
        <v>31.7</v>
      </c>
      <c r="E2366" s="21">
        <v>65</v>
      </c>
      <c r="F2366" s="21">
        <v>406</v>
      </c>
      <c r="G2366" s="21">
        <v>6.1</v>
      </c>
      <c r="H2366">
        <v>31</v>
      </c>
      <c r="I2366">
        <v>89.06</v>
      </c>
      <c r="J2366">
        <v>0.65</v>
      </c>
      <c r="K2366" t="str" cm="1">
        <f t="array" ref="K2366">_xlfn.IFS(Table4_2[[#This Row],[Growth Days]]&lt;=14,"Seedling",Table4_2[[#This Row],[Growth Days]]&lt;=35, "Vegetative",Table4_2[[#This Row],[Growth Days]]&lt;=50, "Maturity")</f>
        <v>Vegetative</v>
      </c>
      <c r="L2366" t="str">
        <f>IF(Table4_2[[#This Row],[TDS Value (ppm)]]&lt;560, "Low", IF(Table4_2[[#This Row],[TDS Value (ppm)]]&lt;=800,"Optimal","High"))</f>
        <v>Low</v>
      </c>
    </row>
    <row r="2367" spans="1:12" x14ac:dyDescent="0.25">
      <c r="A2367">
        <v>17</v>
      </c>
      <c r="B2367" s="1">
        <v>45178</v>
      </c>
      <c r="C2367" s="1" t="str">
        <f>TEXT(Table4_2[[#This Row],[Date]],"dddd")</f>
        <v>Saturday</v>
      </c>
      <c r="D2367" s="21">
        <v>20.100000000000001</v>
      </c>
      <c r="E2367" s="21">
        <v>62</v>
      </c>
      <c r="F2367" s="21">
        <v>472</v>
      </c>
      <c r="G2367" s="21">
        <v>6.1</v>
      </c>
      <c r="H2367">
        <v>38</v>
      </c>
      <c r="I2367">
        <v>68.180000000000007</v>
      </c>
      <c r="J2367">
        <v>0.62</v>
      </c>
      <c r="K2367" t="str" cm="1">
        <f t="array" ref="K2367">_xlfn.IFS(Table4_2[[#This Row],[Growth Days]]&lt;=14,"Seedling",Table4_2[[#This Row],[Growth Days]]&lt;=35, "Vegetative",Table4_2[[#This Row],[Growth Days]]&lt;=50, "Maturity")</f>
        <v>Maturity</v>
      </c>
      <c r="L2367" t="str">
        <f>IF(Table4_2[[#This Row],[TDS Value (ppm)]]&lt;560, "Low", IF(Table4_2[[#This Row],[TDS Value (ppm)]]&lt;=800,"Optimal","High"))</f>
        <v>Low</v>
      </c>
    </row>
    <row r="2368" spans="1:12" x14ac:dyDescent="0.25">
      <c r="A2368">
        <v>17</v>
      </c>
      <c r="B2368" s="1">
        <v>45185</v>
      </c>
      <c r="C2368" s="1" t="str">
        <f>TEXT(Table4_2[[#This Row],[Date]],"dddd")</f>
        <v>Saturday</v>
      </c>
      <c r="D2368" s="21">
        <v>31.5</v>
      </c>
      <c r="E2368" s="21">
        <v>61</v>
      </c>
      <c r="F2368" s="21">
        <v>710</v>
      </c>
      <c r="G2368" s="21">
        <v>6.6</v>
      </c>
      <c r="H2368">
        <v>45</v>
      </c>
      <c r="I2368">
        <v>88.7</v>
      </c>
      <c r="J2368">
        <v>0.61</v>
      </c>
      <c r="K2368" t="str" cm="1">
        <f t="array" ref="K2368">_xlfn.IFS(Table4_2[[#This Row],[Growth Days]]&lt;=14,"Seedling",Table4_2[[#This Row],[Growth Days]]&lt;=35, "Vegetative",Table4_2[[#This Row],[Growth Days]]&lt;=50, "Maturity")</f>
        <v>Maturity</v>
      </c>
      <c r="L2368" t="str">
        <f>IF(Table4_2[[#This Row],[TDS Value (ppm)]]&lt;560, "Low", IF(Table4_2[[#This Row],[TDS Value (ppm)]]&lt;=800,"Optimal","High"))</f>
        <v>Optimal</v>
      </c>
    </row>
    <row r="2369" spans="1:12" x14ac:dyDescent="0.25">
      <c r="A2369">
        <v>18</v>
      </c>
      <c r="B2369" s="1">
        <v>45143</v>
      </c>
      <c r="C2369" s="1" t="str">
        <f>TEXT(Table4_2[[#This Row],[Date]],"dddd")</f>
        <v>Saturday</v>
      </c>
      <c r="D2369" s="21">
        <v>33.4</v>
      </c>
      <c r="E2369" s="21">
        <v>61</v>
      </c>
      <c r="F2369" s="21">
        <v>440</v>
      </c>
      <c r="G2369" s="21">
        <v>6.3</v>
      </c>
      <c r="H2369">
        <v>3</v>
      </c>
      <c r="I2369">
        <v>92.12</v>
      </c>
      <c r="J2369">
        <v>0.61</v>
      </c>
      <c r="K2369" t="str" cm="1">
        <f t="array" ref="K2369">_xlfn.IFS(Table4_2[[#This Row],[Growth Days]]&lt;=14,"Seedling",Table4_2[[#This Row],[Growth Days]]&lt;=35, "Vegetative",Table4_2[[#This Row],[Growth Days]]&lt;=50, "Maturity")</f>
        <v>Seedling</v>
      </c>
      <c r="L2369" t="str">
        <f>IF(Table4_2[[#This Row],[TDS Value (ppm)]]&lt;560, "Low", IF(Table4_2[[#This Row],[TDS Value (ppm)]]&lt;=800,"Optimal","High"))</f>
        <v>Low</v>
      </c>
    </row>
    <row r="2370" spans="1:12" x14ac:dyDescent="0.25">
      <c r="A2370">
        <v>18</v>
      </c>
      <c r="B2370" s="1">
        <v>45150</v>
      </c>
      <c r="C2370" s="1" t="str">
        <f>TEXT(Table4_2[[#This Row],[Date]],"dddd")</f>
        <v>Saturday</v>
      </c>
      <c r="D2370" s="21">
        <v>30.2</v>
      </c>
      <c r="E2370" s="21">
        <v>52</v>
      </c>
      <c r="F2370" s="21">
        <v>478</v>
      </c>
      <c r="G2370" s="21">
        <v>6.8</v>
      </c>
      <c r="H2370">
        <v>10</v>
      </c>
      <c r="I2370">
        <v>86.36</v>
      </c>
      <c r="J2370">
        <v>0.52</v>
      </c>
      <c r="K2370" t="str" cm="1">
        <f t="array" ref="K2370">_xlfn.IFS(Table4_2[[#This Row],[Growth Days]]&lt;=14,"Seedling",Table4_2[[#This Row],[Growth Days]]&lt;=35, "Vegetative",Table4_2[[#This Row],[Growth Days]]&lt;=50, "Maturity")</f>
        <v>Seedling</v>
      </c>
      <c r="L2370" t="str">
        <f>IF(Table4_2[[#This Row],[TDS Value (ppm)]]&lt;560, "Low", IF(Table4_2[[#This Row],[TDS Value (ppm)]]&lt;=800,"Optimal","High"))</f>
        <v>Low</v>
      </c>
    </row>
    <row r="2371" spans="1:12" x14ac:dyDescent="0.25">
      <c r="A2371">
        <v>18</v>
      </c>
      <c r="B2371" s="1">
        <v>45157</v>
      </c>
      <c r="C2371" s="1" t="str">
        <f>TEXT(Table4_2[[#This Row],[Date]],"dddd")</f>
        <v>Saturday</v>
      </c>
      <c r="D2371" s="21">
        <v>30.8</v>
      </c>
      <c r="E2371" s="21">
        <v>80</v>
      </c>
      <c r="F2371" s="21">
        <v>489</v>
      </c>
      <c r="G2371" s="21">
        <v>6.2</v>
      </c>
      <c r="H2371">
        <v>17</v>
      </c>
      <c r="I2371">
        <v>87.44</v>
      </c>
      <c r="J2371">
        <v>0.8</v>
      </c>
      <c r="K2371" t="str" cm="1">
        <f t="array" ref="K2371">_xlfn.IFS(Table4_2[[#This Row],[Growth Days]]&lt;=14,"Seedling",Table4_2[[#This Row],[Growth Days]]&lt;=35, "Vegetative",Table4_2[[#This Row],[Growth Days]]&lt;=50, "Maturity")</f>
        <v>Vegetative</v>
      </c>
      <c r="L2371" t="str">
        <f>IF(Table4_2[[#This Row],[TDS Value (ppm)]]&lt;560, "Low", IF(Table4_2[[#This Row],[TDS Value (ppm)]]&lt;=800,"Optimal","High"))</f>
        <v>Low</v>
      </c>
    </row>
    <row r="2372" spans="1:12" x14ac:dyDescent="0.25">
      <c r="A2372">
        <v>18</v>
      </c>
      <c r="B2372" s="1">
        <v>45164</v>
      </c>
      <c r="C2372" s="1" t="str">
        <f>TEXT(Table4_2[[#This Row],[Date]],"dddd")</f>
        <v>Saturday</v>
      </c>
      <c r="D2372" s="21">
        <v>31.4</v>
      </c>
      <c r="E2372" s="21">
        <v>55</v>
      </c>
      <c r="F2372" s="21">
        <v>660</v>
      </c>
      <c r="G2372" s="21">
        <v>6.6</v>
      </c>
      <c r="H2372">
        <v>24</v>
      </c>
      <c r="I2372">
        <v>88.52</v>
      </c>
      <c r="J2372">
        <v>0.55000000000000004</v>
      </c>
      <c r="K2372" t="str" cm="1">
        <f t="array" ref="K2372">_xlfn.IFS(Table4_2[[#This Row],[Growth Days]]&lt;=14,"Seedling",Table4_2[[#This Row],[Growth Days]]&lt;=35, "Vegetative",Table4_2[[#This Row],[Growth Days]]&lt;=50, "Maturity")</f>
        <v>Vegetative</v>
      </c>
      <c r="L2372" t="str">
        <f>IF(Table4_2[[#This Row],[TDS Value (ppm)]]&lt;560, "Low", IF(Table4_2[[#This Row],[TDS Value (ppm)]]&lt;=800,"Optimal","High"))</f>
        <v>Optimal</v>
      </c>
    </row>
    <row r="2373" spans="1:12" x14ac:dyDescent="0.25">
      <c r="A2373">
        <v>18</v>
      </c>
      <c r="B2373" s="1">
        <v>45171</v>
      </c>
      <c r="C2373" s="1" t="str">
        <f>TEXT(Table4_2[[#This Row],[Date]],"dddd")</f>
        <v>Saturday</v>
      </c>
      <c r="D2373" s="21">
        <v>31.7</v>
      </c>
      <c r="E2373" s="21">
        <v>67</v>
      </c>
      <c r="F2373" s="21">
        <v>579</v>
      </c>
      <c r="G2373" s="21">
        <v>6.3</v>
      </c>
      <c r="H2373">
        <v>31</v>
      </c>
      <c r="I2373">
        <v>89.06</v>
      </c>
      <c r="J2373">
        <v>0.67</v>
      </c>
      <c r="K2373" t="str" cm="1">
        <f t="array" ref="K2373">_xlfn.IFS(Table4_2[[#This Row],[Growth Days]]&lt;=14,"Seedling",Table4_2[[#This Row],[Growth Days]]&lt;=35, "Vegetative",Table4_2[[#This Row],[Growth Days]]&lt;=50, "Maturity")</f>
        <v>Vegetative</v>
      </c>
      <c r="L2373" t="str">
        <f>IF(Table4_2[[#This Row],[TDS Value (ppm)]]&lt;560, "Low", IF(Table4_2[[#This Row],[TDS Value (ppm)]]&lt;=800,"Optimal","High"))</f>
        <v>Optimal</v>
      </c>
    </row>
    <row r="2374" spans="1:12" x14ac:dyDescent="0.25">
      <c r="A2374">
        <v>18</v>
      </c>
      <c r="B2374" s="1">
        <v>45178</v>
      </c>
      <c r="C2374" s="1" t="str">
        <f>TEXT(Table4_2[[#This Row],[Date]],"dddd")</f>
        <v>Saturday</v>
      </c>
      <c r="D2374" s="21">
        <v>20.100000000000001</v>
      </c>
      <c r="E2374" s="21">
        <v>77</v>
      </c>
      <c r="F2374" s="21">
        <v>404</v>
      </c>
      <c r="G2374" s="21">
        <v>6.4</v>
      </c>
      <c r="H2374">
        <v>38</v>
      </c>
      <c r="I2374">
        <v>68.180000000000007</v>
      </c>
      <c r="J2374">
        <v>0.77</v>
      </c>
      <c r="K2374" t="str" cm="1">
        <f t="array" ref="K2374">_xlfn.IFS(Table4_2[[#This Row],[Growth Days]]&lt;=14,"Seedling",Table4_2[[#This Row],[Growth Days]]&lt;=35, "Vegetative",Table4_2[[#This Row],[Growth Days]]&lt;=50, "Maturity")</f>
        <v>Maturity</v>
      </c>
      <c r="L2374" t="str">
        <f>IF(Table4_2[[#This Row],[TDS Value (ppm)]]&lt;560, "Low", IF(Table4_2[[#This Row],[TDS Value (ppm)]]&lt;=800,"Optimal","High"))</f>
        <v>Low</v>
      </c>
    </row>
    <row r="2375" spans="1:12" x14ac:dyDescent="0.25">
      <c r="A2375">
        <v>18</v>
      </c>
      <c r="B2375" s="1">
        <v>45185</v>
      </c>
      <c r="C2375" s="1" t="str">
        <f>TEXT(Table4_2[[#This Row],[Date]],"dddd")</f>
        <v>Saturday</v>
      </c>
      <c r="D2375" s="21">
        <v>31.5</v>
      </c>
      <c r="E2375" s="21">
        <v>78</v>
      </c>
      <c r="F2375" s="21">
        <v>705</v>
      </c>
      <c r="G2375" s="21">
        <v>6.8</v>
      </c>
      <c r="H2375">
        <v>45</v>
      </c>
      <c r="I2375">
        <v>88.7</v>
      </c>
      <c r="J2375">
        <v>0.78</v>
      </c>
      <c r="K2375" t="str" cm="1">
        <f t="array" ref="K2375">_xlfn.IFS(Table4_2[[#This Row],[Growth Days]]&lt;=14,"Seedling",Table4_2[[#This Row],[Growth Days]]&lt;=35, "Vegetative",Table4_2[[#This Row],[Growth Days]]&lt;=50, "Maturity")</f>
        <v>Maturity</v>
      </c>
      <c r="L2375" t="str">
        <f>IF(Table4_2[[#This Row],[TDS Value (ppm)]]&lt;560, "Low", IF(Table4_2[[#This Row],[TDS Value (ppm)]]&lt;=800,"Optimal","High"))</f>
        <v>Optimal</v>
      </c>
    </row>
    <row r="2376" spans="1:12" x14ac:dyDescent="0.25">
      <c r="A2376">
        <v>19</v>
      </c>
      <c r="B2376" s="1">
        <v>45143</v>
      </c>
      <c r="C2376" s="1" t="str">
        <f>TEXT(Table4_2[[#This Row],[Date]],"dddd")</f>
        <v>Saturday</v>
      </c>
      <c r="D2376" s="21">
        <v>33.4</v>
      </c>
      <c r="E2376" s="21">
        <v>72</v>
      </c>
      <c r="F2376" s="21">
        <v>646</v>
      </c>
      <c r="G2376" s="21">
        <v>6.1</v>
      </c>
      <c r="H2376">
        <v>3</v>
      </c>
      <c r="I2376">
        <v>92.12</v>
      </c>
      <c r="J2376">
        <v>0.72</v>
      </c>
      <c r="K2376" t="str" cm="1">
        <f t="array" ref="K2376">_xlfn.IFS(Table4_2[[#This Row],[Growth Days]]&lt;=14,"Seedling",Table4_2[[#This Row],[Growth Days]]&lt;=35, "Vegetative",Table4_2[[#This Row],[Growth Days]]&lt;=50, "Maturity")</f>
        <v>Seedling</v>
      </c>
      <c r="L2376" t="str">
        <f>IF(Table4_2[[#This Row],[TDS Value (ppm)]]&lt;560, "Low", IF(Table4_2[[#This Row],[TDS Value (ppm)]]&lt;=800,"Optimal","High"))</f>
        <v>Optimal</v>
      </c>
    </row>
    <row r="2377" spans="1:12" x14ac:dyDescent="0.25">
      <c r="A2377">
        <v>19</v>
      </c>
      <c r="B2377" s="1">
        <v>45150</v>
      </c>
      <c r="C2377" s="1" t="str">
        <f>TEXT(Table4_2[[#This Row],[Date]],"dddd")</f>
        <v>Saturday</v>
      </c>
      <c r="D2377" s="21">
        <v>30.2</v>
      </c>
      <c r="E2377" s="21">
        <v>79</v>
      </c>
      <c r="F2377" s="21">
        <v>486</v>
      </c>
      <c r="G2377" s="21">
        <v>6.8</v>
      </c>
      <c r="H2377">
        <v>10</v>
      </c>
      <c r="I2377">
        <v>86.36</v>
      </c>
      <c r="J2377">
        <v>0.79</v>
      </c>
      <c r="K2377" t="str" cm="1">
        <f t="array" ref="K2377">_xlfn.IFS(Table4_2[[#This Row],[Growth Days]]&lt;=14,"Seedling",Table4_2[[#This Row],[Growth Days]]&lt;=35, "Vegetative",Table4_2[[#This Row],[Growth Days]]&lt;=50, "Maturity")</f>
        <v>Seedling</v>
      </c>
      <c r="L2377" t="str">
        <f>IF(Table4_2[[#This Row],[TDS Value (ppm)]]&lt;560, "Low", IF(Table4_2[[#This Row],[TDS Value (ppm)]]&lt;=800,"Optimal","High"))</f>
        <v>Low</v>
      </c>
    </row>
    <row r="2378" spans="1:12" x14ac:dyDescent="0.25">
      <c r="A2378">
        <v>19</v>
      </c>
      <c r="B2378" s="1">
        <v>45157</v>
      </c>
      <c r="C2378" s="1" t="str">
        <f>TEXT(Table4_2[[#This Row],[Date]],"dddd")</f>
        <v>Saturday</v>
      </c>
      <c r="D2378" s="21">
        <v>30.8</v>
      </c>
      <c r="E2378" s="21">
        <v>73</v>
      </c>
      <c r="F2378" s="21">
        <v>415</v>
      </c>
      <c r="G2378" s="21">
        <v>6.5</v>
      </c>
      <c r="H2378">
        <v>17</v>
      </c>
      <c r="I2378">
        <v>87.44</v>
      </c>
      <c r="J2378">
        <v>0.73</v>
      </c>
      <c r="K2378" t="str" cm="1">
        <f t="array" ref="K2378">_xlfn.IFS(Table4_2[[#This Row],[Growth Days]]&lt;=14,"Seedling",Table4_2[[#This Row],[Growth Days]]&lt;=35, "Vegetative",Table4_2[[#This Row],[Growth Days]]&lt;=50, "Maturity")</f>
        <v>Vegetative</v>
      </c>
      <c r="L2378" t="str">
        <f>IF(Table4_2[[#This Row],[TDS Value (ppm)]]&lt;560, "Low", IF(Table4_2[[#This Row],[TDS Value (ppm)]]&lt;=800,"Optimal","High"))</f>
        <v>Low</v>
      </c>
    </row>
    <row r="2379" spans="1:12" x14ac:dyDescent="0.25">
      <c r="A2379">
        <v>19</v>
      </c>
      <c r="B2379" s="1">
        <v>45164</v>
      </c>
      <c r="C2379" s="1" t="str">
        <f>TEXT(Table4_2[[#This Row],[Date]],"dddd")</f>
        <v>Saturday</v>
      </c>
      <c r="D2379" s="21">
        <v>31.4</v>
      </c>
      <c r="E2379" s="21">
        <v>78</v>
      </c>
      <c r="F2379" s="21">
        <v>576</v>
      </c>
      <c r="G2379" s="21">
        <v>6.5</v>
      </c>
      <c r="H2379">
        <v>24</v>
      </c>
      <c r="I2379">
        <v>88.52</v>
      </c>
      <c r="J2379">
        <v>0.78</v>
      </c>
      <c r="K2379" t="str" cm="1">
        <f t="array" ref="K2379">_xlfn.IFS(Table4_2[[#This Row],[Growth Days]]&lt;=14,"Seedling",Table4_2[[#This Row],[Growth Days]]&lt;=35, "Vegetative",Table4_2[[#This Row],[Growth Days]]&lt;=50, "Maturity")</f>
        <v>Vegetative</v>
      </c>
      <c r="L2379" t="str">
        <f>IF(Table4_2[[#This Row],[TDS Value (ppm)]]&lt;560, "Low", IF(Table4_2[[#This Row],[TDS Value (ppm)]]&lt;=800,"Optimal","High"))</f>
        <v>Optimal</v>
      </c>
    </row>
    <row r="2380" spans="1:12" x14ac:dyDescent="0.25">
      <c r="A2380">
        <v>19</v>
      </c>
      <c r="B2380" s="1">
        <v>45171</v>
      </c>
      <c r="C2380" s="1" t="str">
        <f>TEXT(Table4_2[[#This Row],[Date]],"dddd")</f>
        <v>Saturday</v>
      </c>
      <c r="D2380" s="21">
        <v>31.7</v>
      </c>
      <c r="E2380" s="21">
        <v>60</v>
      </c>
      <c r="F2380" s="21">
        <v>401</v>
      </c>
      <c r="G2380" s="21">
        <v>6.5</v>
      </c>
      <c r="H2380">
        <v>31</v>
      </c>
      <c r="I2380">
        <v>89.06</v>
      </c>
      <c r="J2380">
        <v>0.6</v>
      </c>
      <c r="K2380" t="str" cm="1">
        <f t="array" ref="K2380">_xlfn.IFS(Table4_2[[#This Row],[Growth Days]]&lt;=14,"Seedling",Table4_2[[#This Row],[Growth Days]]&lt;=35, "Vegetative",Table4_2[[#This Row],[Growth Days]]&lt;=50, "Maturity")</f>
        <v>Vegetative</v>
      </c>
      <c r="L2380" t="str">
        <f>IF(Table4_2[[#This Row],[TDS Value (ppm)]]&lt;560, "Low", IF(Table4_2[[#This Row],[TDS Value (ppm)]]&lt;=800,"Optimal","High"))</f>
        <v>Low</v>
      </c>
    </row>
    <row r="2381" spans="1:12" x14ac:dyDescent="0.25">
      <c r="A2381">
        <v>19</v>
      </c>
      <c r="B2381" s="1">
        <v>45178</v>
      </c>
      <c r="C2381" s="1" t="str">
        <f>TEXT(Table4_2[[#This Row],[Date]],"dddd")</f>
        <v>Saturday</v>
      </c>
      <c r="D2381" s="21">
        <v>20.100000000000001</v>
      </c>
      <c r="E2381" s="21">
        <v>68</v>
      </c>
      <c r="F2381" s="21">
        <v>611</v>
      </c>
      <c r="G2381" s="21">
        <v>6.2</v>
      </c>
      <c r="H2381">
        <v>38</v>
      </c>
      <c r="I2381">
        <v>68.180000000000007</v>
      </c>
      <c r="J2381">
        <v>0.68</v>
      </c>
      <c r="K2381" t="str" cm="1">
        <f t="array" ref="K2381">_xlfn.IFS(Table4_2[[#This Row],[Growth Days]]&lt;=14,"Seedling",Table4_2[[#This Row],[Growth Days]]&lt;=35, "Vegetative",Table4_2[[#This Row],[Growth Days]]&lt;=50, "Maturity")</f>
        <v>Maturity</v>
      </c>
      <c r="L2381" t="str">
        <f>IF(Table4_2[[#This Row],[TDS Value (ppm)]]&lt;560, "Low", IF(Table4_2[[#This Row],[TDS Value (ppm)]]&lt;=800,"Optimal","High"))</f>
        <v>Optimal</v>
      </c>
    </row>
    <row r="2382" spans="1:12" x14ac:dyDescent="0.25">
      <c r="A2382">
        <v>19</v>
      </c>
      <c r="B2382" s="1">
        <v>45185</v>
      </c>
      <c r="C2382" s="1" t="str">
        <f>TEXT(Table4_2[[#This Row],[Date]],"dddd")</f>
        <v>Saturday</v>
      </c>
      <c r="D2382" s="21">
        <v>31.5</v>
      </c>
      <c r="E2382" s="21">
        <v>70</v>
      </c>
      <c r="F2382" s="21">
        <v>571</v>
      </c>
      <c r="G2382" s="21">
        <v>6.3</v>
      </c>
      <c r="H2382">
        <v>45</v>
      </c>
      <c r="I2382">
        <v>88.7</v>
      </c>
      <c r="J2382">
        <v>0.7</v>
      </c>
      <c r="K2382" t="str" cm="1">
        <f t="array" ref="K2382">_xlfn.IFS(Table4_2[[#This Row],[Growth Days]]&lt;=14,"Seedling",Table4_2[[#This Row],[Growth Days]]&lt;=35, "Vegetative",Table4_2[[#This Row],[Growth Days]]&lt;=50, "Maturity")</f>
        <v>Maturity</v>
      </c>
      <c r="L2382" t="str">
        <f>IF(Table4_2[[#This Row],[TDS Value (ppm)]]&lt;560, "Low", IF(Table4_2[[#This Row],[TDS Value (ppm)]]&lt;=800,"Optimal","High"))</f>
        <v>Optimal</v>
      </c>
    </row>
    <row r="2383" spans="1:12" x14ac:dyDescent="0.25">
      <c r="A2383">
        <v>20</v>
      </c>
      <c r="B2383" s="1">
        <v>45143</v>
      </c>
      <c r="C2383" s="1" t="str">
        <f>TEXT(Table4_2[[#This Row],[Date]],"dddd")</f>
        <v>Saturday</v>
      </c>
      <c r="D2383" s="21">
        <v>33.4</v>
      </c>
      <c r="E2383" s="21">
        <v>60</v>
      </c>
      <c r="F2383" s="21">
        <v>483</v>
      </c>
      <c r="G2383" s="21">
        <v>6.7</v>
      </c>
      <c r="H2383">
        <v>3</v>
      </c>
      <c r="I2383">
        <v>92.12</v>
      </c>
      <c r="J2383">
        <v>0.6</v>
      </c>
      <c r="K2383" t="str" cm="1">
        <f t="array" ref="K2383">_xlfn.IFS(Table4_2[[#This Row],[Growth Days]]&lt;=14,"Seedling",Table4_2[[#This Row],[Growth Days]]&lt;=35, "Vegetative",Table4_2[[#This Row],[Growth Days]]&lt;=50, "Maturity")</f>
        <v>Seedling</v>
      </c>
      <c r="L2383" t="str">
        <f>IF(Table4_2[[#This Row],[TDS Value (ppm)]]&lt;560, "Low", IF(Table4_2[[#This Row],[TDS Value (ppm)]]&lt;=800,"Optimal","High"))</f>
        <v>Low</v>
      </c>
    </row>
    <row r="2384" spans="1:12" x14ac:dyDescent="0.25">
      <c r="A2384">
        <v>20</v>
      </c>
      <c r="B2384" s="1">
        <v>45150</v>
      </c>
      <c r="C2384" s="1" t="str">
        <f>TEXT(Table4_2[[#This Row],[Date]],"dddd")</f>
        <v>Saturday</v>
      </c>
      <c r="D2384" s="21">
        <v>30.2</v>
      </c>
      <c r="E2384" s="21">
        <v>60</v>
      </c>
      <c r="F2384" s="21">
        <v>702</v>
      </c>
      <c r="G2384" s="21">
        <v>6.7</v>
      </c>
      <c r="H2384">
        <v>10</v>
      </c>
      <c r="I2384">
        <v>86.36</v>
      </c>
      <c r="J2384">
        <v>0.6</v>
      </c>
      <c r="K2384" t="str" cm="1">
        <f t="array" ref="K2384">_xlfn.IFS(Table4_2[[#This Row],[Growth Days]]&lt;=14,"Seedling",Table4_2[[#This Row],[Growth Days]]&lt;=35, "Vegetative",Table4_2[[#This Row],[Growth Days]]&lt;=50, "Maturity")</f>
        <v>Seedling</v>
      </c>
      <c r="L2384" t="str">
        <f>IF(Table4_2[[#This Row],[TDS Value (ppm)]]&lt;560, "Low", IF(Table4_2[[#This Row],[TDS Value (ppm)]]&lt;=800,"Optimal","High"))</f>
        <v>Optimal</v>
      </c>
    </row>
    <row r="2385" spans="1:12" x14ac:dyDescent="0.25">
      <c r="A2385">
        <v>20</v>
      </c>
      <c r="B2385" s="1">
        <v>45157</v>
      </c>
      <c r="C2385" s="1" t="str">
        <f>TEXT(Table4_2[[#This Row],[Date]],"dddd")</f>
        <v>Saturday</v>
      </c>
      <c r="D2385" s="21">
        <v>30.8</v>
      </c>
      <c r="E2385" s="21">
        <v>66</v>
      </c>
      <c r="F2385" s="21">
        <v>722</v>
      </c>
      <c r="G2385" s="21">
        <v>6.1</v>
      </c>
      <c r="H2385">
        <v>17</v>
      </c>
      <c r="I2385">
        <v>87.44</v>
      </c>
      <c r="J2385">
        <v>0.66</v>
      </c>
      <c r="K2385" t="str" cm="1">
        <f t="array" ref="K2385">_xlfn.IFS(Table4_2[[#This Row],[Growth Days]]&lt;=14,"Seedling",Table4_2[[#This Row],[Growth Days]]&lt;=35, "Vegetative",Table4_2[[#This Row],[Growth Days]]&lt;=50, "Maturity")</f>
        <v>Vegetative</v>
      </c>
      <c r="L2385" t="str">
        <f>IF(Table4_2[[#This Row],[TDS Value (ppm)]]&lt;560, "Low", IF(Table4_2[[#This Row],[TDS Value (ppm)]]&lt;=800,"Optimal","High"))</f>
        <v>Optimal</v>
      </c>
    </row>
    <row r="2386" spans="1:12" x14ac:dyDescent="0.25">
      <c r="A2386">
        <v>20</v>
      </c>
      <c r="B2386" s="1">
        <v>45164</v>
      </c>
      <c r="C2386" s="1" t="str">
        <f>TEXT(Table4_2[[#This Row],[Date]],"dddd")</f>
        <v>Saturday</v>
      </c>
      <c r="D2386" s="21">
        <v>31.4</v>
      </c>
      <c r="E2386" s="21">
        <v>77</v>
      </c>
      <c r="F2386" s="21">
        <v>575</v>
      </c>
      <c r="G2386" s="21">
        <v>6.1</v>
      </c>
      <c r="H2386">
        <v>24</v>
      </c>
      <c r="I2386">
        <v>88.52</v>
      </c>
      <c r="J2386">
        <v>0.77</v>
      </c>
      <c r="K2386" t="str" cm="1">
        <f t="array" ref="K2386">_xlfn.IFS(Table4_2[[#This Row],[Growth Days]]&lt;=14,"Seedling",Table4_2[[#This Row],[Growth Days]]&lt;=35, "Vegetative",Table4_2[[#This Row],[Growth Days]]&lt;=50, "Maturity")</f>
        <v>Vegetative</v>
      </c>
      <c r="L2386" t="str">
        <f>IF(Table4_2[[#This Row],[TDS Value (ppm)]]&lt;560, "Low", IF(Table4_2[[#This Row],[TDS Value (ppm)]]&lt;=800,"Optimal","High"))</f>
        <v>Optimal</v>
      </c>
    </row>
    <row r="2387" spans="1:12" x14ac:dyDescent="0.25">
      <c r="A2387">
        <v>20</v>
      </c>
      <c r="B2387" s="1">
        <v>45171</v>
      </c>
      <c r="C2387" s="1" t="str">
        <f>TEXT(Table4_2[[#This Row],[Date]],"dddd")</f>
        <v>Saturday</v>
      </c>
      <c r="D2387" s="21">
        <v>31.7</v>
      </c>
      <c r="E2387" s="21">
        <v>68</v>
      </c>
      <c r="F2387" s="21">
        <v>742</v>
      </c>
      <c r="G2387" s="21">
        <v>6.5</v>
      </c>
      <c r="H2387">
        <v>31</v>
      </c>
      <c r="I2387">
        <v>89.06</v>
      </c>
      <c r="J2387">
        <v>0.68</v>
      </c>
      <c r="K2387" t="str" cm="1">
        <f t="array" ref="K2387">_xlfn.IFS(Table4_2[[#This Row],[Growth Days]]&lt;=14,"Seedling",Table4_2[[#This Row],[Growth Days]]&lt;=35, "Vegetative",Table4_2[[#This Row],[Growth Days]]&lt;=50, "Maturity")</f>
        <v>Vegetative</v>
      </c>
      <c r="L2387" t="str">
        <f>IF(Table4_2[[#This Row],[TDS Value (ppm)]]&lt;560, "Low", IF(Table4_2[[#This Row],[TDS Value (ppm)]]&lt;=800,"Optimal","High"))</f>
        <v>Optimal</v>
      </c>
    </row>
    <row r="2388" spans="1:12" x14ac:dyDescent="0.25">
      <c r="A2388">
        <v>20</v>
      </c>
      <c r="B2388" s="1">
        <v>45178</v>
      </c>
      <c r="C2388" s="1" t="str">
        <f>TEXT(Table4_2[[#This Row],[Date]],"dddd")</f>
        <v>Saturday</v>
      </c>
      <c r="D2388" s="21">
        <v>20.100000000000001</v>
      </c>
      <c r="E2388" s="21">
        <v>55</v>
      </c>
      <c r="F2388" s="21">
        <v>441</v>
      </c>
      <c r="G2388" s="21">
        <v>6.5</v>
      </c>
      <c r="H2388">
        <v>38</v>
      </c>
      <c r="I2388">
        <v>68.180000000000007</v>
      </c>
      <c r="J2388">
        <v>0.55000000000000004</v>
      </c>
      <c r="K2388" t="str" cm="1">
        <f t="array" ref="K2388">_xlfn.IFS(Table4_2[[#This Row],[Growth Days]]&lt;=14,"Seedling",Table4_2[[#This Row],[Growth Days]]&lt;=35, "Vegetative",Table4_2[[#This Row],[Growth Days]]&lt;=50, "Maturity")</f>
        <v>Maturity</v>
      </c>
      <c r="L2388" t="str">
        <f>IF(Table4_2[[#This Row],[TDS Value (ppm)]]&lt;560, "Low", IF(Table4_2[[#This Row],[TDS Value (ppm)]]&lt;=800,"Optimal","High"))</f>
        <v>Low</v>
      </c>
    </row>
    <row r="2389" spans="1:12" x14ac:dyDescent="0.25">
      <c r="A2389">
        <v>20</v>
      </c>
      <c r="B2389" s="1">
        <v>45185</v>
      </c>
      <c r="C2389" s="1" t="str">
        <f>TEXT(Table4_2[[#This Row],[Date]],"dddd")</f>
        <v>Saturday</v>
      </c>
      <c r="D2389" s="21">
        <v>31.5</v>
      </c>
      <c r="E2389" s="21">
        <v>57</v>
      </c>
      <c r="F2389" s="21">
        <v>759</v>
      </c>
      <c r="G2389" s="21">
        <v>6.6</v>
      </c>
      <c r="H2389">
        <v>45</v>
      </c>
      <c r="I2389">
        <v>88.7</v>
      </c>
      <c r="J2389">
        <v>0.56999999999999995</v>
      </c>
      <c r="K2389" t="str" cm="1">
        <f t="array" ref="K2389">_xlfn.IFS(Table4_2[[#This Row],[Growth Days]]&lt;=14,"Seedling",Table4_2[[#This Row],[Growth Days]]&lt;=35, "Vegetative",Table4_2[[#This Row],[Growth Days]]&lt;=50, "Maturity")</f>
        <v>Maturity</v>
      </c>
      <c r="L2389" t="str">
        <f>IF(Table4_2[[#This Row],[TDS Value (ppm)]]&lt;560, "Low", IF(Table4_2[[#This Row],[TDS Value (ppm)]]&lt;=800,"Optimal","High"))</f>
        <v>Optimal</v>
      </c>
    </row>
    <row r="2390" spans="1:12" x14ac:dyDescent="0.25">
      <c r="A2390">
        <v>21</v>
      </c>
      <c r="B2390" s="1">
        <v>45143</v>
      </c>
      <c r="C2390" s="1" t="str">
        <f>TEXT(Table4_2[[#This Row],[Date]],"dddd")</f>
        <v>Saturday</v>
      </c>
      <c r="D2390" s="21">
        <v>33.4</v>
      </c>
      <c r="E2390" s="21">
        <v>80</v>
      </c>
      <c r="F2390" s="21">
        <v>516</v>
      </c>
      <c r="G2390" s="21">
        <v>6.5</v>
      </c>
      <c r="H2390">
        <v>3</v>
      </c>
      <c r="I2390">
        <v>92.12</v>
      </c>
      <c r="J2390">
        <v>0.8</v>
      </c>
      <c r="K2390" t="str" cm="1">
        <f t="array" ref="K2390">_xlfn.IFS(Table4_2[[#This Row],[Growth Days]]&lt;=14,"Seedling",Table4_2[[#This Row],[Growth Days]]&lt;=35, "Vegetative",Table4_2[[#This Row],[Growth Days]]&lt;=50, "Maturity")</f>
        <v>Seedling</v>
      </c>
      <c r="L2390" t="str">
        <f>IF(Table4_2[[#This Row],[TDS Value (ppm)]]&lt;560, "Low", IF(Table4_2[[#This Row],[TDS Value (ppm)]]&lt;=800,"Optimal","High"))</f>
        <v>Low</v>
      </c>
    </row>
    <row r="2391" spans="1:12" x14ac:dyDescent="0.25">
      <c r="A2391">
        <v>21</v>
      </c>
      <c r="B2391" s="1">
        <v>45150</v>
      </c>
      <c r="C2391" s="1" t="str">
        <f>TEXT(Table4_2[[#This Row],[Date]],"dddd")</f>
        <v>Saturday</v>
      </c>
      <c r="D2391" s="21">
        <v>30.2</v>
      </c>
      <c r="E2391" s="21">
        <v>67</v>
      </c>
      <c r="F2391" s="21">
        <v>460</v>
      </c>
      <c r="G2391" s="21">
        <v>6.6</v>
      </c>
      <c r="H2391">
        <v>10</v>
      </c>
      <c r="I2391">
        <v>86.36</v>
      </c>
      <c r="J2391">
        <v>0.67</v>
      </c>
      <c r="K2391" t="str" cm="1">
        <f t="array" ref="K2391">_xlfn.IFS(Table4_2[[#This Row],[Growth Days]]&lt;=14,"Seedling",Table4_2[[#This Row],[Growth Days]]&lt;=35, "Vegetative",Table4_2[[#This Row],[Growth Days]]&lt;=50, "Maturity")</f>
        <v>Seedling</v>
      </c>
      <c r="L2391" t="str">
        <f>IF(Table4_2[[#This Row],[TDS Value (ppm)]]&lt;560, "Low", IF(Table4_2[[#This Row],[TDS Value (ppm)]]&lt;=800,"Optimal","High"))</f>
        <v>Low</v>
      </c>
    </row>
    <row r="2392" spans="1:12" x14ac:dyDescent="0.25">
      <c r="A2392">
        <v>21</v>
      </c>
      <c r="B2392" s="1">
        <v>45157</v>
      </c>
      <c r="C2392" s="1" t="str">
        <f>TEXT(Table4_2[[#This Row],[Date]],"dddd")</f>
        <v>Saturday</v>
      </c>
      <c r="D2392" s="21">
        <v>30.8</v>
      </c>
      <c r="E2392" s="21">
        <v>75</v>
      </c>
      <c r="F2392" s="21">
        <v>615</v>
      </c>
      <c r="G2392" s="21">
        <v>6.3</v>
      </c>
      <c r="H2392">
        <v>17</v>
      </c>
      <c r="I2392">
        <v>87.44</v>
      </c>
      <c r="J2392">
        <v>0.75</v>
      </c>
      <c r="K2392" t="str" cm="1">
        <f t="array" ref="K2392">_xlfn.IFS(Table4_2[[#This Row],[Growth Days]]&lt;=14,"Seedling",Table4_2[[#This Row],[Growth Days]]&lt;=35, "Vegetative",Table4_2[[#This Row],[Growth Days]]&lt;=50, "Maturity")</f>
        <v>Vegetative</v>
      </c>
      <c r="L2392" t="str">
        <f>IF(Table4_2[[#This Row],[TDS Value (ppm)]]&lt;560, "Low", IF(Table4_2[[#This Row],[TDS Value (ppm)]]&lt;=800,"Optimal","High"))</f>
        <v>Optimal</v>
      </c>
    </row>
    <row r="2393" spans="1:12" x14ac:dyDescent="0.25">
      <c r="A2393">
        <v>21</v>
      </c>
      <c r="B2393" s="1">
        <v>45164</v>
      </c>
      <c r="C2393" s="1" t="str">
        <f>TEXT(Table4_2[[#This Row],[Date]],"dddd")</f>
        <v>Saturday</v>
      </c>
      <c r="D2393" s="21">
        <v>31.4</v>
      </c>
      <c r="E2393" s="21">
        <v>73</v>
      </c>
      <c r="F2393" s="21">
        <v>553</v>
      </c>
      <c r="G2393" s="21">
        <v>6.6</v>
      </c>
      <c r="H2393">
        <v>24</v>
      </c>
      <c r="I2393">
        <v>88.52</v>
      </c>
      <c r="J2393">
        <v>0.73</v>
      </c>
      <c r="K2393" t="str" cm="1">
        <f t="array" ref="K2393">_xlfn.IFS(Table4_2[[#This Row],[Growth Days]]&lt;=14,"Seedling",Table4_2[[#This Row],[Growth Days]]&lt;=35, "Vegetative",Table4_2[[#This Row],[Growth Days]]&lt;=50, "Maturity")</f>
        <v>Vegetative</v>
      </c>
      <c r="L2393" t="str">
        <f>IF(Table4_2[[#This Row],[TDS Value (ppm)]]&lt;560, "Low", IF(Table4_2[[#This Row],[TDS Value (ppm)]]&lt;=800,"Optimal","High"))</f>
        <v>Low</v>
      </c>
    </row>
    <row r="2394" spans="1:12" x14ac:dyDescent="0.25">
      <c r="A2394">
        <v>21</v>
      </c>
      <c r="B2394" s="1">
        <v>45171</v>
      </c>
      <c r="C2394" s="1" t="str">
        <f>TEXT(Table4_2[[#This Row],[Date]],"dddd")</f>
        <v>Saturday</v>
      </c>
      <c r="D2394" s="21">
        <v>31.7</v>
      </c>
      <c r="E2394" s="21">
        <v>66</v>
      </c>
      <c r="F2394" s="21">
        <v>758</v>
      </c>
      <c r="G2394" s="21">
        <v>6.2</v>
      </c>
      <c r="H2394">
        <v>31</v>
      </c>
      <c r="I2394">
        <v>89.06</v>
      </c>
      <c r="J2394">
        <v>0.66</v>
      </c>
      <c r="K2394" t="str" cm="1">
        <f t="array" ref="K2394">_xlfn.IFS(Table4_2[[#This Row],[Growth Days]]&lt;=14,"Seedling",Table4_2[[#This Row],[Growth Days]]&lt;=35, "Vegetative",Table4_2[[#This Row],[Growth Days]]&lt;=50, "Maturity")</f>
        <v>Vegetative</v>
      </c>
      <c r="L2394" t="str">
        <f>IF(Table4_2[[#This Row],[TDS Value (ppm)]]&lt;560, "Low", IF(Table4_2[[#This Row],[TDS Value (ppm)]]&lt;=800,"Optimal","High"))</f>
        <v>Optimal</v>
      </c>
    </row>
    <row r="2395" spans="1:12" x14ac:dyDescent="0.25">
      <c r="A2395">
        <v>21</v>
      </c>
      <c r="B2395" s="1">
        <v>45178</v>
      </c>
      <c r="C2395" s="1" t="str">
        <f>TEXT(Table4_2[[#This Row],[Date]],"dddd")</f>
        <v>Saturday</v>
      </c>
      <c r="D2395" s="21">
        <v>20.100000000000001</v>
      </c>
      <c r="E2395" s="21">
        <v>70</v>
      </c>
      <c r="F2395" s="21">
        <v>470</v>
      </c>
      <c r="G2395" s="21">
        <v>6.4</v>
      </c>
      <c r="H2395">
        <v>38</v>
      </c>
      <c r="I2395">
        <v>68.180000000000007</v>
      </c>
      <c r="J2395">
        <v>0.7</v>
      </c>
      <c r="K2395" t="str" cm="1">
        <f t="array" ref="K2395">_xlfn.IFS(Table4_2[[#This Row],[Growth Days]]&lt;=14,"Seedling",Table4_2[[#This Row],[Growth Days]]&lt;=35, "Vegetative",Table4_2[[#This Row],[Growth Days]]&lt;=50, "Maturity")</f>
        <v>Maturity</v>
      </c>
      <c r="L2395" t="str">
        <f>IF(Table4_2[[#This Row],[TDS Value (ppm)]]&lt;560, "Low", IF(Table4_2[[#This Row],[TDS Value (ppm)]]&lt;=800,"Optimal","High"))</f>
        <v>Low</v>
      </c>
    </row>
    <row r="2396" spans="1:12" x14ac:dyDescent="0.25">
      <c r="A2396">
        <v>21</v>
      </c>
      <c r="B2396" s="1">
        <v>45185</v>
      </c>
      <c r="C2396" s="1" t="str">
        <f>TEXT(Table4_2[[#This Row],[Date]],"dddd")</f>
        <v>Saturday</v>
      </c>
      <c r="D2396" s="21">
        <v>31.5</v>
      </c>
      <c r="E2396" s="21">
        <v>67</v>
      </c>
      <c r="F2396" s="21">
        <v>454</v>
      </c>
      <c r="G2396" s="21">
        <v>6.4</v>
      </c>
      <c r="H2396">
        <v>45</v>
      </c>
      <c r="I2396">
        <v>88.7</v>
      </c>
      <c r="J2396">
        <v>0.67</v>
      </c>
      <c r="K2396" t="str" cm="1">
        <f t="array" ref="K2396">_xlfn.IFS(Table4_2[[#This Row],[Growth Days]]&lt;=14,"Seedling",Table4_2[[#This Row],[Growth Days]]&lt;=35, "Vegetative",Table4_2[[#This Row],[Growth Days]]&lt;=50, "Maturity")</f>
        <v>Maturity</v>
      </c>
      <c r="L2396" t="str">
        <f>IF(Table4_2[[#This Row],[TDS Value (ppm)]]&lt;560, "Low", IF(Table4_2[[#This Row],[TDS Value (ppm)]]&lt;=800,"Optimal","High"))</f>
        <v>Low</v>
      </c>
    </row>
    <row r="2397" spans="1:12" x14ac:dyDescent="0.25">
      <c r="A2397">
        <v>22</v>
      </c>
      <c r="B2397" s="1">
        <v>45143</v>
      </c>
      <c r="C2397" s="1" t="str">
        <f>TEXT(Table4_2[[#This Row],[Date]],"dddd")</f>
        <v>Saturday</v>
      </c>
      <c r="D2397" s="21">
        <v>33.4</v>
      </c>
      <c r="E2397" s="21">
        <v>50</v>
      </c>
      <c r="F2397" s="21">
        <v>602</v>
      </c>
      <c r="G2397" s="21">
        <v>6</v>
      </c>
      <c r="H2397">
        <v>3</v>
      </c>
      <c r="I2397">
        <v>92.12</v>
      </c>
      <c r="J2397">
        <v>0.5</v>
      </c>
      <c r="K2397" t="str" cm="1">
        <f t="array" ref="K2397">_xlfn.IFS(Table4_2[[#This Row],[Growth Days]]&lt;=14,"Seedling",Table4_2[[#This Row],[Growth Days]]&lt;=35, "Vegetative",Table4_2[[#This Row],[Growth Days]]&lt;=50, "Maturity")</f>
        <v>Seedling</v>
      </c>
      <c r="L2397" t="str">
        <f>IF(Table4_2[[#This Row],[TDS Value (ppm)]]&lt;560, "Low", IF(Table4_2[[#This Row],[TDS Value (ppm)]]&lt;=800,"Optimal","High"))</f>
        <v>Optimal</v>
      </c>
    </row>
    <row r="2398" spans="1:12" x14ac:dyDescent="0.25">
      <c r="A2398">
        <v>22</v>
      </c>
      <c r="B2398" s="1">
        <v>45150</v>
      </c>
      <c r="C2398" s="1" t="str">
        <f>TEXT(Table4_2[[#This Row],[Date]],"dddd")</f>
        <v>Saturday</v>
      </c>
      <c r="D2398" s="21">
        <v>30.2</v>
      </c>
      <c r="E2398" s="21">
        <v>75</v>
      </c>
      <c r="F2398" s="21">
        <v>771</v>
      </c>
      <c r="G2398" s="21">
        <v>6.4</v>
      </c>
      <c r="H2398">
        <v>10</v>
      </c>
      <c r="I2398">
        <v>86.36</v>
      </c>
      <c r="J2398">
        <v>0.75</v>
      </c>
      <c r="K2398" t="str" cm="1">
        <f t="array" ref="K2398">_xlfn.IFS(Table4_2[[#This Row],[Growth Days]]&lt;=14,"Seedling",Table4_2[[#This Row],[Growth Days]]&lt;=35, "Vegetative",Table4_2[[#This Row],[Growth Days]]&lt;=50, "Maturity")</f>
        <v>Seedling</v>
      </c>
      <c r="L2398" t="str">
        <f>IF(Table4_2[[#This Row],[TDS Value (ppm)]]&lt;560, "Low", IF(Table4_2[[#This Row],[TDS Value (ppm)]]&lt;=800,"Optimal","High"))</f>
        <v>Optimal</v>
      </c>
    </row>
    <row r="2399" spans="1:12" x14ac:dyDescent="0.25">
      <c r="A2399">
        <v>22</v>
      </c>
      <c r="B2399" s="1">
        <v>45157</v>
      </c>
      <c r="C2399" s="1" t="str">
        <f>TEXT(Table4_2[[#This Row],[Date]],"dddd")</f>
        <v>Saturday</v>
      </c>
      <c r="D2399" s="21">
        <v>30.8</v>
      </c>
      <c r="E2399" s="21">
        <v>67</v>
      </c>
      <c r="F2399" s="21">
        <v>479</v>
      </c>
      <c r="G2399" s="21">
        <v>6.7</v>
      </c>
      <c r="H2399">
        <v>17</v>
      </c>
      <c r="I2399">
        <v>87.44</v>
      </c>
      <c r="J2399">
        <v>0.67</v>
      </c>
      <c r="K2399" t="str" cm="1">
        <f t="array" ref="K2399">_xlfn.IFS(Table4_2[[#This Row],[Growth Days]]&lt;=14,"Seedling",Table4_2[[#This Row],[Growth Days]]&lt;=35, "Vegetative",Table4_2[[#This Row],[Growth Days]]&lt;=50, "Maturity")</f>
        <v>Vegetative</v>
      </c>
      <c r="L2399" t="str">
        <f>IF(Table4_2[[#This Row],[TDS Value (ppm)]]&lt;560, "Low", IF(Table4_2[[#This Row],[TDS Value (ppm)]]&lt;=800,"Optimal","High"))</f>
        <v>Low</v>
      </c>
    </row>
    <row r="2400" spans="1:12" x14ac:dyDescent="0.25">
      <c r="A2400">
        <v>22</v>
      </c>
      <c r="B2400" s="1">
        <v>45164</v>
      </c>
      <c r="C2400" s="1" t="str">
        <f>TEXT(Table4_2[[#This Row],[Date]],"dddd")</f>
        <v>Saturday</v>
      </c>
      <c r="D2400" s="21">
        <v>31.4</v>
      </c>
      <c r="E2400" s="21">
        <v>58</v>
      </c>
      <c r="F2400" s="21">
        <v>681</v>
      </c>
      <c r="G2400" s="21">
        <v>6.3</v>
      </c>
      <c r="H2400">
        <v>24</v>
      </c>
      <c r="I2400">
        <v>88.52</v>
      </c>
      <c r="J2400">
        <v>0.57999999999999996</v>
      </c>
      <c r="K2400" t="str" cm="1">
        <f t="array" ref="K2400">_xlfn.IFS(Table4_2[[#This Row],[Growth Days]]&lt;=14,"Seedling",Table4_2[[#This Row],[Growth Days]]&lt;=35, "Vegetative",Table4_2[[#This Row],[Growth Days]]&lt;=50, "Maturity")</f>
        <v>Vegetative</v>
      </c>
      <c r="L2400" t="str">
        <f>IF(Table4_2[[#This Row],[TDS Value (ppm)]]&lt;560, "Low", IF(Table4_2[[#This Row],[TDS Value (ppm)]]&lt;=800,"Optimal","High"))</f>
        <v>Optimal</v>
      </c>
    </row>
    <row r="2401" spans="1:12" x14ac:dyDescent="0.25">
      <c r="A2401">
        <v>22</v>
      </c>
      <c r="B2401" s="1">
        <v>45171</v>
      </c>
      <c r="C2401" s="1" t="str">
        <f>TEXT(Table4_2[[#This Row],[Date]],"dddd")</f>
        <v>Saturday</v>
      </c>
      <c r="D2401" s="21">
        <v>31.7</v>
      </c>
      <c r="E2401" s="21">
        <v>59</v>
      </c>
      <c r="F2401" s="21">
        <v>519</v>
      </c>
      <c r="G2401" s="21">
        <v>6.2</v>
      </c>
      <c r="H2401">
        <v>31</v>
      </c>
      <c r="I2401">
        <v>89.06</v>
      </c>
      <c r="J2401">
        <v>0.59</v>
      </c>
      <c r="K2401" t="str" cm="1">
        <f t="array" ref="K2401">_xlfn.IFS(Table4_2[[#This Row],[Growth Days]]&lt;=14,"Seedling",Table4_2[[#This Row],[Growth Days]]&lt;=35, "Vegetative",Table4_2[[#This Row],[Growth Days]]&lt;=50, "Maturity")</f>
        <v>Vegetative</v>
      </c>
      <c r="L2401" t="str">
        <f>IF(Table4_2[[#This Row],[TDS Value (ppm)]]&lt;560, "Low", IF(Table4_2[[#This Row],[TDS Value (ppm)]]&lt;=800,"Optimal","High"))</f>
        <v>Low</v>
      </c>
    </row>
    <row r="2402" spans="1:12" x14ac:dyDescent="0.25">
      <c r="A2402">
        <v>22</v>
      </c>
      <c r="B2402" s="1">
        <v>45178</v>
      </c>
      <c r="C2402" s="1" t="str">
        <f>TEXT(Table4_2[[#This Row],[Date]],"dddd")</f>
        <v>Saturday</v>
      </c>
      <c r="D2402" s="21">
        <v>20.100000000000001</v>
      </c>
      <c r="E2402" s="21">
        <v>62</v>
      </c>
      <c r="F2402" s="21">
        <v>560</v>
      </c>
      <c r="G2402" s="21">
        <v>6.8</v>
      </c>
      <c r="H2402">
        <v>38</v>
      </c>
      <c r="I2402">
        <v>68.180000000000007</v>
      </c>
      <c r="J2402">
        <v>0.62</v>
      </c>
      <c r="K2402" t="str" cm="1">
        <f t="array" ref="K2402">_xlfn.IFS(Table4_2[[#This Row],[Growth Days]]&lt;=14,"Seedling",Table4_2[[#This Row],[Growth Days]]&lt;=35, "Vegetative",Table4_2[[#This Row],[Growth Days]]&lt;=50, "Maturity")</f>
        <v>Maturity</v>
      </c>
      <c r="L2402" t="str">
        <f>IF(Table4_2[[#This Row],[TDS Value (ppm)]]&lt;560, "Low", IF(Table4_2[[#This Row],[TDS Value (ppm)]]&lt;=800,"Optimal","High"))</f>
        <v>Optimal</v>
      </c>
    </row>
    <row r="2403" spans="1:12" x14ac:dyDescent="0.25">
      <c r="A2403">
        <v>22</v>
      </c>
      <c r="B2403" s="1">
        <v>45185</v>
      </c>
      <c r="C2403" s="1" t="str">
        <f>TEXT(Table4_2[[#This Row],[Date]],"dddd")</f>
        <v>Saturday</v>
      </c>
      <c r="D2403" s="21">
        <v>31.5</v>
      </c>
      <c r="E2403" s="21">
        <v>71</v>
      </c>
      <c r="F2403" s="21">
        <v>578</v>
      </c>
      <c r="G2403" s="21">
        <v>6.8</v>
      </c>
      <c r="H2403">
        <v>45</v>
      </c>
      <c r="I2403">
        <v>88.7</v>
      </c>
      <c r="J2403">
        <v>0.71</v>
      </c>
      <c r="K2403" t="str" cm="1">
        <f t="array" ref="K2403">_xlfn.IFS(Table4_2[[#This Row],[Growth Days]]&lt;=14,"Seedling",Table4_2[[#This Row],[Growth Days]]&lt;=35, "Vegetative",Table4_2[[#This Row],[Growth Days]]&lt;=50, "Maturity")</f>
        <v>Maturity</v>
      </c>
      <c r="L2403" t="str">
        <f>IF(Table4_2[[#This Row],[TDS Value (ppm)]]&lt;560, "Low", IF(Table4_2[[#This Row],[TDS Value (ppm)]]&lt;=800,"Optimal","High"))</f>
        <v>Optimal</v>
      </c>
    </row>
    <row r="2404" spans="1:12" x14ac:dyDescent="0.25">
      <c r="A2404">
        <v>23</v>
      </c>
      <c r="B2404" s="1">
        <v>45143</v>
      </c>
      <c r="C2404" s="1" t="str">
        <f>TEXT(Table4_2[[#This Row],[Date]],"dddd")</f>
        <v>Saturday</v>
      </c>
      <c r="D2404" s="21">
        <v>33.4</v>
      </c>
      <c r="E2404" s="21">
        <v>76</v>
      </c>
      <c r="F2404" s="21">
        <v>473</v>
      </c>
      <c r="G2404" s="21">
        <v>6.2</v>
      </c>
      <c r="H2404">
        <v>3</v>
      </c>
      <c r="I2404">
        <v>92.12</v>
      </c>
      <c r="J2404">
        <v>0.76</v>
      </c>
      <c r="K2404" t="str" cm="1">
        <f t="array" ref="K2404">_xlfn.IFS(Table4_2[[#This Row],[Growth Days]]&lt;=14,"Seedling",Table4_2[[#This Row],[Growth Days]]&lt;=35, "Vegetative",Table4_2[[#This Row],[Growth Days]]&lt;=50, "Maturity")</f>
        <v>Seedling</v>
      </c>
      <c r="L2404" t="str">
        <f>IF(Table4_2[[#This Row],[TDS Value (ppm)]]&lt;560, "Low", IF(Table4_2[[#This Row],[TDS Value (ppm)]]&lt;=800,"Optimal","High"))</f>
        <v>Low</v>
      </c>
    </row>
    <row r="2405" spans="1:12" x14ac:dyDescent="0.25">
      <c r="A2405">
        <v>23</v>
      </c>
      <c r="B2405" s="1">
        <v>45150</v>
      </c>
      <c r="C2405" s="1" t="str">
        <f>TEXT(Table4_2[[#This Row],[Date]],"dddd")</f>
        <v>Saturday</v>
      </c>
      <c r="D2405" s="21">
        <v>30.2</v>
      </c>
      <c r="E2405" s="21">
        <v>78</v>
      </c>
      <c r="F2405" s="21">
        <v>761</v>
      </c>
      <c r="G2405" s="21">
        <v>6.7</v>
      </c>
      <c r="H2405">
        <v>10</v>
      </c>
      <c r="I2405">
        <v>86.36</v>
      </c>
      <c r="J2405">
        <v>0.78</v>
      </c>
      <c r="K2405" t="str" cm="1">
        <f t="array" ref="K2405">_xlfn.IFS(Table4_2[[#This Row],[Growth Days]]&lt;=14,"Seedling",Table4_2[[#This Row],[Growth Days]]&lt;=35, "Vegetative",Table4_2[[#This Row],[Growth Days]]&lt;=50, "Maturity")</f>
        <v>Seedling</v>
      </c>
      <c r="L2405" t="str">
        <f>IF(Table4_2[[#This Row],[TDS Value (ppm)]]&lt;560, "Low", IF(Table4_2[[#This Row],[TDS Value (ppm)]]&lt;=800,"Optimal","High"))</f>
        <v>Optimal</v>
      </c>
    </row>
    <row r="2406" spans="1:12" x14ac:dyDescent="0.25">
      <c r="A2406">
        <v>23</v>
      </c>
      <c r="B2406" s="1">
        <v>45157</v>
      </c>
      <c r="C2406" s="1" t="str">
        <f>TEXT(Table4_2[[#This Row],[Date]],"dddd")</f>
        <v>Saturday</v>
      </c>
      <c r="D2406" s="21">
        <v>30.8</v>
      </c>
      <c r="E2406" s="21">
        <v>71</v>
      </c>
      <c r="F2406" s="21">
        <v>697</v>
      </c>
      <c r="G2406" s="21">
        <v>6.7</v>
      </c>
      <c r="H2406">
        <v>17</v>
      </c>
      <c r="I2406">
        <v>87.44</v>
      </c>
      <c r="J2406">
        <v>0.71</v>
      </c>
      <c r="K2406" t="str" cm="1">
        <f t="array" ref="K2406">_xlfn.IFS(Table4_2[[#This Row],[Growth Days]]&lt;=14,"Seedling",Table4_2[[#This Row],[Growth Days]]&lt;=35, "Vegetative",Table4_2[[#This Row],[Growth Days]]&lt;=50, "Maturity")</f>
        <v>Vegetative</v>
      </c>
      <c r="L2406" t="str">
        <f>IF(Table4_2[[#This Row],[TDS Value (ppm)]]&lt;560, "Low", IF(Table4_2[[#This Row],[TDS Value (ppm)]]&lt;=800,"Optimal","High"))</f>
        <v>Optimal</v>
      </c>
    </row>
    <row r="2407" spans="1:12" x14ac:dyDescent="0.25">
      <c r="A2407">
        <v>23</v>
      </c>
      <c r="B2407" s="1">
        <v>45164</v>
      </c>
      <c r="C2407" s="1" t="str">
        <f>TEXT(Table4_2[[#This Row],[Date]],"dddd")</f>
        <v>Saturday</v>
      </c>
      <c r="D2407" s="21">
        <v>31.4</v>
      </c>
      <c r="E2407" s="21">
        <v>57</v>
      </c>
      <c r="F2407" s="21">
        <v>602</v>
      </c>
      <c r="G2407" s="21">
        <v>6.3</v>
      </c>
      <c r="H2407">
        <v>24</v>
      </c>
      <c r="I2407">
        <v>88.52</v>
      </c>
      <c r="J2407">
        <v>0.56999999999999995</v>
      </c>
      <c r="K2407" t="str" cm="1">
        <f t="array" ref="K2407">_xlfn.IFS(Table4_2[[#This Row],[Growth Days]]&lt;=14,"Seedling",Table4_2[[#This Row],[Growth Days]]&lt;=35, "Vegetative",Table4_2[[#This Row],[Growth Days]]&lt;=50, "Maturity")</f>
        <v>Vegetative</v>
      </c>
      <c r="L2407" t="str">
        <f>IF(Table4_2[[#This Row],[TDS Value (ppm)]]&lt;560, "Low", IF(Table4_2[[#This Row],[TDS Value (ppm)]]&lt;=800,"Optimal","High"))</f>
        <v>Optimal</v>
      </c>
    </row>
    <row r="2408" spans="1:12" x14ac:dyDescent="0.25">
      <c r="A2408">
        <v>23</v>
      </c>
      <c r="B2408" s="1">
        <v>45171</v>
      </c>
      <c r="C2408" s="1" t="str">
        <f>TEXT(Table4_2[[#This Row],[Date]],"dddd")</f>
        <v>Saturday</v>
      </c>
      <c r="D2408" s="21">
        <v>31.7</v>
      </c>
      <c r="E2408" s="21">
        <v>71</v>
      </c>
      <c r="F2408" s="21">
        <v>449</v>
      </c>
      <c r="G2408" s="21">
        <v>6.2</v>
      </c>
      <c r="H2408">
        <v>31</v>
      </c>
      <c r="I2408">
        <v>89.06</v>
      </c>
      <c r="J2408">
        <v>0.71</v>
      </c>
      <c r="K2408" t="str" cm="1">
        <f t="array" ref="K2408">_xlfn.IFS(Table4_2[[#This Row],[Growth Days]]&lt;=14,"Seedling",Table4_2[[#This Row],[Growth Days]]&lt;=35, "Vegetative",Table4_2[[#This Row],[Growth Days]]&lt;=50, "Maturity")</f>
        <v>Vegetative</v>
      </c>
      <c r="L2408" t="str">
        <f>IF(Table4_2[[#This Row],[TDS Value (ppm)]]&lt;560, "Low", IF(Table4_2[[#This Row],[TDS Value (ppm)]]&lt;=800,"Optimal","High"))</f>
        <v>Low</v>
      </c>
    </row>
    <row r="2409" spans="1:12" x14ac:dyDescent="0.25">
      <c r="A2409">
        <v>23</v>
      </c>
      <c r="B2409" s="1">
        <v>45178</v>
      </c>
      <c r="C2409" s="1" t="str">
        <f>TEXT(Table4_2[[#This Row],[Date]],"dddd")</f>
        <v>Saturday</v>
      </c>
      <c r="D2409" s="21">
        <v>20.100000000000001</v>
      </c>
      <c r="E2409" s="21">
        <v>73</v>
      </c>
      <c r="F2409" s="21">
        <v>572</v>
      </c>
      <c r="G2409" s="21">
        <v>6.7</v>
      </c>
      <c r="H2409">
        <v>38</v>
      </c>
      <c r="I2409">
        <v>68.180000000000007</v>
      </c>
      <c r="J2409">
        <v>0.73</v>
      </c>
      <c r="K2409" t="str" cm="1">
        <f t="array" ref="K2409">_xlfn.IFS(Table4_2[[#This Row],[Growth Days]]&lt;=14,"Seedling",Table4_2[[#This Row],[Growth Days]]&lt;=35, "Vegetative",Table4_2[[#This Row],[Growth Days]]&lt;=50, "Maturity")</f>
        <v>Maturity</v>
      </c>
      <c r="L2409" t="str">
        <f>IF(Table4_2[[#This Row],[TDS Value (ppm)]]&lt;560, "Low", IF(Table4_2[[#This Row],[TDS Value (ppm)]]&lt;=800,"Optimal","High"))</f>
        <v>Optimal</v>
      </c>
    </row>
    <row r="2410" spans="1:12" x14ac:dyDescent="0.25">
      <c r="A2410">
        <v>23</v>
      </c>
      <c r="B2410" s="1">
        <v>45185</v>
      </c>
      <c r="C2410" s="1" t="str">
        <f>TEXT(Table4_2[[#This Row],[Date]],"dddd")</f>
        <v>Saturday</v>
      </c>
      <c r="D2410" s="21">
        <v>30.6</v>
      </c>
      <c r="E2410" s="21">
        <v>55</v>
      </c>
      <c r="F2410" s="21">
        <v>776</v>
      </c>
      <c r="G2410" s="21">
        <v>6.6</v>
      </c>
      <c r="H2410">
        <v>45</v>
      </c>
      <c r="I2410">
        <v>87.08</v>
      </c>
      <c r="J2410">
        <v>0.55000000000000004</v>
      </c>
      <c r="K2410" t="str" cm="1">
        <f t="array" ref="K2410">_xlfn.IFS(Table4_2[[#This Row],[Growth Days]]&lt;=14,"Seedling",Table4_2[[#This Row],[Growth Days]]&lt;=35, "Vegetative",Table4_2[[#This Row],[Growth Days]]&lt;=50, "Maturity")</f>
        <v>Maturity</v>
      </c>
      <c r="L2410" t="str">
        <f>IF(Table4_2[[#This Row],[TDS Value (ppm)]]&lt;560, "Low", IF(Table4_2[[#This Row],[TDS Value (ppm)]]&lt;=800,"Optimal","High"))</f>
        <v>Optimal</v>
      </c>
    </row>
    <row r="2411" spans="1:12" x14ac:dyDescent="0.25">
      <c r="A2411">
        <v>24</v>
      </c>
      <c r="B2411" s="1">
        <v>45143</v>
      </c>
      <c r="C2411" s="1" t="str">
        <f>TEXT(Table4_2[[#This Row],[Date]],"dddd")</f>
        <v>Saturday</v>
      </c>
      <c r="D2411" s="21">
        <v>33.4</v>
      </c>
      <c r="E2411" s="21">
        <v>72</v>
      </c>
      <c r="F2411" s="21">
        <v>704</v>
      </c>
      <c r="G2411" s="21">
        <v>6.5</v>
      </c>
      <c r="H2411">
        <v>3</v>
      </c>
      <c r="I2411">
        <v>92.12</v>
      </c>
      <c r="J2411">
        <v>0.72</v>
      </c>
      <c r="K2411" t="str" cm="1">
        <f t="array" ref="K2411">_xlfn.IFS(Table4_2[[#This Row],[Growth Days]]&lt;=14,"Seedling",Table4_2[[#This Row],[Growth Days]]&lt;=35, "Vegetative",Table4_2[[#This Row],[Growth Days]]&lt;=50, "Maturity")</f>
        <v>Seedling</v>
      </c>
      <c r="L2411" t="str">
        <f>IF(Table4_2[[#This Row],[TDS Value (ppm)]]&lt;560, "Low", IF(Table4_2[[#This Row],[TDS Value (ppm)]]&lt;=800,"Optimal","High"))</f>
        <v>Optimal</v>
      </c>
    </row>
    <row r="2412" spans="1:12" x14ac:dyDescent="0.25">
      <c r="A2412">
        <v>24</v>
      </c>
      <c r="B2412" s="1">
        <v>45150</v>
      </c>
      <c r="C2412" s="1" t="str">
        <f>TEXT(Table4_2[[#This Row],[Date]],"dddd")</f>
        <v>Saturday</v>
      </c>
      <c r="D2412" s="21">
        <v>30.1</v>
      </c>
      <c r="E2412" s="21">
        <v>58</v>
      </c>
      <c r="F2412" s="21">
        <v>661</v>
      </c>
      <c r="G2412" s="21">
        <v>6</v>
      </c>
      <c r="H2412">
        <v>10</v>
      </c>
      <c r="I2412">
        <v>86.18</v>
      </c>
      <c r="J2412">
        <v>0.57999999999999996</v>
      </c>
      <c r="K2412" t="str" cm="1">
        <f t="array" ref="K2412">_xlfn.IFS(Table4_2[[#This Row],[Growth Days]]&lt;=14,"Seedling",Table4_2[[#This Row],[Growth Days]]&lt;=35, "Vegetative",Table4_2[[#This Row],[Growth Days]]&lt;=50, "Maturity")</f>
        <v>Seedling</v>
      </c>
      <c r="L2412" t="str">
        <f>IF(Table4_2[[#This Row],[TDS Value (ppm)]]&lt;560, "Low", IF(Table4_2[[#This Row],[TDS Value (ppm)]]&lt;=800,"Optimal","High"))</f>
        <v>Optimal</v>
      </c>
    </row>
    <row r="2413" spans="1:12" x14ac:dyDescent="0.25">
      <c r="A2413">
        <v>24</v>
      </c>
      <c r="B2413" s="1">
        <v>45157</v>
      </c>
      <c r="C2413" s="1" t="str">
        <f>TEXT(Table4_2[[#This Row],[Date]],"dddd")</f>
        <v>Saturday</v>
      </c>
      <c r="D2413" s="21">
        <v>30.9</v>
      </c>
      <c r="E2413" s="21">
        <v>70</v>
      </c>
      <c r="F2413" s="21">
        <v>683</v>
      </c>
      <c r="G2413" s="21">
        <v>6.2</v>
      </c>
      <c r="H2413">
        <v>17</v>
      </c>
      <c r="I2413">
        <v>87.62</v>
      </c>
      <c r="J2413">
        <v>0.7</v>
      </c>
      <c r="K2413" t="str" cm="1">
        <f t="array" ref="K2413">_xlfn.IFS(Table4_2[[#This Row],[Growth Days]]&lt;=14,"Seedling",Table4_2[[#This Row],[Growth Days]]&lt;=35, "Vegetative",Table4_2[[#This Row],[Growth Days]]&lt;=50, "Maturity")</f>
        <v>Vegetative</v>
      </c>
      <c r="L2413" t="str">
        <f>IF(Table4_2[[#This Row],[TDS Value (ppm)]]&lt;560, "Low", IF(Table4_2[[#This Row],[TDS Value (ppm)]]&lt;=800,"Optimal","High"))</f>
        <v>Optimal</v>
      </c>
    </row>
    <row r="2414" spans="1:12" x14ac:dyDescent="0.25">
      <c r="A2414">
        <v>24</v>
      </c>
      <c r="B2414" s="1">
        <v>45164</v>
      </c>
      <c r="C2414" s="1" t="str">
        <f>TEXT(Table4_2[[#This Row],[Date]],"dddd")</f>
        <v>Saturday</v>
      </c>
      <c r="D2414" s="21">
        <v>30.1</v>
      </c>
      <c r="E2414" s="21">
        <v>74</v>
      </c>
      <c r="F2414" s="21">
        <v>691</v>
      </c>
      <c r="G2414" s="21">
        <v>6.5</v>
      </c>
      <c r="H2414">
        <v>24</v>
      </c>
      <c r="I2414">
        <v>86.18</v>
      </c>
      <c r="J2414">
        <v>0.74</v>
      </c>
      <c r="K2414" t="str" cm="1">
        <f t="array" ref="K2414">_xlfn.IFS(Table4_2[[#This Row],[Growth Days]]&lt;=14,"Seedling",Table4_2[[#This Row],[Growth Days]]&lt;=35, "Vegetative",Table4_2[[#This Row],[Growth Days]]&lt;=50, "Maturity")</f>
        <v>Vegetative</v>
      </c>
      <c r="L2414" t="str">
        <f>IF(Table4_2[[#This Row],[TDS Value (ppm)]]&lt;560, "Low", IF(Table4_2[[#This Row],[TDS Value (ppm)]]&lt;=800,"Optimal","High"))</f>
        <v>Optimal</v>
      </c>
    </row>
    <row r="2415" spans="1:12" x14ac:dyDescent="0.25">
      <c r="A2415">
        <v>24</v>
      </c>
      <c r="B2415" s="1">
        <v>45171</v>
      </c>
      <c r="C2415" s="1" t="str">
        <f>TEXT(Table4_2[[#This Row],[Date]],"dddd")</f>
        <v>Saturday</v>
      </c>
      <c r="D2415" s="21">
        <v>31.7</v>
      </c>
      <c r="E2415" s="21">
        <v>76</v>
      </c>
      <c r="F2415" s="21">
        <v>664</v>
      </c>
      <c r="G2415" s="21">
        <v>6.6</v>
      </c>
      <c r="H2415">
        <v>31</v>
      </c>
      <c r="I2415">
        <v>89.06</v>
      </c>
      <c r="J2415">
        <v>0.76</v>
      </c>
      <c r="K2415" t="str" cm="1">
        <f t="array" ref="K2415">_xlfn.IFS(Table4_2[[#This Row],[Growth Days]]&lt;=14,"Seedling",Table4_2[[#This Row],[Growth Days]]&lt;=35, "Vegetative",Table4_2[[#This Row],[Growth Days]]&lt;=50, "Maturity")</f>
        <v>Vegetative</v>
      </c>
      <c r="L2415" t="str">
        <f>IF(Table4_2[[#This Row],[TDS Value (ppm)]]&lt;560, "Low", IF(Table4_2[[#This Row],[TDS Value (ppm)]]&lt;=800,"Optimal","High"))</f>
        <v>Optimal</v>
      </c>
    </row>
    <row r="2416" spans="1:12" x14ac:dyDescent="0.25">
      <c r="A2416">
        <v>24</v>
      </c>
      <c r="B2416" s="1">
        <v>45178</v>
      </c>
      <c r="C2416" s="1" t="str">
        <f>TEXT(Table4_2[[#This Row],[Date]],"dddd")</f>
        <v>Saturday</v>
      </c>
      <c r="D2416" s="21">
        <v>31.1</v>
      </c>
      <c r="E2416" s="21">
        <v>71</v>
      </c>
      <c r="F2416" s="21">
        <v>756</v>
      </c>
      <c r="G2416" s="21">
        <v>6.1</v>
      </c>
      <c r="H2416">
        <v>38</v>
      </c>
      <c r="I2416">
        <v>87.98</v>
      </c>
      <c r="J2416">
        <v>0.71</v>
      </c>
      <c r="K2416" t="str" cm="1">
        <f t="array" ref="K2416">_xlfn.IFS(Table4_2[[#This Row],[Growth Days]]&lt;=14,"Seedling",Table4_2[[#This Row],[Growth Days]]&lt;=35, "Vegetative",Table4_2[[#This Row],[Growth Days]]&lt;=50, "Maturity")</f>
        <v>Maturity</v>
      </c>
      <c r="L2416" t="str">
        <f>IF(Table4_2[[#This Row],[TDS Value (ppm)]]&lt;560, "Low", IF(Table4_2[[#This Row],[TDS Value (ppm)]]&lt;=800,"Optimal","High"))</f>
        <v>Optimal</v>
      </c>
    </row>
    <row r="2417" spans="1:12" x14ac:dyDescent="0.25">
      <c r="A2417">
        <v>24</v>
      </c>
      <c r="B2417" s="1">
        <v>45185</v>
      </c>
      <c r="C2417" s="1" t="str">
        <f>TEXT(Table4_2[[#This Row],[Date]],"dddd")</f>
        <v>Saturday</v>
      </c>
      <c r="D2417" s="21">
        <v>25</v>
      </c>
      <c r="E2417" s="21">
        <v>62</v>
      </c>
      <c r="F2417" s="21">
        <v>490</v>
      </c>
      <c r="G2417" s="21">
        <v>6.1</v>
      </c>
      <c r="H2417">
        <v>45</v>
      </c>
      <c r="I2417">
        <v>77</v>
      </c>
      <c r="J2417">
        <v>0.62</v>
      </c>
      <c r="K2417" t="str" cm="1">
        <f t="array" ref="K2417">_xlfn.IFS(Table4_2[[#This Row],[Growth Days]]&lt;=14,"Seedling",Table4_2[[#This Row],[Growth Days]]&lt;=35, "Vegetative",Table4_2[[#This Row],[Growth Days]]&lt;=50, "Maturity")</f>
        <v>Maturity</v>
      </c>
      <c r="L2417" t="str">
        <f>IF(Table4_2[[#This Row],[TDS Value (ppm)]]&lt;560, "Low", IF(Table4_2[[#This Row],[TDS Value (ppm)]]&lt;=800,"Optimal","High"))</f>
        <v>Low</v>
      </c>
    </row>
    <row r="2418" spans="1:12" x14ac:dyDescent="0.25">
      <c r="A2418">
        <v>25</v>
      </c>
      <c r="B2418" s="1">
        <v>45143</v>
      </c>
      <c r="C2418" s="1" t="str">
        <f>TEXT(Table4_2[[#This Row],[Date]],"dddd")</f>
        <v>Saturday</v>
      </c>
      <c r="D2418" s="21">
        <v>33.4</v>
      </c>
      <c r="E2418" s="21">
        <v>77</v>
      </c>
      <c r="F2418" s="21">
        <v>558</v>
      </c>
      <c r="G2418" s="21">
        <v>6.5</v>
      </c>
      <c r="H2418">
        <v>3</v>
      </c>
      <c r="I2418">
        <v>92.12</v>
      </c>
      <c r="J2418">
        <v>0.77</v>
      </c>
      <c r="K2418" t="str" cm="1">
        <f t="array" ref="K2418">_xlfn.IFS(Table4_2[[#This Row],[Growth Days]]&lt;=14,"Seedling",Table4_2[[#This Row],[Growth Days]]&lt;=35, "Vegetative",Table4_2[[#This Row],[Growth Days]]&lt;=50, "Maturity")</f>
        <v>Seedling</v>
      </c>
      <c r="L2418" t="str">
        <f>IF(Table4_2[[#This Row],[TDS Value (ppm)]]&lt;560, "Low", IF(Table4_2[[#This Row],[TDS Value (ppm)]]&lt;=800,"Optimal","High"))</f>
        <v>Low</v>
      </c>
    </row>
    <row r="2419" spans="1:12" x14ac:dyDescent="0.25">
      <c r="A2419">
        <v>25</v>
      </c>
      <c r="B2419" s="1">
        <v>45150</v>
      </c>
      <c r="C2419" s="1" t="str">
        <f>TEXT(Table4_2[[#This Row],[Date]],"dddd")</f>
        <v>Saturday</v>
      </c>
      <c r="D2419" s="21">
        <v>30.2</v>
      </c>
      <c r="E2419" s="21">
        <v>77</v>
      </c>
      <c r="F2419" s="21">
        <v>453</v>
      </c>
      <c r="G2419" s="21">
        <v>6.4</v>
      </c>
      <c r="H2419">
        <v>10</v>
      </c>
      <c r="I2419">
        <v>86.36</v>
      </c>
      <c r="J2419">
        <v>0.77</v>
      </c>
      <c r="K2419" t="str" cm="1">
        <f t="array" ref="K2419">_xlfn.IFS(Table4_2[[#This Row],[Growth Days]]&lt;=14,"Seedling",Table4_2[[#This Row],[Growth Days]]&lt;=35, "Vegetative",Table4_2[[#This Row],[Growth Days]]&lt;=50, "Maturity")</f>
        <v>Seedling</v>
      </c>
      <c r="L2419" t="str">
        <f>IF(Table4_2[[#This Row],[TDS Value (ppm)]]&lt;560, "Low", IF(Table4_2[[#This Row],[TDS Value (ppm)]]&lt;=800,"Optimal","High"))</f>
        <v>Low</v>
      </c>
    </row>
    <row r="2420" spans="1:12" x14ac:dyDescent="0.25">
      <c r="A2420">
        <v>25</v>
      </c>
      <c r="B2420" s="1">
        <v>45157</v>
      </c>
      <c r="C2420" s="1" t="str">
        <f>TEXT(Table4_2[[#This Row],[Date]],"dddd")</f>
        <v>Saturday</v>
      </c>
      <c r="D2420" s="21">
        <v>30.8</v>
      </c>
      <c r="E2420" s="21">
        <v>74</v>
      </c>
      <c r="F2420" s="21">
        <v>467</v>
      </c>
      <c r="G2420" s="21">
        <v>6</v>
      </c>
      <c r="H2420">
        <v>17</v>
      </c>
      <c r="I2420">
        <v>87.44</v>
      </c>
      <c r="J2420">
        <v>0.74</v>
      </c>
      <c r="K2420" t="str" cm="1">
        <f t="array" ref="K2420">_xlfn.IFS(Table4_2[[#This Row],[Growth Days]]&lt;=14,"Seedling",Table4_2[[#This Row],[Growth Days]]&lt;=35, "Vegetative",Table4_2[[#This Row],[Growth Days]]&lt;=50, "Maturity")</f>
        <v>Vegetative</v>
      </c>
      <c r="L2420" t="str">
        <f>IF(Table4_2[[#This Row],[TDS Value (ppm)]]&lt;560, "Low", IF(Table4_2[[#This Row],[TDS Value (ppm)]]&lt;=800,"Optimal","High"))</f>
        <v>Low</v>
      </c>
    </row>
    <row r="2421" spans="1:12" x14ac:dyDescent="0.25">
      <c r="A2421">
        <v>25</v>
      </c>
      <c r="B2421" s="1">
        <v>45164</v>
      </c>
      <c r="C2421" s="1" t="str">
        <f>TEXT(Table4_2[[#This Row],[Date]],"dddd")</f>
        <v>Saturday</v>
      </c>
      <c r="D2421" s="21">
        <v>31.4</v>
      </c>
      <c r="E2421" s="21">
        <v>72</v>
      </c>
      <c r="F2421" s="21">
        <v>467</v>
      </c>
      <c r="G2421" s="21">
        <v>6.5</v>
      </c>
      <c r="H2421">
        <v>24</v>
      </c>
      <c r="I2421">
        <v>88.52</v>
      </c>
      <c r="J2421">
        <v>0.72</v>
      </c>
      <c r="K2421" t="str" cm="1">
        <f t="array" ref="K2421">_xlfn.IFS(Table4_2[[#This Row],[Growth Days]]&lt;=14,"Seedling",Table4_2[[#This Row],[Growth Days]]&lt;=35, "Vegetative",Table4_2[[#This Row],[Growth Days]]&lt;=50, "Maturity")</f>
        <v>Vegetative</v>
      </c>
      <c r="L2421" t="str">
        <f>IF(Table4_2[[#This Row],[TDS Value (ppm)]]&lt;560, "Low", IF(Table4_2[[#This Row],[TDS Value (ppm)]]&lt;=800,"Optimal","High"))</f>
        <v>Low</v>
      </c>
    </row>
    <row r="2422" spans="1:12" x14ac:dyDescent="0.25">
      <c r="A2422">
        <v>25</v>
      </c>
      <c r="B2422" s="1">
        <v>45171</v>
      </c>
      <c r="C2422" s="1" t="str">
        <f>TEXT(Table4_2[[#This Row],[Date]],"dddd")</f>
        <v>Saturday</v>
      </c>
      <c r="D2422" s="21">
        <v>31.7</v>
      </c>
      <c r="E2422" s="21">
        <v>73</v>
      </c>
      <c r="F2422" s="21">
        <v>416</v>
      </c>
      <c r="G2422" s="21">
        <v>6.5</v>
      </c>
      <c r="H2422">
        <v>31</v>
      </c>
      <c r="I2422">
        <v>89.06</v>
      </c>
      <c r="J2422">
        <v>0.73</v>
      </c>
      <c r="K2422" t="str" cm="1">
        <f t="array" ref="K2422">_xlfn.IFS(Table4_2[[#This Row],[Growth Days]]&lt;=14,"Seedling",Table4_2[[#This Row],[Growth Days]]&lt;=35, "Vegetative",Table4_2[[#This Row],[Growth Days]]&lt;=50, "Maturity")</f>
        <v>Vegetative</v>
      </c>
      <c r="L2422" t="str">
        <f>IF(Table4_2[[#This Row],[TDS Value (ppm)]]&lt;560, "Low", IF(Table4_2[[#This Row],[TDS Value (ppm)]]&lt;=800,"Optimal","High"))</f>
        <v>Low</v>
      </c>
    </row>
    <row r="2423" spans="1:12" x14ac:dyDescent="0.25">
      <c r="A2423">
        <v>25</v>
      </c>
      <c r="B2423" s="1">
        <v>45178</v>
      </c>
      <c r="C2423" s="1" t="str">
        <f>TEXT(Table4_2[[#This Row],[Date]],"dddd")</f>
        <v>Saturday</v>
      </c>
      <c r="D2423" s="21">
        <v>20.100000000000001</v>
      </c>
      <c r="E2423" s="21">
        <v>79</v>
      </c>
      <c r="F2423" s="21">
        <v>420</v>
      </c>
      <c r="G2423" s="21">
        <v>6.1</v>
      </c>
      <c r="H2423">
        <v>38</v>
      </c>
      <c r="I2423">
        <v>68.180000000000007</v>
      </c>
      <c r="J2423">
        <v>0.79</v>
      </c>
      <c r="K2423" t="str" cm="1">
        <f t="array" ref="K2423">_xlfn.IFS(Table4_2[[#This Row],[Growth Days]]&lt;=14,"Seedling",Table4_2[[#This Row],[Growth Days]]&lt;=35, "Vegetative",Table4_2[[#This Row],[Growth Days]]&lt;=50, "Maturity")</f>
        <v>Maturity</v>
      </c>
      <c r="L2423" t="str">
        <f>IF(Table4_2[[#This Row],[TDS Value (ppm)]]&lt;560, "Low", IF(Table4_2[[#This Row],[TDS Value (ppm)]]&lt;=800,"Optimal","High"))</f>
        <v>Low</v>
      </c>
    </row>
    <row r="2424" spans="1:12" x14ac:dyDescent="0.25">
      <c r="A2424">
        <v>25</v>
      </c>
      <c r="B2424" s="1">
        <v>45185</v>
      </c>
      <c r="C2424" s="1" t="str">
        <f>TEXT(Table4_2[[#This Row],[Date]],"dddd")</f>
        <v>Saturday</v>
      </c>
      <c r="D2424" s="21">
        <v>31.5</v>
      </c>
      <c r="E2424" s="21">
        <v>58</v>
      </c>
      <c r="F2424" s="21">
        <v>429</v>
      </c>
      <c r="G2424" s="21">
        <v>6.5</v>
      </c>
      <c r="H2424">
        <v>45</v>
      </c>
      <c r="I2424">
        <v>88.7</v>
      </c>
      <c r="J2424">
        <v>0.57999999999999996</v>
      </c>
      <c r="K2424" t="str" cm="1">
        <f t="array" ref="K2424">_xlfn.IFS(Table4_2[[#This Row],[Growth Days]]&lt;=14,"Seedling",Table4_2[[#This Row],[Growth Days]]&lt;=35, "Vegetative",Table4_2[[#This Row],[Growth Days]]&lt;=50, "Maturity")</f>
        <v>Maturity</v>
      </c>
      <c r="L2424" t="str">
        <f>IF(Table4_2[[#This Row],[TDS Value (ppm)]]&lt;560, "Low", IF(Table4_2[[#This Row],[TDS Value (ppm)]]&lt;=800,"Optimal","High"))</f>
        <v>Low</v>
      </c>
    </row>
    <row r="2425" spans="1:12" x14ac:dyDescent="0.25">
      <c r="A2425">
        <v>26</v>
      </c>
      <c r="B2425" s="1">
        <v>45143</v>
      </c>
      <c r="C2425" s="1" t="str">
        <f>TEXT(Table4_2[[#This Row],[Date]],"dddd")</f>
        <v>Saturday</v>
      </c>
      <c r="D2425" s="21">
        <v>33.4</v>
      </c>
      <c r="E2425" s="21">
        <v>51</v>
      </c>
      <c r="F2425" s="21">
        <v>774</v>
      </c>
      <c r="G2425" s="21">
        <v>6.7</v>
      </c>
      <c r="H2425">
        <v>3</v>
      </c>
      <c r="I2425">
        <v>92.12</v>
      </c>
      <c r="J2425">
        <v>0.51</v>
      </c>
      <c r="K2425" t="str" cm="1">
        <f t="array" ref="K2425">_xlfn.IFS(Table4_2[[#This Row],[Growth Days]]&lt;=14,"Seedling",Table4_2[[#This Row],[Growth Days]]&lt;=35, "Vegetative",Table4_2[[#This Row],[Growth Days]]&lt;=50, "Maturity")</f>
        <v>Seedling</v>
      </c>
      <c r="L2425" t="str">
        <f>IF(Table4_2[[#This Row],[TDS Value (ppm)]]&lt;560, "Low", IF(Table4_2[[#This Row],[TDS Value (ppm)]]&lt;=800,"Optimal","High"))</f>
        <v>Optimal</v>
      </c>
    </row>
    <row r="2426" spans="1:12" x14ac:dyDescent="0.25">
      <c r="A2426">
        <v>26</v>
      </c>
      <c r="B2426" s="1">
        <v>45150</v>
      </c>
      <c r="C2426" s="1" t="str">
        <f>TEXT(Table4_2[[#This Row],[Date]],"dddd")</f>
        <v>Saturday</v>
      </c>
      <c r="D2426" s="21">
        <v>30.2</v>
      </c>
      <c r="E2426" s="21">
        <v>50</v>
      </c>
      <c r="F2426" s="21">
        <v>628</v>
      </c>
      <c r="G2426" s="21">
        <v>6.5</v>
      </c>
      <c r="H2426">
        <v>10</v>
      </c>
      <c r="I2426">
        <v>86.36</v>
      </c>
      <c r="J2426">
        <v>0.5</v>
      </c>
      <c r="K2426" t="str" cm="1">
        <f t="array" ref="K2426">_xlfn.IFS(Table4_2[[#This Row],[Growth Days]]&lt;=14,"Seedling",Table4_2[[#This Row],[Growth Days]]&lt;=35, "Vegetative",Table4_2[[#This Row],[Growth Days]]&lt;=50, "Maturity")</f>
        <v>Seedling</v>
      </c>
      <c r="L2426" t="str">
        <f>IF(Table4_2[[#This Row],[TDS Value (ppm)]]&lt;560, "Low", IF(Table4_2[[#This Row],[TDS Value (ppm)]]&lt;=800,"Optimal","High"))</f>
        <v>Optimal</v>
      </c>
    </row>
    <row r="2427" spans="1:12" x14ac:dyDescent="0.25">
      <c r="A2427">
        <v>26</v>
      </c>
      <c r="B2427" s="1">
        <v>45157</v>
      </c>
      <c r="C2427" s="1" t="str">
        <f>TEXT(Table4_2[[#This Row],[Date]],"dddd")</f>
        <v>Saturday</v>
      </c>
      <c r="D2427" s="21">
        <v>30.8</v>
      </c>
      <c r="E2427" s="21">
        <v>70</v>
      </c>
      <c r="F2427" s="21">
        <v>740</v>
      </c>
      <c r="G2427" s="21">
        <v>6.2</v>
      </c>
      <c r="H2427">
        <v>17</v>
      </c>
      <c r="I2427">
        <v>87.44</v>
      </c>
      <c r="J2427">
        <v>0.7</v>
      </c>
      <c r="K2427" t="str" cm="1">
        <f t="array" ref="K2427">_xlfn.IFS(Table4_2[[#This Row],[Growth Days]]&lt;=14,"Seedling",Table4_2[[#This Row],[Growth Days]]&lt;=35, "Vegetative",Table4_2[[#This Row],[Growth Days]]&lt;=50, "Maturity")</f>
        <v>Vegetative</v>
      </c>
      <c r="L2427" t="str">
        <f>IF(Table4_2[[#This Row],[TDS Value (ppm)]]&lt;560, "Low", IF(Table4_2[[#This Row],[TDS Value (ppm)]]&lt;=800,"Optimal","High"))</f>
        <v>Optimal</v>
      </c>
    </row>
    <row r="2428" spans="1:12" x14ac:dyDescent="0.25">
      <c r="A2428">
        <v>26</v>
      </c>
      <c r="B2428" s="1">
        <v>45164</v>
      </c>
      <c r="C2428" s="1" t="str">
        <f>TEXT(Table4_2[[#This Row],[Date]],"dddd")</f>
        <v>Saturday</v>
      </c>
      <c r="D2428" s="21">
        <v>31.4</v>
      </c>
      <c r="E2428" s="21">
        <v>55</v>
      </c>
      <c r="F2428" s="21">
        <v>688</v>
      </c>
      <c r="G2428" s="21">
        <v>6.5</v>
      </c>
      <c r="H2428">
        <v>24</v>
      </c>
      <c r="I2428">
        <v>88.52</v>
      </c>
      <c r="J2428">
        <v>0.55000000000000004</v>
      </c>
      <c r="K2428" t="str" cm="1">
        <f t="array" ref="K2428">_xlfn.IFS(Table4_2[[#This Row],[Growth Days]]&lt;=14,"Seedling",Table4_2[[#This Row],[Growth Days]]&lt;=35, "Vegetative",Table4_2[[#This Row],[Growth Days]]&lt;=50, "Maturity")</f>
        <v>Vegetative</v>
      </c>
      <c r="L2428" t="str">
        <f>IF(Table4_2[[#This Row],[TDS Value (ppm)]]&lt;560, "Low", IF(Table4_2[[#This Row],[TDS Value (ppm)]]&lt;=800,"Optimal","High"))</f>
        <v>Optimal</v>
      </c>
    </row>
    <row r="2429" spans="1:12" x14ac:dyDescent="0.25">
      <c r="A2429">
        <v>26</v>
      </c>
      <c r="B2429" s="1">
        <v>45171</v>
      </c>
      <c r="C2429" s="1" t="str">
        <f>TEXT(Table4_2[[#This Row],[Date]],"dddd")</f>
        <v>Saturday</v>
      </c>
      <c r="D2429" s="21">
        <v>31.7</v>
      </c>
      <c r="E2429" s="21">
        <v>61</v>
      </c>
      <c r="F2429" s="21">
        <v>663</v>
      </c>
      <c r="G2429" s="21">
        <v>6.7</v>
      </c>
      <c r="H2429">
        <v>31</v>
      </c>
      <c r="I2429">
        <v>89.06</v>
      </c>
      <c r="J2429">
        <v>0.61</v>
      </c>
      <c r="K2429" t="str" cm="1">
        <f t="array" ref="K2429">_xlfn.IFS(Table4_2[[#This Row],[Growth Days]]&lt;=14,"Seedling",Table4_2[[#This Row],[Growth Days]]&lt;=35, "Vegetative",Table4_2[[#This Row],[Growth Days]]&lt;=50, "Maturity")</f>
        <v>Vegetative</v>
      </c>
      <c r="L2429" t="str">
        <f>IF(Table4_2[[#This Row],[TDS Value (ppm)]]&lt;560, "Low", IF(Table4_2[[#This Row],[TDS Value (ppm)]]&lt;=800,"Optimal","High"))</f>
        <v>Optimal</v>
      </c>
    </row>
    <row r="2430" spans="1:12" x14ac:dyDescent="0.25">
      <c r="A2430">
        <v>26</v>
      </c>
      <c r="B2430" s="1">
        <v>45178</v>
      </c>
      <c r="C2430" s="1" t="str">
        <f>TEXT(Table4_2[[#This Row],[Date]],"dddd")</f>
        <v>Saturday</v>
      </c>
      <c r="D2430" s="21">
        <v>20.100000000000001</v>
      </c>
      <c r="E2430" s="21">
        <v>69</v>
      </c>
      <c r="F2430" s="21">
        <v>621</v>
      </c>
      <c r="G2430" s="21">
        <v>6.3</v>
      </c>
      <c r="H2430">
        <v>38</v>
      </c>
      <c r="I2430">
        <v>68.180000000000007</v>
      </c>
      <c r="J2430">
        <v>0.69</v>
      </c>
      <c r="K2430" t="str" cm="1">
        <f t="array" ref="K2430">_xlfn.IFS(Table4_2[[#This Row],[Growth Days]]&lt;=14,"Seedling",Table4_2[[#This Row],[Growth Days]]&lt;=35, "Vegetative",Table4_2[[#This Row],[Growth Days]]&lt;=50, "Maturity")</f>
        <v>Maturity</v>
      </c>
      <c r="L2430" t="str">
        <f>IF(Table4_2[[#This Row],[TDS Value (ppm)]]&lt;560, "Low", IF(Table4_2[[#This Row],[TDS Value (ppm)]]&lt;=800,"Optimal","High"))</f>
        <v>Optimal</v>
      </c>
    </row>
    <row r="2431" spans="1:12" x14ac:dyDescent="0.25">
      <c r="A2431">
        <v>26</v>
      </c>
      <c r="B2431" s="1">
        <v>45185</v>
      </c>
      <c r="C2431" s="1" t="str">
        <f>TEXT(Table4_2[[#This Row],[Date]],"dddd")</f>
        <v>Saturday</v>
      </c>
      <c r="D2431" s="21">
        <v>31.5</v>
      </c>
      <c r="E2431" s="21">
        <v>71</v>
      </c>
      <c r="F2431" s="21">
        <v>568</v>
      </c>
      <c r="G2431" s="21">
        <v>6.1</v>
      </c>
      <c r="H2431">
        <v>45</v>
      </c>
      <c r="I2431">
        <v>88.7</v>
      </c>
      <c r="J2431">
        <v>0.71</v>
      </c>
      <c r="K2431" t="str" cm="1">
        <f t="array" ref="K2431">_xlfn.IFS(Table4_2[[#This Row],[Growth Days]]&lt;=14,"Seedling",Table4_2[[#This Row],[Growth Days]]&lt;=35, "Vegetative",Table4_2[[#This Row],[Growth Days]]&lt;=50, "Maturity")</f>
        <v>Maturity</v>
      </c>
      <c r="L2431" t="str">
        <f>IF(Table4_2[[#This Row],[TDS Value (ppm)]]&lt;560, "Low", IF(Table4_2[[#This Row],[TDS Value (ppm)]]&lt;=800,"Optimal","High"))</f>
        <v>Optimal</v>
      </c>
    </row>
    <row r="2432" spans="1:12" x14ac:dyDescent="0.25">
      <c r="A2432">
        <v>27</v>
      </c>
      <c r="B2432" s="1">
        <v>45143</v>
      </c>
      <c r="C2432" s="1" t="str">
        <f>TEXT(Table4_2[[#This Row],[Date]],"dddd")</f>
        <v>Saturday</v>
      </c>
      <c r="D2432" s="21">
        <v>33.4</v>
      </c>
      <c r="E2432" s="21">
        <v>75</v>
      </c>
      <c r="F2432" s="21">
        <v>676</v>
      </c>
      <c r="G2432" s="21">
        <v>6.5</v>
      </c>
      <c r="H2432">
        <v>3</v>
      </c>
      <c r="I2432">
        <v>92.12</v>
      </c>
      <c r="J2432">
        <v>0.75</v>
      </c>
      <c r="K2432" t="str" cm="1">
        <f t="array" ref="K2432">_xlfn.IFS(Table4_2[[#This Row],[Growth Days]]&lt;=14,"Seedling",Table4_2[[#This Row],[Growth Days]]&lt;=35, "Vegetative",Table4_2[[#This Row],[Growth Days]]&lt;=50, "Maturity")</f>
        <v>Seedling</v>
      </c>
      <c r="L2432" t="str">
        <f>IF(Table4_2[[#This Row],[TDS Value (ppm)]]&lt;560, "Low", IF(Table4_2[[#This Row],[TDS Value (ppm)]]&lt;=800,"Optimal","High"))</f>
        <v>Optimal</v>
      </c>
    </row>
    <row r="2433" spans="1:12" x14ac:dyDescent="0.25">
      <c r="A2433">
        <v>27</v>
      </c>
      <c r="B2433" s="1">
        <v>45150</v>
      </c>
      <c r="C2433" s="1" t="str">
        <f>TEXT(Table4_2[[#This Row],[Date]],"dddd")</f>
        <v>Saturday</v>
      </c>
      <c r="D2433" s="21">
        <v>30.2</v>
      </c>
      <c r="E2433" s="21">
        <v>80</v>
      </c>
      <c r="F2433" s="21">
        <v>577</v>
      </c>
      <c r="G2433" s="21">
        <v>6.5</v>
      </c>
      <c r="H2433">
        <v>10</v>
      </c>
      <c r="I2433">
        <v>86.36</v>
      </c>
      <c r="J2433">
        <v>0.8</v>
      </c>
      <c r="K2433" t="str" cm="1">
        <f t="array" ref="K2433">_xlfn.IFS(Table4_2[[#This Row],[Growth Days]]&lt;=14,"Seedling",Table4_2[[#This Row],[Growth Days]]&lt;=35, "Vegetative",Table4_2[[#This Row],[Growth Days]]&lt;=50, "Maturity")</f>
        <v>Seedling</v>
      </c>
      <c r="L2433" t="str">
        <f>IF(Table4_2[[#This Row],[TDS Value (ppm)]]&lt;560, "Low", IF(Table4_2[[#This Row],[TDS Value (ppm)]]&lt;=800,"Optimal","High"))</f>
        <v>Optimal</v>
      </c>
    </row>
    <row r="2434" spans="1:12" x14ac:dyDescent="0.25">
      <c r="A2434">
        <v>27</v>
      </c>
      <c r="B2434" s="1">
        <v>45157</v>
      </c>
      <c r="C2434" s="1" t="str">
        <f>TEXT(Table4_2[[#This Row],[Date]],"dddd")</f>
        <v>Saturday</v>
      </c>
      <c r="D2434" s="21">
        <v>30.8</v>
      </c>
      <c r="E2434" s="21">
        <v>59</v>
      </c>
      <c r="F2434" s="21">
        <v>576</v>
      </c>
      <c r="G2434" s="21">
        <v>6.2</v>
      </c>
      <c r="H2434">
        <v>17</v>
      </c>
      <c r="I2434">
        <v>87.44</v>
      </c>
      <c r="J2434">
        <v>0.59</v>
      </c>
      <c r="K2434" t="str" cm="1">
        <f t="array" ref="K2434">_xlfn.IFS(Table4_2[[#This Row],[Growth Days]]&lt;=14,"Seedling",Table4_2[[#This Row],[Growth Days]]&lt;=35, "Vegetative",Table4_2[[#This Row],[Growth Days]]&lt;=50, "Maturity")</f>
        <v>Vegetative</v>
      </c>
      <c r="L2434" t="str">
        <f>IF(Table4_2[[#This Row],[TDS Value (ppm)]]&lt;560, "Low", IF(Table4_2[[#This Row],[TDS Value (ppm)]]&lt;=800,"Optimal","High"))</f>
        <v>Optimal</v>
      </c>
    </row>
    <row r="2435" spans="1:12" x14ac:dyDescent="0.25">
      <c r="A2435">
        <v>27</v>
      </c>
      <c r="B2435" s="1">
        <v>45164</v>
      </c>
      <c r="C2435" s="1" t="str">
        <f>TEXT(Table4_2[[#This Row],[Date]],"dddd")</f>
        <v>Saturday</v>
      </c>
      <c r="D2435" s="21">
        <v>31.4</v>
      </c>
      <c r="E2435" s="21">
        <v>50</v>
      </c>
      <c r="F2435" s="21">
        <v>494</v>
      </c>
      <c r="G2435" s="21">
        <v>6</v>
      </c>
      <c r="H2435">
        <v>24</v>
      </c>
      <c r="I2435">
        <v>88.52</v>
      </c>
      <c r="J2435">
        <v>0.5</v>
      </c>
      <c r="K2435" t="str" cm="1">
        <f t="array" ref="K2435">_xlfn.IFS(Table4_2[[#This Row],[Growth Days]]&lt;=14,"Seedling",Table4_2[[#This Row],[Growth Days]]&lt;=35, "Vegetative",Table4_2[[#This Row],[Growth Days]]&lt;=50, "Maturity")</f>
        <v>Vegetative</v>
      </c>
      <c r="L2435" t="str">
        <f>IF(Table4_2[[#This Row],[TDS Value (ppm)]]&lt;560, "Low", IF(Table4_2[[#This Row],[TDS Value (ppm)]]&lt;=800,"Optimal","High"))</f>
        <v>Low</v>
      </c>
    </row>
    <row r="2436" spans="1:12" x14ac:dyDescent="0.25">
      <c r="A2436">
        <v>27</v>
      </c>
      <c r="B2436" s="1">
        <v>45171</v>
      </c>
      <c r="C2436" s="1" t="str">
        <f>TEXT(Table4_2[[#This Row],[Date]],"dddd")</f>
        <v>Saturday</v>
      </c>
      <c r="D2436" s="21">
        <v>31.7</v>
      </c>
      <c r="E2436" s="21">
        <v>66</v>
      </c>
      <c r="F2436" s="21">
        <v>793</v>
      </c>
      <c r="G2436" s="21">
        <v>6.5</v>
      </c>
      <c r="H2436">
        <v>31</v>
      </c>
      <c r="I2436">
        <v>89.06</v>
      </c>
      <c r="J2436">
        <v>0.66</v>
      </c>
      <c r="K2436" t="str" cm="1">
        <f t="array" ref="K2436">_xlfn.IFS(Table4_2[[#This Row],[Growth Days]]&lt;=14,"Seedling",Table4_2[[#This Row],[Growth Days]]&lt;=35, "Vegetative",Table4_2[[#This Row],[Growth Days]]&lt;=50, "Maturity")</f>
        <v>Vegetative</v>
      </c>
      <c r="L2436" t="str">
        <f>IF(Table4_2[[#This Row],[TDS Value (ppm)]]&lt;560, "Low", IF(Table4_2[[#This Row],[TDS Value (ppm)]]&lt;=800,"Optimal","High"))</f>
        <v>Optimal</v>
      </c>
    </row>
    <row r="2437" spans="1:12" x14ac:dyDescent="0.25">
      <c r="A2437">
        <v>27</v>
      </c>
      <c r="B2437" s="1">
        <v>45178</v>
      </c>
      <c r="C2437" s="1" t="str">
        <f>TEXT(Table4_2[[#This Row],[Date]],"dddd")</f>
        <v>Saturday</v>
      </c>
      <c r="D2437" s="21">
        <v>20.100000000000001</v>
      </c>
      <c r="E2437" s="21">
        <v>60</v>
      </c>
      <c r="F2437" s="21">
        <v>500</v>
      </c>
      <c r="G2437" s="21">
        <v>6.5</v>
      </c>
      <c r="H2437">
        <v>38</v>
      </c>
      <c r="I2437">
        <v>68.180000000000007</v>
      </c>
      <c r="J2437">
        <v>0.6</v>
      </c>
      <c r="K2437" t="str" cm="1">
        <f t="array" ref="K2437">_xlfn.IFS(Table4_2[[#This Row],[Growth Days]]&lt;=14,"Seedling",Table4_2[[#This Row],[Growth Days]]&lt;=35, "Vegetative",Table4_2[[#This Row],[Growth Days]]&lt;=50, "Maturity")</f>
        <v>Maturity</v>
      </c>
      <c r="L2437" t="str">
        <f>IF(Table4_2[[#This Row],[TDS Value (ppm)]]&lt;560, "Low", IF(Table4_2[[#This Row],[TDS Value (ppm)]]&lt;=800,"Optimal","High"))</f>
        <v>Low</v>
      </c>
    </row>
    <row r="2438" spans="1:12" x14ac:dyDescent="0.25">
      <c r="A2438">
        <v>27</v>
      </c>
      <c r="B2438" s="1">
        <v>45185</v>
      </c>
      <c r="C2438" s="1" t="str">
        <f>TEXT(Table4_2[[#This Row],[Date]],"dddd")</f>
        <v>Saturday</v>
      </c>
      <c r="D2438" s="21">
        <v>31.5</v>
      </c>
      <c r="E2438" s="21">
        <v>53</v>
      </c>
      <c r="F2438" s="21">
        <v>454</v>
      </c>
      <c r="G2438" s="21">
        <v>6.8</v>
      </c>
      <c r="H2438">
        <v>45</v>
      </c>
      <c r="I2438">
        <v>88.7</v>
      </c>
      <c r="J2438">
        <v>0.53</v>
      </c>
      <c r="K2438" t="str" cm="1">
        <f t="array" ref="K2438">_xlfn.IFS(Table4_2[[#This Row],[Growth Days]]&lt;=14,"Seedling",Table4_2[[#This Row],[Growth Days]]&lt;=35, "Vegetative",Table4_2[[#This Row],[Growth Days]]&lt;=50, "Maturity")</f>
        <v>Maturity</v>
      </c>
      <c r="L2438" t="str">
        <f>IF(Table4_2[[#This Row],[TDS Value (ppm)]]&lt;560, "Low", IF(Table4_2[[#This Row],[TDS Value (ppm)]]&lt;=800,"Optimal","High"))</f>
        <v>Low</v>
      </c>
    </row>
    <row r="2439" spans="1:12" x14ac:dyDescent="0.25">
      <c r="A2439">
        <v>28</v>
      </c>
      <c r="B2439" s="1">
        <v>45143</v>
      </c>
      <c r="C2439" s="1" t="str">
        <f>TEXT(Table4_2[[#This Row],[Date]],"dddd")</f>
        <v>Saturday</v>
      </c>
      <c r="D2439" s="21">
        <v>33.4</v>
      </c>
      <c r="E2439" s="21">
        <v>74</v>
      </c>
      <c r="F2439" s="21">
        <v>768</v>
      </c>
      <c r="G2439" s="21">
        <v>6.2</v>
      </c>
      <c r="H2439">
        <v>3</v>
      </c>
      <c r="I2439">
        <v>92.12</v>
      </c>
      <c r="J2439">
        <v>0.74</v>
      </c>
      <c r="K2439" t="str" cm="1">
        <f t="array" ref="K2439">_xlfn.IFS(Table4_2[[#This Row],[Growth Days]]&lt;=14,"Seedling",Table4_2[[#This Row],[Growth Days]]&lt;=35, "Vegetative",Table4_2[[#This Row],[Growth Days]]&lt;=50, "Maturity")</f>
        <v>Seedling</v>
      </c>
      <c r="L2439" t="str">
        <f>IF(Table4_2[[#This Row],[TDS Value (ppm)]]&lt;560, "Low", IF(Table4_2[[#This Row],[TDS Value (ppm)]]&lt;=800,"Optimal","High"))</f>
        <v>Optimal</v>
      </c>
    </row>
    <row r="2440" spans="1:12" x14ac:dyDescent="0.25">
      <c r="A2440">
        <v>28</v>
      </c>
      <c r="B2440" s="1">
        <v>45150</v>
      </c>
      <c r="C2440" s="1" t="str">
        <f>TEXT(Table4_2[[#This Row],[Date]],"dddd")</f>
        <v>Saturday</v>
      </c>
      <c r="D2440" s="21">
        <v>30.2</v>
      </c>
      <c r="E2440" s="21">
        <v>53</v>
      </c>
      <c r="F2440" s="21">
        <v>455</v>
      </c>
      <c r="G2440" s="21">
        <v>6.2</v>
      </c>
      <c r="H2440">
        <v>10</v>
      </c>
      <c r="I2440">
        <v>86.36</v>
      </c>
      <c r="J2440">
        <v>0.53</v>
      </c>
      <c r="K2440" t="str" cm="1">
        <f t="array" ref="K2440">_xlfn.IFS(Table4_2[[#This Row],[Growth Days]]&lt;=14,"Seedling",Table4_2[[#This Row],[Growth Days]]&lt;=35, "Vegetative",Table4_2[[#This Row],[Growth Days]]&lt;=50, "Maturity")</f>
        <v>Seedling</v>
      </c>
      <c r="L2440" t="str">
        <f>IF(Table4_2[[#This Row],[TDS Value (ppm)]]&lt;560, "Low", IF(Table4_2[[#This Row],[TDS Value (ppm)]]&lt;=800,"Optimal","High"))</f>
        <v>Low</v>
      </c>
    </row>
    <row r="2441" spans="1:12" x14ac:dyDescent="0.25">
      <c r="A2441">
        <v>28</v>
      </c>
      <c r="B2441" s="1">
        <v>45157</v>
      </c>
      <c r="C2441" s="1" t="str">
        <f>TEXT(Table4_2[[#This Row],[Date]],"dddd")</f>
        <v>Saturday</v>
      </c>
      <c r="D2441" s="21">
        <v>30.8</v>
      </c>
      <c r="E2441" s="21">
        <v>51</v>
      </c>
      <c r="F2441" s="21">
        <v>529</v>
      </c>
      <c r="G2441" s="21">
        <v>6.7</v>
      </c>
      <c r="H2441">
        <v>17</v>
      </c>
      <c r="I2441">
        <v>87.44</v>
      </c>
      <c r="J2441">
        <v>0.51</v>
      </c>
      <c r="K2441" t="str" cm="1">
        <f t="array" ref="K2441">_xlfn.IFS(Table4_2[[#This Row],[Growth Days]]&lt;=14,"Seedling",Table4_2[[#This Row],[Growth Days]]&lt;=35, "Vegetative",Table4_2[[#This Row],[Growth Days]]&lt;=50, "Maturity")</f>
        <v>Vegetative</v>
      </c>
      <c r="L2441" t="str">
        <f>IF(Table4_2[[#This Row],[TDS Value (ppm)]]&lt;560, "Low", IF(Table4_2[[#This Row],[TDS Value (ppm)]]&lt;=800,"Optimal","High"))</f>
        <v>Low</v>
      </c>
    </row>
    <row r="2442" spans="1:12" x14ac:dyDescent="0.25">
      <c r="A2442">
        <v>28</v>
      </c>
      <c r="B2442" s="1">
        <v>45164</v>
      </c>
      <c r="C2442" s="1" t="str">
        <f>TEXT(Table4_2[[#This Row],[Date]],"dddd")</f>
        <v>Saturday</v>
      </c>
      <c r="D2442" s="21">
        <v>31.4</v>
      </c>
      <c r="E2442" s="21">
        <v>76</v>
      </c>
      <c r="F2442" s="21">
        <v>624</v>
      </c>
      <c r="G2442" s="21">
        <v>6.3</v>
      </c>
      <c r="H2442">
        <v>24</v>
      </c>
      <c r="I2442">
        <v>88.52</v>
      </c>
      <c r="J2442">
        <v>0.76</v>
      </c>
      <c r="K2442" t="str" cm="1">
        <f t="array" ref="K2442">_xlfn.IFS(Table4_2[[#This Row],[Growth Days]]&lt;=14,"Seedling",Table4_2[[#This Row],[Growth Days]]&lt;=35, "Vegetative",Table4_2[[#This Row],[Growth Days]]&lt;=50, "Maturity")</f>
        <v>Vegetative</v>
      </c>
      <c r="L2442" t="str">
        <f>IF(Table4_2[[#This Row],[TDS Value (ppm)]]&lt;560, "Low", IF(Table4_2[[#This Row],[TDS Value (ppm)]]&lt;=800,"Optimal","High"))</f>
        <v>Optimal</v>
      </c>
    </row>
    <row r="2443" spans="1:12" x14ac:dyDescent="0.25">
      <c r="A2443">
        <v>28</v>
      </c>
      <c r="B2443" s="1">
        <v>45171</v>
      </c>
      <c r="C2443" s="1" t="str">
        <f>TEXT(Table4_2[[#This Row],[Date]],"dddd")</f>
        <v>Saturday</v>
      </c>
      <c r="D2443" s="21">
        <v>31.7</v>
      </c>
      <c r="E2443" s="21">
        <v>56</v>
      </c>
      <c r="F2443" s="21">
        <v>641</v>
      </c>
      <c r="G2443" s="21">
        <v>6.5</v>
      </c>
      <c r="H2443">
        <v>31</v>
      </c>
      <c r="I2443">
        <v>89.06</v>
      </c>
      <c r="J2443">
        <v>0.56000000000000005</v>
      </c>
      <c r="K2443" t="str" cm="1">
        <f t="array" ref="K2443">_xlfn.IFS(Table4_2[[#This Row],[Growth Days]]&lt;=14,"Seedling",Table4_2[[#This Row],[Growth Days]]&lt;=35, "Vegetative",Table4_2[[#This Row],[Growth Days]]&lt;=50, "Maturity")</f>
        <v>Vegetative</v>
      </c>
      <c r="L2443" t="str">
        <f>IF(Table4_2[[#This Row],[TDS Value (ppm)]]&lt;560, "Low", IF(Table4_2[[#This Row],[TDS Value (ppm)]]&lt;=800,"Optimal","High"))</f>
        <v>Optimal</v>
      </c>
    </row>
    <row r="2444" spans="1:12" x14ac:dyDescent="0.25">
      <c r="A2444">
        <v>28</v>
      </c>
      <c r="B2444" s="1">
        <v>45178</v>
      </c>
      <c r="C2444" s="1" t="str">
        <f>TEXT(Table4_2[[#This Row],[Date]],"dddd")</f>
        <v>Saturday</v>
      </c>
      <c r="D2444" s="21">
        <v>20.100000000000001</v>
      </c>
      <c r="E2444" s="21">
        <v>62</v>
      </c>
      <c r="F2444" s="21">
        <v>472</v>
      </c>
      <c r="G2444" s="21">
        <v>6.1</v>
      </c>
      <c r="H2444">
        <v>38</v>
      </c>
      <c r="I2444">
        <v>68.180000000000007</v>
      </c>
      <c r="J2444">
        <v>0.62</v>
      </c>
      <c r="K2444" t="str" cm="1">
        <f t="array" ref="K2444">_xlfn.IFS(Table4_2[[#This Row],[Growth Days]]&lt;=14,"Seedling",Table4_2[[#This Row],[Growth Days]]&lt;=35, "Vegetative",Table4_2[[#This Row],[Growth Days]]&lt;=50, "Maturity")</f>
        <v>Maturity</v>
      </c>
      <c r="L2444" t="str">
        <f>IF(Table4_2[[#This Row],[TDS Value (ppm)]]&lt;560, "Low", IF(Table4_2[[#This Row],[TDS Value (ppm)]]&lt;=800,"Optimal","High"))</f>
        <v>Low</v>
      </c>
    </row>
    <row r="2445" spans="1:12" x14ac:dyDescent="0.25">
      <c r="A2445">
        <v>28</v>
      </c>
      <c r="B2445" s="1">
        <v>45185</v>
      </c>
      <c r="C2445" s="1" t="str">
        <f>TEXT(Table4_2[[#This Row],[Date]],"dddd")</f>
        <v>Saturday</v>
      </c>
      <c r="D2445" s="21">
        <v>31.5</v>
      </c>
      <c r="E2445" s="21">
        <v>74</v>
      </c>
      <c r="F2445" s="21">
        <v>418</v>
      </c>
      <c r="G2445" s="21">
        <v>6.5</v>
      </c>
      <c r="H2445">
        <v>45</v>
      </c>
      <c r="I2445">
        <v>88.7</v>
      </c>
      <c r="J2445">
        <v>0.74</v>
      </c>
      <c r="K2445" t="str" cm="1">
        <f t="array" ref="K2445">_xlfn.IFS(Table4_2[[#This Row],[Growth Days]]&lt;=14,"Seedling",Table4_2[[#This Row],[Growth Days]]&lt;=35, "Vegetative",Table4_2[[#This Row],[Growth Days]]&lt;=50, "Maturity")</f>
        <v>Maturity</v>
      </c>
      <c r="L2445" t="str">
        <f>IF(Table4_2[[#This Row],[TDS Value (ppm)]]&lt;560, "Low", IF(Table4_2[[#This Row],[TDS Value (ppm)]]&lt;=800,"Optimal","High"))</f>
        <v>Low</v>
      </c>
    </row>
    <row r="2446" spans="1:12" x14ac:dyDescent="0.25">
      <c r="A2446">
        <v>29</v>
      </c>
      <c r="B2446" s="1">
        <v>45143</v>
      </c>
      <c r="C2446" s="1" t="str">
        <f>TEXT(Table4_2[[#This Row],[Date]],"dddd")</f>
        <v>Saturday</v>
      </c>
      <c r="D2446" s="21">
        <v>33.4</v>
      </c>
      <c r="E2446" s="21">
        <v>66</v>
      </c>
      <c r="F2446" s="21">
        <v>526</v>
      </c>
      <c r="G2446" s="21">
        <v>6.2</v>
      </c>
      <c r="H2446">
        <v>3</v>
      </c>
      <c r="I2446">
        <v>92.12</v>
      </c>
      <c r="J2446">
        <v>0.66</v>
      </c>
      <c r="K2446" t="str" cm="1">
        <f t="array" ref="K2446">_xlfn.IFS(Table4_2[[#This Row],[Growth Days]]&lt;=14,"Seedling",Table4_2[[#This Row],[Growth Days]]&lt;=35, "Vegetative",Table4_2[[#This Row],[Growth Days]]&lt;=50, "Maturity")</f>
        <v>Seedling</v>
      </c>
      <c r="L2446" t="str">
        <f>IF(Table4_2[[#This Row],[TDS Value (ppm)]]&lt;560, "Low", IF(Table4_2[[#This Row],[TDS Value (ppm)]]&lt;=800,"Optimal","High"))</f>
        <v>Low</v>
      </c>
    </row>
    <row r="2447" spans="1:12" x14ac:dyDescent="0.25">
      <c r="A2447">
        <v>29</v>
      </c>
      <c r="B2447" s="1">
        <v>45150</v>
      </c>
      <c r="C2447" s="1" t="str">
        <f>TEXT(Table4_2[[#This Row],[Date]],"dddd")</f>
        <v>Saturday</v>
      </c>
      <c r="D2447" s="21">
        <v>30.2</v>
      </c>
      <c r="E2447" s="21">
        <v>50</v>
      </c>
      <c r="F2447" s="21">
        <v>542</v>
      </c>
      <c r="G2447" s="21">
        <v>6.6</v>
      </c>
      <c r="H2447">
        <v>10</v>
      </c>
      <c r="I2447">
        <v>86.36</v>
      </c>
      <c r="J2447">
        <v>0.5</v>
      </c>
      <c r="K2447" t="str" cm="1">
        <f t="array" ref="K2447">_xlfn.IFS(Table4_2[[#This Row],[Growth Days]]&lt;=14,"Seedling",Table4_2[[#This Row],[Growth Days]]&lt;=35, "Vegetative",Table4_2[[#This Row],[Growth Days]]&lt;=50, "Maturity")</f>
        <v>Seedling</v>
      </c>
      <c r="L2447" t="str">
        <f>IF(Table4_2[[#This Row],[TDS Value (ppm)]]&lt;560, "Low", IF(Table4_2[[#This Row],[TDS Value (ppm)]]&lt;=800,"Optimal","High"))</f>
        <v>Low</v>
      </c>
    </row>
    <row r="2448" spans="1:12" x14ac:dyDescent="0.25">
      <c r="A2448">
        <v>29</v>
      </c>
      <c r="B2448" s="1">
        <v>45157</v>
      </c>
      <c r="C2448" s="1" t="str">
        <f>TEXT(Table4_2[[#This Row],[Date]],"dddd")</f>
        <v>Saturday</v>
      </c>
      <c r="D2448" s="21">
        <v>30.8</v>
      </c>
      <c r="E2448" s="21">
        <v>74</v>
      </c>
      <c r="F2448" s="21">
        <v>694</v>
      </c>
      <c r="G2448" s="21">
        <v>6.7</v>
      </c>
      <c r="H2448">
        <v>17</v>
      </c>
      <c r="I2448">
        <v>87.44</v>
      </c>
      <c r="J2448">
        <v>0.74</v>
      </c>
      <c r="K2448" t="str" cm="1">
        <f t="array" ref="K2448">_xlfn.IFS(Table4_2[[#This Row],[Growth Days]]&lt;=14,"Seedling",Table4_2[[#This Row],[Growth Days]]&lt;=35, "Vegetative",Table4_2[[#This Row],[Growth Days]]&lt;=50, "Maturity")</f>
        <v>Vegetative</v>
      </c>
      <c r="L2448" t="str">
        <f>IF(Table4_2[[#This Row],[TDS Value (ppm)]]&lt;560, "Low", IF(Table4_2[[#This Row],[TDS Value (ppm)]]&lt;=800,"Optimal","High"))</f>
        <v>Optimal</v>
      </c>
    </row>
    <row r="2449" spans="1:12" x14ac:dyDescent="0.25">
      <c r="A2449">
        <v>29</v>
      </c>
      <c r="B2449" s="1">
        <v>45164</v>
      </c>
      <c r="C2449" s="1" t="str">
        <f>TEXT(Table4_2[[#This Row],[Date]],"dddd")</f>
        <v>Saturday</v>
      </c>
      <c r="D2449" s="21">
        <v>31.4</v>
      </c>
      <c r="E2449" s="21">
        <v>76</v>
      </c>
      <c r="F2449" s="21">
        <v>472</v>
      </c>
      <c r="G2449" s="21">
        <v>6.2</v>
      </c>
      <c r="H2449">
        <v>24</v>
      </c>
      <c r="I2449">
        <v>88.52</v>
      </c>
      <c r="J2449">
        <v>0.76</v>
      </c>
      <c r="K2449" t="str" cm="1">
        <f t="array" ref="K2449">_xlfn.IFS(Table4_2[[#This Row],[Growth Days]]&lt;=14,"Seedling",Table4_2[[#This Row],[Growth Days]]&lt;=35, "Vegetative",Table4_2[[#This Row],[Growth Days]]&lt;=50, "Maturity")</f>
        <v>Vegetative</v>
      </c>
      <c r="L2449" t="str">
        <f>IF(Table4_2[[#This Row],[TDS Value (ppm)]]&lt;560, "Low", IF(Table4_2[[#This Row],[TDS Value (ppm)]]&lt;=800,"Optimal","High"))</f>
        <v>Low</v>
      </c>
    </row>
    <row r="2450" spans="1:12" x14ac:dyDescent="0.25">
      <c r="A2450">
        <v>29</v>
      </c>
      <c r="B2450" s="1">
        <v>45171</v>
      </c>
      <c r="C2450" s="1" t="str">
        <f>TEXT(Table4_2[[#This Row],[Date]],"dddd")</f>
        <v>Saturday</v>
      </c>
      <c r="D2450" s="21">
        <v>31.7</v>
      </c>
      <c r="E2450" s="21">
        <v>70</v>
      </c>
      <c r="F2450" s="21">
        <v>424</v>
      </c>
      <c r="G2450" s="21">
        <v>6.3</v>
      </c>
      <c r="H2450">
        <v>31</v>
      </c>
      <c r="I2450">
        <v>89.06</v>
      </c>
      <c r="J2450">
        <v>0.7</v>
      </c>
      <c r="K2450" t="str" cm="1">
        <f t="array" ref="K2450">_xlfn.IFS(Table4_2[[#This Row],[Growth Days]]&lt;=14,"Seedling",Table4_2[[#This Row],[Growth Days]]&lt;=35, "Vegetative",Table4_2[[#This Row],[Growth Days]]&lt;=50, "Maturity")</f>
        <v>Vegetative</v>
      </c>
      <c r="L2450" t="str">
        <f>IF(Table4_2[[#This Row],[TDS Value (ppm)]]&lt;560, "Low", IF(Table4_2[[#This Row],[TDS Value (ppm)]]&lt;=800,"Optimal","High"))</f>
        <v>Low</v>
      </c>
    </row>
    <row r="2451" spans="1:12" x14ac:dyDescent="0.25">
      <c r="A2451">
        <v>29</v>
      </c>
      <c r="B2451" s="1">
        <v>45178</v>
      </c>
      <c r="C2451" s="1" t="str">
        <f>TEXT(Table4_2[[#This Row],[Date]],"dddd")</f>
        <v>Saturday</v>
      </c>
      <c r="D2451" s="21">
        <v>20.100000000000001</v>
      </c>
      <c r="E2451" s="21">
        <v>60</v>
      </c>
      <c r="F2451" s="21">
        <v>561</v>
      </c>
      <c r="G2451" s="21">
        <v>6</v>
      </c>
      <c r="H2451">
        <v>38</v>
      </c>
      <c r="I2451">
        <v>68.180000000000007</v>
      </c>
      <c r="J2451">
        <v>0.6</v>
      </c>
      <c r="K2451" t="str" cm="1">
        <f t="array" ref="K2451">_xlfn.IFS(Table4_2[[#This Row],[Growth Days]]&lt;=14,"Seedling",Table4_2[[#This Row],[Growth Days]]&lt;=35, "Vegetative",Table4_2[[#This Row],[Growth Days]]&lt;=50, "Maturity")</f>
        <v>Maturity</v>
      </c>
      <c r="L2451" t="str">
        <f>IF(Table4_2[[#This Row],[TDS Value (ppm)]]&lt;560, "Low", IF(Table4_2[[#This Row],[TDS Value (ppm)]]&lt;=800,"Optimal","High"))</f>
        <v>Optimal</v>
      </c>
    </row>
    <row r="2452" spans="1:12" x14ac:dyDescent="0.25">
      <c r="A2452">
        <v>29</v>
      </c>
      <c r="B2452" s="1">
        <v>45185</v>
      </c>
      <c r="C2452" s="1" t="str">
        <f>TEXT(Table4_2[[#This Row],[Date]],"dddd")</f>
        <v>Saturday</v>
      </c>
      <c r="D2452" s="21">
        <v>31.5</v>
      </c>
      <c r="E2452" s="21">
        <v>60</v>
      </c>
      <c r="F2452" s="21">
        <v>605</v>
      </c>
      <c r="G2452" s="21">
        <v>6.4</v>
      </c>
      <c r="H2452">
        <v>45</v>
      </c>
      <c r="I2452">
        <v>88.7</v>
      </c>
      <c r="J2452">
        <v>0.6</v>
      </c>
      <c r="K2452" t="str" cm="1">
        <f t="array" ref="K2452">_xlfn.IFS(Table4_2[[#This Row],[Growth Days]]&lt;=14,"Seedling",Table4_2[[#This Row],[Growth Days]]&lt;=35, "Vegetative",Table4_2[[#This Row],[Growth Days]]&lt;=50, "Maturity")</f>
        <v>Maturity</v>
      </c>
      <c r="L2452" t="str">
        <f>IF(Table4_2[[#This Row],[TDS Value (ppm)]]&lt;560, "Low", IF(Table4_2[[#This Row],[TDS Value (ppm)]]&lt;=800,"Optimal","High"))</f>
        <v>Optimal</v>
      </c>
    </row>
    <row r="2453" spans="1:12" x14ac:dyDescent="0.25">
      <c r="A2453">
        <v>30</v>
      </c>
      <c r="B2453" s="1">
        <v>45143</v>
      </c>
      <c r="C2453" s="1" t="str">
        <f>TEXT(Table4_2[[#This Row],[Date]],"dddd")</f>
        <v>Saturday</v>
      </c>
      <c r="D2453" s="21">
        <v>33.4</v>
      </c>
      <c r="E2453" s="21">
        <v>60</v>
      </c>
      <c r="F2453" s="21">
        <v>660</v>
      </c>
      <c r="G2453" s="21">
        <v>6.3</v>
      </c>
      <c r="H2453">
        <v>3</v>
      </c>
      <c r="I2453">
        <v>92.12</v>
      </c>
      <c r="J2453">
        <v>0.6</v>
      </c>
      <c r="K2453" t="str" cm="1">
        <f t="array" ref="K2453">_xlfn.IFS(Table4_2[[#This Row],[Growth Days]]&lt;=14,"Seedling",Table4_2[[#This Row],[Growth Days]]&lt;=35, "Vegetative",Table4_2[[#This Row],[Growth Days]]&lt;=50, "Maturity")</f>
        <v>Seedling</v>
      </c>
      <c r="L2453" t="str">
        <f>IF(Table4_2[[#This Row],[TDS Value (ppm)]]&lt;560, "Low", IF(Table4_2[[#This Row],[TDS Value (ppm)]]&lt;=800,"Optimal","High"))</f>
        <v>Optimal</v>
      </c>
    </row>
    <row r="2454" spans="1:12" x14ac:dyDescent="0.25">
      <c r="A2454">
        <v>30</v>
      </c>
      <c r="B2454" s="1">
        <v>45150</v>
      </c>
      <c r="C2454" s="1" t="str">
        <f>TEXT(Table4_2[[#This Row],[Date]],"dddd")</f>
        <v>Saturday</v>
      </c>
      <c r="D2454" s="21">
        <v>30.2</v>
      </c>
      <c r="E2454" s="21">
        <v>60</v>
      </c>
      <c r="F2454" s="21">
        <v>449</v>
      </c>
      <c r="G2454" s="21">
        <v>6.4</v>
      </c>
      <c r="H2454">
        <v>10</v>
      </c>
      <c r="I2454">
        <v>86.36</v>
      </c>
      <c r="J2454">
        <v>0.6</v>
      </c>
      <c r="K2454" t="str" cm="1">
        <f t="array" ref="K2454">_xlfn.IFS(Table4_2[[#This Row],[Growth Days]]&lt;=14,"Seedling",Table4_2[[#This Row],[Growth Days]]&lt;=35, "Vegetative",Table4_2[[#This Row],[Growth Days]]&lt;=50, "Maturity")</f>
        <v>Seedling</v>
      </c>
      <c r="L2454" t="str">
        <f>IF(Table4_2[[#This Row],[TDS Value (ppm)]]&lt;560, "Low", IF(Table4_2[[#This Row],[TDS Value (ppm)]]&lt;=800,"Optimal","High"))</f>
        <v>Low</v>
      </c>
    </row>
    <row r="2455" spans="1:12" x14ac:dyDescent="0.25">
      <c r="A2455">
        <v>30</v>
      </c>
      <c r="B2455" s="1">
        <v>45157</v>
      </c>
      <c r="C2455" s="1" t="str">
        <f>TEXT(Table4_2[[#This Row],[Date]],"dddd")</f>
        <v>Saturday</v>
      </c>
      <c r="D2455" s="21">
        <v>30.8</v>
      </c>
      <c r="E2455" s="21">
        <v>65</v>
      </c>
      <c r="F2455" s="21">
        <v>545</v>
      </c>
      <c r="G2455" s="21">
        <v>6.5</v>
      </c>
      <c r="H2455">
        <v>17</v>
      </c>
      <c r="I2455">
        <v>87.44</v>
      </c>
      <c r="J2455">
        <v>0.65</v>
      </c>
      <c r="K2455" t="str" cm="1">
        <f t="array" ref="K2455">_xlfn.IFS(Table4_2[[#This Row],[Growth Days]]&lt;=14,"Seedling",Table4_2[[#This Row],[Growth Days]]&lt;=35, "Vegetative",Table4_2[[#This Row],[Growth Days]]&lt;=50, "Maturity")</f>
        <v>Vegetative</v>
      </c>
      <c r="L2455" t="str">
        <f>IF(Table4_2[[#This Row],[TDS Value (ppm)]]&lt;560, "Low", IF(Table4_2[[#This Row],[TDS Value (ppm)]]&lt;=800,"Optimal","High"))</f>
        <v>Low</v>
      </c>
    </row>
    <row r="2456" spans="1:12" x14ac:dyDescent="0.25">
      <c r="A2456">
        <v>30</v>
      </c>
      <c r="B2456" s="1">
        <v>45164</v>
      </c>
      <c r="C2456" s="1" t="str">
        <f>TEXT(Table4_2[[#This Row],[Date]],"dddd")</f>
        <v>Saturday</v>
      </c>
      <c r="D2456" s="21">
        <v>31.4</v>
      </c>
      <c r="E2456" s="21">
        <v>58</v>
      </c>
      <c r="F2456" s="21">
        <v>593</v>
      </c>
      <c r="G2456" s="21">
        <v>6.4</v>
      </c>
      <c r="H2456">
        <v>24</v>
      </c>
      <c r="I2456">
        <v>88.52</v>
      </c>
      <c r="J2456">
        <v>0.57999999999999996</v>
      </c>
      <c r="K2456" t="str" cm="1">
        <f t="array" ref="K2456">_xlfn.IFS(Table4_2[[#This Row],[Growth Days]]&lt;=14,"Seedling",Table4_2[[#This Row],[Growth Days]]&lt;=35, "Vegetative",Table4_2[[#This Row],[Growth Days]]&lt;=50, "Maturity")</f>
        <v>Vegetative</v>
      </c>
      <c r="L2456" t="str">
        <f>IF(Table4_2[[#This Row],[TDS Value (ppm)]]&lt;560, "Low", IF(Table4_2[[#This Row],[TDS Value (ppm)]]&lt;=800,"Optimal","High"))</f>
        <v>Optimal</v>
      </c>
    </row>
    <row r="2457" spans="1:12" x14ac:dyDescent="0.25">
      <c r="A2457">
        <v>30</v>
      </c>
      <c r="B2457" s="1">
        <v>45171</v>
      </c>
      <c r="C2457" s="1" t="str">
        <f>TEXT(Table4_2[[#This Row],[Date]],"dddd")</f>
        <v>Saturday</v>
      </c>
      <c r="D2457" s="21">
        <v>31.7</v>
      </c>
      <c r="E2457" s="21">
        <v>65</v>
      </c>
      <c r="F2457" s="21">
        <v>716</v>
      </c>
      <c r="G2457" s="21">
        <v>6</v>
      </c>
      <c r="H2457">
        <v>31</v>
      </c>
      <c r="I2457">
        <v>89.06</v>
      </c>
      <c r="J2457">
        <v>0.65</v>
      </c>
      <c r="K2457" t="str" cm="1">
        <f t="array" ref="K2457">_xlfn.IFS(Table4_2[[#This Row],[Growth Days]]&lt;=14,"Seedling",Table4_2[[#This Row],[Growth Days]]&lt;=35, "Vegetative",Table4_2[[#This Row],[Growth Days]]&lt;=50, "Maturity")</f>
        <v>Vegetative</v>
      </c>
      <c r="L2457" t="str">
        <f>IF(Table4_2[[#This Row],[TDS Value (ppm)]]&lt;560, "Low", IF(Table4_2[[#This Row],[TDS Value (ppm)]]&lt;=800,"Optimal","High"))</f>
        <v>Optimal</v>
      </c>
    </row>
    <row r="2458" spans="1:12" x14ac:dyDescent="0.25">
      <c r="A2458">
        <v>30</v>
      </c>
      <c r="B2458" s="1">
        <v>45178</v>
      </c>
      <c r="C2458" s="1" t="str">
        <f>TEXT(Table4_2[[#This Row],[Date]],"dddd")</f>
        <v>Saturday</v>
      </c>
      <c r="D2458" s="21">
        <v>20.100000000000001</v>
      </c>
      <c r="E2458" s="21">
        <v>65</v>
      </c>
      <c r="F2458" s="21">
        <v>545</v>
      </c>
      <c r="G2458" s="21">
        <v>6.3</v>
      </c>
      <c r="H2458">
        <v>38</v>
      </c>
      <c r="I2458">
        <v>68.180000000000007</v>
      </c>
      <c r="J2458">
        <v>0.65</v>
      </c>
      <c r="K2458" t="str" cm="1">
        <f t="array" ref="K2458">_xlfn.IFS(Table4_2[[#This Row],[Growth Days]]&lt;=14,"Seedling",Table4_2[[#This Row],[Growth Days]]&lt;=35, "Vegetative",Table4_2[[#This Row],[Growth Days]]&lt;=50, "Maturity")</f>
        <v>Maturity</v>
      </c>
      <c r="L2458" t="str">
        <f>IF(Table4_2[[#This Row],[TDS Value (ppm)]]&lt;560, "Low", IF(Table4_2[[#This Row],[TDS Value (ppm)]]&lt;=800,"Optimal","High"))</f>
        <v>Low</v>
      </c>
    </row>
    <row r="2459" spans="1:12" x14ac:dyDescent="0.25">
      <c r="A2459">
        <v>30</v>
      </c>
      <c r="B2459" s="1">
        <v>45185</v>
      </c>
      <c r="C2459" s="1" t="str">
        <f>TEXT(Table4_2[[#This Row],[Date]],"dddd")</f>
        <v>Saturday</v>
      </c>
      <c r="D2459" s="21">
        <v>31.5</v>
      </c>
      <c r="E2459" s="21">
        <v>55</v>
      </c>
      <c r="F2459" s="21">
        <v>628</v>
      </c>
      <c r="G2459" s="21">
        <v>6.3</v>
      </c>
      <c r="H2459">
        <v>45</v>
      </c>
      <c r="I2459">
        <v>88.7</v>
      </c>
      <c r="J2459">
        <v>0.55000000000000004</v>
      </c>
      <c r="K2459" t="str" cm="1">
        <f t="array" ref="K2459">_xlfn.IFS(Table4_2[[#This Row],[Growth Days]]&lt;=14,"Seedling",Table4_2[[#This Row],[Growth Days]]&lt;=35, "Vegetative",Table4_2[[#This Row],[Growth Days]]&lt;=50, "Maturity")</f>
        <v>Maturity</v>
      </c>
      <c r="L2459" t="str">
        <f>IF(Table4_2[[#This Row],[TDS Value (ppm)]]&lt;560, "Low", IF(Table4_2[[#This Row],[TDS Value (ppm)]]&lt;=800,"Optimal","High"))</f>
        <v>Optimal</v>
      </c>
    </row>
    <row r="2460" spans="1:12" x14ac:dyDescent="0.25">
      <c r="A2460">
        <v>31</v>
      </c>
      <c r="B2460" s="1">
        <v>45143</v>
      </c>
      <c r="C2460" s="1" t="str">
        <f>TEXT(Table4_2[[#This Row],[Date]],"dddd")</f>
        <v>Saturday</v>
      </c>
      <c r="D2460" s="21">
        <v>33.4</v>
      </c>
      <c r="E2460" s="21">
        <v>70</v>
      </c>
      <c r="F2460" s="21">
        <v>555</v>
      </c>
      <c r="G2460" s="21">
        <v>6.1</v>
      </c>
      <c r="H2460">
        <v>3</v>
      </c>
      <c r="I2460">
        <v>92.12</v>
      </c>
      <c r="J2460">
        <v>0.7</v>
      </c>
      <c r="K2460" t="str" cm="1">
        <f t="array" ref="K2460">_xlfn.IFS(Table4_2[[#This Row],[Growth Days]]&lt;=14,"Seedling",Table4_2[[#This Row],[Growth Days]]&lt;=35, "Vegetative",Table4_2[[#This Row],[Growth Days]]&lt;=50, "Maturity")</f>
        <v>Seedling</v>
      </c>
      <c r="L2460" t="str">
        <f>IF(Table4_2[[#This Row],[TDS Value (ppm)]]&lt;560, "Low", IF(Table4_2[[#This Row],[TDS Value (ppm)]]&lt;=800,"Optimal","High"))</f>
        <v>Low</v>
      </c>
    </row>
    <row r="2461" spans="1:12" x14ac:dyDescent="0.25">
      <c r="A2461">
        <v>31</v>
      </c>
      <c r="B2461" s="1">
        <v>45150</v>
      </c>
      <c r="C2461" s="1" t="str">
        <f>TEXT(Table4_2[[#This Row],[Date]],"dddd")</f>
        <v>Saturday</v>
      </c>
      <c r="D2461" s="21">
        <v>30.2</v>
      </c>
      <c r="E2461" s="21">
        <v>58</v>
      </c>
      <c r="F2461" s="21">
        <v>599</v>
      </c>
      <c r="G2461" s="21">
        <v>6.7</v>
      </c>
      <c r="H2461">
        <v>10</v>
      </c>
      <c r="I2461">
        <v>86.36</v>
      </c>
      <c r="J2461">
        <v>0.57999999999999996</v>
      </c>
      <c r="K2461" t="str" cm="1">
        <f t="array" ref="K2461">_xlfn.IFS(Table4_2[[#This Row],[Growth Days]]&lt;=14,"Seedling",Table4_2[[#This Row],[Growth Days]]&lt;=35, "Vegetative",Table4_2[[#This Row],[Growth Days]]&lt;=50, "Maturity")</f>
        <v>Seedling</v>
      </c>
      <c r="L2461" t="str">
        <f>IF(Table4_2[[#This Row],[TDS Value (ppm)]]&lt;560, "Low", IF(Table4_2[[#This Row],[TDS Value (ppm)]]&lt;=800,"Optimal","High"))</f>
        <v>Optimal</v>
      </c>
    </row>
    <row r="2462" spans="1:12" x14ac:dyDescent="0.25">
      <c r="A2462">
        <v>31</v>
      </c>
      <c r="B2462" s="1">
        <v>45157</v>
      </c>
      <c r="C2462" s="1" t="str">
        <f>TEXT(Table4_2[[#This Row],[Date]],"dddd")</f>
        <v>Saturday</v>
      </c>
      <c r="D2462" s="21">
        <v>30.8</v>
      </c>
      <c r="E2462" s="21">
        <v>57</v>
      </c>
      <c r="F2462" s="21">
        <v>566</v>
      </c>
      <c r="G2462" s="21">
        <v>6.2</v>
      </c>
      <c r="H2462">
        <v>17</v>
      </c>
      <c r="I2462">
        <v>87.44</v>
      </c>
      <c r="J2462">
        <v>0.56999999999999995</v>
      </c>
      <c r="K2462" t="str" cm="1">
        <f t="array" ref="K2462">_xlfn.IFS(Table4_2[[#This Row],[Growth Days]]&lt;=14,"Seedling",Table4_2[[#This Row],[Growth Days]]&lt;=35, "Vegetative",Table4_2[[#This Row],[Growth Days]]&lt;=50, "Maturity")</f>
        <v>Vegetative</v>
      </c>
      <c r="L2462" t="str">
        <f>IF(Table4_2[[#This Row],[TDS Value (ppm)]]&lt;560, "Low", IF(Table4_2[[#This Row],[TDS Value (ppm)]]&lt;=800,"Optimal","High"))</f>
        <v>Optimal</v>
      </c>
    </row>
    <row r="2463" spans="1:12" x14ac:dyDescent="0.25">
      <c r="A2463">
        <v>31</v>
      </c>
      <c r="B2463" s="1">
        <v>45164</v>
      </c>
      <c r="C2463" s="1" t="str">
        <f>TEXT(Table4_2[[#This Row],[Date]],"dddd")</f>
        <v>Saturday</v>
      </c>
      <c r="D2463" s="21">
        <v>31.4</v>
      </c>
      <c r="E2463" s="21">
        <v>60</v>
      </c>
      <c r="F2463" s="21">
        <v>477</v>
      </c>
      <c r="G2463" s="21">
        <v>6.8</v>
      </c>
      <c r="H2463">
        <v>24</v>
      </c>
      <c r="I2463">
        <v>88.52</v>
      </c>
      <c r="J2463">
        <v>0.6</v>
      </c>
      <c r="K2463" t="str" cm="1">
        <f t="array" ref="K2463">_xlfn.IFS(Table4_2[[#This Row],[Growth Days]]&lt;=14,"Seedling",Table4_2[[#This Row],[Growth Days]]&lt;=35, "Vegetative",Table4_2[[#This Row],[Growth Days]]&lt;=50, "Maturity")</f>
        <v>Vegetative</v>
      </c>
      <c r="L2463" t="str">
        <f>IF(Table4_2[[#This Row],[TDS Value (ppm)]]&lt;560, "Low", IF(Table4_2[[#This Row],[TDS Value (ppm)]]&lt;=800,"Optimal","High"))</f>
        <v>Low</v>
      </c>
    </row>
    <row r="2464" spans="1:12" x14ac:dyDescent="0.25">
      <c r="A2464">
        <v>31</v>
      </c>
      <c r="B2464" s="1">
        <v>45171</v>
      </c>
      <c r="C2464" s="1" t="str">
        <f>TEXT(Table4_2[[#This Row],[Date]],"dddd")</f>
        <v>Saturday</v>
      </c>
      <c r="D2464" s="21">
        <v>31.7</v>
      </c>
      <c r="E2464" s="21">
        <v>80</v>
      </c>
      <c r="F2464" s="21">
        <v>419</v>
      </c>
      <c r="G2464" s="21">
        <v>6.6</v>
      </c>
      <c r="H2464">
        <v>31</v>
      </c>
      <c r="I2464">
        <v>89.06</v>
      </c>
      <c r="J2464">
        <v>0.8</v>
      </c>
      <c r="K2464" t="str" cm="1">
        <f t="array" ref="K2464">_xlfn.IFS(Table4_2[[#This Row],[Growth Days]]&lt;=14,"Seedling",Table4_2[[#This Row],[Growth Days]]&lt;=35, "Vegetative",Table4_2[[#This Row],[Growth Days]]&lt;=50, "Maturity")</f>
        <v>Vegetative</v>
      </c>
      <c r="L2464" t="str">
        <f>IF(Table4_2[[#This Row],[TDS Value (ppm)]]&lt;560, "Low", IF(Table4_2[[#This Row],[TDS Value (ppm)]]&lt;=800,"Optimal","High"))</f>
        <v>Low</v>
      </c>
    </row>
    <row r="2465" spans="1:12" x14ac:dyDescent="0.25">
      <c r="A2465">
        <v>31</v>
      </c>
      <c r="B2465" s="1">
        <v>45178</v>
      </c>
      <c r="C2465" s="1" t="str">
        <f>TEXT(Table4_2[[#This Row],[Date]],"dddd")</f>
        <v>Saturday</v>
      </c>
      <c r="D2465" s="21">
        <v>20.100000000000001</v>
      </c>
      <c r="E2465" s="21">
        <v>61</v>
      </c>
      <c r="F2465" s="21">
        <v>427</v>
      </c>
      <c r="G2465" s="21">
        <v>6.4</v>
      </c>
      <c r="H2465">
        <v>38</v>
      </c>
      <c r="I2465">
        <v>68.180000000000007</v>
      </c>
      <c r="J2465">
        <v>0.61</v>
      </c>
      <c r="K2465" t="str" cm="1">
        <f t="array" ref="K2465">_xlfn.IFS(Table4_2[[#This Row],[Growth Days]]&lt;=14,"Seedling",Table4_2[[#This Row],[Growth Days]]&lt;=35, "Vegetative",Table4_2[[#This Row],[Growth Days]]&lt;=50, "Maturity")</f>
        <v>Maturity</v>
      </c>
      <c r="L2465" t="str">
        <f>IF(Table4_2[[#This Row],[TDS Value (ppm)]]&lt;560, "Low", IF(Table4_2[[#This Row],[TDS Value (ppm)]]&lt;=800,"Optimal","High"))</f>
        <v>Low</v>
      </c>
    </row>
    <row r="2466" spans="1:12" x14ac:dyDescent="0.25">
      <c r="A2466">
        <v>31</v>
      </c>
      <c r="B2466" s="1">
        <v>45185</v>
      </c>
      <c r="C2466" s="1" t="str">
        <f>TEXT(Table4_2[[#This Row],[Date]],"dddd")</f>
        <v>Saturday</v>
      </c>
      <c r="D2466" s="21">
        <v>31.5</v>
      </c>
      <c r="E2466" s="21">
        <v>69</v>
      </c>
      <c r="F2466" s="21">
        <v>670</v>
      </c>
      <c r="G2466" s="21">
        <v>6.1</v>
      </c>
      <c r="H2466">
        <v>45</v>
      </c>
      <c r="I2466">
        <v>88.7</v>
      </c>
      <c r="J2466">
        <v>0.69</v>
      </c>
      <c r="K2466" t="str" cm="1">
        <f t="array" ref="K2466">_xlfn.IFS(Table4_2[[#This Row],[Growth Days]]&lt;=14,"Seedling",Table4_2[[#This Row],[Growth Days]]&lt;=35, "Vegetative",Table4_2[[#This Row],[Growth Days]]&lt;=50, "Maturity")</f>
        <v>Maturity</v>
      </c>
      <c r="L2466" t="str">
        <f>IF(Table4_2[[#This Row],[TDS Value (ppm)]]&lt;560, "Low", IF(Table4_2[[#This Row],[TDS Value (ppm)]]&lt;=800,"Optimal","High"))</f>
        <v>Optimal</v>
      </c>
    </row>
    <row r="2467" spans="1:12" x14ac:dyDescent="0.25">
      <c r="A2467">
        <v>32</v>
      </c>
      <c r="B2467" s="1">
        <v>45143</v>
      </c>
      <c r="C2467" s="1" t="str">
        <f>TEXT(Table4_2[[#This Row],[Date]],"dddd")</f>
        <v>Saturday</v>
      </c>
      <c r="D2467" s="21">
        <v>33.4</v>
      </c>
      <c r="E2467" s="21">
        <v>58</v>
      </c>
      <c r="F2467" s="21">
        <v>499</v>
      </c>
      <c r="G2467" s="21">
        <v>6.1</v>
      </c>
      <c r="H2467">
        <v>3</v>
      </c>
      <c r="I2467">
        <v>92.12</v>
      </c>
      <c r="J2467">
        <v>0.57999999999999996</v>
      </c>
      <c r="K2467" t="str" cm="1">
        <f t="array" ref="K2467">_xlfn.IFS(Table4_2[[#This Row],[Growth Days]]&lt;=14,"Seedling",Table4_2[[#This Row],[Growth Days]]&lt;=35, "Vegetative",Table4_2[[#This Row],[Growth Days]]&lt;=50, "Maturity")</f>
        <v>Seedling</v>
      </c>
      <c r="L2467" t="str">
        <f>IF(Table4_2[[#This Row],[TDS Value (ppm)]]&lt;560, "Low", IF(Table4_2[[#This Row],[TDS Value (ppm)]]&lt;=800,"Optimal","High"))</f>
        <v>Low</v>
      </c>
    </row>
    <row r="2468" spans="1:12" x14ac:dyDescent="0.25">
      <c r="A2468">
        <v>32</v>
      </c>
      <c r="B2468" s="1">
        <v>45150</v>
      </c>
      <c r="C2468" s="1" t="str">
        <f>TEXT(Table4_2[[#This Row],[Date]],"dddd")</f>
        <v>Saturday</v>
      </c>
      <c r="D2468" s="21">
        <v>30.2</v>
      </c>
      <c r="E2468" s="21">
        <v>76</v>
      </c>
      <c r="F2468" s="21">
        <v>701</v>
      </c>
      <c r="G2468" s="21">
        <v>6.2</v>
      </c>
      <c r="H2468">
        <v>10</v>
      </c>
      <c r="I2468">
        <v>86.36</v>
      </c>
      <c r="J2468">
        <v>0.76</v>
      </c>
      <c r="K2468" t="str" cm="1">
        <f t="array" ref="K2468">_xlfn.IFS(Table4_2[[#This Row],[Growth Days]]&lt;=14,"Seedling",Table4_2[[#This Row],[Growth Days]]&lt;=35, "Vegetative",Table4_2[[#This Row],[Growth Days]]&lt;=50, "Maturity")</f>
        <v>Seedling</v>
      </c>
      <c r="L2468" t="str">
        <f>IF(Table4_2[[#This Row],[TDS Value (ppm)]]&lt;560, "Low", IF(Table4_2[[#This Row],[TDS Value (ppm)]]&lt;=800,"Optimal","High"))</f>
        <v>Optimal</v>
      </c>
    </row>
    <row r="2469" spans="1:12" x14ac:dyDescent="0.25">
      <c r="A2469">
        <v>32</v>
      </c>
      <c r="B2469" s="1">
        <v>45157</v>
      </c>
      <c r="C2469" s="1" t="str">
        <f>TEXT(Table4_2[[#This Row],[Date]],"dddd")</f>
        <v>Saturday</v>
      </c>
      <c r="D2469" s="21">
        <v>30.8</v>
      </c>
      <c r="E2469" s="21">
        <v>60</v>
      </c>
      <c r="F2469" s="21">
        <v>738</v>
      </c>
      <c r="G2469" s="21">
        <v>6.1</v>
      </c>
      <c r="H2469">
        <v>17</v>
      </c>
      <c r="I2469">
        <v>87.44</v>
      </c>
      <c r="J2469">
        <v>0.6</v>
      </c>
      <c r="K2469" t="str" cm="1">
        <f t="array" ref="K2469">_xlfn.IFS(Table4_2[[#This Row],[Growth Days]]&lt;=14,"Seedling",Table4_2[[#This Row],[Growth Days]]&lt;=35, "Vegetative",Table4_2[[#This Row],[Growth Days]]&lt;=50, "Maturity")</f>
        <v>Vegetative</v>
      </c>
      <c r="L2469" t="str">
        <f>IF(Table4_2[[#This Row],[TDS Value (ppm)]]&lt;560, "Low", IF(Table4_2[[#This Row],[TDS Value (ppm)]]&lt;=800,"Optimal","High"))</f>
        <v>Optimal</v>
      </c>
    </row>
    <row r="2470" spans="1:12" x14ac:dyDescent="0.25">
      <c r="A2470">
        <v>32</v>
      </c>
      <c r="B2470" s="1">
        <v>45164</v>
      </c>
      <c r="C2470" s="1" t="str">
        <f>TEXT(Table4_2[[#This Row],[Date]],"dddd")</f>
        <v>Saturday</v>
      </c>
      <c r="D2470" s="21">
        <v>31.4</v>
      </c>
      <c r="E2470" s="21">
        <v>70</v>
      </c>
      <c r="F2470" s="21">
        <v>588</v>
      </c>
      <c r="G2470" s="21">
        <v>6.3</v>
      </c>
      <c r="H2470">
        <v>24</v>
      </c>
      <c r="I2470">
        <v>88.52</v>
      </c>
      <c r="J2470">
        <v>0.7</v>
      </c>
      <c r="K2470" t="str" cm="1">
        <f t="array" ref="K2470">_xlfn.IFS(Table4_2[[#This Row],[Growth Days]]&lt;=14,"Seedling",Table4_2[[#This Row],[Growth Days]]&lt;=35, "Vegetative",Table4_2[[#This Row],[Growth Days]]&lt;=50, "Maturity")</f>
        <v>Vegetative</v>
      </c>
      <c r="L2470" t="str">
        <f>IF(Table4_2[[#This Row],[TDS Value (ppm)]]&lt;560, "Low", IF(Table4_2[[#This Row],[TDS Value (ppm)]]&lt;=800,"Optimal","High"))</f>
        <v>Optimal</v>
      </c>
    </row>
    <row r="2471" spans="1:12" x14ac:dyDescent="0.25">
      <c r="A2471">
        <v>32</v>
      </c>
      <c r="B2471" s="1">
        <v>45171</v>
      </c>
      <c r="C2471" s="1" t="str">
        <f>TEXT(Table4_2[[#This Row],[Date]],"dddd")</f>
        <v>Saturday</v>
      </c>
      <c r="D2471" s="21">
        <v>31.7</v>
      </c>
      <c r="E2471" s="21">
        <v>72</v>
      </c>
      <c r="F2471" s="21">
        <v>455</v>
      </c>
      <c r="G2471" s="21">
        <v>6.7</v>
      </c>
      <c r="H2471">
        <v>31</v>
      </c>
      <c r="I2471">
        <v>89.06</v>
      </c>
      <c r="J2471">
        <v>0.72</v>
      </c>
      <c r="K2471" t="str" cm="1">
        <f t="array" ref="K2471">_xlfn.IFS(Table4_2[[#This Row],[Growth Days]]&lt;=14,"Seedling",Table4_2[[#This Row],[Growth Days]]&lt;=35, "Vegetative",Table4_2[[#This Row],[Growth Days]]&lt;=50, "Maturity")</f>
        <v>Vegetative</v>
      </c>
      <c r="L2471" t="str">
        <f>IF(Table4_2[[#This Row],[TDS Value (ppm)]]&lt;560, "Low", IF(Table4_2[[#This Row],[TDS Value (ppm)]]&lt;=800,"Optimal","High"))</f>
        <v>Low</v>
      </c>
    </row>
    <row r="2472" spans="1:12" x14ac:dyDescent="0.25">
      <c r="A2472">
        <v>32</v>
      </c>
      <c r="B2472" s="1">
        <v>45178</v>
      </c>
      <c r="C2472" s="1" t="str">
        <f>TEXT(Table4_2[[#This Row],[Date]],"dddd")</f>
        <v>Saturday</v>
      </c>
      <c r="D2472" s="21">
        <v>20.100000000000001</v>
      </c>
      <c r="E2472" s="21">
        <v>51</v>
      </c>
      <c r="F2472" s="21">
        <v>522</v>
      </c>
      <c r="G2472" s="21">
        <v>6.2</v>
      </c>
      <c r="H2472">
        <v>38</v>
      </c>
      <c r="I2472">
        <v>68.180000000000007</v>
      </c>
      <c r="J2472">
        <v>0.51</v>
      </c>
      <c r="K2472" t="str" cm="1">
        <f t="array" ref="K2472">_xlfn.IFS(Table4_2[[#This Row],[Growth Days]]&lt;=14,"Seedling",Table4_2[[#This Row],[Growth Days]]&lt;=35, "Vegetative",Table4_2[[#This Row],[Growth Days]]&lt;=50, "Maturity")</f>
        <v>Maturity</v>
      </c>
      <c r="L2472" t="str">
        <f>IF(Table4_2[[#This Row],[TDS Value (ppm)]]&lt;560, "Low", IF(Table4_2[[#This Row],[TDS Value (ppm)]]&lt;=800,"Optimal","High"))</f>
        <v>Low</v>
      </c>
    </row>
    <row r="2473" spans="1:12" x14ac:dyDescent="0.25">
      <c r="A2473">
        <v>32</v>
      </c>
      <c r="B2473" s="1">
        <v>45185</v>
      </c>
      <c r="C2473" s="1" t="str">
        <f>TEXT(Table4_2[[#This Row],[Date]],"dddd")</f>
        <v>Saturday</v>
      </c>
      <c r="D2473" s="21">
        <v>31.5</v>
      </c>
      <c r="E2473" s="21">
        <v>78</v>
      </c>
      <c r="F2473" s="21">
        <v>695</v>
      </c>
      <c r="G2473" s="21">
        <v>6.4</v>
      </c>
      <c r="H2473">
        <v>45</v>
      </c>
      <c r="I2473">
        <v>88.7</v>
      </c>
      <c r="J2473">
        <v>0.78</v>
      </c>
      <c r="K2473" t="str" cm="1">
        <f t="array" ref="K2473">_xlfn.IFS(Table4_2[[#This Row],[Growth Days]]&lt;=14,"Seedling",Table4_2[[#This Row],[Growth Days]]&lt;=35, "Vegetative",Table4_2[[#This Row],[Growth Days]]&lt;=50, "Maturity")</f>
        <v>Maturity</v>
      </c>
      <c r="L2473" t="str">
        <f>IF(Table4_2[[#This Row],[TDS Value (ppm)]]&lt;560, "Low", IF(Table4_2[[#This Row],[TDS Value (ppm)]]&lt;=800,"Optimal","High"))</f>
        <v>Optimal</v>
      </c>
    </row>
    <row r="2474" spans="1:12" x14ac:dyDescent="0.25">
      <c r="A2474">
        <v>33</v>
      </c>
      <c r="B2474" s="1">
        <v>45143</v>
      </c>
      <c r="C2474" s="1" t="str">
        <f>TEXT(Table4_2[[#This Row],[Date]],"dddd")</f>
        <v>Saturday</v>
      </c>
      <c r="D2474" s="21">
        <v>33.4</v>
      </c>
      <c r="E2474" s="21">
        <v>51</v>
      </c>
      <c r="F2474" s="21">
        <v>424</v>
      </c>
      <c r="G2474" s="21">
        <v>6.5</v>
      </c>
      <c r="H2474">
        <v>3</v>
      </c>
      <c r="I2474">
        <v>92.12</v>
      </c>
      <c r="J2474">
        <v>0.51</v>
      </c>
      <c r="K2474" t="str" cm="1">
        <f t="array" ref="K2474">_xlfn.IFS(Table4_2[[#This Row],[Growth Days]]&lt;=14,"Seedling",Table4_2[[#This Row],[Growth Days]]&lt;=35, "Vegetative",Table4_2[[#This Row],[Growth Days]]&lt;=50, "Maturity")</f>
        <v>Seedling</v>
      </c>
      <c r="L2474" t="str">
        <f>IF(Table4_2[[#This Row],[TDS Value (ppm)]]&lt;560, "Low", IF(Table4_2[[#This Row],[TDS Value (ppm)]]&lt;=800,"Optimal","High"))</f>
        <v>Low</v>
      </c>
    </row>
    <row r="2475" spans="1:12" x14ac:dyDescent="0.25">
      <c r="A2475">
        <v>33</v>
      </c>
      <c r="B2475" s="1">
        <v>45150</v>
      </c>
      <c r="C2475" s="1" t="str">
        <f>TEXT(Table4_2[[#This Row],[Date]],"dddd")</f>
        <v>Saturday</v>
      </c>
      <c r="D2475" s="21">
        <v>30.2</v>
      </c>
      <c r="E2475" s="21">
        <v>69</v>
      </c>
      <c r="F2475" s="21">
        <v>556</v>
      </c>
      <c r="G2475" s="21">
        <v>6.8</v>
      </c>
      <c r="H2475">
        <v>10</v>
      </c>
      <c r="I2475">
        <v>86.36</v>
      </c>
      <c r="J2475">
        <v>0.69</v>
      </c>
      <c r="K2475" t="str" cm="1">
        <f t="array" ref="K2475">_xlfn.IFS(Table4_2[[#This Row],[Growth Days]]&lt;=14,"Seedling",Table4_2[[#This Row],[Growth Days]]&lt;=35, "Vegetative",Table4_2[[#This Row],[Growth Days]]&lt;=50, "Maturity")</f>
        <v>Seedling</v>
      </c>
      <c r="L2475" t="str">
        <f>IF(Table4_2[[#This Row],[TDS Value (ppm)]]&lt;560, "Low", IF(Table4_2[[#This Row],[TDS Value (ppm)]]&lt;=800,"Optimal","High"))</f>
        <v>Low</v>
      </c>
    </row>
    <row r="2476" spans="1:12" x14ac:dyDescent="0.25">
      <c r="A2476">
        <v>33</v>
      </c>
      <c r="B2476" s="1">
        <v>45157</v>
      </c>
      <c r="C2476" s="1" t="str">
        <f>TEXT(Table4_2[[#This Row],[Date]],"dddd")</f>
        <v>Saturday</v>
      </c>
      <c r="D2476" s="21">
        <v>30.8</v>
      </c>
      <c r="E2476" s="21">
        <v>77</v>
      </c>
      <c r="F2476" s="21">
        <v>719</v>
      </c>
      <c r="G2476" s="21">
        <v>6.2</v>
      </c>
      <c r="H2476">
        <v>17</v>
      </c>
      <c r="I2476">
        <v>87.44</v>
      </c>
      <c r="J2476">
        <v>0.77</v>
      </c>
      <c r="K2476" t="str" cm="1">
        <f t="array" ref="K2476">_xlfn.IFS(Table4_2[[#This Row],[Growth Days]]&lt;=14,"Seedling",Table4_2[[#This Row],[Growth Days]]&lt;=35, "Vegetative",Table4_2[[#This Row],[Growth Days]]&lt;=50, "Maturity")</f>
        <v>Vegetative</v>
      </c>
      <c r="L2476" t="str">
        <f>IF(Table4_2[[#This Row],[TDS Value (ppm)]]&lt;560, "Low", IF(Table4_2[[#This Row],[TDS Value (ppm)]]&lt;=800,"Optimal","High"))</f>
        <v>Optimal</v>
      </c>
    </row>
    <row r="2477" spans="1:12" x14ac:dyDescent="0.25">
      <c r="A2477">
        <v>33</v>
      </c>
      <c r="B2477" s="1">
        <v>45164</v>
      </c>
      <c r="C2477" s="1" t="str">
        <f>TEXT(Table4_2[[#This Row],[Date]],"dddd")</f>
        <v>Saturday</v>
      </c>
      <c r="D2477" s="21">
        <v>31.4</v>
      </c>
      <c r="E2477" s="21">
        <v>80</v>
      </c>
      <c r="F2477" s="21">
        <v>600</v>
      </c>
      <c r="G2477" s="21">
        <v>6.6</v>
      </c>
      <c r="H2477">
        <v>24</v>
      </c>
      <c r="I2477">
        <v>88.52</v>
      </c>
      <c r="J2477">
        <v>0.8</v>
      </c>
      <c r="K2477" t="str" cm="1">
        <f t="array" ref="K2477">_xlfn.IFS(Table4_2[[#This Row],[Growth Days]]&lt;=14,"Seedling",Table4_2[[#This Row],[Growth Days]]&lt;=35, "Vegetative",Table4_2[[#This Row],[Growth Days]]&lt;=50, "Maturity")</f>
        <v>Vegetative</v>
      </c>
      <c r="L2477" t="str">
        <f>IF(Table4_2[[#This Row],[TDS Value (ppm)]]&lt;560, "Low", IF(Table4_2[[#This Row],[TDS Value (ppm)]]&lt;=800,"Optimal","High"))</f>
        <v>Optimal</v>
      </c>
    </row>
    <row r="2478" spans="1:12" x14ac:dyDescent="0.25">
      <c r="A2478">
        <v>33</v>
      </c>
      <c r="B2478" s="1">
        <v>45171</v>
      </c>
      <c r="C2478" s="1" t="str">
        <f>TEXT(Table4_2[[#This Row],[Date]],"dddd")</f>
        <v>Saturday</v>
      </c>
      <c r="D2478" s="21">
        <v>31.7</v>
      </c>
      <c r="E2478" s="21">
        <v>52</v>
      </c>
      <c r="F2478" s="21">
        <v>456</v>
      </c>
      <c r="G2478" s="21">
        <v>6.6</v>
      </c>
      <c r="H2478">
        <v>31</v>
      </c>
      <c r="I2478">
        <v>89.06</v>
      </c>
      <c r="J2478">
        <v>0.52</v>
      </c>
      <c r="K2478" t="str" cm="1">
        <f t="array" ref="K2478">_xlfn.IFS(Table4_2[[#This Row],[Growth Days]]&lt;=14,"Seedling",Table4_2[[#This Row],[Growth Days]]&lt;=35, "Vegetative",Table4_2[[#This Row],[Growth Days]]&lt;=50, "Maturity")</f>
        <v>Vegetative</v>
      </c>
      <c r="L2478" t="str">
        <f>IF(Table4_2[[#This Row],[TDS Value (ppm)]]&lt;560, "Low", IF(Table4_2[[#This Row],[TDS Value (ppm)]]&lt;=800,"Optimal","High"))</f>
        <v>Low</v>
      </c>
    </row>
    <row r="2479" spans="1:12" x14ac:dyDescent="0.25">
      <c r="A2479">
        <v>33</v>
      </c>
      <c r="B2479" s="1">
        <v>45178</v>
      </c>
      <c r="C2479" s="1" t="str">
        <f>TEXT(Table4_2[[#This Row],[Date]],"dddd")</f>
        <v>Saturday</v>
      </c>
      <c r="D2479" s="21">
        <v>20.100000000000001</v>
      </c>
      <c r="E2479" s="21">
        <v>70</v>
      </c>
      <c r="F2479" s="21">
        <v>440</v>
      </c>
      <c r="G2479" s="21">
        <v>6.1</v>
      </c>
      <c r="H2479">
        <v>38</v>
      </c>
      <c r="I2479">
        <v>68.180000000000007</v>
      </c>
      <c r="J2479">
        <v>0.7</v>
      </c>
      <c r="K2479" t="str" cm="1">
        <f t="array" ref="K2479">_xlfn.IFS(Table4_2[[#This Row],[Growth Days]]&lt;=14,"Seedling",Table4_2[[#This Row],[Growth Days]]&lt;=35, "Vegetative",Table4_2[[#This Row],[Growth Days]]&lt;=50, "Maturity")</f>
        <v>Maturity</v>
      </c>
      <c r="L2479" t="str">
        <f>IF(Table4_2[[#This Row],[TDS Value (ppm)]]&lt;560, "Low", IF(Table4_2[[#This Row],[TDS Value (ppm)]]&lt;=800,"Optimal","High"))</f>
        <v>Low</v>
      </c>
    </row>
    <row r="2480" spans="1:12" x14ac:dyDescent="0.25">
      <c r="A2480">
        <v>33</v>
      </c>
      <c r="B2480" s="1">
        <v>45185</v>
      </c>
      <c r="C2480" s="1" t="str">
        <f>TEXT(Table4_2[[#This Row],[Date]],"dddd")</f>
        <v>Saturday</v>
      </c>
      <c r="D2480" s="21">
        <v>31.5</v>
      </c>
      <c r="E2480" s="21">
        <v>77</v>
      </c>
      <c r="F2480" s="21">
        <v>466</v>
      </c>
      <c r="G2480" s="21">
        <v>6.3</v>
      </c>
      <c r="H2480">
        <v>45</v>
      </c>
      <c r="I2480">
        <v>88.7</v>
      </c>
      <c r="J2480">
        <v>0.77</v>
      </c>
      <c r="K2480" t="str" cm="1">
        <f t="array" ref="K2480">_xlfn.IFS(Table4_2[[#This Row],[Growth Days]]&lt;=14,"Seedling",Table4_2[[#This Row],[Growth Days]]&lt;=35, "Vegetative",Table4_2[[#This Row],[Growth Days]]&lt;=50, "Maturity")</f>
        <v>Maturity</v>
      </c>
      <c r="L2480" t="str">
        <f>IF(Table4_2[[#This Row],[TDS Value (ppm)]]&lt;560, "Low", IF(Table4_2[[#This Row],[TDS Value (ppm)]]&lt;=800,"Optimal","High"))</f>
        <v>Low</v>
      </c>
    </row>
    <row r="2481" spans="1:12" x14ac:dyDescent="0.25">
      <c r="A2481">
        <v>34</v>
      </c>
      <c r="B2481" s="1">
        <v>45143</v>
      </c>
      <c r="C2481" s="1" t="str">
        <f>TEXT(Table4_2[[#This Row],[Date]],"dddd")</f>
        <v>Saturday</v>
      </c>
      <c r="D2481" s="21">
        <v>33.4</v>
      </c>
      <c r="E2481" s="21">
        <v>77</v>
      </c>
      <c r="F2481" s="21">
        <v>495</v>
      </c>
      <c r="G2481" s="21">
        <v>6.1</v>
      </c>
      <c r="H2481">
        <v>3</v>
      </c>
      <c r="I2481">
        <v>92.12</v>
      </c>
      <c r="J2481">
        <v>0.77</v>
      </c>
      <c r="K2481" t="str" cm="1">
        <f t="array" ref="K2481">_xlfn.IFS(Table4_2[[#This Row],[Growth Days]]&lt;=14,"Seedling",Table4_2[[#This Row],[Growth Days]]&lt;=35, "Vegetative",Table4_2[[#This Row],[Growth Days]]&lt;=50, "Maturity")</f>
        <v>Seedling</v>
      </c>
      <c r="L2481" t="str">
        <f>IF(Table4_2[[#This Row],[TDS Value (ppm)]]&lt;560, "Low", IF(Table4_2[[#This Row],[TDS Value (ppm)]]&lt;=800,"Optimal","High"))</f>
        <v>Low</v>
      </c>
    </row>
    <row r="2482" spans="1:12" x14ac:dyDescent="0.25">
      <c r="A2482">
        <v>34</v>
      </c>
      <c r="B2482" s="1">
        <v>45150</v>
      </c>
      <c r="C2482" s="1" t="str">
        <f>TEXT(Table4_2[[#This Row],[Date]],"dddd")</f>
        <v>Saturday</v>
      </c>
      <c r="D2482" s="21">
        <v>30.2</v>
      </c>
      <c r="E2482" s="21">
        <v>78</v>
      </c>
      <c r="F2482" s="21">
        <v>435</v>
      </c>
      <c r="G2482" s="21">
        <v>6</v>
      </c>
      <c r="H2482">
        <v>10</v>
      </c>
      <c r="I2482">
        <v>86.36</v>
      </c>
      <c r="J2482">
        <v>0.78</v>
      </c>
      <c r="K2482" t="str" cm="1">
        <f t="array" ref="K2482">_xlfn.IFS(Table4_2[[#This Row],[Growth Days]]&lt;=14,"Seedling",Table4_2[[#This Row],[Growth Days]]&lt;=35, "Vegetative",Table4_2[[#This Row],[Growth Days]]&lt;=50, "Maturity")</f>
        <v>Seedling</v>
      </c>
      <c r="L2482" t="str">
        <f>IF(Table4_2[[#This Row],[TDS Value (ppm)]]&lt;560, "Low", IF(Table4_2[[#This Row],[TDS Value (ppm)]]&lt;=800,"Optimal","High"))</f>
        <v>Low</v>
      </c>
    </row>
    <row r="2483" spans="1:12" x14ac:dyDescent="0.25">
      <c r="A2483">
        <v>34</v>
      </c>
      <c r="B2483" s="1">
        <v>45157</v>
      </c>
      <c r="C2483" s="1" t="str">
        <f>TEXT(Table4_2[[#This Row],[Date]],"dddd")</f>
        <v>Saturday</v>
      </c>
      <c r="D2483" s="21">
        <v>30.8</v>
      </c>
      <c r="E2483" s="21">
        <v>80</v>
      </c>
      <c r="F2483" s="21">
        <v>763</v>
      </c>
      <c r="G2483" s="21">
        <v>6.1</v>
      </c>
      <c r="H2483">
        <v>17</v>
      </c>
      <c r="I2483">
        <v>87.44</v>
      </c>
      <c r="J2483">
        <v>0.8</v>
      </c>
      <c r="K2483" t="str" cm="1">
        <f t="array" ref="K2483">_xlfn.IFS(Table4_2[[#This Row],[Growth Days]]&lt;=14,"Seedling",Table4_2[[#This Row],[Growth Days]]&lt;=35, "Vegetative",Table4_2[[#This Row],[Growth Days]]&lt;=50, "Maturity")</f>
        <v>Vegetative</v>
      </c>
      <c r="L2483" t="str">
        <f>IF(Table4_2[[#This Row],[TDS Value (ppm)]]&lt;560, "Low", IF(Table4_2[[#This Row],[TDS Value (ppm)]]&lt;=800,"Optimal","High"))</f>
        <v>Optimal</v>
      </c>
    </row>
    <row r="2484" spans="1:12" x14ac:dyDescent="0.25">
      <c r="A2484">
        <v>34</v>
      </c>
      <c r="B2484" s="1">
        <v>45164</v>
      </c>
      <c r="C2484" s="1" t="str">
        <f>TEXT(Table4_2[[#This Row],[Date]],"dddd")</f>
        <v>Saturday</v>
      </c>
      <c r="D2484" s="21">
        <v>31.4</v>
      </c>
      <c r="E2484" s="21">
        <v>53</v>
      </c>
      <c r="F2484" s="21">
        <v>717</v>
      </c>
      <c r="G2484" s="21">
        <v>6.6</v>
      </c>
      <c r="H2484">
        <v>24</v>
      </c>
      <c r="I2484">
        <v>88.52</v>
      </c>
      <c r="J2484">
        <v>0.53</v>
      </c>
      <c r="K2484" t="str" cm="1">
        <f t="array" ref="K2484">_xlfn.IFS(Table4_2[[#This Row],[Growth Days]]&lt;=14,"Seedling",Table4_2[[#This Row],[Growth Days]]&lt;=35, "Vegetative",Table4_2[[#This Row],[Growth Days]]&lt;=50, "Maturity")</f>
        <v>Vegetative</v>
      </c>
      <c r="L2484" t="str">
        <f>IF(Table4_2[[#This Row],[TDS Value (ppm)]]&lt;560, "Low", IF(Table4_2[[#This Row],[TDS Value (ppm)]]&lt;=800,"Optimal","High"))</f>
        <v>Optimal</v>
      </c>
    </row>
    <row r="2485" spans="1:12" x14ac:dyDescent="0.25">
      <c r="A2485">
        <v>34</v>
      </c>
      <c r="B2485" s="1">
        <v>45171</v>
      </c>
      <c r="C2485" s="1" t="str">
        <f>TEXT(Table4_2[[#This Row],[Date]],"dddd")</f>
        <v>Saturday</v>
      </c>
      <c r="D2485" s="21">
        <v>31.7</v>
      </c>
      <c r="E2485" s="21">
        <v>68</v>
      </c>
      <c r="F2485" s="21">
        <v>597</v>
      </c>
      <c r="G2485" s="21">
        <v>6.7</v>
      </c>
      <c r="H2485">
        <v>31</v>
      </c>
      <c r="I2485">
        <v>89.06</v>
      </c>
      <c r="J2485">
        <v>0.68</v>
      </c>
      <c r="K2485" t="str" cm="1">
        <f t="array" ref="K2485">_xlfn.IFS(Table4_2[[#This Row],[Growth Days]]&lt;=14,"Seedling",Table4_2[[#This Row],[Growth Days]]&lt;=35, "Vegetative",Table4_2[[#This Row],[Growth Days]]&lt;=50, "Maturity")</f>
        <v>Vegetative</v>
      </c>
      <c r="L2485" t="str">
        <f>IF(Table4_2[[#This Row],[TDS Value (ppm)]]&lt;560, "Low", IF(Table4_2[[#This Row],[TDS Value (ppm)]]&lt;=800,"Optimal","High"))</f>
        <v>Optimal</v>
      </c>
    </row>
    <row r="2486" spans="1:12" x14ac:dyDescent="0.25">
      <c r="A2486">
        <v>34</v>
      </c>
      <c r="B2486" s="1">
        <v>45178</v>
      </c>
      <c r="C2486" s="1" t="str">
        <f>TEXT(Table4_2[[#This Row],[Date]],"dddd")</f>
        <v>Saturday</v>
      </c>
      <c r="D2486" s="21">
        <v>20.100000000000001</v>
      </c>
      <c r="E2486" s="21">
        <v>60</v>
      </c>
      <c r="F2486" s="21">
        <v>560</v>
      </c>
      <c r="G2486" s="21">
        <v>6.4</v>
      </c>
      <c r="H2486">
        <v>38</v>
      </c>
      <c r="I2486">
        <v>68.180000000000007</v>
      </c>
      <c r="J2486">
        <v>0.6</v>
      </c>
      <c r="K2486" t="str" cm="1">
        <f t="array" ref="K2486">_xlfn.IFS(Table4_2[[#This Row],[Growth Days]]&lt;=14,"Seedling",Table4_2[[#This Row],[Growth Days]]&lt;=35, "Vegetative",Table4_2[[#This Row],[Growth Days]]&lt;=50, "Maturity")</f>
        <v>Maturity</v>
      </c>
      <c r="L2486" t="str">
        <f>IF(Table4_2[[#This Row],[TDS Value (ppm)]]&lt;560, "Low", IF(Table4_2[[#This Row],[TDS Value (ppm)]]&lt;=800,"Optimal","High"))</f>
        <v>Optimal</v>
      </c>
    </row>
    <row r="2487" spans="1:12" x14ac:dyDescent="0.25">
      <c r="A2487">
        <v>34</v>
      </c>
      <c r="B2487" s="1">
        <v>45185</v>
      </c>
      <c r="C2487" s="1" t="str">
        <f>TEXT(Table4_2[[#This Row],[Date]],"dddd")</f>
        <v>Saturday</v>
      </c>
      <c r="D2487" s="21">
        <v>31.5</v>
      </c>
      <c r="E2487" s="21">
        <v>73</v>
      </c>
      <c r="F2487" s="21">
        <v>596</v>
      </c>
      <c r="G2487" s="21">
        <v>6.6</v>
      </c>
      <c r="H2487">
        <v>45</v>
      </c>
      <c r="I2487">
        <v>88.7</v>
      </c>
      <c r="J2487">
        <v>0.73</v>
      </c>
      <c r="K2487" t="str" cm="1">
        <f t="array" ref="K2487">_xlfn.IFS(Table4_2[[#This Row],[Growth Days]]&lt;=14,"Seedling",Table4_2[[#This Row],[Growth Days]]&lt;=35, "Vegetative",Table4_2[[#This Row],[Growth Days]]&lt;=50, "Maturity")</f>
        <v>Maturity</v>
      </c>
      <c r="L2487" t="str">
        <f>IF(Table4_2[[#This Row],[TDS Value (ppm)]]&lt;560, "Low", IF(Table4_2[[#This Row],[TDS Value (ppm)]]&lt;=800,"Optimal","High"))</f>
        <v>Optimal</v>
      </c>
    </row>
    <row r="2488" spans="1:12" x14ac:dyDescent="0.25">
      <c r="A2488">
        <v>35</v>
      </c>
      <c r="B2488" s="1">
        <v>45143</v>
      </c>
      <c r="C2488" s="1" t="str">
        <f>TEXT(Table4_2[[#This Row],[Date]],"dddd")</f>
        <v>Saturday</v>
      </c>
      <c r="D2488" s="21">
        <v>33.4</v>
      </c>
      <c r="E2488" s="21">
        <v>68</v>
      </c>
      <c r="F2488" s="21">
        <v>613</v>
      </c>
      <c r="G2488" s="21">
        <v>6.1</v>
      </c>
      <c r="H2488">
        <v>3</v>
      </c>
      <c r="I2488">
        <v>92.12</v>
      </c>
      <c r="J2488">
        <v>0.68</v>
      </c>
      <c r="K2488" t="str" cm="1">
        <f t="array" ref="K2488">_xlfn.IFS(Table4_2[[#This Row],[Growth Days]]&lt;=14,"Seedling",Table4_2[[#This Row],[Growth Days]]&lt;=35, "Vegetative",Table4_2[[#This Row],[Growth Days]]&lt;=50, "Maturity")</f>
        <v>Seedling</v>
      </c>
      <c r="L2488" t="str">
        <f>IF(Table4_2[[#This Row],[TDS Value (ppm)]]&lt;560, "Low", IF(Table4_2[[#This Row],[TDS Value (ppm)]]&lt;=800,"Optimal","High"))</f>
        <v>Optimal</v>
      </c>
    </row>
    <row r="2489" spans="1:12" x14ac:dyDescent="0.25">
      <c r="A2489">
        <v>35</v>
      </c>
      <c r="B2489" s="1">
        <v>45150</v>
      </c>
      <c r="C2489" s="1" t="str">
        <f>TEXT(Table4_2[[#This Row],[Date]],"dddd")</f>
        <v>Saturday</v>
      </c>
      <c r="D2489" s="21">
        <v>30.2</v>
      </c>
      <c r="E2489" s="21">
        <v>79</v>
      </c>
      <c r="F2489" s="21">
        <v>415</v>
      </c>
      <c r="G2489" s="21">
        <v>6</v>
      </c>
      <c r="H2489">
        <v>10</v>
      </c>
      <c r="I2489">
        <v>86.36</v>
      </c>
      <c r="J2489">
        <v>0.79</v>
      </c>
      <c r="K2489" t="str" cm="1">
        <f t="array" ref="K2489">_xlfn.IFS(Table4_2[[#This Row],[Growth Days]]&lt;=14,"Seedling",Table4_2[[#This Row],[Growth Days]]&lt;=35, "Vegetative",Table4_2[[#This Row],[Growth Days]]&lt;=50, "Maturity")</f>
        <v>Seedling</v>
      </c>
      <c r="L2489" t="str">
        <f>IF(Table4_2[[#This Row],[TDS Value (ppm)]]&lt;560, "Low", IF(Table4_2[[#This Row],[TDS Value (ppm)]]&lt;=800,"Optimal","High"))</f>
        <v>Low</v>
      </c>
    </row>
    <row r="2490" spans="1:12" x14ac:dyDescent="0.25">
      <c r="A2490">
        <v>35</v>
      </c>
      <c r="B2490" s="1">
        <v>45157</v>
      </c>
      <c r="C2490" s="1" t="str">
        <f>TEXT(Table4_2[[#This Row],[Date]],"dddd")</f>
        <v>Saturday</v>
      </c>
      <c r="D2490" s="21">
        <v>30.8</v>
      </c>
      <c r="E2490" s="21">
        <v>63</v>
      </c>
      <c r="F2490" s="21">
        <v>565</v>
      </c>
      <c r="G2490" s="21">
        <v>6.3</v>
      </c>
      <c r="H2490">
        <v>17</v>
      </c>
      <c r="I2490">
        <v>87.44</v>
      </c>
      <c r="J2490">
        <v>0.63</v>
      </c>
      <c r="K2490" t="str" cm="1">
        <f t="array" ref="K2490">_xlfn.IFS(Table4_2[[#This Row],[Growth Days]]&lt;=14,"Seedling",Table4_2[[#This Row],[Growth Days]]&lt;=35, "Vegetative",Table4_2[[#This Row],[Growth Days]]&lt;=50, "Maturity")</f>
        <v>Vegetative</v>
      </c>
      <c r="L2490" t="str">
        <f>IF(Table4_2[[#This Row],[TDS Value (ppm)]]&lt;560, "Low", IF(Table4_2[[#This Row],[TDS Value (ppm)]]&lt;=800,"Optimal","High"))</f>
        <v>Optimal</v>
      </c>
    </row>
    <row r="2491" spans="1:12" x14ac:dyDescent="0.25">
      <c r="A2491">
        <v>35</v>
      </c>
      <c r="B2491" s="1">
        <v>45164</v>
      </c>
      <c r="C2491" s="1" t="str">
        <f>TEXT(Table4_2[[#This Row],[Date]],"dddd")</f>
        <v>Saturday</v>
      </c>
      <c r="D2491" s="21">
        <v>31.4</v>
      </c>
      <c r="E2491" s="21">
        <v>57</v>
      </c>
      <c r="F2491" s="21">
        <v>466</v>
      </c>
      <c r="G2491" s="21">
        <v>6.4</v>
      </c>
      <c r="H2491">
        <v>24</v>
      </c>
      <c r="I2491">
        <v>88.52</v>
      </c>
      <c r="J2491">
        <v>0.56999999999999995</v>
      </c>
      <c r="K2491" t="str" cm="1">
        <f t="array" ref="K2491">_xlfn.IFS(Table4_2[[#This Row],[Growth Days]]&lt;=14,"Seedling",Table4_2[[#This Row],[Growth Days]]&lt;=35, "Vegetative",Table4_2[[#This Row],[Growth Days]]&lt;=50, "Maturity")</f>
        <v>Vegetative</v>
      </c>
      <c r="L2491" t="str">
        <f>IF(Table4_2[[#This Row],[TDS Value (ppm)]]&lt;560, "Low", IF(Table4_2[[#This Row],[TDS Value (ppm)]]&lt;=800,"Optimal","High"))</f>
        <v>Low</v>
      </c>
    </row>
    <row r="2492" spans="1:12" x14ac:dyDescent="0.25">
      <c r="A2492">
        <v>35</v>
      </c>
      <c r="B2492" s="1">
        <v>45171</v>
      </c>
      <c r="C2492" s="1" t="str">
        <f>TEXT(Table4_2[[#This Row],[Date]],"dddd")</f>
        <v>Saturday</v>
      </c>
      <c r="D2492" s="21">
        <v>31.7</v>
      </c>
      <c r="E2492" s="21">
        <v>65</v>
      </c>
      <c r="F2492" s="21">
        <v>473</v>
      </c>
      <c r="G2492" s="21">
        <v>6.8</v>
      </c>
      <c r="H2492">
        <v>31</v>
      </c>
      <c r="I2492">
        <v>89.06</v>
      </c>
      <c r="J2492">
        <v>0.65</v>
      </c>
      <c r="K2492" t="str" cm="1">
        <f t="array" ref="K2492">_xlfn.IFS(Table4_2[[#This Row],[Growth Days]]&lt;=14,"Seedling",Table4_2[[#This Row],[Growth Days]]&lt;=35, "Vegetative",Table4_2[[#This Row],[Growth Days]]&lt;=50, "Maturity")</f>
        <v>Vegetative</v>
      </c>
      <c r="L2492" t="str">
        <f>IF(Table4_2[[#This Row],[TDS Value (ppm)]]&lt;560, "Low", IF(Table4_2[[#This Row],[TDS Value (ppm)]]&lt;=800,"Optimal","High"))</f>
        <v>Low</v>
      </c>
    </row>
    <row r="2493" spans="1:12" x14ac:dyDescent="0.25">
      <c r="A2493">
        <v>35</v>
      </c>
      <c r="B2493" s="1">
        <v>45178</v>
      </c>
      <c r="C2493" s="1" t="str">
        <f>TEXT(Table4_2[[#This Row],[Date]],"dddd")</f>
        <v>Saturday</v>
      </c>
      <c r="D2493" s="21">
        <v>20.100000000000001</v>
      </c>
      <c r="E2493" s="21">
        <v>50</v>
      </c>
      <c r="F2493" s="21">
        <v>423</v>
      </c>
      <c r="G2493" s="21">
        <v>6.3</v>
      </c>
      <c r="H2493">
        <v>38</v>
      </c>
      <c r="I2493">
        <v>68.180000000000007</v>
      </c>
      <c r="J2493">
        <v>0.5</v>
      </c>
      <c r="K2493" t="str" cm="1">
        <f t="array" ref="K2493">_xlfn.IFS(Table4_2[[#This Row],[Growth Days]]&lt;=14,"Seedling",Table4_2[[#This Row],[Growth Days]]&lt;=35, "Vegetative",Table4_2[[#This Row],[Growth Days]]&lt;=50, "Maturity")</f>
        <v>Maturity</v>
      </c>
      <c r="L2493" t="str">
        <f>IF(Table4_2[[#This Row],[TDS Value (ppm)]]&lt;560, "Low", IF(Table4_2[[#This Row],[TDS Value (ppm)]]&lt;=800,"Optimal","High"))</f>
        <v>Low</v>
      </c>
    </row>
    <row r="2494" spans="1:12" x14ac:dyDescent="0.25">
      <c r="A2494">
        <v>35</v>
      </c>
      <c r="B2494" s="1">
        <v>45185</v>
      </c>
      <c r="C2494" s="1" t="str">
        <f>TEXT(Table4_2[[#This Row],[Date]],"dddd")</f>
        <v>Saturday</v>
      </c>
      <c r="D2494" s="21">
        <v>31.5</v>
      </c>
      <c r="E2494" s="21">
        <v>78</v>
      </c>
      <c r="F2494" s="21">
        <v>469</v>
      </c>
      <c r="G2494" s="21">
        <v>6.2</v>
      </c>
      <c r="H2494">
        <v>45</v>
      </c>
      <c r="I2494">
        <v>88.7</v>
      </c>
      <c r="J2494">
        <v>0.78</v>
      </c>
      <c r="K2494" t="str" cm="1">
        <f t="array" ref="K2494">_xlfn.IFS(Table4_2[[#This Row],[Growth Days]]&lt;=14,"Seedling",Table4_2[[#This Row],[Growth Days]]&lt;=35, "Vegetative",Table4_2[[#This Row],[Growth Days]]&lt;=50, "Maturity")</f>
        <v>Maturity</v>
      </c>
      <c r="L2494" t="str">
        <f>IF(Table4_2[[#This Row],[TDS Value (ppm)]]&lt;560, "Low", IF(Table4_2[[#This Row],[TDS Value (ppm)]]&lt;=800,"Optimal","High"))</f>
        <v>Low</v>
      </c>
    </row>
    <row r="2495" spans="1:12" x14ac:dyDescent="0.25">
      <c r="A2495">
        <v>36</v>
      </c>
      <c r="B2495" s="1">
        <v>45143</v>
      </c>
      <c r="C2495" s="1" t="str">
        <f>TEXT(Table4_2[[#This Row],[Date]],"dddd")</f>
        <v>Saturday</v>
      </c>
      <c r="D2495" s="21">
        <v>33.4</v>
      </c>
      <c r="E2495" s="21">
        <v>51</v>
      </c>
      <c r="F2495" s="21">
        <v>487</v>
      </c>
      <c r="G2495" s="21">
        <v>6.1</v>
      </c>
      <c r="H2495">
        <v>3</v>
      </c>
      <c r="I2495">
        <v>92.12</v>
      </c>
      <c r="J2495">
        <v>0.51</v>
      </c>
      <c r="K2495" t="str" cm="1">
        <f t="array" ref="K2495">_xlfn.IFS(Table4_2[[#This Row],[Growth Days]]&lt;=14,"Seedling",Table4_2[[#This Row],[Growth Days]]&lt;=35, "Vegetative",Table4_2[[#This Row],[Growth Days]]&lt;=50, "Maturity")</f>
        <v>Seedling</v>
      </c>
      <c r="L2495" t="str">
        <f>IF(Table4_2[[#This Row],[TDS Value (ppm)]]&lt;560, "Low", IF(Table4_2[[#This Row],[TDS Value (ppm)]]&lt;=800,"Optimal","High"))</f>
        <v>Low</v>
      </c>
    </row>
    <row r="2496" spans="1:12" x14ac:dyDescent="0.25">
      <c r="A2496">
        <v>36</v>
      </c>
      <c r="B2496" s="1">
        <v>45150</v>
      </c>
      <c r="C2496" s="1" t="str">
        <f>TEXT(Table4_2[[#This Row],[Date]],"dddd")</f>
        <v>Saturday</v>
      </c>
      <c r="D2496" s="21">
        <v>30.2</v>
      </c>
      <c r="E2496" s="21">
        <v>72</v>
      </c>
      <c r="F2496" s="21">
        <v>643</v>
      </c>
      <c r="G2496" s="21">
        <v>6</v>
      </c>
      <c r="H2496">
        <v>10</v>
      </c>
      <c r="I2496">
        <v>86.36</v>
      </c>
      <c r="J2496">
        <v>0.72</v>
      </c>
      <c r="K2496" t="str" cm="1">
        <f t="array" ref="K2496">_xlfn.IFS(Table4_2[[#This Row],[Growth Days]]&lt;=14,"Seedling",Table4_2[[#This Row],[Growth Days]]&lt;=35, "Vegetative",Table4_2[[#This Row],[Growth Days]]&lt;=50, "Maturity")</f>
        <v>Seedling</v>
      </c>
      <c r="L2496" t="str">
        <f>IF(Table4_2[[#This Row],[TDS Value (ppm)]]&lt;560, "Low", IF(Table4_2[[#This Row],[TDS Value (ppm)]]&lt;=800,"Optimal","High"))</f>
        <v>Optimal</v>
      </c>
    </row>
    <row r="2497" spans="1:12" x14ac:dyDescent="0.25">
      <c r="A2497">
        <v>36</v>
      </c>
      <c r="B2497" s="1">
        <v>45157</v>
      </c>
      <c r="C2497" s="1" t="str">
        <f>TEXT(Table4_2[[#This Row],[Date]],"dddd")</f>
        <v>Saturday</v>
      </c>
      <c r="D2497" s="21">
        <v>30.8</v>
      </c>
      <c r="E2497" s="21">
        <v>80</v>
      </c>
      <c r="F2497" s="21">
        <v>509</v>
      </c>
      <c r="G2497" s="21">
        <v>6.6</v>
      </c>
      <c r="H2497">
        <v>17</v>
      </c>
      <c r="I2497">
        <v>87.44</v>
      </c>
      <c r="J2497">
        <v>0.8</v>
      </c>
      <c r="K2497" t="str" cm="1">
        <f t="array" ref="K2497">_xlfn.IFS(Table4_2[[#This Row],[Growth Days]]&lt;=14,"Seedling",Table4_2[[#This Row],[Growth Days]]&lt;=35, "Vegetative",Table4_2[[#This Row],[Growth Days]]&lt;=50, "Maturity")</f>
        <v>Vegetative</v>
      </c>
      <c r="L2497" t="str">
        <f>IF(Table4_2[[#This Row],[TDS Value (ppm)]]&lt;560, "Low", IF(Table4_2[[#This Row],[TDS Value (ppm)]]&lt;=800,"Optimal","High"))</f>
        <v>Low</v>
      </c>
    </row>
    <row r="2498" spans="1:12" x14ac:dyDescent="0.25">
      <c r="A2498">
        <v>36</v>
      </c>
      <c r="B2498" s="1">
        <v>45164</v>
      </c>
      <c r="C2498" s="1" t="str">
        <f>TEXT(Table4_2[[#This Row],[Date]],"dddd")</f>
        <v>Saturday</v>
      </c>
      <c r="D2498" s="21">
        <v>31.4</v>
      </c>
      <c r="E2498" s="21">
        <v>77</v>
      </c>
      <c r="F2498" s="21">
        <v>602</v>
      </c>
      <c r="G2498" s="21">
        <v>6.8</v>
      </c>
      <c r="H2498">
        <v>24</v>
      </c>
      <c r="I2498">
        <v>88.52</v>
      </c>
      <c r="J2498">
        <v>0.77</v>
      </c>
      <c r="K2498" t="str" cm="1">
        <f t="array" ref="K2498">_xlfn.IFS(Table4_2[[#This Row],[Growth Days]]&lt;=14,"Seedling",Table4_2[[#This Row],[Growth Days]]&lt;=35, "Vegetative",Table4_2[[#This Row],[Growth Days]]&lt;=50, "Maturity")</f>
        <v>Vegetative</v>
      </c>
      <c r="L2498" t="str">
        <f>IF(Table4_2[[#This Row],[TDS Value (ppm)]]&lt;560, "Low", IF(Table4_2[[#This Row],[TDS Value (ppm)]]&lt;=800,"Optimal","High"))</f>
        <v>Optimal</v>
      </c>
    </row>
    <row r="2499" spans="1:12" x14ac:dyDescent="0.25">
      <c r="A2499">
        <v>36</v>
      </c>
      <c r="B2499" s="1">
        <v>45171</v>
      </c>
      <c r="C2499" s="1" t="str">
        <f>TEXT(Table4_2[[#This Row],[Date]],"dddd")</f>
        <v>Saturday</v>
      </c>
      <c r="D2499" s="21">
        <v>31.7</v>
      </c>
      <c r="E2499" s="21">
        <v>65</v>
      </c>
      <c r="F2499" s="21">
        <v>599</v>
      </c>
      <c r="G2499" s="21">
        <v>6.3</v>
      </c>
      <c r="H2499">
        <v>31</v>
      </c>
      <c r="I2499">
        <v>89.06</v>
      </c>
      <c r="J2499">
        <v>0.65</v>
      </c>
      <c r="K2499" t="str" cm="1">
        <f t="array" ref="K2499">_xlfn.IFS(Table4_2[[#This Row],[Growth Days]]&lt;=14,"Seedling",Table4_2[[#This Row],[Growth Days]]&lt;=35, "Vegetative",Table4_2[[#This Row],[Growth Days]]&lt;=50, "Maturity")</f>
        <v>Vegetative</v>
      </c>
      <c r="L2499" t="str">
        <f>IF(Table4_2[[#This Row],[TDS Value (ppm)]]&lt;560, "Low", IF(Table4_2[[#This Row],[TDS Value (ppm)]]&lt;=800,"Optimal","High"))</f>
        <v>Optimal</v>
      </c>
    </row>
    <row r="2500" spans="1:12" x14ac:dyDescent="0.25">
      <c r="A2500">
        <v>36</v>
      </c>
      <c r="B2500" s="1">
        <v>45178</v>
      </c>
      <c r="C2500" s="1" t="str">
        <f>TEXT(Table4_2[[#This Row],[Date]],"dddd")</f>
        <v>Saturday</v>
      </c>
      <c r="D2500" s="21">
        <v>20.100000000000001</v>
      </c>
      <c r="E2500" s="21">
        <v>75</v>
      </c>
      <c r="F2500" s="21">
        <v>693</v>
      </c>
      <c r="G2500" s="21">
        <v>6.7</v>
      </c>
      <c r="H2500">
        <v>38</v>
      </c>
      <c r="I2500">
        <v>68.180000000000007</v>
      </c>
      <c r="J2500">
        <v>0.75</v>
      </c>
      <c r="K2500" t="str" cm="1">
        <f t="array" ref="K2500">_xlfn.IFS(Table4_2[[#This Row],[Growth Days]]&lt;=14,"Seedling",Table4_2[[#This Row],[Growth Days]]&lt;=35, "Vegetative",Table4_2[[#This Row],[Growth Days]]&lt;=50, "Maturity")</f>
        <v>Maturity</v>
      </c>
      <c r="L2500" t="str">
        <f>IF(Table4_2[[#This Row],[TDS Value (ppm)]]&lt;560, "Low", IF(Table4_2[[#This Row],[TDS Value (ppm)]]&lt;=800,"Optimal","High"))</f>
        <v>Optimal</v>
      </c>
    </row>
    <row r="2501" spans="1:12" x14ac:dyDescent="0.25">
      <c r="A2501">
        <v>36</v>
      </c>
      <c r="B2501" s="1">
        <v>45185</v>
      </c>
      <c r="C2501" s="1" t="str">
        <f>TEXT(Table4_2[[#This Row],[Date]],"dddd")</f>
        <v>Saturday</v>
      </c>
      <c r="D2501" s="21">
        <v>31.5</v>
      </c>
      <c r="E2501" s="21">
        <v>58</v>
      </c>
      <c r="F2501" s="21">
        <v>769</v>
      </c>
      <c r="G2501" s="21">
        <v>6.1</v>
      </c>
      <c r="H2501">
        <v>45</v>
      </c>
      <c r="I2501">
        <v>88.7</v>
      </c>
      <c r="J2501">
        <v>0.57999999999999996</v>
      </c>
      <c r="K2501" t="str" cm="1">
        <f t="array" ref="K2501">_xlfn.IFS(Table4_2[[#This Row],[Growth Days]]&lt;=14,"Seedling",Table4_2[[#This Row],[Growth Days]]&lt;=35, "Vegetative",Table4_2[[#This Row],[Growth Days]]&lt;=50, "Maturity")</f>
        <v>Maturity</v>
      </c>
      <c r="L2501" t="str">
        <f>IF(Table4_2[[#This Row],[TDS Value (ppm)]]&lt;560, "Low", IF(Table4_2[[#This Row],[TDS Value (ppm)]]&lt;=800,"Optimal","High"))</f>
        <v>Optimal</v>
      </c>
    </row>
    <row r="2502" spans="1:12" x14ac:dyDescent="0.25">
      <c r="A2502">
        <v>37</v>
      </c>
      <c r="B2502" s="1">
        <v>45143</v>
      </c>
      <c r="C2502" s="1" t="str">
        <f>TEXT(Table4_2[[#This Row],[Date]],"dddd")</f>
        <v>Saturday</v>
      </c>
      <c r="D2502" s="21">
        <v>33.4</v>
      </c>
      <c r="E2502" s="21">
        <v>67</v>
      </c>
      <c r="F2502" s="21">
        <v>655</v>
      </c>
      <c r="G2502" s="21">
        <v>6.5</v>
      </c>
      <c r="H2502">
        <v>3</v>
      </c>
      <c r="I2502">
        <v>92.12</v>
      </c>
      <c r="J2502">
        <v>0.67</v>
      </c>
      <c r="K2502" t="str" cm="1">
        <f t="array" ref="K2502">_xlfn.IFS(Table4_2[[#This Row],[Growth Days]]&lt;=14,"Seedling",Table4_2[[#This Row],[Growth Days]]&lt;=35, "Vegetative",Table4_2[[#This Row],[Growth Days]]&lt;=50, "Maturity")</f>
        <v>Seedling</v>
      </c>
      <c r="L2502" t="str">
        <f>IF(Table4_2[[#This Row],[TDS Value (ppm)]]&lt;560, "Low", IF(Table4_2[[#This Row],[TDS Value (ppm)]]&lt;=800,"Optimal","High"))</f>
        <v>Optimal</v>
      </c>
    </row>
    <row r="2503" spans="1:12" x14ac:dyDescent="0.25">
      <c r="A2503">
        <v>37</v>
      </c>
      <c r="B2503" s="1">
        <v>45150</v>
      </c>
      <c r="C2503" s="1" t="str">
        <f>TEXT(Table4_2[[#This Row],[Date]],"dddd")</f>
        <v>Saturday</v>
      </c>
      <c r="D2503" s="21">
        <v>30.2</v>
      </c>
      <c r="E2503" s="21">
        <v>54</v>
      </c>
      <c r="F2503" s="21">
        <v>674</v>
      </c>
      <c r="G2503" s="21">
        <v>6.4</v>
      </c>
      <c r="H2503">
        <v>10</v>
      </c>
      <c r="I2503">
        <v>86.36</v>
      </c>
      <c r="J2503">
        <v>0.54</v>
      </c>
      <c r="K2503" t="str" cm="1">
        <f t="array" ref="K2503">_xlfn.IFS(Table4_2[[#This Row],[Growth Days]]&lt;=14,"Seedling",Table4_2[[#This Row],[Growth Days]]&lt;=35, "Vegetative",Table4_2[[#This Row],[Growth Days]]&lt;=50, "Maturity")</f>
        <v>Seedling</v>
      </c>
      <c r="L2503" t="str">
        <f>IF(Table4_2[[#This Row],[TDS Value (ppm)]]&lt;560, "Low", IF(Table4_2[[#This Row],[TDS Value (ppm)]]&lt;=800,"Optimal","High"))</f>
        <v>Optimal</v>
      </c>
    </row>
    <row r="2504" spans="1:12" x14ac:dyDescent="0.25">
      <c r="A2504">
        <v>37</v>
      </c>
      <c r="B2504" s="1">
        <v>45157</v>
      </c>
      <c r="C2504" s="1" t="str">
        <f>TEXT(Table4_2[[#This Row],[Date]],"dddd")</f>
        <v>Saturday</v>
      </c>
      <c r="D2504" s="21">
        <v>30.8</v>
      </c>
      <c r="E2504" s="21">
        <v>73</v>
      </c>
      <c r="F2504" s="21">
        <v>764</v>
      </c>
      <c r="G2504" s="21">
        <v>6.6</v>
      </c>
      <c r="H2504">
        <v>17</v>
      </c>
      <c r="I2504">
        <v>87.44</v>
      </c>
      <c r="J2504">
        <v>0.73</v>
      </c>
      <c r="K2504" t="str" cm="1">
        <f t="array" ref="K2504">_xlfn.IFS(Table4_2[[#This Row],[Growth Days]]&lt;=14,"Seedling",Table4_2[[#This Row],[Growth Days]]&lt;=35, "Vegetative",Table4_2[[#This Row],[Growth Days]]&lt;=50, "Maturity")</f>
        <v>Vegetative</v>
      </c>
      <c r="L2504" t="str">
        <f>IF(Table4_2[[#This Row],[TDS Value (ppm)]]&lt;560, "Low", IF(Table4_2[[#This Row],[TDS Value (ppm)]]&lt;=800,"Optimal","High"))</f>
        <v>Optimal</v>
      </c>
    </row>
    <row r="2505" spans="1:12" x14ac:dyDescent="0.25">
      <c r="A2505">
        <v>37</v>
      </c>
      <c r="B2505" s="1">
        <v>45164</v>
      </c>
      <c r="C2505" s="1" t="str">
        <f>TEXT(Table4_2[[#This Row],[Date]],"dddd")</f>
        <v>Saturday</v>
      </c>
      <c r="D2505" s="21">
        <v>31.4</v>
      </c>
      <c r="E2505" s="21">
        <v>76</v>
      </c>
      <c r="F2505" s="21">
        <v>745</v>
      </c>
      <c r="G2505" s="21">
        <v>6.3</v>
      </c>
      <c r="H2505">
        <v>24</v>
      </c>
      <c r="I2505">
        <v>88.52</v>
      </c>
      <c r="J2505">
        <v>0.76</v>
      </c>
      <c r="K2505" t="str" cm="1">
        <f t="array" ref="K2505">_xlfn.IFS(Table4_2[[#This Row],[Growth Days]]&lt;=14,"Seedling",Table4_2[[#This Row],[Growth Days]]&lt;=35, "Vegetative",Table4_2[[#This Row],[Growth Days]]&lt;=50, "Maturity")</f>
        <v>Vegetative</v>
      </c>
      <c r="L2505" t="str">
        <f>IF(Table4_2[[#This Row],[TDS Value (ppm)]]&lt;560, "Low", IF(Table4_2[[#This Row],[TDS Value (ppm)]]&lt;=800,"Optimal","High"))</f>
        <v>Optimal</v>
      </c>
    </row>
    <row r="2506" spans="1:12" x14ac:dyDescent="0.25">
      <c r="A2506">
        <v>37</v>
      </c>
      <c r="B2506" s="1">
        <v>45171</v>
      </c>
      <c r="C2506" s="1" t="str">
        <f>TEXT(Table4_2[[#This Row],[Date]],"dddd")</f>
        <v>Saturday</v>
      </c>
      <c r="D2506" s="21">
        <v>31.7</v>
      </c>
      <c r="E2506" s="21">
        <v>60</v>
      </c>
      <c r="F2506" s="21">
        <v>575</v>
      </c>
      <c r="G2506" s="21">
        <v>6.4</v>
      </c>
      <c r="H2506">
        <v>31</v>
      </c>
      <c r="I2506">
        <v>89.06</v>
      </c>
      <c r="J2506">
        <v>0.6</v>
      </c>
      <c r="K2506" t="str" cm="1">
        <f t="array" ref="K2506">_xlfn.IFS(Table4_2[[#This Row],[Growth Days]]&lt;=14,"Seedling",Table4_2[[#This Row],[Growth Days]]&lt;=35, "Vegetative",Table4_2[[#This Row],[Growth Days]]&lt;=50, "Maturity")</f>
        <v>Vegetative</v>
      </c>
      <c r="L2506" t="str">
        <f>IF(Table4_2[[#This Row],[TDS Value (ppm)]]&lt;560, "Low", IF(Table4_2[[#This Row],[TDS Value (ppm)]]&lt;=800,"Optimal","High"))</f>
        <v>Optimal</v>
      </c>
    </row>
    <row r="2507" spans="1:12" x14ac:dyDescent="0.25">
      <c r="A2507">
        <v>37</v>
      </c>
      <c r="B2507" s="1">
        <v>45178</v>
      </c>
      <c r="C2507" s="1" t="str">
        <f>TEXT(Table4_2[[#This Row],[Date]],"dddd")</f>
        <v>Saturday</v>
      </c>
      <c r="D2507" s="21">
        <v>20.100000000000001</v>
      </c>
      <c r="E2507" s="21">
        <v>52</v>
      </c>
      <c r="F2507" s="21">
        <v>588</v>
      </c>
      <c r="G2507" s="21">
        <v>6.3</v>
      </c>
      <c r="H2507">
        <v>38</v>
      </c>
      <c r="I2507">
        <v>68.180000000000007</v>
      </c>
      <c r="J2507">
        <v>0.52</v>
      </c>
      <c r="K2507" t="str" cm="1">
        <f t="array" ref="K2507">_xlfn.IFS(Table4_2[[#This Row],[Growth Days]]&lt;=14,"Seedling",Table4_2[[#This Row],[Growth Days]]&lt;=35, "Vegetative",Table4_2[[#This Row],[Growth Days]]&lt;=50, "Maturity")</f>
        <v>Maturity</v>
      </c>
      <c r="L2507" t="str">
        <f>IF(Table4_2[[#This Row],[TDS Value (ppm)]]&lt;560, "Low", IF(Table4_2[[#This Row],[TDS Value (ppm)]]&lt;=800,"Optimal","High"))</f>
        <v>Optimal</v>
      </c>
    </row>
    <row r="2508" spans="1:12" x14ac:dyDescent="0.25">
      <c r="A2508">
        <v>37</v>
      </c>
      <c r="B2508" s="1">
        <v>45185</v>
      </c>
      <c r="C2508" s="1" t="str">
        <f>TEXT(Table4_2[[#This Row],[Date]],"dddd")</f>
        <v>Saturday</v>
      </c>
      <c r="D2508" s="21">
        <v>31.5</v>
      </c>
      <c r="E2508" s="21">
        <v>69</v>
      </c>
      <c r="F2508" s="21">
        <v>426</v>
      </c>
      <c r="G2508" s="21">
        <v>6</v>
      </c>
      <c r="H2508">
        <v>45</v>
      </c>
      <c r="I2508">
        <v>88.7</v>
      </c>
      <c r="J2508">
        <v>0.69</v>
      </c>
      <c r="K2508" t="str" cm="1">
        <f t="array" ref="K2508">_xlfn.IFS(Table4_2[[#This Row],[Growth Days]]&lt;=14,"Seedling",Table4_2[[#This Row],[Growth Days]]&lt;=35, "Vegetative",Table4_2[[#This Row],[Growth Days]]&lt;=50, "Maturity")</f>
        <v>Maturity</v>
      </c>
      <c r="L2508" t="str">
        <f>IF(Table4_2[[#This Row],[TDS Value (ppm)]]&lt;560, "Low", IF(Table4_2[[#This Row],[TDS Value (ppm)]]&lt;=800,"Optimal","High"))</f>
        <v>Low</v>
      </c>
    </row>
    <row r="2509" spans="1:12" x14ac:dyDescent="0.25">
      <c r="A2509">
        <v>38</v>
      </c>
      <c r="B2509" s="1">
        <v>45143</v>
      </c>
      <c r="C2509" s="1" t="str">
        <f>TEXT(Table4_2[[#This Row],[Date]],"dddd")</f>
        <v>Saturday</v>
      </c>
      <c r="D2509" s="21">
        <v>33.4</v>
      </c>
      <c r="E2509" s="21">
        <v>66</v>
      </c>
      <c r="F2509" s="21">
        <v>634</v>
      </c>
      <c r="G2509" s="21">
        <v>6.2</v>
      </c>
      <c r="H2509">
        <v>3</v>
      </c>
      <c r="I2509">
        <v>92.12</v>
      </c>
      <c r="J2509">
        <v>0.66</v>
      </c>
      <c r="K2509" t="str" cm="1">
        <f t="array" ref="K2509">_xlfn.IFS(Table4_2[[#This Row],[Growth Days]]&lt;=14,"Seedling",Table4_2[[#This Row],[Growth Days]]&lt;=35, "Vegetative",Table4_2[[#This Row],[Growth Days]]&lt;=50, "Maturity")</f>
        <v>Seedling</v>
      </c>
      <c r="L2509" t="str">
        <f>IF(Table4_2[[#This Row],[TDS Value (ppm)]]&lt;560, "Low", IF(Table4_2[[#This Row],[TDS Value (ppm)]]&lt;=800,"Optimal","High"))</f>
        <v>Optimal</v>
      </c>
    </row>
    <row r="2510" spans="1:12" x14ac:dyDescent="0.25">
      <c r="A2510">
        <v>38</v>
      </c>
      <c r="B2510" s="1">
        <v>45150</v>
      </c>
      <c r="C2510" s="1" t="str">
        <f>TEXT(Table4_2[[#This Row],[Date]],"dddd")</f>
        <v>Saturday</v>
      </c>
      <c r="D2510" s="21">
        <v>30.2</v>
      </c>
      <c r="E2510" s="21">
        <v>60</v>
      </c>
      <c r="F2510" s="21">
        <v>728</v>
      </c>
      <c r="G2510" s="21">
        <v>6.8</v>
      </c>
      <c r="H2510">
        <v>10</v>
      </c>
      <c r="I2510">
        <v>86.36</v>
      </c>
      <c r="J2510">
        <v>0.6</v>
      </c>
      <c r="K2510" t="str" cm="1">
        <f t="array" ref="K2510">_xlfn.IFS(Table4_2[[#This Row],[Growth Days]]&lt;=14,"Seedling",Table4_2[[#This Row],[Growth Days]]&lt;=35, "Vegetative",Table4_2[[#This Row],[Growth Days]]&lt;=50, "Maturity")</f>
        <v>Seedling</v>
      </c>
      <c r="L2510" t="str">
        <f>IF(Table4_2[[#This Row],[TDS Value (ppm)]]&lt;560, "Low", IF(Table4_2[[#This Row],[TDS Value (ppm)]]&lt;=800,"Optimal","High"))</f>
        <v>Optimal</v>
      </c>
    </row>
    <row r="2511" spans="1:12" x14ac:dyDescent="0.25">
      <c r="A2511">
        <v>38</v>
      </c>
      <c r="B2511" s="1">
        <v>45157</v>
      </c>
      <c r="C2511" s="1" t="str">
        <f>TEXT(Table4_2[[#This Row],[Date]],"dddd")</f>
        <v>Saturday</v>
      </c>
      <c r="D2511" s="21">
        <v>30.8</v>
      </c>
      <c r="E2511" s="21">
        <v>75</v>
      </c>
      <c r="F2511" s="21">
        <v>526</v>
      </c>
      <c r="G2511" s="21">
        <v>6.7</v>
      </c>
      <c r="H2511">
        <v>17</v>
      </c>
      <c r="I2511">
        <v>87.44</v>
      </c>
      <c r="J2511">
        <v>0.75</v>
      </c>
      <c r="K2511" t="str" cm="1">
        <f t="array" ref="K2511">_xlfn.IFS(Table4_2[[#This Row],[Growth Days]]&lt;=14,"Seedling",Table4_2[[#This Row],[Growth Days]]&lt;=35, "Vegetative",Table4_2[[#This Row],[Growth Days]]&lt;=50, "Maturity")</f>
        <v>Vegetative</v>
      </c>
      <c r="L2511" t="str">
        <f>IF(Table4_2[[#This Row],[TDS Value (ppm)]]&lt;560, "Low", IF(Table4_2[[#This Row],[TDS Value (ppm)]]&lt;=800,"Optimal","High"))</f>
        <v>Low</v>
      </c>
    </row>
    <row r="2512" spans="1:12" x14ac:dyDescent="0.25">
      <c r="A2512">
        <v>38</v>
      </c>
      <c r="B2512" s="1">
        <v>45164</v>
      </c>
      <c r="C2512" s="1" t="str">
        <f>TEXT(Table4_2[[#This Row],[Date]],"dddd")</f>
        <v>Saturday</v>
      </c>
      <c r="D2512" s="21">
        <v>31.4</v>
      </c>
      <c r="E2512" s="21">
        <v>72</v>
      </c>
      <c r="F2512" s="21">
        <v>610</v>
      </c>
      <c r="G2512" s="21">
        <v>6.4</v>
      </c>
      <c r="H2512">
        <v>24</v>
      </c>
      <c r="I2512">
        <v>88.52</v>
      </c>
      <c r="J2512">
        <v>0.72</v>
      </c>
      <c r="K2512" t="str" cm="1">
        <f t="array" ref="K2512">_xlfn.IFS(Table4_2[[#This Row],[Growth Days]]&lt;=14,"Seedling",Table4_2[[#This Row],[Growth Days]]&lt;=35, "Vegetative",Table4_2[[#This Row],[Growth Days]]&lt;=50, "Maturity")</f>
        <v>Vegetative</v>
      </c>
      <c r="L2512" t="str">
        <f>IF(Table4_2[[#This Row],[TDS Value (ppm)]]&lt;560, "Low", IF(Table4_2[[#This Row],[TDS Value (ppm)]]&lt;=800,"Optimal","High"))</f>
        <v>Optimal</v>
      </c>
    </row>
    <row r="2513" spans="1:12" x14ac:dyDescent="0.25">
      <c r="A2513">
        <v>38</v>
      </c>
      <c r="B2513" s="1">
        <v>45171</v>
      </c>
      <c r="C2513" s="1" t="str">
        <f>TEXT(Table4_2[[#This Row],[Date]],"dddd")</f>
        <v>Saturday</v>
      </c>
      <c r="D2513" s="21">
        <v>31.7</v>
      </c>
      <c r="E2513" s="21">
        <v>79</v>
      </c>
      <c r="F2513" s="21">
        <v>727</v>
      </c>
      <c r="G2513" s="21">
        <v>6.4</v>
      </c>
      <c r="H2513">
        <v>31</v>
      </c>
      <c r="I2513">
        <v>89.06</v>
      </c>
      <c r="J2513">
        <v>0.79</v>
      </c>
      <c r="K2513" t="str" cm="1">
        <f t="array" ref="K2513">_xlfn.IFS(Table4_2[[#This Row],[Growth Days]]&lt;=14,"Seedling",Table4_2[[#This Row],[Growth Days]]&lt;=35, "Vegetative",Table4_2[[#This Row],[Growth Days]]&lt;=50, "Maturity")</f>
        <v>Vegetative</v>
      </c>
      <c r="L2513" t="str">
        <f>IF(Table4_2[[#This Row],[TDS Value (ppm)]]&lt;560, "Low", IF(Table4_2[[#This Row],[TDS Value (ppm)]]&lt;=800,"Optimal","High"))</f>
        <v>Optimal</v>
      </c>
    </row>
    <row r="2514" spans="1:12" x14ac:dyDescent="0.25">
      <c r="A2514">
        <v>38</v>
      </c>
      <c r="B2514" s="1">
        <v>45178</v>
      </c>
      <c r="C2514" s="1" t="str">
        <f>TEXT(Table4_2[[#This Row],[Date]],"dddd")</f>
        <v>Saturday</v>
      </c>
      <c r="D2514" s="21">
        <v>20.100000000000001</v>
      </c>
      <c r="E2514" s="21">
        <v>58</v>
      </c>
      <c r="F2514" s="21">
        <v>634</v>
      </c>
      <c r="G2514" s="21">
        <v>6.8</v>
      </c>
      <c r="H2514">
        <v>38</v>
      </c>
      <c r="I2514">
        <v>68.180000000000007</v>
      </c>
      <c r="J2514">
        <v>0.57999999999999996</v>
      </c>
      <c r="K2514" t="str" cm="1">
        <f t="array" ref="K2514">_xlfn.IFS(Table4_2[[#This Row],[Growth Days]]&lt;=14,"Seedling",Table4_2[[#This Row],[Growth Days]]&lt;=35, "Vegetative",Table4_2[[#This Row],[Growth Days]]&lt;=50, "Maturity")</f>
        <v>Maturity</v>
      </c>
      <c r="L2514" t="str">
        <f>IF(Table4_2[[#This Row],[TDS Value (ppm)]]&lt;560, "Low", IF(Table4_2[[#This Row],[TDS Value (ppm)]]&lt;=800,"Optimal","High"))</f>
        <v>Optimal</v>
      </c>
    </row>
    <row r="2515" spans="1:12" x14ac:dyDescent="0.25">
      <c r="A2515">
        <v>38</v>
      </c>
      <c r="B2515" s="1">
        <v>45185</v>
      </c>
      <c r="C2515" s="1" t="str">
        <f>TEXT(Table4_2[[#This Row],[Date]],"dddd")</f>
        <v>Saturday</v>
      </c>
      <c r="D2515" s="21">
        <v>31.5</v>
      </c>
      <c r="E2515" s="21">
        <v>67</v>
      </c>
      <c r="F2515" s="21">
        <v>742</v>
      </c>
      <c r="G2515" s="21">
        <v>6.7</v>
      </c>
      <c r="H2515">
        <v>45</v>
      </c>
      <c r="I2515">
        <v>88.7</v>
      </c>
      <c r="J2515">
        <v>0.67</v>
      </c>
      <c r="K2515" t="str" cm="1">
        <f t="array" ref="K2515">_xlfn.IFS(Table4_2[[#This Row],[Growth Days]]&lt;=14,"Seedling",Table4_2[[#This Row],[Growth Days]]&lt;=35, "Vegetative",Table4_2[[#This Row],[Growth Days]]&lt;=50, "Maturity")</f>
        <v>Maturity</v>
      </c>
      <c r="L2515" t="str">
        <f>IF(Table4_2[[#This Row],[TDS Value (ppm)]]&lt;560, "Low", IF(Table4_2[[#This Row],[TDS Value (ppm)]]&lt;=800,"Optimal","High"))</f>
        <v>Optimal</v>
      </c>
    </row>
    <row r="2516" spans="1:12" x14ac:dyDescent="0.25">
      <c r="A2516">
        <v>39</v>
      </c>
      <c r="B2516" s="1">
        <v>45143</v>
      </c>
      <c r="C2516" s="1" t="str">
        <f>TEXT(Table4_2[[#This Row],[Date]],"dddd")</f>
        <v>Saturday</v>
      </c>
      <c r="D2516" s="21">
        <v>33.4</v>
      </c>
      <c r="E2516" s="21">
        <v>77</v>
      </c>
      <c r="F2516" s="21">
        <v>601</v>
      </c>
      <c r="G2516" s="21">
        <v>6.2</v>
      </c>
      <c r="H2516">
        <v>3</v>
      </c>
      <c r="I2516">
        <v>92.12</v>
      </c>
      <c r="J2516">
        <v>0.77</v>
      </c>
      <c r="K2516" t="str" cm="1">
        <f t="array" ref="K2516">_xlfn.IFS(Table4_2[[#This Row],[Growth Days]]&lt;=14,"Seedling",Table4_2[[#This Row],[Growth Days]]&lt;=35, "Vegetative",Table4_2[[#This Row],[Growth Days]]&lt;=50, "Maturity")</f>
        <v>Seedling</v>
      </c>
      <c r="L2516" t="str">
        <f>IF(Table4_2[[#This Row],[TDS Value (ppm)]]&lt;560, "Low", IF(Table4_2[[#This Row],[TDS Value (ppm)]]&lt;=800,"Optimal","High"))</f>
        <v>Optimal</v>
      </c>
    </row>
    <row r="2517" spans="1:12" x14ac:dyDescent="0.25">
      <c r="A2517">
        <v>39</v>
      </c>
      <c r="B2517" s="1">
        <v>45150</v>
      </c>
      <c r="C2517" s="1" t="str">
        <f>TEXT(Table4_2[[#This Row],[Date]],"dddd")</f>
        <v>Saturday</v>
      </c>
      <c r="D2517" s="21">
        <v>30.2</v>
      </c>
      <c r="E2517" s="21">
        <v>71</v>
      </c>
      <c r="F2517" s="21">
        <v>769</v>
      </c>
      <c r="G2517" s="21">
        <v>6.6</v>
      </c>
      <c r="H2517">
        <v>10</v>
      </c>
      <c r="I2517">
        <v>86.36</v>
      </c>
      <c r="J2517">
        <v>0.71</v>
      </c>
      <c r="K2517" t="str" cm="1">
        <f t="array" ref="K2517">_xlfn.IFS(Table4_2[[#This Row],[Growth Days]]&lt;=14,"Seedling",Table4_2[[#This Row],[Growth Days]]&lt;=35, "Vegetative",Table4_2[[#This Row],[Growth Days]]&lt;=50, "Maturity")</f>
        <v>Seedling</v>
      </c>
      <c r="L2517" t="str">
        <f>IF(Table4_2[[#This Row],[TDS Value (ppm)]]&lt;560, "Low", IF(Table4_2[[#This Row],[TDS Value (ppm)]]&lt;=800,"Optimal","High"))</f>
        <v>Optimal</v>
      </c>
    </row>
    <row r="2518" spans="1:12" x14ac:dyDescent="0.25">
      <c r="A2518">
        <v>39</v>
      </c>
      <c r="B2518" s="1">
        <v>45157</v>
      </c>
      <c r="C2518" s="1" t="str">
        <f>TEXT(Table4_2[[#This Row],[Date]],"dddd")</f>
        <v>Saturday</v>
      </c>
      <c r="D2518" s="21">
        <v>30.8</v>
      </c>
      <c r="E2518" s="21">
        <v>61</v>
      </c>
      <c r="F2518" s="21">
        <v>447</v>
      </c>
      <c r="G2518" s="21">
        <v>6.8</v>
      </c>
      <c r="H2518">
        <v>17</v>
      </c>
      <c r="I2518">
        <v>87.44</v>
      </c>
      <c r="J2518">
        <v>0.61</v>
      </c>
      <c r="K2518" t="str" cm="1">
        <f t="array" ref="K2518">_xlfn.IFS(Table4_2[[#This Row],[Growth Days]]&lt;=14,"Seedling",Table4_2[[#This Row],[Growth Days]]&lt;=35, "Vegetative",Table4_2[[#This Row],[Growth Days]]&lt;=50, "Maturity")</f>
        <v>Vegetative</v>
      </c>
      <c r="L2518" t="str">
        <f>IF(Table4_2[[#This Row],[TDS Value (ppm)]]&lt;560, "Low", IF(Table4_2[[#This Row],[TDS Value (ppm)]]&lt;=800,"Optimal","High"))</f>
        <v>Low</v>
      </c>
    </row>
    <row r="2519" spans="1:12" x14ac:dyDescent="0.25">
      <c r="A2519">
        <v>39</v>
      </c>
      <c r="B2519" s="1">
        <v>45164</v>
      </c>
      <c r="C2519" s="1" t="str">
        <f>TEXT(Table4_2[[#This Row],[Date]],"dddd")</f>
        <v>Saturday</v>
      </c>
      <c r="D2519" s="21">
        <v>31.4</v>
      </c>
      <c r="E2519" s="21">
        <v>60</v>
      </c>
      <c r="F2519" s="21">
        <v>516</v>
      </c>
      <c r="G2519" s="21">
        <v>6.7</v>
      </c>
      <c r="H2519">
        <v>24</v>
      </c>
      <c r="I2519">
        <v>88.52</v>
      </c>
      <c r="J2519">
        <v>0.6</v>
      </c>
      <c r="K2519" t="str" cm="1">
        <f t="array" ref="K2519">_xlfn.IFS(Table4_2[[#This Row],[Growth Days]]&lt;=14,"Seedling",Table4_2[[#This Row],[Growth Days]]&lt;=35, "Vegetative",Table4_2[[#This Row],[Growth Days]]&lt;=50, "Maturity")</f>
        <v>Vegetative</v>
      </c>
      <c r="L2519" t="str">
        <f>IF(Table4_2[[#This Row],[TDS Value (ppm)]]&lt;560, "Low", IF(Table4_2[[#This Row],[TDS Value (ppm)]]&lt;=800,"Optimal","High"))</f>
        <v>Low</v>
      </c>
    </row>
    <row r="2520" spans="1:12" x14ac:dyDescent="0.25">
      <c r="A2520">
        <v>39</v>
      </c>
      <c r="B2520" s="1">
        <v>45171</v>
      </c>
      <c r="C2520" s="1" t="str">
        <f>TEXT(Table4_2[[#This Row],[Date]],"dddd")</f>
        <v>Saturday</v>
      </c>
      <c r="D2520" s="21">
        <v>31.7</v>
      </c>
      <c r="E2520" s="21">
        <v>54</v>
      </c>
      <c r="F2520" s="21">
        <v>663</v>
      </c>
      <c r="G2520" s="21">
        <v>6.1</v>
      </c>
      <c r="H2520">
        <v>31</v>
      </c>
      <c r="I2520">
        <v>89.06</v>
      </c>
      <c r="J2520">
        <v>0.54</v>
      </c>
      <c r="K2520" t="str" cm="1">
        <f t="array" ref="K2520">_xlfn.IFS(Table4_2[[#This Row],[Growth Days]]&lt;=14,"Seedling",Table4_2[[#This Row],[Growth Days]]&lt;=35, "Vegetative",Table4_2[[#This Row],[Growth Days]]&lt;=50, "Maturity")</f>
        <v>Vegetative</v>
      </c>
      <c r="L2520" t="str">
        <f>IF(Table4_2[[#This Row],[TDS Value (ppm)]]&lt;560, "Low", IF(Table4_2[[#This Row],[TDS Value (ppm)]]&lt;=800,"Optimal","High"))</f>
        <v>Optimal</v>
      </c>
    </row>
    <row r="2521" spans="1:12" x14ac:dyDescent="0.25">
      <c r="A2521">
        <v>39</v>
      </c>
      <c r="B2521" s="1">
        <v>45178</v>
      </c>
      <c r="C2521" s="1" t="str">
        <f>TEXT(Table4_2[[#This Row],[Date]],"dddd")</f>
        <v>Saturday</v>
      </c>
      <c r="D2521" s="21">
        <v>20.100000000000001</v>
      </c>
      <c r="E2521" s="21">
        <v>70</v>
      </c>
      <c r="F2521" s="21">
        <v>710</v>
      </c>
      <c r="G2521" s="21">
        <v>6.1</v>
      </c>
      <c r="H2521">
        <v>38</v>
      </c>
      <c r="I2521">
        <v>68.180000000000007</v>
      </c>
      <c r="J2521">
        <v>0.7</v>
      </c>
      <c r="K2521" t="str" cm="1">
        <f t="array" ref="K2521">_xlfn.IFS(Table4_2[[#This Row],[Growth Days]]&lt;=14,"Seedling",Table4_2[[#This Row],[Growth Days]]&lt;=35, "Vegetative",Table4_2[[#This Row],[Growth Days]]&lt;=50, "Maturity")</f>
        <v>Maturity</v>
      </c>
      <c r="L2521" t="str">
        <f>IF(Table4_2[[#This Row],[TDS Value (ppm)]]&lt;560, "Low", IF(Table4_2[[#This Row],[TDS Value (ppm)]]&lt;=800,"Optimal","High"))</f>
        <v>Optimal</v>
      </c>
    </row>
    <row r="2522" spans="1:12" x14ac:dyDescent="0.25">
      <c r="A2522">
        <v>39</v>
      </c>
      <c r="B2522" s="1">
        <v>45185</v>
      </c>
      <c r="C2522" s="1" t="str">
        <f>TEXT(Table4_2[[#This Row],[Date]],"dddd")</f>
        <v>Saturday</v>
      </c>
      <c r="D2522" s="21">
        <v>31.5</v>
      </c>
      <c r="E2522" s="21">
        <v>56</v>
      </c>
      <c r="F2522" s="21">
        <v>771</v>
      </c>
      <c r="G2522" s="21">
        <v>6.6</v>
      </c>
      <c r="H2522">
        <v>45</v>
      </c>
      <c r="I2522">
        <v>88.7</v>
      </c>
      <c r="J2522">
        <v>0.56000000000000005</v>
      </c>
      <c r="K2522" t="str" cm="1">
        <f t="array" ref="K2522">_xlfn.IFS(Table4_2[[#This Row],[Growth Days]]&lt;=14,"Seedling",Table4_2[[#This Row],[Growth Days]]&lt;=35, "Vegetative",Table4_2[[#This Row],[Growth Days]]&lt;=50, "Maturity")</f>
        <v>Maturity</v>
      </c>
      <c r="L2522" t="str">
        <f>IF(Table4_2[[#This Row],[TDS Value (ppm)]]&lt;560, "Low", IF(Table4_2[[#This Row],[TDS Value (ppm)]]&lt;=800,"Optimal","High"))</f>
        <v>Optimal</v>
      </c>
    </row>
    <row r="2523" spans="1:12" x14ac:dyDescent="0.25">
      <c r="A2523">
        <v>40</v>
      </c>
      <c r="B2523" s="1">
        <v>45143</v>
      </c>
      <c r="C2523" s="1" t="str">
        <f>TEXT(Table4_2[[#This Row],[Date]],"dddd")</f>
        <v>Saturday</v>
      </c>
      <c r="D2523" s="21">
        <v>33.4</v>
      </c>
      <c r="E2523" s="21">
        <v>66</v>
      </c>
      <c r="F2523" s="21">
        <v>705</v>
      </c>
      <c r="G2523" s="21">
        <v>6.6</v>
      </c>
      <c r="H2523">
        <v>3</v>
      </c>
      <c r="I2523">
        <v>92.12</v>
      </c>
      <c r="J2523">
        <v>0.66</v>
      </c>
      <c r="K2523" t="str" cm="1">
        <f t="array" ref="K2523">_xlfn.IFS(Table4_2[[#This Row],[Growth Days]]&lt;=14,"Seedling",Table4_2[[#This Row],[Growth Days]]&lt;=35, "Vegetative",Table4_2[[#This Row],[Growth Days]]&lt;=50, "Maturity")</f>
        <v>Seedling</v>
      </c>
      <c r="L2523" t="str">
        <f>IF(Table4_2[[#This Row],[TDS Value (ppm)]]&lt;560, "Low", IF(Table4_2[[#This Row],[TDS Value (ppm)]]&lt;=800,"Optimal","High"))</f>
        <v>Optimal</v>
      </c>
    </row>
    <row r="2524" spans="1:12" x14ac:dyDescent="0.25">
      <c r="A2524">
        <v>40</v>
      </c>
      <c r="B2524" s="1">
        <v>45150</v>
      </c>
      <c r="C2524" s="1" t="str">
        <f>TEXT(Table4_2[[#This Row],[Date]],"dddd")</f>
        <v>Saturday</v>
      </c>
      <c r="D2524" s="21">
        <v>30.2</v>
      </c>
      <c r="E2524" s="21">
        <v>66</v>
      </c>
      <c r="F2524" s="21">
        <v>494</v>
      </c>
      <c r="G2524" s="21">
        <v>6.4</v>
      </c>
      <c r="H2524">
        <v>10</v>
      </c>
      <c r="I2524">
        <v>86.36</v>
      </c>
      <c r="J2524">
        <v>0.66</v>
      </c>
      <c r="K2524" t="str" cm="1">
        <f t="array" ref="K2524">_xlfn.IFS(Table4_2[[#This Row],[Growth Days]]&lt;=14,"Seedling",Table4_2[[#This Row],[Growth Days]]&lt;=35, "Vegetative",Table4_2[[#This Row],[Growth Days]]&lt;=50, "Maturity")</f>
        <v>Seedling</v>
      </c>
      <c r="L2524" t="str">
        <f>IF(Table4_2[[#This Row],[TDS Value (ppm)]]&lt;560, "Low", IF(Table4_2[[#This Row],[TDS Value (ppm)]]&lt;=800,"Optimal","High"))</f>
        <v>Low</v>
      </c>
    </row>
    <row r="2525" spans="1:12" x14ac:dyDescent="0.25">
      <c r="A2525">
        <v>40</v>
      </c>
      <c r="B2525" s="1">
        <v>45157</v>
      </c>
      <c r="C2525" s="1" t="str">
        <f>TEXT(Table4_2[[#This Row],[Date]],"dddd")</f>
        <v>Saturday</v>
      </c>
      <c r="D2525" s="21">
        <v>30.8</v>
      </c>
      <c r="E2525" s="21">
        <v>52</v>
      </c>
      <c r="F2525" s="21">
        <v>509</v>
      </c>
      <c r="G2525" s="21">
        <v>6.5</v>
      </c>
      <c r="H2525">
        <v>17</v>
      </c>
      <c r="I2525">
        <v>87.44</v>
      </c>
      <c r="J2525">
        <v>0.52</v>
      </c>
      <c r="K2525" t="str" cm="1">
        <f t="array" ref="K2525">_xlfn.IFS(Table4_2[[#This Row],[Growth Days]]&lt;=14,"Seedling",Table4_2[[#This Row],[Growth Days]]&lt;=35, "Vegetative",Table4_2[[#This Row],[Growth Days]]&lt;=50, "Maturity")</f>
        <v>Vegetative</v>
      </c>
      <c r="L2525" t="str">
        <f>IF(Table4_2[[#This Row],[TDS Value (ppm)]]&lt;560, "Low", IF(Table4_2[[#This Row],[TDS Value (ppm)]]&lt;=800,"Optimal","High"))</f>
        <v>Low</v>
      </c>
    </row>
    <row r="2526" spans="1:12" x14ac:dyDescent="0.25">
      <c r="A2526">
        <v>40</v>
      </c>
      <c r="B2526" s="1">
        <v>45164</v>
      </c>
      <c r="C2526" s="1" t="str">
        <f>TEXT(Table4_2[[#This Row],[Date]],"dddd")</f>
        <v>Saturday</v>
      </c>
      <c r="D2526" s="21">
        <v>31.4</v>
      </c>
      <c r="E2526" s="21">
        <v>64</v>
      </c>
      <c r="F2526" s="21">
        <v>752</v>
      </c>
      <c r="G2526" s="21">
        <v>6.2</v>
      </c>
      <c r="H2526">
        <v>24</v>
      </c>
      <c r="I2526">
        <v>88.52</v>
      </c>
      <c r="J2526">
        <v>0.64</v>
      </c>
      <c r="K2526" t="str" cm="1">
        <f t="array" ref="K2526">_xlfn.IFS(Table4_2[[#This Row],[Growth Days]]&lt;=14,"Seedling",Table4_2[[#This Row],[Growth Days]]&lt;=35, "Vegetative",Table4_2[[#This Row],[Growth Days]]&lt;=50, "Maturity")</f>
        <v>Vegetative</v>
      </c>
      <c r="L2526" t="str">
        <f>IF(Table4_2[[#This Row],[TDS Value (ppm)]]&lt;560, "Low", IF(Table4_2[[#This Row],[TDS Value (ppm)]]&lt;=800,"Optimal","High"))</f>
        <v>Optimal</v>
      </c>
    </row>
    <row r="2527" spans="1:12" x14ac:dyDescent="0.25">
      <c r="A2527">
        <v>40</v>
      </c>
      <c r="B2527" s="1">
        <v>45171</v>
      </c>
      <c r="C2527" s="1" t="str">
        <f>TEXT(Table4_2[[#This Row],[Date]],"dddd")</f>
        <v>Saturday</v>
      </c>
      <c r="D2527" s="21">
        <v>31.7</v>
      </c>
      <c r="E2527" s="21">
        <v>71</v>
      </c>
      <c r="F2527" s="21">
        <v>797</v>
      </c>
      <c r="G2527" s="21">
        <v>6.4</v>
      </c>
      <c r="H2527">
        <v>31</v>
      </c>
      <c r="I2527">
        <v>89.06</v>
      </c>
      <c r="J2527">
        <v>0.71</v>
      </c>
      <c r="K2527" t="str" cm="1">
        <f t="array" ref="K2527">_xlfn.IFS(Table4_2[[#This Row],[Growth Days]]&lt;=14,"Seedling",Table4_2[[#This Row],[Growth Days]]&lt;=35, "Vegetative",Table4_2[[#This Row],[Growth Days]]&lt;=50, "Maturity")</f>
        <v>Vegetative</v>
      </c>
      <c r="L2527" t="str">
        <f>IF(Table4_2[[#This Row],[TDS Value (ppm)]]&lt;560, "Low", IF(Table4_2[[#This Row],[TDS Value (ppm)]]&lt;=800,"Optimal","High"))</f>
        <v>Optimal</v>
      </c>
    </row>
    <row r="2528" spans="1:12" x14ac:dyDescent="0.25">
      <c r="A2528">
        <v>40</v>
      </c>
      <c r="B2528" s="1">
        <v>45178</v>
      </c>
      <c r="C2528" s="1" t="str">
        <f>TEXT(Table4_2[[#This Row],[Date]],"dddd")</f>
        <v>Saturday</v>
      </c>
      <c r="D2528" s="21">
        <v>20.100000000000001</v>
      </c>
      <c r="E2528" s="21">
        <v>73</v>
      </c>
      <c r="F2528" s="21">
        <v>473</v>
      </c>
      <c r="G2528" s="21">
        <v>6.4</v>
      </c>
      <c r="H2528">
        <v>38</v>
      </c>
      <c r="I2528">
        <v>68.180000000000007</v>
      </c>
      <c r="J2528">
        <v>0.73</v>
      </c>
      <c r="K2528" t="str" cm="1">
        <f t="array" ref="K2528">_xlfn.IFS(Table4_2[[#This Row],[Growth Days]]&lt;=14,"Seedling",Table4_2[[#This Row],[Growth Days]]&lt;=35, "Vegetative",Table4_2[[#This Row],[Growth Days]]&lt;=50, "Maturity")</f>
        <v>Maturity</v>
      </c>
      <c r="L2528" t="str">
        <f>IF(Table4_2[[#This Row],[TDS Value (ppm)]]&lt;560, "Low", IF(Table4_2[[#This Row],[TDS Value (ppm)]]&lt;=800,"Optimal","High"))</f>
        <v>Low</v>
      </c>
    </row>
    <row r="2529" spans="1:12" x14ac:dyDescent="0.25">
      <c r="A2529">
        <v>40</v>
      </c>
      <c r="B2529" s="1">
        <v>45185</v>
      </c>
      <c r="C2529" s="1" t="str">
        <f>TEXT(Table4_2[[#This Row],[Date]],"dddd")</f>
        <v>Saturday</v>
      </c>
      <c r="D2529" s="21">
        <v>31.5</v>
      </c>
      <c r="E2529" s="21">
        <v>79</v>
      </c>
      <c r="F2529" s="21">
        <v>491</v>
      </c>
      <c r="G2529" s="21">
        <v>6.4</v>
      </c>
      <c r="H2529">
        <v>45</v>
      </c>
      <c r="I2529">
        <v>88.7</v>
      </c>
      <c r="J2529">
        <v>0.79</v>
      </c>
      <c r="K2529" t="str" cm="1">
        <f t="array" ref="K2529">_xlfn.IFS(Table4_2[[#This Row],[Growth Days]]&lt;=14,"Seedling",Table4_2[[#This Row],[Growth Days]]&lt;=35, "Vegetative",Table4_2[[#This Row],[Growth Days]]&lt;=50, "Maturity")</f>
        <v>Maturity</v>
      </c>
      <c r="L2529" t="str">
        <f>IF(Table4_2[[#This Row],[TDS Value (ppm)]]&lt;560, "Low", IF(Table4_2[[#This Row],[TDS Value (ppm)]]&lt;=800,"Optimal","High"))</f>
        <v>Low</v>
      </c>
    </row>
    <row r="2530" spans="1:12" x14ac:dyDescent="0.25">
      <c r="A2530">
        <v>41</v>
      </c>
      <c r="B2530" s="1">
        <v>45143</v>
      </c>
      <c r="C2530" s="1" t="str">
        <f>TEXT(Table4_2[[#This Row],[Date]],"dddd")</f>
        <v>Saturday</v>
      </c>
      <c r="D2530" s="21">
        <v>33.4</v>
      </c>
      <c r="E2530" s="21">
        <v>66</v>
      </c>
      <c r="F2530" s="21">
        <v>521</v>
      </c>
      <c r="G2530" s="21">
        <v>6.7</v>
      </c>
      <c r="H2530">
        <v>3</v>
      </c>
      <c r="I2530">
        <v>92.12</v>
      </c>
      <c r="J2530">
        <v>0.66</v>
      </c>
      <c r="K2530" t="str" cm="1">
        <f t="array" ref="K2530">_xlfn.IFS(Table4_2[[#This Row],[Growth Days]]&lt;=14,"Seedling",Table4_2[[#This Row],[Growth Days]]&lt;=35, "Vegetative",Table4_2[[#This Row],[Growth Days]]&lt;=50, "Maturity")</f>
        <v>Seedling</v>
      </c>
      <c r="L2530" t="str">
        <f>IF(Table4_2[[#This Row],[TDS Value (ppm)]]&lt;560, "Low", IF(Table4_2[[#This Row],[TDS Value (ppm)]]&lt;=800,"Optimal","High"))</f>
        <v>Low</v>
      </c>
    </row>
    <row r="2531" spans="1:12" x14ac:dyDescent="0.25">
      <c r="A2531">
        <v>41</v>
      </c>
      <c r="B2531" s="1">
        <v>45150</v>
      </c>
      <c r="C2531" s="1" t="str">
        <f>TEXT(Table4_2[[#This Row],[Date]],"dddd")</f>
        <v>Saturday</v>
      </c>
      <c r="D2531" s="21">
        <v>30.2</v>
      </c>
      <c r="E2531" s="21">
        <v>74</v>
      </c>
      <c r="F2531" s="21">
        <v>682</v>
      </c>
      <c r="G2531" s="21">
        <v>6.7</v>
      </c>
      <c r="H2531">
        <v>10</v>
      </c>
      <c r="I2531">
        <v>86.36</v>
      </c>
      <c r="J2531">
        <v>0.74</v>
      </c>
      <c r="K2531" t="str" cm="1">
        <f t="array" ref="K2531">_xlfn.IFS(Table4_2[[#This Row],[Growth Days]]&lt;=14,"Seedling",Table4_2[[#This Row],[Growth Days]]&lt;=35, "Vegetative",Table4_2[[#This Row],[Growth Days]]&lt;=50, "Maturity")</f>
        <v>Seedling</v>
      </c>
      <c r="L2531" t="str">
        <f>IF(Table4_2[[#This Row],[TDS Value (ppm)]]&lt;560, "Low", IF(Table4_2[[#This Row],[TDS Value (ppm)]]&lt;=800,"Optimal","High"))</f>
        <v>Optimal</v>
      </c>
    </row>
    <row r="2532" spans="1:12" x14ac:dyDescent="0.25">
      <c r="A2532">
        <v>41</v>
      </c>
      <c r="B2532" s="1">
        <v>45157</v>
      </c>
      <c r="C2532" s="1" t="str">
        <f>TEXT(Table4_2[[#This Row],[Date]],"dddd")</f>
        <v>Saturday</v>
      </c>
      <c r="D2532" s="21">
        <v>30.8</v>
      </c>
      <c r="E2532" s="21">
        <v>55</v>
      </c>
      <c r="F2532" s="21">
        <v>454</v>
      </c>
      <c r="G2532" s="21">
        <v>6.1</v>
      </c>
      <c r="H2532">
        <v>17</v>
      </c>
      <c r="I2532">
        <v>87.44</v>
      </c>
      <c r="J2532">
        <v>0.55000000000000004</v>
      </c>
      <c r="K2532" t="str" cm="1">
        <f t="array" ref="K2532">_xlfn.IFS(Table4_2[[#This Row],[Growth Days]]&lt;=14,"Seedling",Table4_2[[#This Row],[Growth Days]]&lt;=35, "Vegetative",Table4_2[[#This Row],[Growth Days]]&lt;=50, "Maturity")</f>
        <v>Vegetative</v>
      </c>
      <c r="L2532" t="str">
        <f>IF(Table4_2[[#This Row],[TDS Value (ppm)]]&lt;560, "Low", IF(Table4_2[[#This Row],[TDS Value (ppm)]]&lt;=800,"Optimal","High"))</f>
        <v>Low</v>
      </c>
    </row>
    <row r="2533" spans="1:12" x14ac:dyDescent="0.25">
      <c r="A2533">
        <v>41</v>
      </c>
      <c r="B2533" s="1">
        <v>45164</v>
      </c>
      <c r="C2533" s="1" t="str">
        <f>TEXT(Table4_2[[#This Row],[Date]],"dddd")</f>
        <v>Saturday</v>
      </c>
      <c r="D2533" s="21">
        <v>31.4</v>
      </c>
      <c r="E2533" s="21">
        <v>70</v>
      </c>
      <c r="F2533" s="21">
        <v>769</v>
      </c>
      <c r="G2533" s="21">
        <v>6.7</v>
      </c>
      <c r="H2533">
        <v>24</v>
      </c>
      <c r="I2533">
        <v>88.52</v>
      </c>
      <c r="J2533">
        <v>0.7</v>
      </c>
      <c r="K2533" t="str" cm="1">
        <f t="array" ref="K2533">_xlfn.IFS(Table4_2[[#This Row],[Growth Days]]&lt;=14,"Seedling",Table4_2[[#This Row],[Growth Days]]&lt;=35, "Vegetative",Table4_2[[#This Row],[Growth Days]]&lt;=50, "Maturity")</f>
        <v>Vegetative</v>
      </c>
      <c r="L2533" t="str">
        <f>IF(Table4_2[[#This Row],[TDS Value (ppm)]]&lt;560, "Low", IF(Table4_2[[#This Row],[TDS Value (ppm)]]&lt;=800,"Optimal","High"))</f>
        <v>Optimal</v>
      </c>
    </row>
    <row r="2534" spans="1:12" x14ac:dyDescent="0.25">
      <c r="A2534">
        <v>41</v>
      </c>
      <c r="B2534" s="1">
        <v>45171</v>
      </c>
      <c r="C2534" s="1" t="str">
        <f>TEXT(Table4_2[[#This Row],[Date]],"dddd")</f>
        <v>Saturday</v>
      </c>
      <c r="D2534" s="21">
        <v>31.7</v>
      </c>
      <c r="E2534" s="21">
        <v>59</v>
      </c>
      <c r="F2534" s="21">
        <v>647</v>
      </c>
      <c r="G2534" s="21">
        <v>6.7</v>
      </c>
      <c r="H2534">
        <v>31</v>
      </c>
      <c r="I2534">
        <v>89.06</v>
      </c>
      <c r="J2534">
        <v>0.59</v>
      </c>
      <c r="K2534" t="str" cm="1">
        <f t="array" ref="K2534">_xlfn.IFS(Table4_2[[#This Row],[Growth Days]]&lt;=14,"Seedling",Table4_2[[#This Row],[Growth Days]]&lt;=35, "Vegetative",Table4_2[[#This Row],[Growth Days]]&lt;=50, "Maturity")</f>
        <v>Vegetative</v>
      </c>
      <c r="L2534" t="str">
        <f>IF(Table4_2[[#This Row],[TDS Value (ppm)]]&lt;560, "Low", IF(Table4_2[[#This Row],[TDS Value (ppm)]]&lt;=800,"Optimal","High"))</f>
        <v>Optimal</v>
      </c>
    </row>
    <row r="2535" spans="1:12" x14ac:dyDescent="0.25">
      <c r="A2535">
        <v>41</v>
      </c>
      <c r="B2535" s="1">
        <v>45178</v>
      </c>
      <c r="C2535" s="1" t="str">
        <f>TEXT(Table4_2[[#This Row],[Date]],"dddd")</f>
        <v>Saturday</v>
      </c>
      <c r="D2535" s="21">
        <v>20.100000000000001</v>
      </c>
      <c r="E2535" s="21">
        <v>63</v>
      </c>
      <c r="F2535" s="21">
        <v>402</v>
      </c>
      <c r="G2535" s="21">
        <v>6.1</v>
      </c>
      <c r="H2535">
        <v>38</v>
      </c>
      <c r="I2535">
        <v>68.180000000000007</v>
      </c>
      <c r="J2535">
        <v>0.63</v>
      </c>
      <c r="K2535" t="str" cm="1">
        <f t="array" ref="K2535">_xlfn.IFS(Table4_2[[#This Row],[Growth Days]]&lt;=14,"Seedling",Table4_2[[#This Row],[Growth Days]]&lt;=35, "Vegetative",Table4_2[[#This Row],[Growth Days]]&lt;=50, "Maturity")</f>
        <v>Maturity</v>
      </c>
      <c r="L2535" t="str">
        <f>IF(Table4_2[[#This Row],[TDS Value (ppm)]]&lt;560, "Low", IF(Table4_2[[#This Row],[TDS Value (ppm)]]&lt;=800,"Optimal","High"))</f>
        <v>Low</v>
      </c>
    </row>
    <row r="2536" spans="1:12" x14ac:dyDescent="0.25">
      <c r="A2536">
        <v>41</v>
      </c>
      <c r="B2536" s="1">
        <v>45185</v>
      </c>
      <c r="C2536" s="1" t="str">
        <f>TEXT(Table4_2[[#This Row],[Date]],"dddd")</f>
        <v>Saturday</v>
      </c>
      <c r="D2536" s="21">
        <v>31.5</v>
      </c>
      <c r="E2536" s="21">
        <v>69</v>
      </c>
      <c r="F2536" s="21">
        <v>623</v>
      </c>
      <c r="G2536" s="21">
        <v>6.5</v>
      </c>
      <c r="H2536">
        <v>45</v>
      </c>
      <c r="I2536">
        <v>88.7</v>
      </c>
      <c r="J2536">
        <v>0.69</v>
      </c>
      <c r="K2536" t="str" cm="1">
        <f t="array" ref="K2536">_xlfn.IFS(Table4_2[[#This Row],[Growth Days]]&lt;=14,"Seedling",Table4_2[[#This Row],[Growth Days]]&lt;=35, "Vegetative",Table4_2[[#This Row],[Growth Days]]&lt;=50, "Maturity")</f>
        <v>Maturity</v>
      </c>
      <c r="L2536" t="str">
        <f>IF(Table4_2[[#This Row],[TDS Value (ppm)]]&lt;560, "Low", IF(Table4_2[[#This Row],[TDS Value (ppm)]]&lt;=800,"Optimal","High"))</f>
        <v>Optimal</v>
      </c>
    </row>
    <row r="2537" spans="1:12" x14ac:dyDescent="0.25">
      <c r="A2537">
        <v>42</v>
      </c>
      <c r="B2537" s="1">
        <v>45143</v>
      </c>
      <c r="C2537" s="1" t="str">
        <f>TEXT(Table4_2[[#This Row],[Date]],"dddd")</f>
        <v>Saturday</v>
      </c>
      <c r="D2537" s="21">
        <v>33.4</v>
      </c>
      <c r="E2537" s="21">
        <v>73</v>
      </c>
      <c r="F2537" s="21">
        <v>669</v>
      </c>
      <c r="G2537" s="21">
        <v>6.6</v>
      </c>
      <c r="H2537">
        <v>3</v>
      </c>
      <c r="I2537">
        <v>92.12</v>
      </c>
      <c r="J2537">
        <v>0.73</v>
      </c>
      <c r="K2537" t="str" cm="1">
        <f t="array" ref="K2537">_xlfn.IFS(Table4_2[[#This Row],[Growth Days]]&lt;=14,"Seedling",Table4_2[[#This Row],[Growth Days]]&lt;=35, "Vegetative",Table4_2[[#This Row],[Growth Days]]&lt;=50, "Maturity")</f>
        <v>Seedling</v>
      </c>
      <c r="L2537" t="str">
        <f>IF(Table4_2[[#This Row],[TDS Value (ppm)]]&lt;560, "Low", IF(Table4_2[[#This Row],[TDS Value (ppm)]]&lt;=800,"Optimal","High"))</f>
        <v>Optimal</v>
      </c>
    </row>
    <row r="2538" spans="1:12" x14ac:dyDescent="0.25">
      <c r="A2538">
        <v>42</v>
      </c>
      <c r="B2538" s="1">
        <v>45150</v>
      </c>
      <c r="C2538" s="1" t="str">
        <f>TEXT(Table4_2[[#This Row],[Date]],"dddd")</f>
        <v>Saturday</v>
      </c>
      <c r="D2538" s="21">
        <v>30.2</v>
      </c>
      <c r="E2538" s="21">
        <v>62</v>
      </c>
      <c r="F2538" s="21">
        <v>751</v>
      </c>
      <c r="G2538" s="21">
        <v>6.5</v>
      </c>
      <c r="H2538">
        <v>10</v>
      </c>
      <c r="I2538">
        <v>86.36</v>
      </c>
      <c r="J2538">
        <v>0.62</v>
      </c>
      <c r="K2538" t="str" cm="1">
        <f t="array" ref="K2538">_xlfn.IFS(Table4_2[[#This Row],[Growth Days]]&lt;=14,"Seedling",Table4_2[[#This Row],[Growth Days]]&lt;=35, "Vegetative",Table4_2[[#This Row],[Growth Days]]&lt;=50, "Maturity")</f>
        <v>Seedling</v>
      </c>
      <c r="L2538" t="str">
        <f>IF(Table4_2[[#This Row],[TDS Value (ppm)]]&lt;560, "Low", IF(Table4_2[[#This Row],[TDS Value (ppm)]]&lt;=800,"Optimal","High"))</f>
        <v>Optimal</v>
      </c>
    </row>
    <row r="2539" spans="1:12" x14ac:dyDescent="0.25">
      <c r="A2539">
        <v>42</v>
      </c>
      <c r="B2539" s="1">
        <v>45157</v>
      </c>
      <c r="C2539" s="1" t="str">
        <f>TEXT(Table4_2[[#This Row],[Date]],"dddd")</f>
        <v>Saturday</v>
      </c>
      <c r="D2539" s="21">
        <v>30.8</v>
      </c>
      <c r="E2539" s="21">
        <v>50</v>
      </c>
      <c r="F2539" s="21">
        <v>700</v>
      </c>
      <c r="G2539" s="21">
        <v>6.7</v>
      </c>
      <c r="H2539">
        <v>17</v>
      </c>
      <c r="I2539">
        <v>87.44</v>
      </c>
      <c r="J2539">
        <v>0.5</v>
      </c>
      <c r="K2539" t="str" cm="1">
        <f t="array" ref="K2539">_xlfn.IFS(Table4_2[[#This Row],[Growth Days]]&lt;=14,"Seedling",Table4_2[[#This Row],[Growth Days]]&lt;=35, "Vegetative",Table4_2[[#This Row],[Growth Days]]&lt;=50, "Maturity")</f>
        <v>Vegetative</v>
      </c>
      <c r="L2539" t="str">
        <f>IF(Table4_2[[#This Row],[TDS Value (ppm)]]&lt;560, "Low", IF(Table4_2[[#This Row],[TDS Value (ppm)]]&lt;=800,"Optimal","High"))</f>
        <v>Optimal</v>
      </c>
    </row>
    <row r="2540" spans="1:12" x14ac:dyDescent="0.25">
      <c r="A2540">
        <v>42</v>
      </c>
      <c r="B2540" s="1">
        <v>45164</v>
      </c>
      <c r="C2540" s="1" t="str">
        <f>TEXT(Table4_2[[#This Row],[Date]],"dddd")</f>
        <v>Saturday</v>
      </c>
      <c r="D2540" s="21">
        <v>31.4</v>
      </c>
      <c r="E2540" s="21">
        <v>65</v>
      </c>
      <c r="F2540" s="21">
        <v>674</v>
      </c>
      <c r="G2540" s="21">
        <v>6.7</v>
      </c>
      <c r="H2540">
        <v>24</v>
      </c>
      <c r="I2540">
        <v>88.52</v>
      </c>
      <c r="J2540">
        <v>0.65</v>
      </c>
      <c r="K2540" t="str" cm="1">
        <f t="array" ref="K2540">_xlfn.IFS(Table4_2[[#This Row],[Growth Days]]&lt;=14,"Seedling",Table4_2[[#This Row],[Growth Days]]&lt;=35, "Vegetative",Table4_2[[#This Row],[Growth Days]]&lt;=50, "Maturity")</f>
        <v>Vegetative</v>
      </c>
      <c r="L2540" t="str">
        <f>IF(Table4_2[[#This Row],[TDS Value (ppm)]]&lt;560, "Low", IF(Table4_2[[#This Row],[TDS Value (ppm)]]&lt;=800,"Optimal","High"))</f>
        <v>Optimal</v>
      </c>
    </row>
    <row r="2541" spans="1:12" x14ac:dyDescent="0.25">
      <c r="A2541">
        <v>42</v>
      </c>
      <c r="B2541" s="1">
        <v>45171</v>
      </c>
      <c r="C2541" s="1" t="str">
        <f>TEXT(Table4_2[[#This Row],[Date]],"dddd")</f>
        <v>Saturday</v>
      </c>
      <c r="D2541" s="21">
        <v>31.7</v>
      </c>
      <c r="E2541" s="21">
        <v>73</v>
      </c>
      <c r="F2541" s="21">
        <v>683</v>
      </c>
      <c r="G2541" s="21">
        <v>6.3</v>
      </c>
      <c r="H2541">
        <v>31</v>
      </c>
      <c r="I2541">
        <v>89.06</v>
      </c>
      <c r="J2541">
        <v>0.73</v>
      </c>
      <c r="K2541" t="str" cm="1">
        <f t="array" ref="K2541">_xlfn.IFS(Table4_2[[#This Row],[Growth Days]]&lt;=14,"Seedling",Table4_2[[#This Row],[Growth Days]]&lt;=35, "Vegetative",Table4_2[[#This Row],[Growth Days]]&lt;=50, "Maturity")</f>
        <v>Vegetative</v>
      </c>
      <c r="L2541" t="str">
        <f>IF(Table4_2[[#This Row],[TDS Value (ppm)]]&lt;560, "Low", IF(Table4_2[[#This Row],[TDS Value (ppm)]]&lt;=800,"Optimal","High"))</f>
        <v>Optimal</v>
      </c>
    </row>
    <row r="2542" spans="1:12" x14ac:dyDescent="0.25">
      <c r="A2542">
        <v>42</v>
      </c>
      <c r="B2542" s="1">
        <v>45178</v>
      </c>
      <c r="C2542" s="1" t="str">
        <f>TEXT(Table4_2[[#This Row],[Date]],"dddd")</f>
        <v>Saturday</v>
      </c>
      <c r="D2542" s="21">
        <v>20.100000000000001</v>
      </c>
      <c r="E2542" s="21">
        <v>73</v>
      </c>
      <c r="F2542" s="21">
        <v>424</v>
      </c>
      <c r="G2542" s="21">
        <v>6.6</v>
      </c>
      <c r="H2542">
        <v>38</v>
      </c>
      <c r="I2542">
        <v>68.180000000000007</v>
      </c>
      <c r="J2542">
        <v>0.73</v>
      </c>
      <c r="K2542" t="str" cm="1">
        <f t="array" ref="K2542">_xlfn.IFS(Table4_2[[#This Row],[Growth Days]]&lt;=14,"Seedling",Table4_2[[#This Row],[Growth Days]]&lt;=35, "Vegetative",Table4_2[[#This Row],[Growth Days]]&lt;=50, "Maturity")</f>
        <v>Maturity</v>
      </c>
      <c r="L2542" t="str">
        <f>IF(Table4_2[[#This Row],[TDS Value (ppm)]]&lt;560, "Low", IF(Table4_2[[#This Row],[TDS Value (ppm)]]&lt;=800,"Optimal","High"))</f>
        <v>Low</v>
      </c>
    </row>
    <row r="2543" spans="1:12" x14ac:dyDescent="0.25">
      <c r="A2543">
        <v>42</v>
      </c>
      <c r="B2543" s="1">
        <v>45185</v>
      </c>
      <c r="C2543" s="1" t="str">
        <f>TEXT(Table4_2[[#This Row],[Date]],"dddd")</f>
        <v>Saturday</v>
      </c>
      <c r="D2543" s="21">
        <v>31.5</v>
      </c>
      <c r="E2543" s="21">
        <v>56</v>
      </c>
      <c r="F2543" s="21">
        <v>648</v>
      </c>
      <c r="G2543" s="21">
        <v>6.7</v>
      </c>
      <c r="H2543">
        <v>45</v>
      </c>
      <c r="I2543">
        <v>88.7</v>
      </c>
      <c r="J2543">
        <v>0.56000000000000005</v>
      </c>
      <c r="K2543" t="str" cm="1">
        <f t="array" ref="K2543">_xlfn.IFS(Table4_2[[#This Row],[Growth Days]]&lt;=14,"Seedling",Table4_2[[#This Row],[Growth Days]]&lt;=35, "Vegetative",Table4_2[[#This Row],[Growth Days]]&lt;=50, "Maturity")</f>
        <v>Maturity</v>
      </c>
      <c r="L2543" t="str">
        <f>IF(Table4_2[[#This Row],[TDS Value (ppm)]]&lt;560, "Low", IF(Table4_2[[#This Row],[TDS Value (ppm)]]&lt;=800,"Optimal","High"))</f>
        <v>Optimal</v>
      </c>
    </row>
    <row r="2544" spans="1:12" x14ac:dyDescent="0.25">
      <c r="A2544">
        <v>43</v>
      </c>
      <c r="B2544" s="1">
        <v>45143</v>
      </c>
      <c r="C2544" s="1" t="str">
        <f>TEXT(Table4_2[[#This Row],[Date]],"dddd")</f>
        <v>Saturday</v>
      </c>
      <c r="D2544" s="21">
        <v>33.4</v>
      </c>
      <c r="E2544" s="21">
        <v>61</v>
      </c>
      <c r="F2544" s="21">
        <v>730</v>
      </c>
      <c r="G2544" s="21">
        <v>6.1</v>
      </c>
      <c r="H2544">
        <v>3</v>
      </c>
      <c r="I2544">
        <v>92.12</v>
      </c>
      <c r="J2544">
        <v>0.61</v>
      </c>
      <c r="K2544" t="str" cm="1">
        <f t="array" ref="K2544">_xlfn.IFS(Table4_2[[#This Row],[Growth Days]]&lt;=14,"Seedling",Table4_2[[#This Row],[Growth Days]]&lt;=35, "Vegetative",Table4_2[[#This Row],[Growth Days]]&lt;=50, "Maturity")</f>
        <v>Seedling</v>
      </c>
      <c r="L2544" t="str">
        <f>IF(Table4_2[[#This Row],[TDS Value (ppm)]]&lt;560, "Low", IF(Table4_2[[#This Row],[TDS Value (ppm)]]&lt;=800,"Optimal","High"))</f>
        <v>Optimal</v>
      </c>
    </row>
    <row r="2545" spans="1:12" x14ac:dyDescent="0.25">
      <c r="A2545">
        <v>43</v>
      </c>
      <c r="B2545" s="1">
        <v>45150</v>
      </c>
      <c r="C2545" s="1" t="str">
        <f>TEXT(Table4_2[[#This Row],[Date]],"dddd")</f>
        <v>Saturday</v>
      </c>
      <c r="D2545" s="21">
        <v>30.2</v>
      </c>
      <c r="E2545" s="21">
        <v>56</v>
      </c>
      <c r="F2545" s="21">
        <v>765</v>
      </c>
      <c r="G2545" s="21">
        <v>6.1</v>
      </c>
      <c r="H2545">
        <v>10</v>
      </c>
      <c r="I2545">
        <v>86.36</v>
      </c>
      <c r="J2545">
        <v>0.56000000000000005</v>
      </c>
      <c r="K2545" t="str" cm="1">
        <f t="array" ref="K2545">_xlfn.IFS(Table4_2[[#This Row],[Growth Days]]&lt;=14,"Seedling",Table4_2[[#This Row],[Growth Days]]&lt;=35, "Vegetative",Table4_2[[#This Row],[Growth Days]]&lt;=50, "Maturity")</f>
        <v>Seedling</v>
      </c>
      <c r="L2545" t="str">
        <f>IF(Table4_2[[#This Row],[TDS Value (ppm)]]&lt;560, "Low", IF(Table4_2[[#This Row],[TDS Value (ppm)]]&lt;=800,"Optimal","High"))</f>
        <v>Optimal</v>
      </c>
    </row>
    <row r="2546" spans="1:12" x14ac:dyDescent="0.25">
      <c r="A2546">
        <v>43</v>
      </c>
      <c r="B2546" s="1">
        <v>45157</v>
      </c>
      <c r="C2546" s="1" t="str">
        <f>TEXT(Table4_2[[#This Row],[Date]],"dddd")</f>
        <v>Saturday</v>
      </c>
      <c r="D2546" s="21">
        <v>30.8</v>
      </c>
      <c r="E2546" s="21">
        <v>75</v>
      </c>
      <c r="F2546" s="21">
        <v>432</v>
      </c>
      <c r="G2546" s="21">
        <v>6.4</v>
      </c>
      <c r="H2546">
        <v>17</v>
      </c>
      <c r="I2546">
        <v>87.44</v>
      </c>
      <c r="J2546">
        <v>0.75</v>
      </c>
      <c r="K2546" t="str" cm="1">
        <f t="array" ref="K2546">_xlfn.IFS(Table4_2[[#This Row],[Growth Days]]&lt;=14,"Seedling",Table4_2[[#This Row],[Growth Days]]&lt;=35, "Vegetative",Table4_2[[#This Row],[Growth Days]]&lt;=50, "Maturity")</f>
        <v>Vegetative</v>
      </c>
      <c r="L2546" t="str">
        <f>IF(Table4_2[[#This Row],[TDS Value (ppm)]]&lt;560, "Low", IF(Table4_2[[#This Row],[TDS Value (ppm)]]&lt;=800,"Optimal","High"))</f>
        <v>Low</v>
      </c>
    </row>
    <row r="2547" spans="1:12" x14ac:dyDescent="0.25">
      <c r="A2547">
        <v>43</v>
      </c>
      <c r="B2547" s="1">
        <v>45164</v>
      </c>
      <c r="C2547" s="1" t="str">
        <f>TEXT(Table4_2[[#This Row],[Date]],"dddd")</f>
        <v>Saturday</v>
      </c>
      <c r="D2547" s="21">
        <v>31.4</v>
      </c>
      <c r="E2547" s="21">
        <v>53</v>
      </c>
      <c r="F2547" s="21">
        <v>723</v>
      </c>
      <c r="G2547" s="21">
        <v>6.6</v>
      </c>
      <c r="H2547">
        <v>24</v>
      </c>
      <c r="I2547">
        <v>88.52</v>
      </c>
      <c r="J2547">
        <v>0.53</v>
      </c>
      <c r="K2547" t="str" cm="1">
        <f t="array" ref="K2547">_xlfn.IFS(Table4_2[[#This Row],[Growth Days]]&lt;=14,"Seedling",Table4_2[[#This Row],[Growth Days]]&lt;=35, "Vegetative",Table4_2[[#This Row],[Growth Days]]&lt;=50, "Maturity")</f>
        <v>Vegetative</v>
      </c>
      <c r="L2547" t="str">
        <f>IF(Table4_2[[#This Row],[TDS Value (ppm)]]&lt;560, "Low", IF(Table4_2[[#This Row],[TDS Value (ppm)]]&lt;=800,"Optimal","High"))</f>
        <v>Optimal</v>
      </c>
    </row>
    <row r="2548" spans="1:12" x14ac:dyDescent="0.25">
      <c r="A2548">
        <v>43</v>
      </c>
      <c r="B2548" s="1">
        <v>45171</v>
      </c>
      <c r="C2548" s="1" t="str">
        <f>TEXT(Table4_2[[#This Row],[Date]],"dddd")</f>
        <v>Saturday</v>
      </c>
      <c r="D2548" s="21">
        <v>31.7</v>
      </c>
      <c r="E2548" s="21">
        <v>58</v>
      </c>
      <c r="F2548" s="21">
        <v>538</v>
      </c>
      <c r="G2548" s="21">
        <v>6.6</v>
      </c>
      <c r="H2548">
        <v>31</v>
      </c>
      <c r="I2548">
        <v>89.06</v>
      </c>
      <c r="J2548">
        <v>0.57999999999999996</v>
      </c>
      <c r="K2548" t="str" cm="1">
        <f t="array" ref="K2548">_xlfn.IFS(Table4_2[[#This Row],[Growth Days]]&lt;=14,"Seedling",Table4_2[[#This Row],[Growth Days]]&lt;=35, "Vegetative",Table4_2[[#This Row],[Growth Days]]&lt;=50, "Maturity")</f>
        <v>Vegetative</v>
      </c>
      <c r="L2548" t="str">
        <f>IF(Table4_2[[#This Row],[TDS Value (ppm)]]&lt;560, "Low", IF(Table4_2[[#This Row],[TDS Value (ppm)]]&lt;=800,"Optimal","High"))</f>
        <v>Low</v>
      </c>
    </row>
    <row r="2549" spans="1:12" x14ac:dyDescent="0.25">
      <c r="A2549">
        <v>43</v>
      </c>
      <c r="B2549" s="1">
        <v>45178</v>
      </c>
      <c r="C2549" s="1" t="str">
        <f>TEXT(Table4_2[[#This Row],[Date]],"dddd")</f>
        <v>Saturday</v>
      </c>
      <c r="D2549" s="21">
        <v>20.100000000000001</v>
      </c>
      <c r="E2549" s="21">
        <v>51</v>
      </c>
      <c r="F2549" s="21">
        <v>752</v>
      </c>
      <c r="G2549" s="21">
        <v>6.7</v>
      </c>
      <c r="H2549">
        <v>38</v>
      </c>
      <c r="I2549">
        <v>68.180000000000007</v>
      </c>
      <c r="J2549">
        <v>0.51</v>
      </c>
      <c r="K2549" t="str" cm="1">
        <f t="array" ref="K2549">_xlfn.IFS(Table4_2[[#This Row],[Growth Days]]&lt;=14,"Seedling",Table4_2[[#This Row],[Growth Days]]&lt;=35, "Vegetative",Table4_2[[#This Row],[Growth Days]]&lt;=50, "Maturity")</f>
        <v>Maturity</v>
      </c>
      <c r="L2549" t="str">
        <f>IF(Table4_2[[#This Row],[TDS Value (ppm)]]&lt;560, "Low", IF(Table4_2[[#This Row],[TDS Value (ppm)]]&lt;=800,"Optimal","High"))</f>
        <v>Optimal</v>
      </c>
    </row>
    <row r="2550" spans="1:12" x14ac:dyDescent="0.25">
      <c r="A2550">
        <v>43</v>
      </c>
      <c r="B2550" s="1">
        <v>45185</v>
      </c>
      <c r="C2550" s="1" t="str">
        <f>TEXT(Table4_2[[#This Row],[Date]],"dddd")</f>
        <v>Saturday</v>
      </c>
      <c r="D2550" s="21">
        <v>31.5</v>
      </c>
      <c r="E2550" s="21">
        <v>56</v>
      </c>
      <c r="F2550" s="21">
        <v>750</v>
      </c>
      <c r="G2550" s="21">
        <v>6.4</v>
      </c>
      <c r="H2550">
        <v>45</v>
      </c>
      <c r="I2550">
        <v>88.7</v>
      </c>
      <c r="J2550">
        <v>0.56000000000000005</v>
      </c>
      <c r="K2550" t="str" cm="1">
        <f t="array" ref="K2550">_xlfn.IFS(Table4_2[[#This Row],[Growth Days]]&lt;=14,"Seedling",Table4_2[[#This Row],[Growth Days]]&lt;=35, "Vegetative",Table4_2[[#This Row],[Growth Days]]&lt;=50, "Maturity")</f>
        <v>Maturity</v>
      </c>
      <c r="L2550" t="str">
        <f>IF(Table4_2[[#This Row],[TDS Value (ppm)]]&lt;560, "Low", IF(Table4_2[[#This Row],[TDS Value (ppm)]]&lt;=800,"Optimal","High"))</f>
        <v>Optimal</v>
      </c>
    </row>
    <row r="2551" spans="1:12" x14ac:dyDescent="0.25">
      <c r="A2551">
        <v>44</v>
      </c>
      <c r="B2551" s="1">
        <v>45143</v>
      </c>
      <c r="C2551" s="1" t="str">
        <f>TEXT(Table4_2[[#This Row],[Date]],"dddd")</f>
        <v>Saturday</v>
      </c>
      <c r="D2551" s="21">
        <v>33.4</v>
      </c>
      <c r="E2551" s="21">
        <v>74</v>
      </c>
      <c r="F2551" s="21">
        <v>510</v>
      </c>
      <c r="G2551" s="21">
        <v>6.4</v>
      </c>
      <c r="H2551">
        <v>3</v>
      </c>
      <c r="I2551">
        <v>92.12</v>
      </c>
      <c r="J2551">
        <v>0.74</v>
      </c>
      <c r="K2551" t="str" cm="1">
        <f t="array" ref="K2551">_xlfn.IFS(Table4_2[[#This Row],[Growth Days]]&lt;=14,"Seedling",Table4_2[[#This Row],[Growth Days]]&lt;=35, "Vegetative",Table4_2[[#This Row],[Growth Days]]&lt;=50, "Maturity")</f>
        <v>Seedling</v>
      </c>
      <c r="L2551" t="str">
        <f>IF(Table4_2[[#This Row],[TDS Value (ppm)]]&lt;560, "Low", IF(Table4_2[[#This Row],[TDS Value (ppm)]]&lt;=800,"Optimal","High"))</f>
        <v>Low</v>
      </c>
    </row>
    <row r="2552" spans="1:12" x14ac:dyDescent="0.25">
      <c r="A2552">
        <v>44</v>
      </c>
      <c r="B2552" s="1">
        <v>45150</v>
      </c>
      <c r="C2552" s="1" t="str">
        <f>TEXT(Table4_2[[#This Row],[Date]],"dddd")</f>
        <v>Saturday</v>
      </c>
      <c r="D2552" s="21">
        <v>30.2</v>
      </c>
      <c r="E2552" s="21">
        <v>58</v>
      </c>
      <c r="F2552" s="21">
        <v>576</v>
      </c>
      <c r="G2552" s="21">
        <v>6.4</v>
      </c>
      <c r="H2552">
        <v>10</v>
      </c>
      <c r="I2552">
        <v>86.36</v>
      </c>
      <c r="J2552">
        <v>0.57999999999999996</v>
      </c>
      <c r="K2552" t="str" cm="1">
        <f t="array" ref="K2552">_xlfn.IFS(Table4_2[[#This Row],[Growth Days]]&lt;=14,"Seedling",Table4_2[[#This Row],[Growth Days]]&lt;=35, "Vegetative",Table4_2[[#This Row],[Growth Days]]&lt;=50, "Maturity")</f>
        <v>Seedling</v>
      </c>
      <c r="L2552" t="str">
        <f>IF(Table4_2[[#This Row],[TDS Value (ppm)]]&lt;560, "Low", IF(Table4_2[[#This Row],[TDS Value (ppm)]]&lt;=800,"Optimal","High"))</f>
        <v>Optimal</v>
      </c>
    </row>
    <row r="2553" spans="1:12" x14ac:dyDescent="0.25">
      <c r="A2553">
        <v>44</v>
      </c>
      <c r="B2553" s="1">
        <v>45157</v>
      </c>
      <c r="C2553" s="1" t="str">
        <f>TEXT(Table4_2[[#This Row],[Date]],"dddd")</f>
        <v>Saturday</v>
      </c>
      <c r="D2553" s="21">
        <v>30.8</v>
      </c>
      <c r="E2553" s="21">
        <v>54</v>
      </c>
      <c r="F2553" s="21">
        <v>527</v>
      </c>
      <c r="G2553" s="21">
        <v>6.3</v>
      </c>
      <c r="H2553">
        <v>17</v>
      </c>
      <c r="I2553">
        <v>87.44</v>
      </c>
      <c r="J2553">
        <v>0.54</v>
      </c>
      <c r="K2553" t="str" cm="1">
        <f t="array" ref="K2553">_xlfn.IFS(Table4_2[[#This Row],[Growth Days]]&lt;=14,"Seedling",Table4_2[[#This Row],[Growth Days]]&lt;=35, "Vegetative",Table4_2[[#This Row],[Growth Days]]&lt;=50, "Maturity")</f>
        <v>Vegetative</v>
      </c>
      <c r="L2553" t="str">
        <f>IF(Table4_2[[#This Row],[TDS Value (ppm)]]&lt;560, "Low", IF(Table4_2[[#This Row],[TDS Value (ppm)]]&lt;=800,"Optimal","High"))</f>
        <v>Low</v>
      </c>
    </row>
    <row r="2554" spans="1:12" x14ac:dyDescent="0.25">
      <c r="A2554">
        <v>44</v>
      </c>
      <c r="B2554" s="1">
        <v>45164</v>
      </c>
      <c r="C2554" s="1" t="str">
        <f>TEXT(Table4_2[[#This Row],[Date]],"dddd")</f>
        <v>Saturday</v>
      </c>
      <c r="D2554" s="21">
        <v>31.4</v>
      </c>
      <c r="E2554" s="21">
        <v>56</v>
      </c>
      <c r="F2554" s="21">
        <v>457</v>
      </c>
      <c r="G2554" s="21">
        <v>6</v>
      </c>
      <c r="H2554">
        <v>24</v>
      </c>
      <c r="I2554">
        <v>88.52</v>
      </c>
      <c r="J2554">
        <v>0.56000000000000005</v>
      </c>
      <c r="K2554" t="str" cm="1">
        <f t="array" ref="K2554">_xlfn.IFS(Table4_2[[#This Row],[Growth Days]]&lt;=14,"Seedling",Table4_2[[#This Row],[Growth Days]]&lt;=35, "Vegetative",Table4_2[[#This Row],[Growth Days]]&lt;=50, "Maturity")</f>
        <v>Vegetative</v>
      </c>
      <c r="L2554" t="str">
        <f>IF(Table4_2[[#This Row],[TDS Value (ppm)]]&lt;560, "Low", IF(Table4_2[[#This Row],[TDS Value (ppm)]]&lt;=800,"Optimal","High"))</f>
        <v>Low</v>
      </c>
    </row>
    <row r="2555" spans="1:12" x14ac:dyDescent="0.25">
      <c r="A2555">
        <v>44</v>
      </c>
      <c r="B2555" s="1">
        <v>45171</v>
      </c>
      <c r="C2555" s="1" t="str">
        <f>TEXT(Table4_2[[#This Row],[Date]],"dddd")</f>
        <v>Saturday</v>
      </c>
      <c r="D2555" s="21">
        <v>31.7</v>
      </c>
      <c r="E2555" s="21">
        <v>63</v>
      </c>
      <c r="F2555" s="21">
        <v>620</v>
      </c>
      <c r="G2555" s="21">
        <v>6.7</v>
      </c>
      <c r="H2555">
        <v>31</v>
      </c>
      <c r="I2555">
        <v>89.06</v>
      </c>
      <c r="J2555">
        <v>0.63</v>
      </c>
      <c r="K2555" t="str" cm="1">
        <f t="array" ref="K2555">_xlfn.IFS(Table4_2[[#This Row],[Growth Days]]&lt;=14,"Seedling",Table4_2[[#This Row],[Growth Days]]&lt;=35, "Vegetative",Table4_2[[#This Row],[Growth Days]]&lt;=50, "Maturity")</f>
        <v>Vegetative</v>
      </c>
      <c r="L2555" t="str">
        <f>IF(Table4_2[[#This Row],[TDS Value (ppm)]]&lt;560, "Low", IF(Table4_2[[#This Row],[TDS Value (ppm)]]&lt;=800,"Optimal","High"))</f>
        <v>Optimal</v>
      </c>
    </row>
    <row r="2556" spans="1:12" x14ac:dyDescent="0.25">
      <c r="A2556">
        <v>44</v>
      </c>
      <c r="B2556" s="1">
        <v>45178</v>
      </c>
      <c r="C2556" s="1" t="str">
        <f>TEXT(Table4_2[[#This Row],[Date]],"dddd")</f>
        <v>Saturday</v>
      </c>
      <c r="D2556" s="21">
        <v>20.100000000000001</v>
      </c>
      <c r="E2556" s="21">
        <v>56</v>
      </c>
      <c r="F2556" s="21">
        <v>764</v>
      </c>
      <c r="G2556" s="21">
        <v>6.4</v>
      </c>
      <c r="H2556">
        <v>38</v>
      </c>
      <c r="I2556">
        <v>68.180000000000007</v>
      </c>
      <c r="J2556">
        <v>0.56000000000000005</v>
      </c>
      <c r="K2556" t="str" cm="1">
        <f t="array" ref="K2556">_xlfn.IFS(Table4_2[[#This Row],[Growth Days]]&lt;=14,"Seedling",Table4_2[[#This Row],[Growth Days]]&lt;=35, "Vegetative",Table4_2[[#This Row],[Growth Days]]&lt;=50, "Maturity")</f>
        <v>Maturity</v>
      </c>
      <c r="L2556" t="str">
        <f>IF(Table4_2[[#This Row],[TDS Value (ppm)]]&lt;560, "Low", IF(Table4_2[[#This Row],[TDS Value (ppm)]]&lt;=800,"Optimal","High"))</f>
        <v>Optimal</v>
      </c>
    </row>
    <row r="2557" spans="1:12" x14ac:dyDescent="0.25">
      <c r="A2557">
        <v>44</v>
      </c>
      <c r="B2557" s="1">
        <v>45185</v>
      </c>
      <c r="C2557" s="1" t="str">
        <f>TEXT(Table4_2[[#This Row],[Date]],"dddd")</f>
        <v>Saturday</v>
      </c>
      <c r="D2557" s="21">
        <v>31.5</v>
      </c>
      <c r="E2557" s="21">
        <v>69</v>
      </c>
      <c r="F2557" s="21">
        <v>791</v>
      </c>
      <c r="G2557" s="21">
        <v>6.5</v>
      </c>
      <c r="H2557">
        <v>45</v>
      </c>
      <c r="I2557">
        <v>88.7</v>
      </c>
      <c r="J2557">
        <v>0.69</v>
      </c>
      <c r="K2557" t="str" cm="1">
        <f t="array" ref="K2557">_xlfn.IFS(Table4_2[[#This Row],[Growth Days]]&lt;=14,"Seedling",Table4_2[[#This Row],[Growth Days]]&lt;=35, "Vegetative",Table4_2[[#This Row],[Growth Days]]&lt;=50, "Maturity")</f>
        <v>Maturity</v>
      </c>
      <c r="L2557" t="str">
        <f>IF(Table4_2[[#This Row],[TDS Value (ppm)]]&lt;560, "Low", IF(Table4_2[[#This Row],[TDS Value (ppm)]]&lt;=800,"Optimal","High"))</f>
        <v>Optimal</v>
      </c>
    </row>
    <row r="2558" spans="1:12" x14ac:dyDescent="0.25">
      <c r="A2558">
        <v>45</v>
      </c>
      <c r="B2558" s="1">
        <v>45143</v>
      </c>
      <c r="C2558" s="1" t="str">
        <f>TEXT(Table4_2[[#This Row],[Date]],"dddd")</f>
        <v>Saturday</v>
      </c>
      <c r="D2558" s="21">
        <v>33.4</v>
      </c>
      <c r="E2558" s="21">
        <v>70</v>
      </c>
      <c r="F2558" s="21">
        <v>595</v>
      </c>
      <c r="G2558" s="21">
        <v>6.2</v>
      </c>
      <c r="H2558">
        <v>3</v>
      </c>
      <c r="I2558">
        <v>92.12</v>
      </c>
      <c r="J2558">
        <v>0.7</v>
      </c>
      <c r="K2558" t="str" cm="1">
        <f t="array" ref="K2558">_xlfn.IFS(Table4_2[[#This Row],[Growth Days]]&lt;=14,"Seedling",Table4_2[[#This Row],[Growth Days]]&lt;=35, "Vegetative",Table4_2[[#This Row],[Growth Days]]&lt;=50, "Maturity")</f>
        <v>Seedling</v>
      </c>
      <c r="L2558" t="str">
        <f>IF(Table4_2[[#This Row],[TDS Value (ppm)]]&lt;560, "Low", IF(Table4_2[[#This Row],[TDS Value (ppm)]]&lt;=800,"Optimal","High"))</f>
        <v>Optimal</v>
      </c>
    </row>
    <row r="2559" spans="1:12" x14ac:dyDescent="0.25">
      <c r="A2559">
        <v>45</v>
      </c>
      <c r="B2559" s="1">
        <v>45150</v>
      </c>
      <c r="C2559" s="1" t="str">
        <f>TEXT(Table4_2[[#This Row],[Date]],"dddd")</f>
        <v>Saturday</v>
      </c>
      <c r="D2559" s="21">
        <v>30.2</v>
      </c>
      <c r="E2559" s="21">
        <v>71</v>
      </c>
      <c r="F2559" s="21">
        <v>701</v>
      </c>
      <c r="G2559" s="21">
        <v>6.6</v>
      </c>
      <c r="H2559">
        <v>10</v>
      </c>
      <c r="I2559">
        <v>86.36</v>
      </c>
      <c r="J2559">
        <v>0.71</v>
      </c>
      <c r="K2559" t="str" cm="1">
        <f t="array" ref="K2559">_xlfn.IFS(Table4_2[[#This Row],[Growth Days]]&lt;=14,"Seedling",Table4_2[[#This Row],[Growth Days]]&lt;=35, "Vegetative",Table4_2[[#This Row],[Growth Days]]&lt;=50, "Maturity")</f>
        <v>Seedling</v>
      </c>
      <c r="L2559" t="str">
        <f>IF(Table4_2[[#This Row],[TDS Value (ppm)]]&lt;560, "Low", IF(Table4_2[[#This Row],[TDS Value (ppm)]]&lt;=800,"Optimal","High"))</f>
        <v>Optimal</v>
      </c>
    </row>
    <row r="2560" spans="1:12" x14ac:dyDescent="0.25">
      <c r="A2560">
        <v>45</v>
      </c>
      <c r="B2560" s="1">
        <v>45157</v>
      </c>
      <c r="C2560" s="1" t="str">
        <f>TEXT(Table4_2[[#This Row],[Date]],"dddd")</f>
        <v>Saturday</v>
      </c>
      <c r="D2560" s="21">
        <v>30.8</v>
      </c>
      <c r="E2560" s="21">
        <v>50</v>
      </c>
      <c r="F2560" s="21">
        <v>705</v>
      </c>
      <c r="G2560" s="21">
        <v>6.2</v>
      </c>
      <c r="H2560">
        <v>17</v>
      </c>
      <c r="I2560">
        <v>87.44</v>
      </c>
      <c r="J2560">
        <v>0.5</v>
      </c>
      <c r="K2560" t="str" cm="1">
        <f t="array" ref="K2560">_xlfn.IFS(Table4_2[[#This Row],[Growth Days]]&lt;=14,"Seedling",Table4_2[[#This Row],[Growth Days]]&lt;=35, "Vegetative",Table4_2[[#This Row],[Growth Days]]&lt;=50, "Maturity")</f>
        <v>Vegetative</v>
      </c>
      <c r="L2560" t="str">
        <f>IF(Table4_2[[#This Row],[TDS Value (ppm)]]&lt;560, "Low", IF(Table4_2[[#This Row],[TDS Value (ppm)]]&lt;=800,"Optimal","High"))</f>
        <v>Optimal</v>
      </c>
    </row>
    <row r="2561" spans="1:12" x14ac:dyDescent="0.25">
      <c r="A2561">
        <v>45</v>
      </c>
      <c r="B2561" s="1">
        <v>45164</v>
      </c>
      <c r="C2561" s="1" t="str">
        <f>TEXT(Table4_2[[#This Row],[Date]],"dddd")</f>
        <v>Saturday</v>
      </c>
      <c r="D2561" s="21">
        <v>31.4</v>
      </c>
      <c r="E2561" s="21">
        <v>69</v>
      </c>
      <c r="F2561" s="21">
        <v>663</v>
      </c>
      <c r="G2561" s="21">
        <v>6.6</v>
      </c>
      <c r="H2561">
        <v>24</v>
      </c>
      <c r="I2561">
        <v>88.52</v>
      </c>
      <c r="J2561">
        <v>0.69</v>
      </c>
      <c r="K2561" t="str" cm="1">
        <f t="array" ref="K2561">_xlfn.IFS(Table4_2[[#This Row],[Growth Days]]&lt;=14,"Seedling",Table4_2[[#This Row],[Growth Days]]&lt;=35, "Vegetative",Table4_2[[#This Row],[Growth Days]]&lt;=50, "Maturity")</f>
        <v>Vegetative</v>
      </c>
      <c r="L2561" t="str">
        <f>IF(Table4_2[[#This Row],[TDS Value (ppm)]]&lt;560, "Low", IF(Table4_2[[#This Row],[TDS Value (ppm)]]&lt;=800,"Optimal","High"))</f>
        <v>Optimal</v>
      </c>
    </row>
    <row r="2562" spans="1:12" x14ac:dyDescent="0.25">
      <c r="A2562">
        <v>45</v>
      </c>
      <c r="B2562" s="1">
        <v>45171</v>
      </c>
      <c r="C2562" s="1" t="str">
        <f>TEXT(Table4_2[[#This Row],[Date]],"dddd")</f>
        <v>Saturday</v>
      </c>
      <c r="D2562" s="21">
        <v>31.7</v>
      </c>
      <c r="E2562" s="21">
        <v>64</v>
      </c>
      <c r="F2562" s="21">
        <v>751</v>
      </c>
      <c r="G2562" s="21">
        <v>6.3</v>
      </c>
      <c r="H2562">
        <v>31</v>
      </c>
      <c r="I2562">
        <v>89.06</v>
      </c>
      <c r="J2562">
        <v>0.64</v>
      </c>
      <c r="K2562" t="str" cm="1">
        <f t="array" ref="K2562">_xlfn.IFS(Table4_2[[#This Row],[Growth Days]]&lt;=14,"Seedling",Table4_2[[#This Row],[Growth Days]]&lt;=35, "Vegetative",Table4_2[[#This Row],[Growth Days]]&lt;=50, "Maturity")</f>
        <v>Vegetative</v>
      </c>
      <c r="L2562" t="str">
        <f>IF(Table4_2[[#This Row],[TDS Value (ppm)]]&lt;560, "Low", IF(Table4_2[[#This Row],[TDS Value (ppm)]]&lt;=800,"Optimal","High"))</f>
        <v>Optimal</v>
      </c>
    </row>
    <row r="2563" spans="1:12" x14ac:dyDescent="0.25">
      <c r="A2563">
        <v>45</v>
      </c>
      <c r="B2563" s="1">
        <v>45178</v>
      </c>
      <c r="C2563" s="1" t="str">
        <f>TEXT(Table4_2[[#This Row],[Date]],"dddd")</f>
        <v>Saturday</v>
      </c>
      <c r="D2563" s="21">
        <v>20.100000000000001</v>
      </c>
      <c r="E2563" s="21">
        <v>77</v>
      </c>
      <c r="F2563" s="21">
        <v>681</v>
      </c>
      <c r="G2563" s="21">
        <v>6.2</v>
      </c>
      <c r="H2563">
        <v>38</v>
      </c>
      <c r="I2563">
        <v>68.180000000000007</v>
      </c>
      <c r="J2563">
        <v>0.77</v>
      </c>
      <c r="K2563" t="str" cm="1">
        <f t="array" ref="K2563">_xlfn.IFS(Table4_2[[#This Row],[Growth Days]]&lt;=14,"Seedling",Table4_2[[#This Row],[Growth Days]]&lt;=35, "Vegetative",Table4_2[[#This Row],[Growth Days]]&lt;=50, "Maturity")</f>
        <v>Maturity</v>
      </c>
      <c r="L2563" t="str">
        <f>IF(Table4_2[[#This Row],[TDS Value (ppm)]]&lt;560, "Low", IF(Table4_2[[#This Row],[TDS Value (ppm)]]&lt;=800,"Optimal","High"))</f>
        <v>Optimal</v>
      </c>
    </row>
    <row r="2564" spans="1:12" x14ac:dyDescent="0.25">
      <c r="A2564">
        <v>45</v>
      </c>
      <c r="B2564" s="1">
        <v>45185</v>
      </c>
      <c r="C2564" s="1" t="str">
        <f>TEXT(Table4_2[[#This Row],[Date]],"dddd")</f>
        <v>Saturday</v>
      </c>
      <c r="D2564" s="21">
        <v>31.5</v>
      </c>
      <c r="E2564" s="21">
        <v>62</v>
      </c>
      <c r="F2564" s="21">
        <v>498</v>
      </c>
      <c r="G2564" s="21">
        <v>6.8</v>
      </c>
      <c r="H2564">
        <v>45</v>
      </c>
      <c r="I2564">
        <v>88.7</v>
      </c>
      <c r="J2564">
        <v>0.62</v>
      </c>
      <c r="K2564" t="str" cm="1">
        <f t="array" ref="K2564">_xlfn.IFS(Table4_2[[#This Row],[Growth Days]]&lt;=14,"Seedling",Table4_2[[#This Row],[Growth Days]]&lt;=35, "Vegetative",Table4_2[[#This Row],[Growth Days]]&lt;=50, "Maturity")</f>
        <v>Maturity</v>
      </c>
      <c r="L2564" t="str">
        <f>IF(Table4_2[[#This Row],[TDS Value (ppm)]]&lt;560, "Low", IF(Table4_2[[#This Row],[TDS Value (ppm)]]&lt;=800,"Optimal","High"))</f>
        <v>Low</v>
      </c>
    </row>
    <row r="2565" spans="1:12" x14ac:dyDescent="0.25">
      <c r="A2565">
        <v>46</v>
      </c>
      <c r="B2565" s="1">
        <v>45143</v>
      </c>
      <c r="C2565" s="1" t="str">
        <f>TEXT(Table4_2[[#This Row],[Date]],"dddd")</f>
        <v>Saturday</v>
      </c>
      <c r="D2565" s="21">
        <v>33.4</v>
      </c>
      <c r="E2565" s="21">
        <v>51</v>
      </c>
      <c r="F2565" s="21">
        <v>439</v>
      </c>
      <c r="G2565" s="21">
        <v>6.7</v>
      </c>
      <c r="H2565">
        <v>3</v>
      </c>
      <c r="I2565">
        <v>92.12</v>
      </c>
      <c r="J2565">
        <v>0.51</v>
      </c>
      <c r="K2565" t="str" cm="1">
        <f t="array" ref="K2565">_xlfn.IFS(Table4_2[[#This Row],[Growth Days]]&lt;=14,"Seedling",Table4_2[[#This Row],[Growth Days]]&lt;=35, "Vegetative",Table4_2[[#This Row],[Growth Days]]&lt;=50, "Maturity")</f>
        <v>Seedling</v>
      </c>
      <c r="L2565" t="str">
        <f>IF(Table4_2[[#This Row],[TDS Value (ppm)]]&lt;560, "Low", IF(Table4_2[[#This Row],[TDS Value (ppm)]]&lt;=800,"Optimal","High"))</f>
        <v>Low</v>
      </c>
    </row>
    <row r="2566" spans="1:12" x14ac:dyDescent="0.25">
      <c r="A2566">
        <v>46</v>
      </c>
      <c r="B2566" s="1">
        <v>45150</v>
      </c>
      <c r="C2566" s="1" t="str">
        <f>TEXT(Table4_2[[#This Row],[Date]],"dddd")</f>
        <v>Saturday</v>
      </c>
      <c r="D2566" s="21">
        <v>30.2</v>
      </c>
      <c r="E2566" s="21">
        <v>73</v>
      </c>
      <c r="F2566" s="21">
        <v>572</v>
      </c>
      <c r="G2566" s="21">
        <v>6</v>
      </c>
      <c r="H2566">
        <v>10</v>
      </c>
      <c r="I2566">
        <v>86.36</v>
      </c>
      <c r="J2566">
        <v>0.73</v>
      </c>
      <c r="K2566" t="str" cm="1">
        <f t="array" ref="K2566">_xlfn.IFS(Table4_2[[#This Row],[Growth Days]]&lt;=14,"Seedling",Table4_2[[#This Row],[Growth Days]]&lt;=35, "Vegetative",Table4_2[[#This Row],[Growth Days]]&lt;=50, "Maturity")</f>
        <v>Seedling</v>
      </c>
      <c r="L2566" t="str">
        <f>IF(Table4_2[[#This Row],[TDS Value (ppm)]]&lt;560, "Low", IF(Table4_2[[#This Row],[TDS Value (ppm)]]&lt;=800,"Optimal","High"))</f>
        <v>Optimal</v>
      </c>
    </row>
    <row r="2567" spans="1:12" x14ac:dyDescent="0.25">
      <c r="A2567">
        <v>46</v>
      </c>
      <c r="B2567" s="1">
        <v>45157</v>
      </c>
      <c r="C2567" s="1" t="str">
        <f>TEXT(Table4_2[[#This Row],[Date]],"dddd")</f>
        <v>Saturday</v>
      </c>
      <c r="D2567" s="21">
        <v>30.8</v>
      </c>
      <c r="E2567" s="21">
        <v>58</v>
      </c>
      <c r="F2567" s="21">
        <v>580</v>
      </c>
      <c r="G2567" s="21">
        <v>6.1</v>
      </c>
      <c r="H2567">
        <v>17</v>
      </c>
      <c r="I2567">
        <v>87.44</v>
      </c>
      <c r="J2567">
        <v>0.57999999999999996</v>
      </c>
      <c r="K2567" t="str" cm="1">
        <f t="array" ref="K2567">_xlfn.IFS(Table4_2[[#This Row],[Growth Days]]&lt;=14,"Seedling",Table4_2[[#This Row],[Growth Days]]&lt;=35, "Vegetative",Table4_2[[#This Row],[Growth Days]]&lt;=50, "Maturity")</f>
        <v>Vegetative</v>
      </c>
      <c r="L2567" t="str">
        <f>IF(Table4_2[[#This Row],[TDS Value (ppm)]]&lt;560, "Low", IF(Table4_2[[#This Row],[TDS Value (ppm)]]&lt;=800,"Optimal","High"))</f>
        <v>Optimal</v>
      </c>
    </row>
    <row r="2568" spans="1:12" x14ac:dyDescent="0.25">
      <c r="A2568">
        <v>46</v>
      </c>
      <c r="B2568" s="1">
        <v>45164</v>
      </c>
      <c r="C2568" s="1" t="str">
        <f>TEXT(Table4_2[[#This Row],[Date]],"dddd")</f>
        <v>Saturday</v>
      </c>
      <c r="D2568" s="21">
        <v>31.4</v>
      </c>
      <c r="E2568" s="21">
        <v>51</v>
      </c>
      <c r="F2568" s="21">
        <v>679</v>
      </c>
      <c r="G2568" s="21">
        <v>6.3</v>
      </c>
      <c r="H2568">
        <v>24</v>
      </c>
      <c r="I2568">
        <v>88.52</v>
      </c>
      <c r="J2568">
        <v>0.51</v>
      </c>
      <c r="K2568" t="str" cm="1">
        <f t="array" ref="K2568">_xlfn.IFS(Table4_2[[#This Row],[Growth Days]]&lt;=14,"Seedling",Table4_2[[#This Row],[Growth Days]]&lt;=35, "Vegetative",Table4_2[[#This Row],[Growth Days]]&lt;=50, "Maturity")</f>
        <v>Vegetative</v>
      </c>
      <c r="L2568" t="str">
        <f>IF(Table4_2[[#This Row],[TDS Value (ppm)]]&lt;560, "Low", IF(Table4_2[[#This Row],[TDS Value (ppm)]]&lt;=800,"Optimal","High"))</f>
        <v>Optimal</v>
      </c>
    </row>
    <row r="2569" spans="1:12" x14ac:dyDescent="0.25">
      <c r="A2569">
        <v>46</v>
      </c>
      <c r="B2569" s="1">
        <v>45171</v>
      </c>
      <c r="C2569" s="1" t="str">
        <f>TEXT(Table4_2[[#This Row],[Date]],"dddd")</f>
        <v>Saturday</v>
      </c>
      <c r="D2569" s="21">
        <v>31.7</v>
      </c>
      <c r="E2569" s="21">
        <v>79</v>
      </c>
      <c r="F2569" s="21">
        <v>569</v>
      </c>
      <c r="G2569" s="21">
        <v>6.3</v>
      </c>
      <c r="H2569">
        <v>31</v>
      </c>
      <c r="I2569">
        <v>89.06</v>
      </c>
      <c r="J2569">
        <v>0.79</v>
      </c>
      <c r="K2569" t="str" cm="1">
        <f t="array" ref="K2569">_xlfn.IFS(Table4_2[[#This Row],[Growth Days]]&lt;=14,"Seedling",Table4_2[[#This Row],[Growth Days]]&lt;=35, "Vegetative",Table4_2[[#This Row],[Growth Days]]&lt;=50, "Maturity")</f>
        <v>Vegetative</v>
      </c>
      <c r="L2569" t="str">
        <f>IF(Table4_2[[#This Row],[TDS Value (ppm)]]&lt;560, "Low", IF(Table4_2[[#This Row],[TDS Value (ppm)]]&lt;=800,"Optimal","High"))</f>
        <v>Optimal</v>
      </c>
    </row>
    <row r="2570" spans="1:12" x14ac:dyDescent="0.25">
      <c r="A2570">
        <v>46</v>
      </c>
      <c r="B2570" s="1">
        <v>45178</v>
      </c>
      <c r="C2570" s="1" t="str">
        <f>TEXT(Table4_2[[#This Row],[Date]],"dddd")</f>
        <v>Saturday</v>
      </c>
      <c r="D2570" s="21">
        <v>20.100000000000001</v>
      </c>
      <c r="E2570" s="21">
        <v>80</v>
      </c>
      <c r="F2570" s="21">
        <v>501</v>
      </c>
      <c r="G2570" s="21">
        <v>6</v>
      </c>
      <c r="H2570">
        <v>38</v>
      </c>
      <c r="I2570">
        <v>68.180000000000007</v>
      </c>
      <c r="J2570">
        <v>0.8</v>
      </c>
      <c r="K2570" t="str" cm="1">
        <f t="array" ref="K2570">_xlfn.IFS(Table4_2[[#This Row],[Growth Days]]&lt;=14,"Seedling",Table4_2[[#This Row],[Growth Days]]&lt;=35, "Vegetative",Table4_2[[#This Row],[Growth Days]]&lt;=50, "Maturity")</f>
        <v>Maturity</v>
      </c>
      <c r="L2570" t="str">
        <f>IF(Table4_2[[#This Row],[TDS Value (ppm)]]&lt;560, "Low", IF(Table4_2[[#This Row],[TDS Value (ppm)]]&lt;=800,"Optimal","High"))</f>
        <v>Low</v>
      </c>
    </row>
    <row r="2571" spans="1:12" x14ac:dyDescent="0.25">
      <c r="A2571">
        <v>46</v>
      </c>
      <c r="B2571" s="1">
        <v>45185</v>
      </c>
      <c r="C2571" s="1" t="str">
        <f>TEXT(Table4_2[[#This Row],[Date]],"dddd")</f>
        <v>Saturday</v>
      </c>
      <c r="D2571" s="21">
        <v>31.5</v>
      </c>
      <c r="E2571" s="21">
        <v>58</v>
      </c>
      <c r="F2571" s="21">
        <v>739</v>
      </c>
      <c r="G2571" s="21">
        <v>6.3</v>
      </c>
      <c r="H2571">
        <v>45</v>
      </c>
      <c r="I2571">
        <v>88.7</v>
      </c>
      <c r="J2571">
        <v>0.57999999999999996</v>
      </c>
      <c r="K2571" t="str" cm="1">
        <f t="array" ref="K2571">_xlfn.IFS(Table4_2[[#This Row],[Growth Days]]&lt;=14,"Seedling",Table4_2[[#This Row],[Growth Days]]&lt;=35, "Vegetative",Table4_2[[#This Row],[Growth Days]]&lt;=50, "Maturity")</f>
        <v>Maturity</v>
      </c>
      <c r="L2571" t="str">
        <f>IF(Table4_2[[#This Row],[TDS Value (ppm)]]&lt;560, "Low", IF(Table4_2[[#This Row],[TDS Value (ppm)]]&lt;=800,"Optimal","High"))</f>
        <v>Optimal</v>
      </c>
    </row>
    <row r="2572" spans="1:12" x14ac:dyDescent="0.25">
      <c r="A2572">
        <v>47</v>
      </c>
      <c r="B2572" s="1">
        <v>45143</v>
      </c>
      <c r="C2572" s="1" t="str">
        <f>TEXT(Table4_2[[#This Row],[Date]],"dddd")</f>
        <v>Saturday</v>
      </c>
      <c r="D2572" s="21">
        <v>33.4</v>
      </c>
      <c r="E2572" s="21">
        <v>78</v>
      </c>
      <c r="F2572" s="21">
        <v>695</v>
      </c>
      <c r="G2572" s="21">
        <v>6.7</v>
      </c>
      <c r="H2572">
        <v>3</v>
      </c>
      <c r="I2572">
        <v>92.12</v>
      </c>
      <c r="J2572">
        <v>0.78</v>
      </c>
      <c r="K2572" t="str" cm="1">
        <f t="array" ref="K2572">_xlfn.IFS(Table4_2[[#This Row],[Growth Days]]&lt;=14,"Seedling",Table4_2[[#This Row],[Growth Days]]&lt;=35, "Vegetative",Table4_2[[#This Row],[Growth Days]]&lt;=50, "Maturity")</f>
        <v>Seedling</v>
      </c>
      <c r="L2572" t="str">
        <f>IF(Table4_2[[#This Row],[TDS Value (ppm)]]&lt;560, "Low", IF(Table4_2[[#This Row],[TDS Value (ppm)]]&lt;=800,"Optimal","High"))</f>
        <v>Optimal</v>
      </c>
    </row>
    <row r="2573" spans="1:12" x14ac:dyDescent="0.25">
      <c r="A2573">
        <v>47</v>
      </c>
      <c r="B2573" s="1">
        <v>45150</v>
      </c>
      <c r="C2573" s="1" t="str">
        <f>TEXT(Table4_2[[#This Row],[Date]],"dddd")</f>
        <v>Saturday</v>
      </c>
      <c r="D2573" s="21">
        <v>30.2</v>
      </c>
      <c r="E2573" s="21">
        <v>52</v>
      </c>
      <c r="F2573" s="21">
        <v>539</v>
      </c>
      <c r="G2573" s="21">
        <v>6.3</v>
      </c>
      <c r="H2573">
        <v>10</v>
      </c>
      <c r="I2573">
        <v>86.36</v>
      </c>
      <c r="J2573">
        <v>0.52</v>
      </c>
      <c r="K2573" t="str" cm="1">
        <f t="array" ref="K2573">_xlfn.IFS(Table4_2[[#This Row],[Growth Days]]&lt;=14,"Seedling",Table4_2[[#This Row],[Growth Days]]&lt;=35, "Vegetative",Table4_2[[#This Row],[Growth Days]]&lt;=50, "Maturity")</f>
        <v>Seedling</v>
      </c>
      <c r="L2573" t="str">
        <f>IF(Table4_2[[#This Row],[TDS Value (ppm)]]&lt;560, "Low", IF(Table4_2[[#This Row],[TDS Value (ppm)]]&lt;=800,"Optimal","High"))</f>
        <v>Low</v>
      </c>
    </row>
    <row r="2574" spans="1:12" x14ac:dyDescent="0.25">
      <c r="A2574">
        <v>47</v>
      </c>
      <c r="B2574" s="1">
        <v>45157</v>
      </c>
      <c r="C2574" s="1" t="str">
        <f>TEXT(Table4_2[[#This Row],[Date]],"dddd")</f>
        <v>Saturday</v>
      </c>
      <c r="D2574" s="21">
        <v>30.8</v>
      </c>
      <c r="E2574" s="21">
        <v>75</v>
      </c>
      <c r="F2574" s="21">
        <v>711</v>
      </c>
      <c r="G2574" s="21">
        <v>6.2</v>
      </c>
      <c r="H2574">
        <v>17</v>
      </c>
      <c r="I2574">
        <v>87.44</v>
      </c>
      <c r="J2574">
        <v>0.75</v>
      </c>
      <c r="K2574" t="str" cm="1">
        <f t="array" ref="K2574">_xlfn.IFS(Table4_2[[#This Row],[Growth Days]]&lt;=14,"Seedling",Table4_2[[#This Row],[Growth Days]]&lt;=35, "Vegetative",Table4_2[[#This Row],[Growth Days]]&lt;=50, "Maturity")</f>
        <v>Vegetative</v>
      </c>
      <c r="L2574" t="str">
        <f>IF(Table4_2[[#This Row],[TDS Value (ppm)]]&lt;560, "Low", IF(Table4_2[[#This Row],[TDS Value (ppm)]]&lt;=800,"Optimal","High"))</f>
        <v>Optimal</v>
      </c>
    </row>
    <row r="2575" spans="1:12" x14ac:dyDescent="0.25">
      <c r="A2575">
        <v>47</v>
      </c>
      <c r="B2575" s="1">
        <v>45164</v>
      </c>
      <c r="C2575" s="1" t="str">
        <f>TEXT(Table4_2[[#This Row],[Date]],"dddd")</f>
        <v>Saturday</v>
      </c>
      <c r="D2575" s="21">
        <v>31.4</v>
      </c>
      <c r="E2575" s="21">
        <v>50</v>
      </c>
      <c r="F2575" s="21">
        <v>429</v>
      </c>
      <c r="G2575" s="21">
        <v>6.7</v>
      </c>
      <c r="H2575">
        <v>24</v>
      </c>
      <c r="I2575">
        <v>88.52</v>
      </c>
      <c r="J2575">
        <v>0.5</v>
      </c>
      <c r="K2575" t="str" cm="1">
        <f t="array" ref="K2575">_xlfn.IFS(Table4_2[[#This Row],[Growth Days]]&lt;=14,"Seedling",Table4_2[[#This Row],[Growth Days]]&lt;=35, "Vegetative",Table4_2[[#This Row],[Growth Days]]&lt;=50, "Maturity")</f>
        <v>Vegetative</v>
      </c>
      <c r="L2575" t="str">
        <f>IF(Table4_2[[#This Row],[TDS Value (ppm)]]&lt;560, "Low", IF(Table4_2[[#This Row],[TDS Value (ppm)]]&lt;=800,"Optimal","High"))</f>
        <v>Low</v>
      </c>
    </row>
    <row r="2576" spans="1:12" x14ac:dyDescent="0.25">
      <c r="A2576">
        <v>47</v>
      </c>
      <c r="B2576" s="1">
        <v>45171</v>
      </c>
      <c r="C2576" s="1" t="str">
        <f>TEXT(Table4_2[[#This Row],[Date]],"dddd")</f>
        <v>Saturday</v>
      </c>
      <c r="D2576" s="21">
        <v>31.7</v>
      </c>
      <c r="E2576" s="21">
        <v>60</v>
      </c>
      <c r="F2576" s="21">
        <v>643</v>
      </c>
      <c r="G2576" s="21">
        <v>6.1</v>
      </c>
      <c r="H2576">
        <v>31</v>
      </c>
      <c r="I2576">
        <v>89.06</v>
      </c>
      <c r="J2576">
        <v>0.6</v>
      </c>
      <c r="K2576" t="str" cm="1">
        <f t="array" ref="K2576">_xlfn.IFS(Table4_2[[#This Row],[Growth Days]]&lt;=14,"Seedling",Table4_2[[#This Row],[Growth Days]]&lt;=35, "Vegetative",Table4_2[[#This Row],[Growth Days]]&lt;=50, "Maturity")</f>
        <v>Vegetative</v>
      </c>
      <c r="L2576" t="str">
        <f>IF(Table4_2[[#This Row],[TDS Value (ppm)]]&lt;560, "Low", IF(Table4_2[[#This Row],[TDS Value (ppm)]]&lt;=800,"Optimal","High"))</f>
        <v>Optimal</v>
      </c>
    </row>
    <row r="2577" spans="1:12" x14ac:dyDescent="0.25">
      <c r="A2577">
        <v>47</v>
      </c>
      <c r="B2577" s="1">
        <v>45178</v>
      </c>
      <c r="C2577" s="1" t="str">
        <f>TEXT(Table4_2[[#This Row],[Date]],"dddd")</f>
        <v>Saturday</v>
      </c>
      <c r="D2577" s="21">
        <v>20.100000000000001</v>
      </c>
      <c r="E2577" s="21">
        <v>79</v>
      </c>
      <c r="F2577" s="21">
        <v>795</v>
      </c>
      <c r="G2577" s="21">
        <v>6.4</v>
      </c>
      <c r="H2577">
        <v>38</v>
      </c>
      <c r="I2577">
        <v>68.180000000000007</v>
      </c>
      <c r="J2577">
        <v>0.79</v>
      </c>
      <c r="K2577" t="str" cm="1">
        <f t="array" ref="K2577">_xlfn.IFS(Table4_2[[#This Row],[Growth Days]]&lt;=14,"Seedling",Table4_2[[#This Row],[Growth Days]]&lt;=35, "Vegetative",Table4_2[[#This Row],[Growth Days]]&lt;=50, "Maturity")</f>
        <v>Maturity</v>
      </c>
      <c r="L2577" t="str">
        <f>IF(Table4_2[[#This Row],[TDS Value (ppm)]]&lt;560, "Low", IF(Table4_2[[#This Row],[TDS Value (ppm)]]&lt;=800,"Optimal","High"))</f>
        <v>Optimal</v>
      </c>
    </row>
    <row r="2578" spans="1:12" x14ac:dyDescent="0.25">
      <c r="A2578">
        <v>47</v>
      </c>
      <c r="B2578" s="1">
        <v>45185</v>
      </c>
      <c r="C2578" s="1" t="str">
        <f>TEXT(Table4_2[[#This Row],[Date]],"dddd")</f>
        <v>Saturday</v>
      </c>
      <c r="D2578" s="21">
        <v>31.5</v>
      </c>
      <c r="E2578" s="21">
        <v>70</v>
      </c>
      <c r="F2578" s="21">
        <v>706</v>
      </c>
      <c r="G2578" s="21">
        <v>6.5</v>
      </c>
      <c r="H2578">
        <v>45</v>
      </c>
      <c r="I2578">
        <v>88.7</v>
      </c>
      <c r="J2578">
        <v>0.7</v>
      </c>
      <c r="K2578" t="str" cm="1">
        <f t="array" ref="K2578">_xlfn.IFS(Table4_2[[#This Row],[Growth Days]]&lt;=14,"Seedling",Table4_2[[#This Row],[Growth Days]]&lt;=35, "Vegetative",Table4_2[[#This Row],[Growth Days]]&lt;=50, "Maturity")</f>
        <v>Maturity</v>
      </c>
      <c r="L2578" t="str">
        <f>IF(Table4_2[[#This Row],[TDS Value (ppm)]]&lt;560, "Low", IF(Table4_2[[#This Row],[TDS Value (ppm)]]&lt;=800,"Optimal","High"))</f>
        <v>Optimal</v>
      </c>
    </row>
    <row r="2579" spans="1:12" x14ac:dyDescent="0.25">
      <c r="A2579">
        <v>48</v>
      </c>
      <c r="B2579" s="1">
        <v>45143</v>
      </c>
      <c r="C2579" s="1" t="str">
        <f>TEXT(Table4_2[[#This Row],[Date]],"dddd")</f>
        <v>Saturday</v>
      </c>
      <c r="D2579" s="21">
        <v>33.4</v>
      </c>
      <c r="E2579" s="21">
        <v>70</v>
      </c>
      <c r="F2579" s="21">
        <v>510</v>
      </c>
      <c r="G2579" s="21">
        <v>6.7</v>
      </c>
      <c r="H2579">
        <v>3</v>
      </c>
      <c r="I2579">
        <v>92.12</v>
      </c>
      <c r="J2579">
        <v>0.7</v>
      </c>
      <c r="K2579" t="str" cm="1">
        <f t="array" ref="K2579">_xlfn.IFS(Table4_2[[#This Row],[Growth Days]]&lt;=14,"Seedling",Table4_2[[#This Row],[Growth Days]]&lt;=35, "Vegetative",Table4_2[[#This Row],[Growth Days]]&lt;=50, "Maturity")</f>
        <v>Seedling</v>
      </c>
      <c r="L2579" t="str">
        <f>IF(Table4_2[[#This Row],[TDS Value (ppm)]]&lt;560, "Low", IF(Table4_2[[#This Row],[TDS Value (ppm)]]&lt;=800,"Optimal","High"))</f>
        <v>Low</v>
      </c>
    </row>
    <row r="2580" spans="1:12" x14ac:dyDescent="0.25">
      <c r="A2580">
        <v>48</v>
      </c>
      <c r="B2580" s="1">
        <v>45150</v>
      </c>
      <c r="C2580" s="1" t="str">
        <f>TEXT(Table4_2[[#This Row],[Date]],"dddd")</f>
        <v>Saturday</v>
      </c>
      <c r="D2580" s="21">
        <v>30.2</v>
      </c>
      <c r="E2580" s="21">
        <v>61</v>
      </c>
      <c r="F2580" s="21">
        <v>784</v>
      </c>
      <c r="G2580" s="21">
        <v>6.2</v>
      </c>
      <c r="H2580">
        <v>10</v>
      </c>
      <c r="I2580">
        <v>86.36</v>
      </c>
      <c r="J2580">
        <v>0.61</v>
      </c>
      <c r="K2580" t="str" cm="1">
        <f t="array" ref="K2580">_xlfn.IFS(Table4_2[[#This Row],[Growth Days]]&lt;=14,"Seedling",Table4_2[[#This Row],[Growth Days]]&lt;=35, "Vegetative",Table4_2[[#This Row],[Growth Days]]&lt;=50, "Maturity")</f>
        <v>Seedling</v>
      </c>
      <c r="L2580" t="str">
        <f>IF(Table4_2[[#This Row],[TDS Value (ppm)]]&lt;560, "Low", IF(Table4_2[[#This Row],[TDS Value (ppm)]]&lt;=800,"Optimal","High"))</f>
        <v>Optimal</v>
      </c>
    </row>
    <row r="2581" spans="1:12" x14ac:dyDescent="0.25">
      <c r="A2581">
        <v>48</v>
      </c>
      <c r="B2581" s="1">
        <v>45157</v>
      </c>
      <c r="C2581" s="1" t="str">
        <f>TEXT(Table4_2[[#This Row],[Date]],"dddd")</f>
        <v>Saturday</v>
      </c>
      <c r="D2581" s="21">
        <v>30.8</v>
      </c>
      <c r="E2581" s="21">
        <v>62</v>
      </c>
      <c r="F2581" s="21">
        <v>584</v>
      </c>
      <c r="G2581" s="21">
        <v>6.7</v>
      </c>
      <c r="H2581">
        <v>17</v>
      </c>
      <c r="I2581">
        <v>87.44</v>
      </c>
      <c r="J2581">
        <v>0.62</v>
      </c>
      <c r="K2581" t="str" cm="1">
        <f t="array" ref="K2581">_xlfn.IFS(Table4_2[[#This Row],[Growth Days]]&lt;=14,"Seedling",Table4_2[[#This Row],[Growth Days]]&lt;=35, "Vegetative",Table4_2[[#This Row],[Growth Days]]&lt;=50, "Maturity")</f>
        <v>Vegetative</v>
      </c>
      <c r="L2581" t="str">
        <f>IF(Table4_2[[#This Row],[TDS Value (ppm)]]&lt;560, "Low", IF(Table4_2[[#This Row],[TDS Value (ppm)]]&lt;=800,"Optimal","High"))</f>
        <v>Optimal</v>
      </c>
    </row>
    <row r="2582" spans="1:12" x14ac:dyDescent="0.25">
      <c r="A2582">
        <v>48</v>
      </c>
      <c r="B2582" s="1">
        <v>45164</v>
      </c>
      <c r="C2582" s="1" t="str">
        <f>TEXT(Table4_2[[#This Row],[Date]],"dddd")</f>
        <v>Saturday</v>
      </c>
      <c r="D2582" s="21">
        <v>31.4</v>
      </c>
      <c r="E2582" s="21">
        <v>56</v>
      </c>
      <c r="F2582" s="21">
        <v>538</v>
      </c>
      <c r="G2582" s="21">
        <v>6.4</v>
      </c>
      <c r="H2582">
        <v>24</v>
      </c>
      <c r="I2582">
        <v>88.52</v>
      </c>
      <c r="J2582">
        <v>0.56000000000000005</v>
      </c>
      <c r="K2582" t="str" cm="1">
        <f t="array" ref="K2582">_xlfn.IFS(Table4_2[[#This Row],[Growth Days]]&lt;=14,"Seedling",Table4_2[[#This Row],[Growth Days]]&lt;=35, "Vegetative",Table4_2[[#This Row],[Growth Days]]&lt;=50, "Maturity")</f>
        <v>Vegetative</v>
      </c>
      <c r="L2582" t="str">
        <f>IF(Table4_2[[#This Row],[TDS Value (ppm)]]&lt;560, "Low", IF(Table4_2[[#This Row],[TDS Value (ppm)]]&lt;=800,"Optimal","High"))</f>
        <v>Low</v>
      </c>
    </row>
    <row r="2583" spans="1:12" x14ac:dyDescent="0.25">
      <c r="A2583">
        <v>48</v>
      </c>
      <c r="B2583" s="1">
        <v>45171</v>
      </c>
      <c r="C2583" s="1" t="str">
        <f>TEXT(Table4_2[[#This Row],[Date]],"dddd")</f>
        <v>Saturday</v>
      </c>
      <c r="D2583" s="21">
        <v>31.7</v>
      </c>
      <c r="E2583" s="21">
        <v>65</v>
      </c>
      <c r="F2583" s="21">
        <v>710</v>
      </c>
      <c r="G2583" s="21">
        <v>6.4</v>
      </c>
      <c r="H2583">
        <v>31</v>
      </c>
      <c r="I2583">
        <v>89.06</v>
      </c>
      <c r="J2583">
        <v>0.65</v>
      </c>
      <c r="K2583" t="str" cm="1">
        <f t="array" ref="K2583">_xlfn.IFS(Table4_2[[#This Row],[Growth Days]]&lt;=14,"Seedling",Table4_2[[#This Row],[Growth Days]]&lt;=35, "Vegetative",Table4_2[[#This Row],[Growth Days]]&lt;=50, "Maturity")</f>
        <v>Vegetative</v>
      </c>
      <c r="L2583" t="str">
        <f>IF(Table4_2[[#This Row],[TDS Value (ppm)]]&lt;560, "Low", IF(Table4_2[[#This Row],[TDS Value (ppm)]]&lt;=800,"Optimal","High"))</f>
        <v>Optimal</v>
      </c>
    </row>
    <row r="2584" spans="1:12" x14ac:dyDescent="0.25">
      <c r="A2584">
        <v>48</v>
      </c>
      <c r="B2584" s="1">
        <v>45178</v>
      </c>
      <c r="C2584" s="1" t="str">
        <f>TEXT(Table4_2[[#This Row],[Date]],"dddd")</f>
        <v>Saturday</v>
      </c>
      <c r="D2584" s="21">
        <v>20.100000000000001</v>
      </c>
      <c r="E2584" s="21">
        <v>69</v>
      </c>
      <c r="F2584" s="21">
        <v>529</v>
      </c>
      <c r="G2584" s="21">
        <v>6.3</v>
      </c>
      <c r="H2584">
        <v>38</v>
      </c>
      <c r="I2584">
        <v>68.180000000000007</v>
      </c>
      <c r="J2584">
        <v>0.69</v>
      </c>
      <c r="K2584" t="str" cm="1">
        <f t="array" ref="K2584">_xlfn.IFS(Table4_2[[#This Row],[Growth Days]]&lt;=14,"Seedling",Table4_2[[#This Row],[Growth Days]]&lt;=35, "Vegetative",Table4_2[[#This Row],[Growth Days]]&lt;=50, "Maturity")</f>
        <v>Maturity</v>
      </c>
      <c r="L2584" t="str">
        <f>IF(Table4_2[[#This Row],[TDS Value (ppm)]]&lt;560, "Low", IF(Table4_2[[#This Row],[TDS Value (ppm)]]&lt;=800,"Optimal","High"))</f>
        <v>Low</v>
      </c>
    </row>
    <row r="2585" spans="1:12" x14ac:dyDescent="0.25">
      <c r="A2585">
        <v>48</v>
      </c>
      <c r="B2585" s="1">
        <v>45185</v>
      </c>
      <c r="C2585" s="1" t="str">
        <f>TEXT(Table4_2[[#This Row],[Date]],"dddd")</f>
        <v>Saturday</v>
      </c>
      <c r="D2585" s="21">
        <v>31.6</v>
      </c>
      <c r="E2585" s="21">
        <v>69</v>
      </c>
      <c r="F2585" s="21">
        <v>539</v>
      </c>
      <c r="G2585" s="21">
        <v>6.6</v>
      </c>
      <c r="H2585">
        <v>45</v>
      </c>
      <c r="I2585">
        <v>88.88</v>
      </c>
      <c r="J2585">
        <v>0.69</v>
      </c>
      <c r="K2585" t="str" cm="1">
        <f t="array" ref="K2585">_xlfn.IFS(Table4_2[[#This Row],[Growth Days]]&lt;=14,"Seedling",Table4_2[[#This Row],[Growth Days]]&lt;=35, "Vegetative",Table4_2[[#This Row],[Growth Days]]&lt;=50, "Maturity")</f>
        <v>Maturity</v>
      </c>
      <c r="L2585" t="str">
        <f>IF(Table4_2[[#This Row],[TDS Value (ppm)]]&lt;560, "Low", IF(Table4_2[[#This Row],[TDS Value (ppm)]]&lt;=800,"Optimal","High"))</f>
        <v>Low</v>
      </c>
    </row>
    <row r="2586" spans="1:12" x14ac:dyDescent="0.25">
      <c r="A2586">
        <v>49</v>
      </c>
      <c r="B2586" s="1">
        <v>45143</v>
      </c>
      <c r="C2586" s="1" t="str">
        <f>TEXT(Table4_2[[#This Row],[Date]],"dddd")</f>
        <v>Saturday</v>
      </c>
      <c r="D2586" s="21">
        <v>33.4</v>
      </c>
      <c r="E2586" s="21">
        <v>60</v>
      </c>
      <c r="F2586" s="21">
        <v>412</v>
      </c>
      <c r="G2586" s="21">
        <v>6.2</v>
      </c>
      <c r="H2586">
        <v>3</v>
      </c>
      <c r="I2586">
        <v>92.12</v>
      </c>
      <c r="J2586">
        <v>0.6</v>
      </c>
      <c r="K2586" t="str" cm="1">
        <f t="array" ref="K2586">_xlfn.IFS(Table4_2[[#This Row],[Growth Days]]&lt;=14,"Seedling",Table4_2[[#This Row],[Growth Days]]&lt;=35, "Vegetative",Table4_2[[#This Row],[Growth Days]]&lt;=50, "Maturity")</f>
        <v>Seedling</v>
      </c>
      <c r="L2586" t="str">
        <f>IF(Table4_2[[#This Row],[TDS Value (ppm)]]&lt;560, "Low", IF(Table4_2[[#This Row],[TDS Value (ppm)]]&lt;=800,"Optimal","High"))</f>
        <v>Low</v>
      </c>
    </row>
    <row r="2587" spans="1:12" x14ac:dyDescent="0.25">
      <c r="A2587">
        <v>49</v>
      </c>
      <c r="B2587" s="1">
        <v>45150</v>
      </c>
      <c r="C2587" s="1" t="str">
        <f>TEXT(Table4_2[[#This Row],[Date]],"dddd")</f>
        <v>Saturday</v>
      </c>
      <c r="D2587" s="21">
        <v>30.2</v>
      </c>
      <c r="E2587" s="21">
        <v>71</v>
      </c>
      <c r="F2587" s="21">
        <v>608</v>
      </c>
      <c r="G2587" s="21">
        <v>6.7</v>
      </c>
      <c r="H2587">
        <v>10</v>
      </c>
      <c r="I2587">
        <v>86.36</v>
      </c>
      <c r="J2587">
        <v>0.71</v>
      </c>
      <c r="K2587" t="str" cm="1">
        <f t="array" ref="K2587">_xlfn.IFS(Table4_2[[#This Row],[Growth Days]]&lt;=14,"Seedling",Table4_2[[#This Row],[Growth Days]]&lt;=35, "Vegetative",Table4_2[[#This Row],[Growth Days]]&lt;=50, "Maturity")</f>
        <v>Seedling</v>
      </c>
      <c r="L2587" t="str">
        <f>IF(Table4_2[[#This Row],[TDS Value (ppm)]]&lt;560, "Low", IF(Table4_2[[#This Row],[TDS Value (ppm)]]&lt;=800,"Optimal","High"))</f>
        <v>Optimal</v>
      </c>
    </row>
    <row r="2588" spans="1:12" x14ac:dyDescent="0.25">
      <c r="A2588">
        <v>49</v>
      </c>
      <c r="B2588" s="1">
        <v>45157</v>
      </c>
      <c r="C2588" s="1" t="str">
        <f>TEXT(Table4_2[[#This Row],[Date]],"dddd")</f>
        <v>Saturday</v>
      </c>
      <c r="D2588" s="21">
        <v>30.8</v>
      </c>
      <c r="E2588" s="21">
        <v>80</v>
      </c>
      <c r="F2588" s="21">
        <v>778</v>
      </c>
      <c r="G2588" s="21">
        <v>6.7</v>
      </c>
      <c r="H2588">
        <v>17</v>
      </c>
      <c r="I2588">
        <v>87.44</v>
      </c>
      <c r="J2588">
        <v>0.8</v>
      </c>
      <c r="K2588" t="str" cm="1">
        <f t="array" ref="K2588">_xlfn.IFS(Table4_2[[#This Row],[Growth Days]]&lt;=14,"Seedling",Table4_2[[#This Row],[Growth Days]]&lt;=35, "Vegetative",Table4_2[[#This Row],[Growth Days]]&lt;=50, "Maturity")</f>
        <v>Vegetative</v>
      </c>
      <c r="L2588" t="str">
        <f>IF(Table4_2[[#This Row],[TDS Value (ppm)]]&lt;560, "Low", IF(Table4_2[[#This Row],[TDS Value (ppm)]]&lt;=800,"Optimal","High"))</f>
        <v>Optimal</v>
      </c>
    </row>
    <row r="2589" spans="1:12" x14ac:dyDescent="0.25">
      <c r="A2589">
        <v>49</v>
      </c>
      <c r="B2589" s="1">
        <v>45164</v>
      </c>
      <c r="C2589" s="1" t="str">
        <f>TEXT(Table4_2[[#This Row],[Date]],"dddd")</f>
        <v>Saturday</v>
      </c>
      <c r="D2589" s="21">
        <v>31.4</v>
      </c>
      <c r="E2589" s="21">
        <v>60</v>
      </c>
      <c r="F2589" s="21">
        <v>773</v>
      </c>
      <c r="G2589" s="21">
        <v>6.3</v>
      </c>
      <c r="H2589">
        <v>24</v>
      </c>
      <c r="I2589">
        <v>88.52</v>
      </c>
      <c r="J2589">
        <v>0.6</v>
      </c>
      <c r="K2589" t="str" cm="1">
        <f t="array" ref="K2589">_xlfn.IFS(Table4_2[[#This Row],[Growth Days]]&lt;=14,"Seedling",Table4_2[[#This Row],[Growth Days]]&lt;=35, "Vegetative",Table4_2[[#This Row],[Growth Days]]&lt;=50, "Maturity")</f>
        <v>Vegetative</v>
      </c>
      <c r="L2589" t="str">
        <f>IF(Table4_2[[#This Row],[TDS Value (ppm)]]&lt;560, "Low", IF(Table4_2[[#This Row],[TDS Value (ppm)]]&lt;=800,"Optimal","High"))</f>
        <v>Optimal</v>
      </c>
    </row>
    <row r="2590" spans="1:12" x14ac:dyDescent="0.25">
      <c r="A2590">
        <v>49</v>
      </c>
      <c r="B2590" s="1">
        <v>45171</v>
      </c>
      <c r="C2590" s="1" t="str">
        <f>TEXT(Table4_2[[#This Row],[Date]],"dddd")</f>
        <v>Saturday</v>
      </c>
      <c r="D2590" s="21">
        <v>31.7</v>
      </c>
      <c r="E2590" s="21">
        <v>65</v>
      </c>
      <c r="F2590" s="21">
        <v>534</v>
      </c>
      <c r="G2590" s="21">
        <v>6.6</v>
      </c>
      <c r="H2590">
        <v>31</v>
      </c>
      <c r="I2590">
        <v>89.06</v>
      </c>
      <c r="J2590">
        <v>0.65</v>
      </c>
      <c r="K2590" t="str" cm="1">
        <f t="array" ref="K2590">_xlfn.IFS(Table4_2[[#This Row],[Growth Days]]&lt;=14,"Seedling",Table4_2[[#This Row],[Growth Days]]&lt;=35, "Vegetative",Table4_2[[#This Row],[Growth Days]]&lt;=50, "Maturity")</f>
        <v>Vegetative</v>
      </c>
      <c r="L2590" t="str">
        <f>IF(Table4_2[[#This Row],[TDS Value (ppm)]]&lt;560, "Low", IF(Table4_2[[#This Row],[TDS Value (ppm)]]&lt;=800,"Optimal","High"))</f>
        <v>Low</v>
      </c>
    </row>
    <row r="2591" spans="1:12" x14ac:dyDescent="0.25">
      <c r="A2591">
        <v>49</v>
      </c>
      <c r="B2591" s="1">
        <v>45178</v>
      </c>
      <c r="C2591" s="1" t="str">
        <f>TEXT(Table4_2[[#This Row],[Date]],"dddd")</f>
        <v>Saturday</v>
      </c>
      <c r="D2591" s="21">
        <v>20.100000000000001</v>
      </c>
      <c r="E2591" s="21">
        <v>57</v>
      </c>
      <c r="F2591" s="21">
        <v>781</v>
      </c>
      <c r="G2591" s="21">
        <v>6.2</v>
      </c>
      <c r="H2591">
        <v>38</v>
      </c>
      <c r="I2591">
        <v>68.180000000000007</v>
      </c>
      <c r="J2591">
        <v>0.56999999999999995</v>
      </c>
      <c r="K2591" t="str" cm="1">
        <f t="array" ref="K2591">_xlfn.IFS(Table4_2[[#This Row],[Growth Days]]&lt;=14,"Seedling",Table4_2[[#This Row],[Growth Days]]&lt;=35, "Vegetative",Table4_2[[#This Row],[Growth Days]]&lt;=50, "Maturity")</f>
        <v>Maturity</v>
      </c>
      <c r="L2591" t="str">
        <f>IF(Table4_2[[#This Row],[TDS Value (ppm)]]&lt;560, "Low", IF(Table4_2[[#This Row],[TDS Value (ppm)]]&lt;=800,"Optimal","High"))</f>
        <v>Optimal</v>
      </c>
    </row>
    <row r="2592" spans="1:12" x14ac:dyDescent="0.25">
      <c r="A2592">
        <v>49</v>
      </c>
      <c r="B2592" s="1">
        <v>45185</v>
      </c>
      <c r="C2592" s="1" t="str">
        <f>TEXT(Table4_2[[#This Row],[Date]],"dddd")</f>
        <v>Saturday</v>
      </c>
      <c r="D2592" s="21">
        <v>31.5</v>
      </c>
      <c r="E2592" s="21">
        <v>54</v>
      </c>
      <c r="F2592" s="21">
        <v>767</v>
      </c>
      <c r="G2592" s="21">
        <v>6.1</v>
      </c>
      <c r="H2592">
        <v>45</v>
      </c>
      <c r="I2592">
        <v>88.7</v>
      </c>
      <c r="J2592">
        <v>0.54</v>
      </c>
      <c r="K2592" t="str" cm="1">
        <f t="array" ref="K2592">_xlfn.IFS(Table4_2[[#This Row],[Growth Days]]&lt;=14,"Seedling",Table4_2[[#This Row],[Growth Days]]&lt;=35, "Vegetative",Table4_2[[#This Row],[Growth Days]]&lt;=50, "Maturity")</f>
        <v>Maturity</v>
      </c>
      <c r="L2592" t="str">
        <f>IF(Table4_2[[#This Row],[TDS Value (ppm)]]&lt;560, "Low", IF(Table4_2[[#This Row],[TDS Value (ppm)]]&lt;=800,"Optimal","High"))</f>
        <v>Optimal</v>
      </c>
    </row>
    <row r="2593" spans="1:12" x14ac:dyDescent="0.25">
      <c r="A2593">
        <v>50</v>
      </c>
      <c r="B2593" s="1">
        <v>45143</v>
      </c>
      <c r="C2593" s="1" t="str">
        <f>TEXT(Table4_2[[#This Row],[Date]],"dddd")</f>
        <v>Saturday</v>
      </c>
      <c r="D2593" s="21">
        <v>33.4</v>
      </c>
      <c r="E2593" s="21">
        <v>76</v>
      </c>
      <c r="F2593" s="21">
        <v>459</v>
      </c>
      <c r="G2593" s="21">
        <v>6</v>
      </c>
      <c r="H2593">
        <v>3</v>
      </c>
      <c r="I2593">
        <v>92.12</v>
      </c>
      <c r="J2593">
        <v>0.76</v>
      </c>
      <c r="K2593" t="str" cm="1">
        <f t="array" ref="K2593">_xlfn.IFS(Table4_2[[#This Row],[Growth Days]]&lt;=14,"Seedling",Table4_2[[#This Row],[Growth Days]]&lt;=35, "Vegetative",Table4_2[[#This Row],[Growth Days]]&lt;=50, "Maturity")</f>
        <v>Seedling</v>
      </c>
      <c r="L2593" t="str">
        <f>IF(Table4_2[[#This Row],[TDS Value (ppm)]]&lt;560, "Low", IF(Table4_2[[#This Row],[TDS Value (ppm)]]&lt;=800,"Optimal","High"))</f>
        <v>Low</v>
      </c>
    </row>
    <row r="2594" spans="1:12" x14ac:dyDescent="0.25">
      <c r="A2594">
        <v>50</v>
      </c>
      <c r="B2594" s="1">
        <v>45150</v>
      </c>
      <c r="C2594" s="1" t="str">
        <f>TEXT(Table4_2[[#This Row],[Date]],"dddd")</f>
        <v>Saturday</v>
      </c>
      <c r="D2594" s="21">
        <v>30.2</v>
      </c>
      <c r="E2594" s="21">
        <v>62</v>
      </c>
      <c r="F2594" s="21">
        <v>729</v>
      </c>
      <c r="G2594" s="21">
        <v>6.5</v>
      </c>
      <c r="H2594">
        <v>10</v>
      </c>
      <c r="I2594">
        <v>86.36</v>
      </c>
      <c r="J2594">
        <v>0.62</v>
      </c>
      <c r="K2594" t="str" cm="1">
        <f t="array" ref="K2594">_xlfn.IFS(Table4_2[[#This Row],[Growth Days]]&lt;=14,"Seedling",Table4_2[[#This Row],[Growth Days]]&lt;=35, "Vegetative",Table4_2[[#This Row],[Growth Days]]&lt;=50, "Maturity")</f>
        <v>Seedling</v>
      </c>
      <c r="L2594" t="str">
        <f>IF(Table4_2[[#This Row],[TDS Value (ppm)]]&lt;560, "Low", IF(Table4_2[[#This Row],[TDS Value (ppm)]]&lt;=800,"Optimal","High"))</f>
        <v>Optimal</v>
      </c>
    </row>
    <row r="2595" spans="1:12" x14ac:dyDescent="0.25">
      <c r="A2595">
        <v>50</v>
      </c>
      <c r="B2595" s="1">
        <v>45157</v>
      </c>
      <c r="C2595" s="1" t="str">
        <f>TEXT(Table4_2[[#This Row],[Date]],"dddd")</f>
        <v>Saturday</v>
      </c>
      <c r="D2595" s="21">
        <v>30.8</v>
      </c>
      <c r="E2595" s="21">
        <v>61</v>
      </c>
      <c r="F2595" s="21">
        <v>635</v>
      </c>
      <c r="G2595" s="21">
        <v>6.6</v>
      </c>
      <c r="H2595">
        <v>17</v>
      </c>
      <c r="I2595">
        <v>87.44</v>
      </c>
      <c r="J2595">
        <v>0.61</v>
      </c>
      <c r="K2595" t="str" cm="1">
        <f t="array" ref="K2595">_xlfn.IFS(Table4_2[[#This Row],[Growth Days]]&lt;=14,"Seedling",Table4_2[[#This Row],[Growth Days]]&lt;=35, "Vegetative",Table4_2[[#This Row],[Growth Days]]&lt;=50, "Maturity")</f>
        <v>Vegetative</v>
      </c>
      <c r="L2595" t="str">
        <f>IF(Table4_2[[#This Row],[TDS Value (ppm)]]&lt;560, "Low", IF(Table4_2[[#This Row],[TDS Value (ppm)]]&lt;=800,"Optimal","High"))</f>
        <v>Optimal</v>
      </c>
    </row>
    <row r="2596" spans="1:12" x14ac:dyDescent="0.25">
      <c r="A2596">
        <v>50</v>
      </c>
      <c r="B2596" s="1">
        <v>45164</v>
      </c>
      <c r="C2596" s="1" t="str">
        <f>TEXT(Table4_2[[#This Row],[Date]],"dddd")</f>
        <v>Saturday</v>
      </c>
      <c r="D2596" s="21">
        <v>31.4</v>
      </c>
      <c r="E2596" s="21">
        <v>58</v>
      </c>
      <c r="F2596" s="21">
        <v>447</v>
      </c>
      <c r="G2596" s="21">
        <v>6.3</v>
      </c>
      <c r="H2596">
        <v>24</v>
      </c>
      <c r="I2596">
        <v>88.52</v>
      </c>
      <c r="J2596">
        <v>0.57999999999999996</v>
      </c>
      <c r="K2596" t="str" cm="1">
        <f t="array" ref="K2596">_xlfn.IFS(Table4_2[[#This Row],[Growth Days]]&lt;=14,"Seedling",Table4_2[[#This Row],[Growth Days]]&lt;=35, "Vegetative",Table4_2[[#This Row],[Growth Days]]&lt;=50, "Maturity")</f>
        <v>Vegetative</v>
      </c>
      <c r="L2596" t="str">
        <f>IF(Table4_2[[#This Row],[TDS Value (ppm)]]&lt;560, "Low", IF(Table4_2[[#This Row],[TDS Value (ppm)]]&lt;=800,"Optimal","High"))</f>
        <v>Low</v>
      </c>
    </row>
    <row r="2597" spans="1:12" x14ac:dyDescent="0.25">
      <c r="A2597">
        <v>50</v>
      </c>
      <c r="B2597" s="1">
        <v>45171</v>
      </c>
      <c r="C2597" s="1" t="str">
        <f>TEXT(Table4_2[[#This Row],[Date]],"dddd")</f>
        <v>Saturday</v>
      </c>
      <c r="D2597" s="21">
        <v>31.7</v>
      </c>
      <c r="E2597" s="21">
        <v>50</v>
      </c>
      <c r="F2597" s="21">
        <v>626</v>
      </c>
      <c r="G2597" s="21">
        <v>6.6</v>
      </c>
      <c r="H2597">
        <v>31</v>
      </c>
      <c r="I2597">
        <v>89.06</v>
      </c>
      <c r="J2597">
        <v>0.5</v>
      </c>
      <c r="K2597" t="str" cm="1">
        <f t="array" ref="K2597">_xlfn.IFS(Table4_2[[#This Row],[Growth Days]]&lt;=14,"Seedling",Table4_2[[#This Row],[Growth Days]]&lt;=35, "Vegetative",Table4_2[[#This Row],[Growth Days]]&lt;=50, "Maturity")</f>
        <v>Vegetative</v>
      </c>
      <c r="L2597" t="str">
        <f>IF(Table4_2[[#This Row],[TDS Value (ppm)]]&lt;560, "Low", IF(Table4_2[[#This Row],[TDS Value (ppm)]]&lt;=800,"Optimal","High"))</f>
        <v>Optimal</v>
      </c>
    </row>
    <row r="2598" spans="1:12" x14ac:dyDescent="0.25">
      <c r="A2598">
        <v>50</v>
      </c>
      <c r="B2598" s="1">
        <v>45178</v>
      </c>
      <c r="C2598" s="1" t="str">
        <f>TEXT(Table4_2[[#This Row],[Date]],"dddd")</f>
        <v>Saturday</v>
      </c>
      <c r="D2598" s="21">
        <v>20.100000000000001</v>
      </c>
      <c r="E2598" s="21">
        <v>76</v>
      </c>
      <c r="F2598" s="21">
        <v>415</v>
      </c>
      <c r="G2598" s="21">
        <v>6.5</v>
      </c>
      <c r="H2598">
        <v>38</v>
      </c>
      <c r="I2598">
        <v>68.180000000000007</v>
      </c>
      <c r="J2598">
        <v>0.76</v>
      </c>
      <c r="K2598" t="str" cm="1">
        <f t="array" ref="K2598">_xlfn.IFS(Table4_2[[#This Row],[Growth Days]]&lt;=14,"Seedling",Table4_2[[#This Row],[Growth Days]]&lt;=35, "Vegetative",Table4_2[[#This Row],[Growth Days]]&lt;=50, "Maturity")</f>
        <v>Maturity</v>
      </c>
      <c r="L2598" t="str">
        <f>IF(Table4_2[[#This Row],[TDS Value (ppm)]]&lt;560, "Low", IF(Table4_2[[#This Row],[TDS Value (ppm)]]&lt;=800,"Optimal","High"))</f>
        <v>Low</v>
      </c>
    </row>
    <row r="2599" spans="1:12" x14ac:dyDescent="0.25">
      <c r="A2599">
        <v>50</v>
      </c>
      <c r="B2599" s="1">
        <v>45185</v>
      </c>
      <c r="C2599" s="1" t="str">
        <f>TEXT(Table4_2[[#This Row],[Date]],"dddd")</f>
        <v>Saturday</v>
      </c>
      <c r="D2599" s="21">
        <v>31.5</v>
      </c>
      <c r="E2599" s="21">
        <v>65</v>
      </c>
      <c r="F2599" s="21">
        <v>518</v>
      </c>
      <c r="G2599" s="21">
        <v>6.7</v>
      </c>
      <c r="H2599">
        <v>45</v>
      </c>
      <c r="I2599">
        <v>88.7</v>
      </c>
      <c r="J2599">
        <v>0.65</v>
      </c>
      <c r="K2599" t="str" cm="1">
        <f t="array" ref="K2599">_xlfn.IFS(Table4_2[[#This Row],[Growth Days]]&lt;=14,"Seedling",Table4_2[[#This Row],[Growth Days]]&lt;=35, "Vegetative",Table4_2[[#This Row],[Growth Days]]&lt;=50, "Maturity")</f>
        <v>Maturity</v>
      </c>
      <c r="L2599" t="str">
        <f>IF(Table4_2[[#This Row],[TDS Value (ppm)]]&lt;560, "Low", IF(Table4_2[[#This Row],[TDS Value (ppm)]]&lt;=800,"Optimal","High"))</f>
        <v>Low</v>
      </c>
    </row>
    <row r="2600" spans="1:12" x14ac:dyDescent="0.25">
      <c r="A2600">
        <v>51</v>
      </c>
      <c r="B2600" s="1">
        <v>45143</v>
      </c>
      <c r="C2600" s="1" t="str">
        <f>TEXT(Table4_2[[#This Row],[Date]],"dddd")</f>
        <v>Saturday</v>
      </c>
      <c r="D2600" s="21">
        <v>33.4</v>
      </c>
      <c r="E2600" s="21">
        <v>59</v>
      </c>
      <c r="F2600" s="21">
        <v>705</v>
      </c>
      <c r="G2600" s="21">
        <v>6</v>
      </c>
      <c r="H2600">
        <v>3</v>
      </c>
      <c r="I2600">
        <v>92.12</v>
      </c>
      <c r="J2600">
        <v>0.59</v>
      </c>
      <c r="K2600" t="str" cm="1">
        <f t="array" ref="K2600">_xlfn.IFS(Table4_2[[#This Row],[Growth Days]]&lt;=14,"Seedling",Table4_2[[#This Row],[Growth Days]]&lt;=35, "Vegetative",Table4_2[[#This Row],[Growth Days]]&lt;=50, "Maturity")</f>
        <v>Seedling</v>
      </c>
      <c r="L2600" t="str">
        <f>IF(Table4_2[[#This Row],[TDS Value (ppm)]]&lt;560, "Low", IF(Table4_2[[#This Row],[TDS Value (ppm)]]&lt;=800,"Optimal","High"))</f>
        <v>Optimal</v>
      </c>
    </row>
    <row r="2601" spans="1:12" x14ac:dyDescent="0.25">
      <c r="A2601">
        <v>51</v>
      </c>
      <c r="B2601" s="1">
        <v>45150</v>
      </c>
      <c r="C2601" s="1" t="str">
        <f>TEXT(Table4_2[[#This Row],[Date]],"dddd")</f>
        <v>Saturday</v>
      </c>
      <c r="D2601" s="21">
        <v>30.2</v>
      </c>
      <c r="E2601" s="21">
        <v>80</v>
      </c>
      <c r="F2601" s="21">
        <v>497</v>
      </c>
      <c r="G2601" s="21">
        <v>6.4</v>
      </c>
      <c r="H2601">
        <v>10</v>
      </c>
      <c r="I2601">
        <v>86.36</v>
      </c>
      <c r="J2601">
        <v>0.8</v>
      </c>
      <c r="K2601" t="str" cm="1">
        <f t="array" ref="K2601">_xlfn.IFS(Table4_2[[#This Row],[Growth Days]]&lt;=14,"Seedling",Table4_2[[#This Row],[Growth Days]]&lt;=35, "Vegetative",Table4_2[[#This Row],[Growth Days]]&lt;=50, "Maturity")</f>
        <v>Seedling</v>
      </c>
      <c r="L2601" t="str">
        <f>IF(Table4_2[[#This Row],[TDS Value (ppm)]]&lt;560, "Low", IF(Table4_2[[#This Row],[TDS Value (ppm)]]&lt;=800,"Optimal","High"))</f>
        <v>Low</v>
      </c>
    </row>
    <row r="2602" spans="1:12" x14ac:dyDescent="0.25">
      <c r="A2602">
        <v>51</v>
      </c>
      <c r="B2602" s="1">
        <v>45157</v>
      </c>
      <c r="C2602" s="1" t="str">
        <f>TEXT(Table4_2[[#This Row],[Date]],"dddd")</f>
        <v>Saturday</v>
      </c>
      <c r="D2602" s="21">
        <v>30.8</v>
      </c>
      <c r="E2602" s="21">
        <v>61</v>
      </c>
      <c r="F2602" s="21">
        <v>646</v>
      </c>
      <c r="G2602" s="21">
        <v>6.6</v>
      </c>
      <c r="H2602">
        <v>17</v>
      </c>
      <c r="I2602">
        <v>87.44</v>
      </c>
      <c r="J2602">
        <v>0.61</v>
      </c>
      <c r="K2602" t="str" cm="1">
        <f t="array" ref="K2602">_xlfn.IFS(Table4_2[[#This Row],[Growth Days]]&lt;=14,"Seedling",Table4_2[[#This Row],[Growth Days]]&lt;=35, "Vegetative",Table4_2[[#This Row],[Growth Days]]&lt;=50, "Maturity")</f>
        <v>Vegetative</v>
      </c>
      <c r="L2602" t="str">
        <f>IF(Table4_2[[#This Row],[TDS Value (ppm)]]&lt;560, "Low", IF(Table4_2[[#This Row],[TDS Value (ppm)]]&lt;=800,"Optimal","High"))</f>
        <v>Optimal</v>
      </c>
    </row>
    <row r="2603" spans="1:12" x14ac:dyDescent="0.25">
      <c r="A2603">
        <v>51</v>
      </c>
      <c r="B2603" s="1">
        <v>45164</v>
      </c>
      <c r="C2603" s="1" t="str">
        <f>TEXT(Table4_2[[#This Row],[Date]],"dddd")</f>
        <v>Saturday</v>
      </c>
      <c r="D2603" s="21">
        <v>31.4</v>
      </c>
      <c r="E2603" s="21">
        <v>75</v>
      </c>
      <c r="F2603" s="21">
        <v>727</v>
      </c>
      <c r="G2603" s="21">
        <v>6.1</v>
      </c>
      <c r="H2603">
        <v>24</v>
      </c>
      <c r="I2603">
        <v>88.52</v>
      </c>
      <c r="J2603">
        <v>0.75</v>
      </c>
      <c r="K2603" t="str" cm="1">
        <f t="array" ref="K2603">_xlfn.IFS(Table4_2[[#This Row],[Growth Days]]&lt;=14,"Seedling",Table4_2[[#This Row],[Growth Days]]&lt;=35, "Vegetative",Table4_2[[#This Row],[Growth Days]]&lt;=50, "Maturity")</f>
        <v>Vegetative</v>
      </c>
      <c r="L2603" t="str">
        <f>IF(Table4_2[[#This Row],[TDS Value (ppm)]]&lt;560, "Low", IF(Table4_2[[#This Row],[TDS Value (ppm)]]&lt;=800,"Optimal","High"))</f>
        <v>Optimal</v>
      </c>
    </row>
    <row r="2604" spans="1:12" x14ac:dyDescent="0.25">
      <c r="A2604">
        <v>51</v>
      </c>
      <c r="B2604" s="1">
        <v>45171</v>
      </c>
      <c r="C2604" s="1" t="str">
        <f>TEXT(Table4_2[[#This Row],[Date]],"dddd")</f>
        <v>Saturday</v>
      </c>
      <c r="D2604" s="21">
        <v>31.7</v>
      </c>
      <c r="E2604" s="21">
        <v>58</v>
      </c>
      <c r="F2604" s="21">
        <v>432</v>
      </c>
      <c r="G2604" s="21">
        <v>6.4</v>
      </c>
      <c r="H2604">
        <v>31</v>
      </c>
      <c r="I2604">
        <v>89.06</v>
      </c>
      <c r="J2604">
        <v>0.57999999999999996</v>
      </c>
      <c r="K2604" t="str" cm="1">
        <f t="array" ref="K2604">_xlfn.IFS(Table4_2[[#This Row],[Growth Days]]&lt;=14,"Seedling",Table4_2[[#This Row],[Growth Days]]&lt;=35, "Vegetative",Table4_2[[#This Row],[Growth Days]]&lt;=50, "Maturity")</f>
        <v>Vegetative</v>
      </c>
      <c r="L2604" t="str">
        <f>IF(Table4_2[[#This Row],[TDS Value (ppm)]]&lt;560, "Low", IF(Table4_2[[#This Row],[TDS Value (ppm)]]&lt;=800,"Optimal","High"))</f>
        <v>Low</v>
      </c>
    </row>
    <row r="2605" spans="1:12" x14ac:dyDescent="0.25">
      <c r="A2605">
        <v>51</v>
      </c>
      <c r="B2605" s="1">
        <v>45178</v>
      </c>
      <c r="C2605" s="1" t="str">
        <f>TEXT(Table4_2[[#This Row],[Date]],"dddd")</f>
        <v>Saturday</v>
      </c>
      <c r="D2605" s="21">
        <v>20.100000000000001</v>
      </c>
      <c r="E2605" s="21">
        <v>54</v>
      </c>
      <c r="F2605" s="21">
        <v>457</v>
      </c>
      <c r="G2605" s="21">
        <v>6.4</v>
      </c>
      <c r="H2605">
        <v>38</v>
      </c>
      <c r="I2605">
        <v>68.180000000000007</v>
      </c>
      <c r="J2605">
        <v>0.54</v>
      </c>
      <c r="K2605" t="str" cm="1">
        <f t="array" ref="K2605">_xlfn.IFS(Table4_2[[#This Row],[Growth Days]]&lt;=14,"Seedling",Table4_2[[#This Row],[Growth Days]]&lt;=35, "Vegetative",Table4_2[[#This Row],[Growth Days]]&lt;=50, "Maturity")</f>
        <v>Maturity</v>
      </c>
      <c r="L2605" t="str">
        <f>IF(Table4_2[[#This Row],[TDS Value (ppm)]]&lt;560, "Low", IF(Table4_2[[#This Row],[TDS Value (ppm)]]&lt;=800,"Optimal","High"))</f>
        <v>Low</v>
      </c>
    </row>
    <row r="2606" spans="1:12" x14ac:dyDescent="0.25">
      <c r="A2606">
        <v>51</v>
      </c>
      <c r="B2606" s="1">
        <v>45185</v>
      </c>
      <c r="C2606" s="1" t="str">
        <f>TEXT(Table4_2[[#This Row],[Date]],"dddd")</f>
        <v>Saturday</v>
      </c>
      <c r="D2606" s="21">
        <v>31.5</v>
      </c>
      <c r="E2606" s="21">
        <v>72</v>
      </c>
      <c r="F2606" s="21">
        <v>575</v>
      </c>
      <c r="G2606" s="21">
        <v>6.2</v>
      </c>
      <c r="H2606">
        <v>45</v>
      </c>
      <c r="I2606">
        <v>88.7</v>
      </c>
      <c r="J2606">
        <v>0.72</v>
      </c>
      <c r="K2606" t="str" cm="1">
        <f t="array" ref="K2606">_xlfn.IFS(Table4_2[[#This Row],[Growth Days]]&lt;=14,"Seedling",Table4_2[[#This Row],[Growth Days]]&lt;=35, "Vegetative",Table4_2[[#This Row],[Growth Days]]&lt;=50, "Maturity")</f>
        <v>Maturity</v>
      </c>
      <c r="L2606" t="str">
        <f>IF(Table4_2[[#This Row],[TDS Value (ppm)]]&lt;560, "Low", IF(Table4_2[[#This Row],[TDS Value (ppm)]]&lt;=800,"Optimal","High"))</f>
        <v>Optimal</v>
      </c>
    </row>
    <row r="2607" spans="1:12" x14ac:dyDescent="0.25">
      <c r="A2607">
        <v>52</v>
      </c>
      <c r="B2607" s="1">
        <v>45143</v>
      </c>
      <c r="C2607" s="1" t="str">
        <f>TEXT(Table4_2[[#This Row],[Date]],"dddd")</f>
        <v>Saturday</v>
      </c>
      <c r="D2607" s="21">
        <v>24.4</v>
      </c>
      <c r="E2607" s="21">
        <v>67</v>
      </c>
      <c r="F2607" s="21">
        <v>710</v>
      </c>
      <c r="G2607" s="21">
        <v>6</v>
      </c>
      <c r="H2607">
        <v>3</v>
      </c>
      <c r="I2607">
        <v>75.92</v>
      </c>
      <c r="J2607">
        <v>0.67</v>
      </c>
      <c r="K2607" t="str" cm="1">
        <f t="array" ref="K2607">_xlfn.IFS(Table4_2[[#This Row],[Growth Days]]&lt;=14,"Seedling",Table4_2[[#This Row],[Growth Days]]&lt;=35, "Vegetative",Table4_2[[#This Row],[Growth Days]]&lt;=50, "Maturity")</f>
        <v>Seedling</v>
      </c>
      <c r="L2607" t="str">
        <f>IF(Table4_2[[#This Row],[TDS Value (ppm)]]&lt;560, "Low", IF(Table4_2[[#This Row],[TDS Value (ppm)]]&lt;=800,"Optimal","High"))</f>
        <v>Optimal</v>
      </c>
    </row>
    <row r="2608" spans="1:12" x14ac:dyDescent="0.25">
      <c r="A2608">
        <v>52</v>
      </c>
      <c r="B2608" s="1">
        <v>45150</v>
      </c>
      <c r="C2608" s="1" t="str">
        <f>TEXT(Table4_2[[#This Row],[Date]],"dddd")</f>
        <v>Saturday</v>
      </c>
      <c r="D2608" s="21">
        <v>21.9</v>
      </c>
      <c r="E2608" s="21">
        <v>65</v>
      </c>
      <c r="F2608" s="21">
        <v>431</v>
      </c>
      <c r="G2608" s="21">
        <v>6.4</v>
      </c>
      <c r="H2608">
        <v>10</v>
      </c>
      <c r="I2608">
        <v>71.42</v>
      </c>
      <c r="J2608">
        <v>0.65</v>
      </c>
      <c r="K2608" t="str" cm="1">
        <f t="array" ref="K2608">_xlfn.IFS(Table4_2[[#This Row],[Growth Days]]&lt;=14,"Seedling",Table4_2[[#This Row],[Growth Days]]&lt;=35, "Vegetative",Table4_2[[#This Row],[Growth Days]]&lt;=50, "Maturity")</f>
        <v>Seedling</v>
      </c>
      <c r="L2608" t="str">
        <f>IF(Table4_2[[#This Row],[TDS Value (ppm)]]&lt;560, "Low", IF(Table4_2[[#This Row],[TDS Value (ppm)]]&lt;=800,"Optimal","High"))</f>
        <v>Low</v>
      </c>
    </row>
    <row r="2609" spans="1:12" x14ac:dyDescent="0.25">
      <c r="A2609">
        <v>52</v>
      </c>
      <c r="B2609" s="1">
        <v>45157</v>
      </c>
      <c r="C2609" s="1" t="str">
        <f>TEXT(Table4_2[[#This Row],[Date]],"dddd")</f>
        <v>Saturday</v>
      </c>
      <c r="D2609" s="21">
        <v>21</v>
      </c>
      <c r="E2609" s="21">
        <v>72</v>
      </c>
      <c r="F2609" s="21">
        <v>754</v>
      </c>
      <c r="G2609" s="21">
        <v>6.8</v>
      </c>
      <c r="H2609">
        <v>17</v>
      </c>
      <c r="I2609">
        <v>69.8</v>
      </c>
      <c r="J2609">
        <v>0.72</v>
      </c>
      <c r="K2609" t="str" cm="1">
        <f t="array" ref="K2609">_xlfn.IFS(Table4_2[[#This Row],[Growth Days]]&lt;=14,"Seedling",Table4_2[[#This Row],[Growth Days]]&lt;=35, "Vegetative",Table4_2[[#This Row],[Growth Days]]&lt;=50, "Maturity")</f>
        <v>Vegetative</v>
      </c>
      <c r="L2609" t="str">
        <f>IF(Table4_2[[#This Row],[TDS Value (ppm)]]&lt;560, "Low", IF(Table4_2[[#This Row],[TDS Value (ppm)]]&lt;=800,"Optimal","High"))</f>
        <v>Optimal</v>
      </c>
    </row>
    <row r="2610" spans="1:12" x14ac:dyDescent="0.25">
      <c r="A2610">
        <v>52</v>
      </c>
      <c r="B2610" s="1">
        <v>45164</v>
      </c>
      <c r="C2610" s="1" t="str">
        <f>TEXT(Table4_2[[#This Row],[Date]],"dddd")</f>
        <v>Saturday</v>
      </c>
      <c r="D2610" s="21">
        <v>23.4</v>
      </c>
      <c r="E2610" s="21">
        <v>52</v>
      </c>
      <c r="F2610" s="21">
        <v>672</v>
      </c>
      <c r="G2610" s="21">
        <v>6</v>
      </c>
      <c r="H2610">
        <v>24</v>
      </c>
      <c r="I2610">
        <v>74.12</v>
      </c>
      <c r="J2610">
        <v>0.52</v>
      </c>
      <c r="K2610" t="str" cm="1">
        <f t="array" ref="K2610">_xlfn.IFS(Table4_2[[#This Row],[Growth Days]]&lt;=14,"Seedling",Table4_2[[#This Row],[Growth Days]]&lt;=35, "Vegetative",Table4_2[[#This Row],[Growth Days]]&lt;=50, "Maturity")</f>
        <v>Vegetative</v>
      </c>
      <c r="L2610" t="str">
        <f>IF(Table4_2[[#This Row],[TDS Value (ppm)]]&lt;560, "Low", IF(Table4_2[[#This Row],[TDS Value (ppm)]]&lt;=800,"Optimal","High"))</f>
        <v>Optimal</v>
      </c>
    </row>
    <row r="2611" spans="1:12" x14ac:dyDescent="0.25">
      <c r="A2611">
        <v>52</v>
      </c>
      <c r="B2611" s="1">
        <v>45171</v>
      </c>
      <c r="C2611" s="1" t="str">
        <f>TEXT(Table4_2[[#This Row],[Date]],"dddd")</f>
        <v>Saturday</v>
      </c>
      <c r="D2611" s="21">
        <v>18.100000000000001</v>
      </c>
      <c r="E2611" s="21">
        <v>75</v>
      </c>
      <c r="F2611" s="21">
        <v>535</v>
      </c>
      <c r="G2611" s="21">
        <v>6.3</v>
      </c>
      <c r="H2611">
        <v>31</v>
      </c>
      <c r="I2611">
        <v>64.58</v>
      </c>
      <c r="J2611">
        <v>0.75</v>
      </c>
      <c r="K2611" t="str" cm="1">
        <f t="array" ref="K2611">_xlfn.IFS(Table4_2[[#This Row],[Growth Days]]&lt;=14,"Seedling",Table4_2[[#This Row],[Growth Days]]&lt;=35, "Vegetative",Table4_2[[#This Row],[Growth Days]]&lt;=50, "Maturity")</f>
        <v>Vegetative</v>
      </c>
      <c r="L2611" t="str">
        <f>IF(Table4_2[[#This Row],[TDS Value (ppm)]]&lt;560, "Low", IF(Table4_2[[#This Row],[TDS Value (ppm)]]&lt;=800,"Optimal","High"))</f>
        <v>Low</v>
      </c>
    </row>
    <row r="2612" spans="1:12" x14ac:dyDescent="0.25">
      <c r="A2612">
        <v>52</v>
      </c>
      <c r="B2612" s="1">
        <v>45178</v>
      </c>
      <c r="C2612" s="1" t="str">
        <f>TEXT(Table4_2[[#This Row],[Date]],"dddd")</f>
        <v>Saturday</v>
      </c>
      <c r="D2612" s="21">
        <v>19.3</v>
      </c>
      <c r="E2612" s="21">
        <v>52</v>
      </c>
      <c r="F2612" s="21">
        <v>632</v>
      </c>
      <c r="G2612" s="21">
        <v>6.7</v>
      </c>
      <c r="H2612">
        <v>38</v>
      </c>
      <c r="I2612">
        <v>66.739999999999995</v>
      </c>
      <c r="J2612">
        <v>0.52</v>
      </c>
      <c r="K2612" t="str" cm="1">
        <f t="array" ref="K2612">_xlfn.IFS(Table4_2[[#This Row],[Growth Days]]&lt;=14,"Seedling",Table4_2[[#This Row],[Growth Days]]&lt;=35, "Vegetative",Table4_2[[#This Row],[Growth Days]]&lt;=50, "Maturity")</f>
        <v>Maturity</v>
      </c>
      <c r="L2612" t="str">
        <f>IF(Table4_2[[#This Row],[TDS Value (ppm)]]&lt;560, "Low", IF(Table4_2[[#This Row],[TDS Value (ppm)]]&lt;=800,"Optimal","High"))</f>
        <v>Optimal</v>
      </c>
    </row>
    <row r="2613" spans="1:12" x14ac:dyDescent="0.25">
      <c r="A2613">
        <v>52</v>
      </c>
      <c r="B2613" s="1">
        <v>45185</v>
      </c>
      <c r="C2613" s="1" t="str">
        <f>TEXT(Table4_2[[#This Row],[Date]],"dddd")</f>
        <v>Saturday</v>
      </c>
      <c r="D2613" s="21">
        <v>23.6</v>
      </c>
      <c r="E2613" s="21">
        <v>77</v>
      </c>
      <c r="F2613" s="21">
        <v>728</v>
      </c>
      <c r="G2613" s="21">
        <v>6.6</v>
      </c>
      <c r="H2613">
        <v>45</v>
      </c>
      <c r="I2613">
        <v>74.48</v>
      </c>
      <c r="J2613">
        <v>0.77</v>
      </c>
      <c r="K2613" t="str" cm="1">
        <f t="array" ref="K2613">_xlfn.IFS(Table4_2[[#This Row],[Growth Days]]&lt;=14,"Seedling",Table4_2[[#This Row],[Growth Days]]&lt;=35, "Vegetative",Table4_2[[#This Row],[Growth Days]]&lt;=50, "Maturity")</f>
        <v>Maturity</v>
      </c>
      <c r="L2613" t="str">
        <f>IF(Table4_2[[#This Row],[TDS Value (ppm)]]&lt;560, "Low", IF(Table4_2[[#This Row],[TDS Value (ppm)]]&lt;=800,"Optimal","High"))</f>
        <v>Optimal</v>
      </c>
    </row>
    <row r="2614" spans="1:12" x14ac:dyDescent="0.25">
      <c r="A2614">
        <v>53</v>
      </c>
      <c r="B2614" s="1">
        <v>45143</v>
      </c>
      <c r="C2614" s="1" t="str">
        <f>TEXT(Table4_2[[#This Row],[Date]],"dddd")</f>
        <v>Saturday</v>
      </c>
      <c r="D2614" s="21">
        <v>20</v>
      </c>
      <c r="E2614" s="21">
        <v>69</v>
      </c>
      <c r="F2614" s="21">
        <v>632</v>
      </c>
      <c r="G2614" s="21">
        <v>6.3</v>
      </c>
      <c r="H2614">
        <v>3</v>
      </c>
      <c r="I2614">
        <v>68</v>
      </c>
      <c r="J2614">
        <v>0.69</v>
      </c>
      <c r="K2614" t="str" cm="1">
        <f t="array" ref="K2614">_xlfn.IFS(Table4_2[[#This Row],[Growth Days]]&lt;=14,"Seedling",Table4_2[[#This Row],[Growth Days]]&lt;=35, "Vegetative",Table4_2[[#This Row],[Growth Days]]&lt;=50, "Maturity")</f>
        <v>Seedling</v>
      </c>
      <c r="L2614" t="str">
        <f>IF(Table4_2[[#This Row],[TDS Value (ppm)]]&lt;560, "Low", IF(Table4_2[[#This Row],[TDS Value (ppm)]]&lt;=800,"Optimal","High"))</f>
        <v>Optimal</v>
      </c>
    </row>
    <row r="2615" spans="1:12" x14ac:dyDescent="0.25">
      <c r="A2615">
        <v>53</v>
      </c>
      <c r="B2615" s="1">
        <v>45150</v>
      </c>
      <c r="C2615" s="1" t="str">
        <f>TEXT(Table4_2[[#This Row],[Date]],"dddd")</f>
        <v>Saturday</v>
      </c>
      <c r="D2615" s="21">
        <v>18.3</v>
      </c>
      <c r="E2615" s="21">
        <v>60</v>
      </c>
      <c r="F2615" s="21">
        <v>493</v>
      </c>
      <c r="G2615" s="21">
        <v>6.6</v>
      </c>
      <c r="H2615">
        <v>10</v>
      </c>
      <c r="I2615">
        <v>64.94</v>
      </c>
      <c r="J2615">
        <v>0.6</v>
      </c>
      <c r="K2615" t="str" cm="1">
        <f t="array" ref="K2615">_xlfn.IFS(Table4_2[[#This Row],[Growth Days]]&lt;=14,"Seedling",Table4_2[[#This Row],[Growth Days]]&lt;=35, "Vegetative",Table4_2[[#This Row],[Growth Days]]&lt;=50, "Maturity")</f>
        <v>Seedling</v>
      </c>
      <c r="L2615" t="str">
        <f>IF(Table4_2[[#This Row],[TDS Value (ppm)]]&lt;560, "Low", IF(Table4_2[[#This Row],[TDS Value (ppm)]]&lt;=800,"Optimal","High"))</f>
        <v>Low</v>
      </c>
    </row>
    <row r="2616" spans="1:12" x14ac:dyDescent="0.25">
      <c r="A2616">
        <v>53</v>
      </c>
      <c r="B2616" s="1">
        <v>45157</v>
      </c>
      <c r="C2616" s="1" t="str">
        <f>TEXT(Table4_2[[#This Row],[Date]],"dddd")</f>
        <v>Saturday</v>
      </c>
      <c r="D2616" s="21">
        <v>20.5</v>
      </c>
      <c r="E2616" s="21">
        <v>67</v>
      </c>
      <c r="F2616" s="21">
        <v>445</v>
      </c>
      <c r="G2616" s="21">
        <v>6.2</v>
      </c>
      <c r="H2616">
        <v>17</v>
      </c>
      <c r="I2616">
        <v>68.900000000000006</v>
      </c>
      <c r="J2616">
        <v>0.67</v>
      </c>
      <c r="K2616" t="str" cm="1">
        <f t="array" ref="K2616">_xlfn.IFS(Table4_2[[#This Row],[Growth Days]]&lt;=14,"Seedling",Table4_2[[#This Row],[Growth Days]]&lt;=35, "Vegetative",Table4_2[[#This Row],[Growth Days]]&lt;=50, "Maturity")</f>
        <v>Vegetative</v>
      </c>
      <c r="L2616" t="str">
        <f>IF(Table4_2[[#This Row],[TDS Value (ppm)]]&lt;560, "Low", IF(Table4_2[[#This Row],[TDS Value (ppm)]]&lt;=800,"Optimal","High"))</f>
        <v>Low</v>
      </c>
    </row>
    <row r="2617" spans="1:12" x14ac:dyDescent="0.25">
      <c r="A2617">
        <v>53</v>
      </c>
      <c r="B2617" s="1">
        <v>45164</v>
      </c>
      <c r="C2617" s="1" t="str">
        <f>TEXT(Table4_2[[#This Row],[Date]],"dddd")</f>
        <v>Saturday</v>
      </c>
      <c r="D2617" s="21">
        <v>19.100000000000001</v>
      </c>
      <c r="E2617" s="21">
        <v>59</v>
      </c>
      <c r="F2617" s="21">
        <v>502</v>
      </c>
      <c r="G2617" s="21">
        <v>6.6</v>
      </c>
      <c r="H2617">
        <v>24</v>
      </c>
      <c r="I2617">
        <v>66.38</v>
      </c>
      <c r="J2617">
        <v>0.59</v>
      </c>
      <c r="K2617" t="str" cm="1">
        <f t="array" ref="K2617">_xlfn.IFS(Table4_2[[#This Row],[Growth Days]]&lt;=14,"Seedling",Table4_2[[#This Row],[Growth Days]]&lt;=35, "Vegetative",Table4_2[[#This Row],[Growth Days]]&lt;=50, "Maturity")</f>
        <v>Vegetative</v>
      </c>
      <c r="L2617" t="str">
        <f>IF(Table4_2[[#This Row],[TDS Value (ppm)]]&lt;560, "Low", IF(Table4_2[[#This Row],[TDS Value (ppm)]]&lt;=800,"Optimal","High"))</f>
        <v>Low</v>
      </c>
    </row>
    <row r="2618" spans="1:12" x14ac:dyDescent="0.25">
      <c r="A2618">
        <v>53</v>
      </c>
      <c r="B2618" s="1">
        <v>45171</v>
      </c>
      <c r="C2618" s="1" t="str">
        <f>TEXT(Table4_2[[#This Row],[Date]],"dddd")</f>
        <v>Saturday</v>
      </c>
      <c r="D2618" s="21">
        <v>24.7</v>
      </c>
      <c r="E2618" s="21">
        <v>53</v>
      </c>
      <c r="F2618" s="21">
        <v>534</v>
      </c>
      <c r="G2618" s="21">
        <v>6.2</v>
      </c>
      <c r="H2618">
        <v>31</v>
      </c>
      <c r="I2618">
        <v>76.459999999999994</v>
      </c>
      <c r="J2618">
        <v>0.53</v>
      </c>
      <c r="K2618" t="str" cm="1">
        <f t="array" ref="K2618">_xlfn.IFS(Table4_2[[#This Row],[Growth Days]]&lt;=14,"Seedling",Table4_2[[#This Row],[Growth Days]]&lt;=35, "Vegetative",Table4_2[[#This Row],[Growth Days]]&lt;=50, "Maturity")</f>
        <v>Vegetative</v>
      </c>
      <c r="L2618" t="str">
        <f>IF(Table4_2[[#This Row],[TDS Value (ppm)]]&lt;560, "Low", IF(Table4_2[[#This Row],[TDS Value (ppm)]]&lt;=800,"Optimal","High"))</f>
        <v>Low</v>
      </c>
    </row>
    <row r="2619" spans="1:12" x14ac:dyDescent="0.25">
      <c r="A2619">
        <v>53</v>
      </c>
      <c r="B2619" s="1">
        <v>45178</v>
      </c>
      <c r="C2619" s="1" t="str">
        <f>TEXT(Table4_2[[#This Row],[Date]],"dddd")</f>
        <v>Saturday</v>
      </c>
      <c r="D2619" s="21">
        <v>18.7</v>
      </c>
      <c r="E2619" s="21">
        <v>52</v>
      </c>
      <c r="F2619" s="21">
        <v>669</v>
      </c>
      <c r="G2619" s="21">
        <v>6.7</v>
      </c>
      <c r="H2619">
        <v>38</v>
      </c>
      <c r="I2619">
        <v>65.66</v>
      </c>
      <c r="J2619">
        <v>0.52</v>
      </c>
      <c r="K2619" t="str" cm="1">
        <f t="array" ref="K2619">_xlfn.IFS(Table4_2[[#This Row],[Growth Days]]&lt;=14,"Seedling",Table4_2[[#This Row],[Growth Days]]&lt;=35, "Vegetative",Table4_2[[#This Row],[Growth Days]]&lt;=50, "Maturity")</f>
        <v>Maturity</v>
      </c>
      <c r="L2619" t="str">
        <f>IF(Table4_2[[#This Row],[TDS Value (ppm)]]&lt;560, "Low", IF(Table4_2[[#This Row],[TDS Value (ppm)]]&lt;=800,"Optimal","High"))</f>
        <v>Optimal</v>
      </c>
    </row>
    <row r="2620" spans="1:12" x14ac:dyDescent="0.25">
      <c r="A2620">
        <v>53</v>
      </c>
      <c r="B2620" s="1">
        <v>45185</v>
      </c>
      <c r="C2620" s="1" t="str">
        <f>TEXT(Table4_2[[#This Row],[Date]],"dddd")</f>
        <v>Saturday</v>
      </c>
      <c r="D2620" s="21">
        <v>19.3</v>
      </c>
      <c r="E2620" s="21">
        <v>78</v>
      </c>
      <c r="F2620" s="21">
        <v>687</v>
      </c>
      <c r="G2620" s="21">
        <v>6.1</v>
      </c>
      <c r="H2620">
        <v>45</v>
      </c>
      <c r="I2620">
        <v>66.739999999999995</v>
      </c>
      <c r="J2620">
        <v>0.78</v>
      </c>
      <c r="K2620" t="str" cm="1">
        <f t="array" ref="K2620">_xlfn.IFS(Table4_2[[#This Row],[Growth Days]]&lt;=14,"Seedling",Table4_2[[#This Row],[Growth Days]]&lt;=35, "Vegetative",Table4_2[[#This Row],[Growth Days]]&lt;=50, "Maturity")</f>
        <v>Maturity</v>
      </c>
      <c r="L2620" t="str">
        <f>IF(Table4_2[[#This Row],[TDS Value (ppm)]]&lt;560, "Low", IF(Table4_2[[#This Row],[TDS Value (ppm)]]&lt;=800,"Optimal","High"))</f>
        <v>Optimal</v>
      </c>
    </row>
    <row r="2621" spans="1:12" x14ac:dyDescent="0.25">
      <c r="A2621">
        <v>54</v>
      </c>
      <c r="B2621" s="1">
        <v>45143</v>
      </c>
      <c r="C2621" s="1" t="str">
        <f>TEXT(Table4_2[[#This Row],[Date]],"dddd")</f>
        <v>Saturday</v>
      </c>
      <c r="D2621" s="21">
        <v>21.2</v>
      </c>
      <c r="E2621" s="21">
        <v>78</v>
      </c>
      <c r="F2621" s="21">
        <v>580</v>
      </c>
      <c r="G2621" s="21">
        <v>6.4</v>
      </c>
      <c r="H2621">
        <v>3</v>
      </c>
      <c r="I2621">
        <v>70.16</v>
      </c>
      <c r="J2621">
        <v>0.78</v>
      </c>
      <c r="K2621" t="str" cm="1">
        <f t="array" ref="K2621">_xlfn.IFS(Table4_2[[#This Row],[Growth Days]]&lt;=14,"Seedling",Table4_2[[#This Row],[Growth Days]]&lt;=35, "Vegetative",Table4_2[[#This Row],[Growth Days]]&lt;=50, "Maturity")</f>
        <v>Seedling</v>
      </c>
      <c r="L2621" t="str">
        <f>IF(Table4_2[[#This Row],[TDS Value (ppm)]]&lt;560, "Low", IF(Table4_2[[#This Row],[TDS Value (ppm)]]&lt;=800,"Optimal","High"))</f>
        <v>Optimal</v>
      </c>
    </row>
    <row r="2622" spans="1:12" x14ac:dyDescent="0.25">
      <c r="A2622">
        <v>54</v>
      </c>
      <c r="B2622" s="1">
        <v>45150</v>
      </c>
      <c r="C2622" s="1" t="str">
        <f>TEXT(Table4_2[[#This Row],[Date]],"dddd")</f>
        <v>Saturday</v>
      </c>
      <c r="D2622" s="21">
        <v>24.2</v>
      </c>
      <c r="E2622" s="21">
        <v>66</v>
      </c>
      <c r="F2622" s="21">
        <v>416</v>
      </c>
      <c r="G2622" s="21">
        <v>6.6</v>
      </c>
      <c r="H2622">
        <v>10</v>
      </c>
      <c r="I2622">
        <v>75.56</v>
      </c>
      <c r="J2622">
        <v>0.66</v>
      </c>
      <c r="K2622" t="str" cm="1">
        <f t="array" ref="K2622">_xlfn.IFS(Table4_2[[#This Row],[Growth Days]]&lt;=14,"Seedling",Table4_2[[#This Row],[Growth Days]]&lt;=35, "Vegetative",Table4_2[[#This Row],[Growth Days]]&lt;=50, "Maturity")</f>
        <v>Seedling</v>
      </c>
      <c r="L2622" t="str">
        <f>IF(Table4_2[[#This Row],[TDS Value (ppm)]]&lt;560, "Low", IF(Table4_2[[#This Row],[TDS Value (ppm)]]&lt;=800,"Optimal","High"))</f>
        <v>Low</v>
      </c>
    </row>
    <row r="2623" spans="1:12" x14ac:dyDescent="0.25">
      <c r="A2623">
        <v>54</v>
      </c>
      <c r="B2623" s="1">
        <v>45157</v>
      </c>
      <c r="C2623" s="1" t="str">
        <f>TEXT(Table4_2[[#This Row],[Date]],"dddd")</f>
        <v>Saturday</v>
      </c>
      <c r="D2623" s="21">
        <v>20.5</v>
      </c>
      <c r="E2623" s="21">
        <v>69</v>
      </c>
      <c r="F2623" s="21">
        <v>710</v>
      </c>
      <c r="G2623" s="21">
        <v>6.8</v>
      </c>
      <c r="H2623">
        <v>17</v>
      </c>
      <c r="I2623">
        <v>68.900000000000006</v>
      </c>
      <c r="J2623">
        <v>0.69</v>
      </c>
      <c r="K2623" t="str" cm="1">
        <f t="array" ref="K2623">_xlfn.IFS(Table4_2[[#This Row],[Growth Days]]&lt;=14,"Seedling",Table4_2[[#This Row],[Growth Days]]&lt;=35, "Vegetative",Table4_2[[#This Row],[Growth Days]]&lt;=50, "Maturity")</f>
        <v>Vegetative</v>
      </c>
      <c r="L2623" t="str">
        <f>IF(Table4_2[[#This Row],[TDS Value (ppm)]]&lt;560, "Low", IF(Table4_2[[#This Row],[TDS Value (ppm)]]&lt;=800,"Optimal","High"))</f>
        <v>Optimal</v>
      </c>
    </row>
    <row r="2624" spans="1:12" x14ac:dyDescent="0.25">
      <c r="A2624">
        <v>54</v>
      </c>
      <c r="B2624" s="1">
        <v>45164</v>
      </c>
      <c r="C2624" s="1" t="str">
        <f>TEXT(Table4_2[[#This Row],[Date]],"dddd")</f>
        <v>Saturday</v>
      </c>
      <c r="D2624" s="21">
        <v>21.7</v>
      </c>
      <c r="E2624" s="21">
        <v>66</v>
      </c>
      <c r="F2624" s="21">
        <v>604</v>
      </c>
      <c r="G2624" s="21">
        <v>6.2</v>
      </c>
      <c r="H2624">
        <v>24</v>
      </c>
      <c r="I2624">
        <v>71.06</v>
      </c>
      <c r="J2624">
        <v>0.66</v>
      </c>
      <c r="K2624" t="str" cm="1">
        <f t="array" ref="K2624">_xlfn.IFS(Table4_2[[#This Row],[Growth Days]]&lt;=14,"Seedling",Table4_2[[#This Row],[Growth Days]]&lt;=35, "Vegetative",Table4_2[[#This Row],[Growth Days]]&lt;=50, "Maturity")</f>
        <v>Vegetative</v>
      </c>
      <c r="L2624" t="str">
        <f>IF(Table4_2[[#This Row],[TDS Value (ppm)]]&lt;560, "Low", IF(Table4_2[[#This Row],[TDS Value (ppm)]]&lt;=800,"Optimal","High"))</f>
        <v>Optimal</v>
      </c>
    </row>
    <row r="2625" spans="1:12" x14ac:dyDescent="0.25">
      <c r="A2625">
        <v>54</v>
      </c>
      <c r="B2625" s="1">
        <v>45171</v>
      </c>
      <c r="C2625" s="1" t="str">
        <f>TEXT(Table4_2[[#This Row],[Date]],"dddd")</f>
        <v>Saturday</v>
      </c>
      <c r="D2625" s="21">
        <v>20.8</v>
      </c>
      <c r="E2625" s="21">
        <v>53</v>
      </c>
      <c r="F2625" s="21">
        <v>574</v>
      </c>
      <c r="G2625" s="21">
        <v>6</v>
      </c>
      <c r="H2625">
        <v>31</v>
      </c>
      <c r="I2625">
        <v>69.44</v>
      </c>
      <c r="J2625">
        <v>0.53</v>
      </c>
      <c r="K2625" t="str" cm="1">
        <f t="array" ref="K2625">_xlfn.IFS(Table4_2[[#This Row],[Growth Days]]&lt;=14,"Seedling",Table4_2[[#This Row],[Growth Days]]&lt;=35, "Vegetative",Table4_2[[#This Row],[Growth Days]]&lt;=50, "Maturity")</f>
        <v>Vegetative</v>
      </c>
      <c r="L2625" t="str">
        <f>IF(Table4_2[[#This Row],[TDS Value (ppm)]]&lt;560, "Low", IF(Table4_2[[#This Row],[TDS Value (ppm)]]&lt;=800,"Optimal","High"))</f>
        <v>Optimal</v>
      </c>
    </row>
    <row r="2626" spans="1:12" x14ac:dyDescent="0.25">
      <c r="A2626">
        <v>54</v>
      </c>
      <c r="B2626" s="1">
        <v>45178</v>
      </c>
      <c r="C2626" s="1" t="str">
        <f>TEXT(Table4_2[[#This Row],[Date]],"dddd")</f>
        <v>Saturday</v>
      </c>
      <c r="D2626" s="21">
        <v>20.2</v>
      </c>
      <c r="E2626" s="21">
        <v>68</v>
      </c>
      <c r="F2626" s="21">
        <v>588</v>
      </c>
      <c r="G2626" s="21">
        <v>6.5</v>
      </c>
      <c r="H2626">
        <v>38</v>
      </c>
      <c r="I2626">
        <v>68.36</v>
      </c>
      <c r="J2626">
        <v>0.68</v>
      </c>
      <c r="K2626" t="str" cm="1">
        <f t="array" ref="K2626">_xlfn.IFS(Table4_2[[#This Row],[Growth Days]]&lt;=14,"Seedling",Table4_2[[#This Row],[Growth Days]]&lt;=35, "Vegetative",Table4_2[[#This Row],[Growth Days]]&lt;=50, "Maturity")</f>
        <v>Maturity</v>
      </c>
      <c r="L2626" t="str">
        <f>IF(Table4_2[[#This Row],[TDS Value (ppm)]]&lt;560, "Low", IF(Table4_2[[#This Row],[TDS Value (ppm)]]&lt;=800,"Optimal","High"))</f>
        <v>Optimal</v>
      </c>
    </row>
    <row r="2627" spans="1:12" x14ac:dyDescent="0.25">
      <c r="A2627">
        <v>54</v>
      </c>
      <c r="B2627" s="1">
        <v>45185</v>
      </c>
      <c r="C2627" s="1" t="str">
        <f>TEXT(Table4_2[[#This Row],[Date]],"dddd")</f>
        <v>Saturday</v>
      </c>
      <c r="D2627" s="21">
        <v>22.9</v>
      </c>
      <c r="E2627" s="21">
        <v>69</v>
      </c>
      <c r="F2627" s="21">
        <v>418</v>
      </c>
      <c r="G2627" s="21">
        <v>6.6</v>
      </c>
      <c r="H2627">
        <v>45</v>
      </c>
      <c r="I2627">
        <v>73.22</v>
      </c>
      <c r="J2627">
        <v>0.69</v>
      </c>
      <c r="K2627" t="str" cm="1">
        <f t="array" ref="K2627">_xlfn.IFS(Table4_2[[#This Row],[Growth Days]]&lt;=14,"Seedling",Table4_2[[#This Row],[Growth Days]]&lt;=35, "Vegetative",Table4_2[[#This Row],[Growth Days]]&lt;=50, "Maturity")</f>
        <v>Maturity</v>
      </c>
      <c r="L2627" t="str">
        <f>IF(Table4_2[[#This Row],[TDS Value (ppm)]]&lt;560, "Low", IF(Table4_2[[#This Row],[TDS Value (ppm)]]&lt;=800,"Optimal","High"))</f>
        <v>Low</v>
      </c>
    </row>
    <row r="2628" spans="1:12" x14ac:dyDescent="0.25">
      <c r="A2628">
        <v>55</v>
      </c>
      <c r="B2628" s="1">
        <v>45143</v>
      </c>
      <c r="C2628" s="1" t="str">
        <f>TEXT(Table4_2[[#This Row],[Date]],"dddd")</f>
        <v>Saturday</v>
      </c>
      <c r="D2628" s="21">
        <v>22.9</v>
      </c>
      <c r="E2628" s="21">
        <v>80</v>
      </c>
      <c r="F2628" s="21">
        <v>451</v>
      </c>
      <c r="G2628" s="21">
        <v>6.5</v>
      </c>
      <c r="H2628">
        <v>3</v>
      </c>
      <c r="I2628">
        <v>73.22</v>
      </c>
      <c r="J2628">
        <v>0.8</v>
      </c>
      <c r="K2628" t="str" cm="1">
        <f t="array" ref="K2628">_xlfn.IFS(Table4_2[[#This Row],[Growth Days]]&lt;=14,"Seedling",Table4_2[[#This Row],[Growth Days]]&lt;=35, "Vegetative",Table4_2[[#This Row],[Growth Days]]&lt;=50, "Maturity")</f>
        <v>Seedling</v>
      </c>
      <c r="L2628" t="str">
        <f>IF(Table4_2[[#This Row],[TDS Value (ppm)]]&lt;560, "Low", IF(Table4_2[[#This Row],[TDS Value (ppm)]]&lt;=800,"Optimal","High"))</f>
        <v>Low</v>
      </c>
    </row>
    <row r="2629" spans="1:12" x14ac:dyDescent="0.25">
      <c r="A2629">
        <v>55</v>
      </c>
      <c r="B2629" s="1">
        <v>45150</v>
      </c>
      <c r="C2629" s="1" t="str">
        <f>TEXT(Table4_2[[#This Row],[Date]],"dddd")</f>
        <v>Saturday</v>
      </c>
      <c r="D2629" s="21">
        <v>20.7</v>
      </c>
      <c r="E2629" s="21">
        <v>53</v>
      </c>
      <c r="F2629" s="21">
        <v>597</v>
      </c>
      <c r="G2629" s="21">
        <v>6.6</v>
      </c>
      <c r="H2629">
        <v>10</v>
      </c>
      <c r="I2629">
        <v>69.260000000000005</v>
      </c>
      <c r="J2629">
        <v>0.53</v>
      </c>
      <c r="K2629" t="str" cm="1">
        <f t="array" ref="K2629">_xlfn.IFS(Table4_2[[#This Row],[Growth Days]]&lt;=14,"Seedling",Table4_2[[#This Row],[Growth Days]]&lt;=35, "Vegetative",Table4_2[[#This Row],[Growth Days]]&lt;=50, "Maturity")</f>
        <v>Seedling</v>
      </c>
      <c r="L2629" t="str">
        <f>IF(Table4_2[[#This Row],[TDS Value (ppm)]]&lt;560, "Low", IF(Table4_2[[#This Row],[TDS Value (ppm)]]&lt;=800,"Optimal","High"))</f>
        <v>Optimal</v>
      </c>
    </row>
    <row r="2630" spans="1:12" x14ac:dyDescent="0.25">
      <c r="A2630">
        <v>55</v>
      </c>
      <c r="B2630" s="1">
        <v>45157</v>
      </c>
      <c r="C2630" s="1" t="str">
        <f>TEXT(Table4_2[[#This Row],[Date]],"dddd")</f>
        <v>Saturday</v>
      </c>
      <c r="D2630" s="21">
        <v>21.5</v>
      </c>
      <c r="E2630" s="21">
        <v>51</v>
      </c>
      <c r="F2630" s="21">
        <v>472</v>
      </c>
      <c r="G2630" s="21">
        <v>6.5</v>
      </c>
      <c r="H2630">
        <v>17</v>
      </c>
      <c r="I2630">
        <v>70.7</v>
      </c>
      <c r="J2630">
        <v>0.51</v>
      </c>
      <c r="K2630" t="str" cm="1">
        <f t="array" ref="K2630">_xlfn.IFS(Table4_2[[#This Row],[Growth Days]]&lt;=14,"Seedling",Table4_2[[#This Row],[Growth Days]]&lt;=35, "Vegetative",Table4_2[[#This Row],[Growth Days]]&lt;=50, "Maturity")</f>
        <v>Vegetative</v>
      </c>
      <c r="L2630" t="str">
        <f>IF(Table4_2[[#This Row],[TDS Value (ppm)]]&lt;560, "Low", IF(Table4_2[[#This Row],[TDS Value (ppm)]]&lt;=800,"Optimal","High"))</f>
        <v>Low</v>
      </c>
    </row>
    <row r="2631" spans="1:12" x14ac:dyDescent="0.25">
      <c r="A2631">
        <v>55</v>
      </c>
      <c r="B2631" s="1">
        <v>45164</v>
      </c>
      <c r="C2631" s="1" t="str">
        <f>TEXT(Table4_2[[#This Row],[Date]],"dddd")</f>
        <v>Saturday</v>
      </c>
      <c r="D2631" s="21">
        <v>22</v>
      </c>
      <c r="E2631" s="21">
        <v>77</v>
      </c>
      <c r="F2631" s="21">
        <v>702</v>
      </c>
      <c r="G2631" s="21">
        <v>6.6</v>
      </c>
      <c r="H2631">
        <v>24</v>
      </c>
      <c r="I2631">
        <v>71.599999999999994</v>
      </c>
      <c r="J2631">
        <v>0.77</v>
      </c>
      <c r="K2631" t="str" cm="1">
        <f t="array" ref="K2631">_xlfn.IFS(Table4_2[[#This Row],[Growth Days]]&lt;=14,"Seedling",Table4_2[[#This Row],[Growth Days]]&lt;=35, "Vegetative",Table4_2[[#This Row],[Growth Days]]&lt;=50, "Maturity")</f>
        <v>Vegetative</v>
      </c>
      <c r="L2631" t="str">
        <f>IF(Table4_2[[#This Row],[TDS Value (ppm)]]&lt;560, "Low", IF(Table4_2[[#This Row],[TDS Value (ppm)]]&lt;=800,"Optimal","High"))</f>
        <v>Optimal</v>
      </c>
    </row>
    <row r="2632" spans="1:12" x14ac:dyDescent="0.25">
      <c r="A2632">
        <v>55</v>
      </c>
      <c r="B2632" s="1">
        <v>45171</v>
      </c>
      <c r="C2632" s="1" t="str">
        <f>TEXT(Table4_2[[#This Row],[Date]],"dddd")</f>
        <v>Saturday</v>
      </c>
      <c r="D2632" s="21">
        <v>18</v>
      </c>
      <c r="E2632" s="21">
        <v>62</v>
      </c>
      <c r="F2632" s="21">
        <v>465</v>
      </c>
      <c r="G2632" s="21">
        <v>6.2</v>
      </c>
      <c r="H2632">
        <v>31</v>
      </c>
      <c r="I2632">
        <v>64.400000000000006</v>
      </c>
      <c r="J2632">
        <v>0.62</v>
      </c>
      <c r="K2632" t="str" cm="1">
        <f t="array" ref="K2632">_xlfn.IFS(Table4_2[[#This Row],[Growth Days]]&lt;=14,"Seedling",Table4_2[[#This Row],[Growth Days]]&lt;=35, "Vegetative",Table4_2[[#This Row],[Growth Days]]&lt;=50, "Maturity")</f>
        <v>Vegetative</v>
      </c>
      <c r="L2632" t="str">
        <f>IF(Table4_2[[#This Row],[TDS Value (ppm)]]&lt;560, "Low", IF(Table4_2[[#This Row],[TDS Value (ppm)]]&lt;=800,"Optimal","High"))</f>
        <v>Low</v>
      </c>
    </row>
    <row r="2633" spans="1:12" x14ac:dyDescent="0.25">
      <c r="A2633">
        <v>55</v>
      </c>
      <c r="B2633" s="1">
        <v>45178</v>
      </c>
      <c r="C2633" s="1" t="str">
        <f>TEXT(Table4_2[[#This Row],[Date]],"dddd")</f>
        <v>Saturday</v>
      </c>
      <c r="D2633" s="21">
        <v>21.8</v>
      </c>
      <c r="E2633" s="21">
        <v>67</v>
      </c>
      <c r="F2633" s="21">
        <v>407</v>
      </c>
      <c r="G2633" s="21">
        <v>6.3</v>
      </c>
      <c r="H2633">
        <v>38</v>
      </c>
      <c r="I2633">
        <v>71.239999999999995</v>
      </c>
      <c r="J2633">
        <v>0.67</v>
      </c>
      <c r="K2633" t="str" cm="1">
        <f t="array" ref="K2633">_xlfn.IFS(Table4_2[[#This Row],[Growth Days]]&lt;=14,"Seedling",Table4_2[[#This Row],[Growth Days]]&lt;=35, "Vegetative",Table4_2[[#This Row],[Growth Days]]&lt;=50, "Maturity")</f>
        <v>Maturity</v>
      </c>
      <c r="L2633" t="str">
        <f>IF(Table4_2[[#This Row],[TDS Value (ppm)]]&lt;560, "Low", IF(Table4_2[[#This Row],[TDS Value (ppm)]]&lt;=800,"Optimal","High"))</f>
        <v>Low</v>
      </c>
    </row>
    <row r="2634" spans="1:12" x14ac:dyDescent="0.25">
      <c r="A2634">
        <v>55</v>
      </c>
      <c r="B2634" s="1">
        <v>45185</v>
      </c>
      <c r="C2634" s="1" t="str">
        <f>TEXT(Table4_2[[#This Row],[Date]],"dddd")</f>
        <v>Saturday</v>
      </c>
      <c r="D2634" s="21">
        <v>23</v>
      </c>
      <c r="E2634" s="21">
        <v>53</v>
      </c>
      <c r="F2634" s="21">
        <v>670</v>
      </c>
      <c r="G2634" s="21">
        <v>6.6</v>
      </c>
      <c r="H2634">
        <v>45</v>
      </c>
      <c r="I2634">
        <v>73.400000000000006</v>
      </c>
      <c r="J2634">
        <v>0.53</v>
      </c>
      <c r="K2634" t="str" cm="1">
        <f t="array" ref="K2634">_xlfn.IFS(Table4_2[[#This Row],[Growth Days]]&lt;=14,"Seedling",Table4_2[[#This Row],[Growth Days]]&lt;=35, "Vegetative",Table4_2[[#This Row],[Growth Days]]&lt;=50, "Maturity")</f>
        <v>Maturity</v>
      </c>
      <c r="L2634" t="str">
        <f>IF(Table4_2[[#This Row],[TDS Value (ppm)]]&lt;560, "Low", IF(Table4_2[[#This Row],[TDS Value (ppm)]]&lt;=800,"Optimal","High"))</f>
        <v>Optimal</v>
      </c>
    </row>
    <row r="2635" spans="1:12" x14ac:dyDescent="0.25">
      <c r="A2635">
        <v>56</v>
      </c>
      <c r="B2635" s="1">
        <v>45143</v>
      </c>
      <c r="C2635" s="1" t="str">
        <f>TEXT(Table4_2[[#This Row],[Date]],"dddd")</f>
        <v>Saturday</v>
      </c>
      <c r="D2635" s="21">
        <v>18.600000000000001</v>
      </c>
      <c r="E2635" s="21">
        <v>55</v>
      </c>
      <c r="F2635" s="21">
        <v>553</v>
      </c>
      <c r="G2635" s="21">
        <v>6.2</v>
      </c>
      <c r="H2635">
        <v>3</v>
      </c>
      <c r="I2635">
        <v>65.48</v>
      </c>
      <c r="J2635">
        <v>0.55000000000000004</v>
      </c>
      <c r="K2635" t="str" cm="1">
        <f t="array" ref="K2635">_xlfn.IFS(Table4_2[[#This Row],[Growth Days]]&lt;=14,"Seedling",Table4_2[[#This Row],[Growth Days]]&lt;=35, "Vegetative",Table4_2[[#This Row],[Growth Days]]&lt;=50, "Maturity")</f>
        <v>Seedling</v>
      </c>
      <c r="L2635" t="str">
        <f>IF(Table4_2[[#This Row],[TDS Value (ppm)]]&lt;560, "Low", IF(Table4_2[[#This Row],[TDS Value (ppm)]]&lt;=800,"Optimal","High"))</f>
        <v>Low</v>
      </c>
    </row>
    <row r="2636" spans="1:12" x14ac:dyDescent="0.25">
      <c r="A2636">
        <v>56</v>
      </c>
      <c r="B2636" s="1">
        <v>45150</v>
      </c>
      <c r="C2636" s="1" t="str">
        <f>TEXT(Table4_2[[#This Row],[Date]],"dddd")</f>
        <v>Saturday</v>
      </c>
      <c r="D2636" s="21">
        <v>19.399999999999999</v>
      </c>
      <c r="E2636" s="21">
        <v>55</v>
      </c>
      <c r="F2636" s="21">
        <v>769</v>
      </c>
      <c r="G2636" s="21">
        <v>6.6</v>
      </c>
      <c r="H2636">
        <v>10</v>
      </c>
      <c r="I2636">
        <v>66.92</v>
      </c>
      <c r="J2636">
        <v>0.55000000000000004</v>
      </c>
      <c r="K2636" t="str" cm="1">
        <f t="array" ref="K2636">_xlfn.IFS(Table4_2[[#This Row],[Growth Days]]&lt;=14,"Seedling",Table4_2[[#This Row],[Growth Days]]&lt;=35, "Vegetative",Table4_2[[#This Row],[Growth Days]]&lt;=50, "Maturity")</f>
        <v>Seedling</v>
      </c>
      <c r="L2636" t="str">
        <f>IF(Table4_2[[#This Row],[TDS Value (ppm)]]&lt;560, "Low", IF(Table4_2[[#This Row],[TDS Value (ppm)]]&lt;=800,"Optimal","High"))</f>
        <v>Optimal</v>
      </c>
    </row>
    <row r="2637" spans="1:12" x14ac:dyDescent="0.25">
      <c r="A2637">
        <v>56</v>
      </c>
      <c r="B2637" s="1">
        <v>45157</v>
      </c>
      <c r="C2637" s="1" t="str">
        <f>TEXT(Table4_2[[#This Row],[Date]],"dddd")</f>
        <v>Saturday</v>
      </c>
      <c r="D2637" s="21">
        <v>22.3</v>
      </c>
      <c r="E2637" s="21">
        <v>69</v>
      </c>
      <c r="F2637" s="21">
        <v>457</v>
      </c>
      <c r="G2637" s="21">
        <v>6.5</v>
      </c>
      <c r="H2637">
        <v>17</v>
      </c>
      <c r="I2637">
        <v>72.14</v>
      </c>
      <c r="J2637">
        <v>0.69</v>
      </c>
      <c r="K2637" t="str" cm="1">
        <f t="array" ref="K2637">_xlfn.IFS(Table4_2[[#This Row],[Growth Days]]&lt;=14,"Seedling",Table4_2[[#This Row],[Growth Days]]&lt;=35, "Vegetative",Table4_2[[#This Row],[Growth Days]]&lt;=50, "Maturity")</f>
        <v>Vegetative</v>
      </c>
      <c r="L2637" t="str">
        <f>IF(Table4_2[[#This Row],[TDS Value (ppm)]]&lt;560, "Low", IF(Table4_2[[#This Row],[TDS Value (ppm)]]&lt;=800,"Optimal","High"))</f>
        <v>Low</v>
      </c>
    </row>
    <row r="2638" spans="1:12" x14ac:dyDescent="0.25">
      <c r="A2638">
        <v>56</v>
      </c>
      <c r="B2638" s="1">
        <v>45164</v>
      </c>
      <c r="C2638" s="1" t="str">
        <f>TEXT(Table4_2[[#This Row],[Date]],"dddd")</f>
        <v>Saturday</v>
      </c>
      <c r="D2638" s="21">
        <v>22</v>
      </c>
      <c r="E2638" s="21">
        <v>67</v>
      </c>
      <c r="F2638" s="21">
        <v>735</v>
      </c>
      <c r="G2638" s="21">
        <v>6</v>
      </c>
      <c r="H2638">
        <v>24</v>
      </c>
      <c r="I2638">
        <v>71.599999999999994</v>
      </c>
      <c r="J2638">
        <v>0.67</v>
      </c>
      <c r="K2638" t="str" cm="1">
        <f t="array" ref="K2638">_xlfn.IFS(Table4_2[[#This Row],[Growth Days]]&lt;=14,"Seedling",Table4_2[[#This Row],[Growth Days]]&lt;=35, "Vegetative",Table4_2[[#This Row],[Growth Days]]&lt;=50, "Maturity")</f>
        <v>Vegetative</v>
      </c>
      <c r="L2638" t="str">
        <f>IF(Table4_2[[#This Row],[TDS Value (ppm)]]&lt;560, "Low", IF(Table4_2[[#This Row],[TDS Value (ppm)]]&lt;=800,"Optimal","High"))</f>
        <v>Optimal</v>
      </c>
    </row>
    <row r="2639" spans="1:12" x14ac:dyDescent="0.25">
      <c r="A2639">
        <v>56</v>
      </c>
      <c r="B2639" s="1">
        <v>45171</v>
      </c>
      <c r="C2639" s="1" t="str">
        <f>TEXT(Table4_2[[#This Row],[Date]],"dddd")</f>
        <v>Saturday</v>
      </c>
      <c r="D2639" s="21">
        <v>23.9</v>
      </c>
      <c r="E2639" s="21">
        <v>78</v>
      </c>
      <c r="F2639" s="21">
        <v>672</v>
      </c>
      <c r="G2639" s="21">
        <v>6</v>
      </c>
      <c r="H2639">
        <v>31</v>
      </c>
      <c r="I2639">
        <v>75.02</v>
      </c>
      <c r="J2639">
        <v>0.78</v>
      </c>
      <c r="K2639" t="str" cm="1">
        <f t="array" ref="K2639">_xlfn.IFS(Table4_2[[#This Row],[Growth Days]]&lt;=14,"Seedling",Table4_2[[#This Row],[Growth Days]]&lt;=35, "Vegetative",Table4_2[[#This Row],[Growth Days]]&lt;=50, "Maturity")</f>
        <v>Vegetative</v>
      </c>
      <c r="L2639" t="str">
        <f>IF(Table4_2[[#This Row],[TDS Value (ppm)]]&lt;560, "Low", IF(Table4_2[[#This Row],[TDS Value (ppm)]]&lt;=800,"Optimal","High"))</f>
        <v>Optimal</v>
      </c>
    </row>
    <row r="2640" spans="1:12" x14ac:dyDescent="0.25">
      <c r="A2640">
        <v>56</v>
      </c>
      <c r="B2640" s="1">
        <v>45178</v>
      </c>
      <c r="C2640" s="1" t="str">
        <f>TEXT(Table4_2[[#This Row],[Date]],"dddd")</f>
        <v>Saturday</v>
      </c>
      <c r="D2640" s="21">
        <v>21.6</v>
      </c>
      <c r="E2640" s="21">
        <v>55</v>
      </c>
      <c r="F2640" s="21">
        <v>404</v>
      </c>
      <c r="G2640" s="21">
        <v>6.4</v>
      </c>
      <c r="H2640">
        <v>38</v>
      </c>
      <c r="I2640">
        <v>70.88</v>
      </c>
      <c r="J2640">
        <v>0.55000000000000004</v>
      </c>
      <c r="K2640" t="str" cm="1">
        <f t="array" ref="K2640">_xlfn.IFS(Table4_2[[#This Row],[Growth Days]]&lt;=14,"Seedling",Table4_2[[#This Row],[Growth Days]]&lt;=35, "Vegetative",Table4_2[[#This Row],[Growth Days]]&lt;=50, "Maturity")</f>
        <v>Maturity</v>
      </c>
      <c r="L2640" t="str">
        <f>IF(Table4_2[[#This Row],[TDS Value (ppm)]]&lt;560, "Low", IF(Table4_2[[#This Row],[TDS Value (ppm)]]&lt;=800,"Optimal","High"))</f>
        <v>Low</v>
      </c>
    </row>
    <row r="2641" spans="1:12" x14ac:dyDescent="0.25">
      <c r="A2641">
        <v>56</v>
      </c>
      <c r="B2641" s="1">
        <v>45185</v>
      </c>
      <c r="C2641" s="1" t="str">
        <f>TEXT(Table4_2[[#This Row],[Date]],"dddd")</f>
        <v>Saturday</v>
      </c>
      <c r="D2641" s="21">
        <v>20.6</v>
      </c>
      <c r="E2641" s="21">
        <v>56</v>
      </c>
      <c r="F2641" s="21">
        <v>673</v>
      </c>
      <c r="G2641" s="21">
        <v>6.5</v>
      </c>
      <c r="H2641">
        <v>45</v>
      </c>
      <c r="I2641">
        <v>69.08</v>
      </c>
      <c r="J2641">
        <v>0.56000000000000005</v>
      </c>
      <c r="K2641" t="str" cm="1">
        <f t="array" ref="K2641">_xlfn.IFS(Table4_2[[#This Row],[Growth Days]]&lt;=14,"Seedling",Table4_2[[#This Row],[Growth Days]]&lt;=35, "Vegetative",Table4_2[[#This Row],[Growth Days]]&lt;=50, "Maturity")</f>
        <v>Maturity</v>
      </c>
      <c r="L2641" t="str">
        <f>IF(Table4_2[[#This Row],[TDS Value (ppm)]]&lt;560, "Low", IF(Table4_2[[#This Row],[TDS Value (ppm)]]&lt;=800,"Optimal","High"))</f>
        <v>Optimal</v>
      </c>
    </row>
    <row r="2642" spans="1:12" x14ac:dyDescent="0.25">
      <c r="A2642">
        <v>57</v>
      </c>
      <c r="B2642" s="1">
        <v>45143</v>
      </c>
      <c r="C2642" s="1" t="str">
        <f>TEXT(Table4_2[[#This Row],[Date]],"dddd")</f>
        <v>Saturday</v>
      </c>
      <c r="D2642" s="21">
        <v>24.1</v>
      </c>
      <c r="E2642" s="21">
        <v>60</v>
      </c>
      <c r="F2642" s="21">
        <v>716</v>
      </c>
      <c r="G2642" s="21">
        <v>6.7</v>
      </c>
      <c r="H2642">
        <v>3</v>
      </c>
      <c r="I2642">
        <v>75.38</v>
      </c>
      <c r="J2642">
        <v>0.6</v>
      </c>
      <c r="K2642" t="str" cm="1">
        <f t="array" ref="K2642">_xlfn.IFS(Table4_2[[#This Row],[Growth Days]]&lt;=14,"Seedling",Table4_2[[#This Row],[Growth Days]]&lt;=35, "Vegetative",Table4_2[[#This Row],[Growth Days]]&lt;=50, "Maturity")</f>
        <v>Seedling</v>
      </c>
      <c r="L2642" t="str">
        <f>IF(Table4_2[[#This Row],[TDS Value (ppm)]]&lt;560, "Low", IF(Table4_2[[#This Row],[TDS Value (ppm)]]&lt;=800,"Optimal","High"))</f>
        <v>Optimal</v>
      </c>
    </row>
    <row r="2643" spans="1:12" x14ac:dyDescent="0.25">
      <c r="A2643">
        <v>57</v>
      </c>
      <c r="B2643" s="1">
        <v>45150</v>
      </c>
      <c r="C2643" s="1" t="str">
        <f>TEXT(Table4_2[[#This Row],[Date]],"dddd")</f>
        <v>Saturday</v>
      </c>
      <c r="D2643" s="21">
        <v>19.8</v>
      </c>
      <c r="E2643" s="21">
        <v>57</v>
      </c>
      <c r="F2643" s="21">
        <v>678</v>
      </c>
      <c r="G2643" s="21">
        <v>6.2</v>
      </c>
      <c r="H2643">
        <v>10</v>
      </c>
      <c r="I2643">
        <v>67.64</v>
      </c>
      <c r="J2643">
        <v>0.56999999999999995</v>
      </c>
      <c r="K2643" t="str" cm="1">
        <f t="array" ref="K2643">_xlfn.IFS(Table4_2[[#This Row],[Growth Days]]&lt;=14,"Seedling",Table4_2[[#This Row],[Growth Days]]&lt;=35, "Vegetative",Table4_2[[#This Row],[Growth Days]]&lt;=50, "Maturity")</f>
        <v>Seedling</v>
      </c>
      <c r="L2643" t="str">
        <f>IF(Table4_2[[#This Row],[TDS Value (ppm)]]&lt;560, "Low", IF(Table4_2[[#This Row],[TDS Value (ppm)]]&lt;=800,"Optimal","High"))</f>
        <v>Optimal</v>
      </c>
    </row>
    <row r="2644" spans="1:12" x14ac:dyDescent="0.25">
      <c r="A2644">
        <v>57</v>
      </c>
      <c r="B2644" s="1">
        <v>45157</v>
      </c>
      <c r="C2644" s="1" t="str">
        <f>TEXT(Table4_2[[#This Row],[Date]],"dddd")</f>
        <v>Saturday</v>
      </c>
      <c r="D2644" s="21">
        <v>20</v>
      </c>
      <c r="E2644" s="21">
        <v>80</v>
      </c>
      <c r="F2644" s="21">
        <v>423</v>
      </c>
      <c r="G2644" s="21">
        <v>6.5</v>
      </c>
      <c r="H2644">
        <v>17</v>
      </c>
      <c r="I2644">
        <v>68</v>
      </c>
      <c r="J2644">
        <v>0.8</v>
      </c>
      <c r="K2644" t="str" cm="1">
        <f t="array" ref="K2644">_xlfn.IFS(Table4_2[[#This Row],[Growth Days]]&lt;=14,"Seedling",Table4_2[[#This Row],[Growth Days]]&lt;=35, "Vegetative",Table4_2[[#This Row],[Growth Days]]&lt;=50, "Maturity")</f>
        <v>Vegetative</v>
      </c>
      <c r="L2644" t="str">
        <f>IF(Table4_2[[#This Row],[TDS Value (ppm)]]&lt;560, "Low", IF(Table4_2[[#This Row],[TDS Value (ppm)]]&lt;=800,"Optimal","High"))</f>
        <v>Low</v>
      </c>
    </row>
    <row r="2645" spans="1:12" x14ac:dyDescent="0.25">
      <c r="A2645">
        <v>57</v>
      </c>
      <c r="B2645" s="1">
        <v>45164</v>
      </c>
      <c r="C2645" s="1" t="str">
        <f>TEXT(Table4_2[[#This Row],[Date]],"dddd")</f>
        <v>Saturday</v>
      </c>
      <c r="D2645" s="21">
        <v>23.3</v>
      </c>
      <c r="E2645" s="21">
        <v>60</v>
      </c>
      <c r="F2645" s="21">
        <v>690</v>
      </c>
      <c r="G2645" s="21">
        <v>6.5</v>
      </c>
      <c r="H2645">
        <v>24</v>
      </c>
      <c r="I2645">
        <v>73.94</v>
      </c>
      <c r="J2645">
        <v>0.6</v>
      </c>
      <c r="K2645" t="str" cm="1">
        <f t="array" ref="K2645">_xlfn.IFS(Table4_2[[#This Row],[Growth Days]]&lt;=14,"Seedling",Table4_2[[#This Row],[Growth Days]]&lt;=35, "Vegetative",Table4_2[[#This Row],[Growth Days]]&lt;=50, "Maturity")</f>
        <v>Vegetative</v>
      </c>
      <c r="L2645" t="str">
        <f>IF(Table4_2[[#This Row],[TDS Value (ppm)]]&lt;560, "Low", IF(Table4_2[[#This Row],[TDS Value (ppm)]]&lt;=800,"Optimal","High"))</f>
        <v>Optimal</v>
      </c>
    </row>
    <row r="2646" spans="1:12" x14ac:dyDescent="0.25">
      <c r="A2646">
        <v>57</v>
      </c>
      <c r="B2646" s="1">
        <v>45171</v>
      </c>
      <c r="C2646" s="1" t="str">
        <f>TEXT(Table4_2[[#This Row],[Date]],"dddd")</f>
        <v>Saturday</v>
      </c>
      <c r="D2646" s="21">
        <v>18.8</v>
      </c>
      <c r="E2646" s="21">
        <v>53</v>
      </c>
      <c r="F2646" s="21">
        <v>584</v>
      </c>
      <c r="G2646" s="21">
        <v>6.7</v>
      </c>
      <c r="H2646">
        <v>31</v>
      </c>
      <c r="I2646">
        <v>65.84</v>
      </c>
      <c r="J2646">
        <v>0.53</v>
      </c>
      <c r="K2646" t="str" cm="1">
        <f t="array" ref="K2646">_xlfn.IFS(Table4_2[[#This Row],[Growth Days]]&lt;=14,"Seedling",Table4_2[[#This Row],[Growth Days]]&lt;=35, "Vegetative",Table4_2[[#This Row],[Growth Days]]&lt;=50, "Maturity")</f>
        <v>Vegetative</v>
      </c>
      <c r="L2646" t="str">
        <f>IF(Table4_2[[#This Row],[TDS Value (ppm)]]&lt;560, "Low", IF(Table4_2[[#This Row],[TDS Value (ppm)]]&lt;=800,"Optimal","High"))</f>
        <v>Optimal</v>
      </c>
    </row>
    <row r="2647" spans="1:12" x14ac:dyDescent="0.25">
      <c r="A2647">
        <v>57</v>
      </c>
      <c r="B2647" s="1">
        <v>45178</v>
      </c>
      <c r="C2647" s="1" t="str">
        <f>TEXT(Table4_2[[#This Row],[Date]],"dddd")</f>
        <v>Saturday</v>
      </c>
      <c r="D2647" s="21">
        <v>18.399999999999999</v>
      </c>
      <c r="E2647" s="21">
        <v>79</v>
      </c>
      <c r="F2647" s="21">
        <v>716</v>
      </c>
      <c r="G2647" s="21">
        <v>6.6</v>
      </c>
      <c r="H2647">
        <v>38</v>
      </c>
      <c r="I2647">
        <v>65.12</v>
      </c>
      <c r="J2647">
        <v>0.79</v>
      </c>
      <c r="K2647" t="str" cm="1">
        <f t="array" ref="K2647">_xlfn.IFS(Table4_2[[#This Row],[Growth Days]]&lt;=14,"Seedling",Table4_2[[#This Row],[Growth Days]]&lt;=35, "Vegetative",Table4_2[[#This Row],[Growth Days]]&lt;=50, "Maturity")</f>
        <v>Maturity</v>
      </c>
      <c r="L2647" t="str">
        <f>IF(Table4_2[[#This Row],[TDS Value (ppm)]]&lt;560, "Low", IF(Table4_2[[#This Row],[TDS Value (ppm)]]&lt;=800,"Optimal","High"))</f>
        <v>Optimal</v>
      </c>
    </row>
    <row r="2648" spans="1:12" x14ac:dyDescent="0.25">
      <c r="A2648">
        <v>57</v>
      </c>
      <c r="B2648" s="1">
        <v>45185</v>
      </c>
      <c r="C2648" s="1" t="str">
        <f>TEXT(Table4_2[[#This Row],[Date]],"dddd")</f>
        <v>Saturday</v>
      </c>
      <c r="D2648" s="21">
        <v>21.6</v>
      </c>
      <c r="E2648" s="21">
        <v>59</v>
      </c>
      <c r="F2648" s="21">
        <v>773</v>
      </c>
      <c r="G2648" s="21">
        <v>6.1</v>
      </c>
      <c r="H2648">
        <v>45</v>
      </c>
      <c r="I2648">
        <v>70.88</v>
      </c>
      <c r="J2648">
        <v>0.59</v>
      </c>
      <c r="K2648" t="str" cm="1">
        <f t="array" ref="K2648">_xlfn.IFS(Table4_2[[#This Row],[Growth Days]]&lt;=14,"Seedling",Table4_2[[#This Row],[Growth Days]]&lt;=35, "Vegetative",Table4_2[[#This Row],[Growth Days]]&lt;=50, "Maturity")</f>
        <v>Maturity</v>
      </c>
      <c r="L2648" t="str">
        <f>IF(Table4_2[[#This Row],[TDS Value (ppm)]]&lt;560, "Low", IF(Table4_2[[#This Row],[TDS Value (ppm)]]&lt;=800,"Optimal","High"))</f>
        <v>Optimal</v>
      </c>
    </row>
    <row r="2649" spans="1:12" x14ac:dyDescent="0.25">
      <c r="A2649">
        <v>58</v>
      </c>
      <c r="B2649" s="1">
        <v>45143</v>
      </c>
      <c r="C2649" s="1" t="str">
        <f>TEXT(Table4_2[[#This Row],[Date]],"dddd")</f>
        <v>Saturday</v>
      </c>
      <c r="D2649" s="21">
        <v>20.5</v>
      </c>
      <c r="E2649" s="21">
        <v>50</v>
      </c>
      <c r="F2649" s="21">
        <v>471</v>
      </c>
      <c r="G2649" s="21">
        <v>6.6</v>
      </c>
      <c r="H2649">
        <v>3</v>
      </c>
      <c r="I2649">
        <v>68.900000000000006</v>
      </c>
      <c r="J2649">
        <v>0.5</v>
      </c>
      <c r="K2649" t="str" cm="1">
        <f t="array" ref="K2649">_xlfn.IFS(Table4_2[[#This Row],[Growth Days]]&lt;=14,"Seedling",Table4_2[[#This Row],[Growth Days]]&lt;=35, "Vegetative",Table4_2[[#This Row],[Growth Days]]&lt;=50, "Maturity")</f>
        <v>Seedling</v>
      </c>
      <c r="L2649" t="str">
        <f>IF(Table4_2[[#This Row],[TDS Value (ppm)]]&lt;560, "Low", IF(Table4_2[[#This Row],[TDS Value (ppm)]]&lt;=800,"Optimal","High"))</f>
        <v>Low</v>
      </c>
    </row>
    <row r="2650" spans="1:12" x14ac:dyDescent="0.25">
      <c r="A2650">
        <v>58</v>
      </c>
      <c r="B2650" s="1">
        <v>45150</v>
      </c>
      <c r="C2650" s="1" t="str">
        <f>TEXT(Table4_2[[#This Row],[Date]],"dddd")</f>
        <v>Saturday</v>
      </c>
      <c r="D2650" s="21">
        <v>19.899999999999999</v>
      </c>
      <c r="E2650" s="21">
        <v>66</v>
      </c>
      <c r="F2650" s="21">
        <v>548</v>
      </c>
      <c r="G2650" s="21">
        <v>6.7</v>
      </c>
      <c r="H2650">
        <v>10</v>
      </c>
      <c r="I2650">
        <v>67.819999999999993</v>
      </c>
      <c r="J2650">
        <v>0.66</v>
      </c>
      <c r="K2650" t="str" cm="1">
        <f t="array" ref="K2650">_xlfn.IFS(Table4_2[[#This Row],[Growth Days]]&lt;=14,"Seedling",Table4_2[[#This Row],[Growth Days]]&lt;=35, "Vegetative",Table4_2[[#This Row],[Growth Days]]&lt;=50, "Maturity")</f>
        <v>Seedling</v>
      </c>
      <c r="L2650" t="str">
        <f>IF(Table4_2[[#This Row],[TDS Value (ppm)]]&lt;560, "Low", IF(Table4_2[[#This Row],[TDS Value (ppm)]]&lt;=800,"Optimal","High"))</f>
        <v>Low</v>
      </c>
    </row>
    <row r="2651" spans="1:12" x14ac:dyDescent="0.25">
      <c r="A2651">
        <v>58</v>
      </c>
      <c r="B2651" s="1">
        <v>45157</v>
      </c>
      <c r="C2651" s="1" t="str">
        <f>TEXT(Table4_2[[#This Row],[Date]],"dddd")</f>
        <v>Saturday</v>
      </c>
      <c r="D2651" s="21">
        <v>21.3</v>
      </c>
      <c r="E2651" s="21">
        <v>51</v>
      </c>
      <c r="F2651" s="21">
        <v>728</v>
      </c>
      <c r="G2651" s="21">
        <v>6.1</v>
      </c>
      <c r="H2651">
        <v>17</v>
      </c>
      <c r="I2651">
        <v>70.34</v>
      </c>
      <c r="J2651">
        <v>0.51</v>
      </c>
      <c r="K2651" t="str" cm="1">
        <f t="array" ref="K2651">_xlfn.IFS(Table4_2[[#This Row],[Growth Days]]&lt;=14,"Seedling",Table4_2[[#This Row],[Growth Days]]&lt;=35, "Vegetative",Table4_2[[#This Row],[Growth Days]]&lt;=50, "Maturity")</f>
        <v>Vegetative</v>
      </c>
      <c r="L2651" t="str">
        <f>IF(Table4_2[[#This Row],[TDS Value (ppm)]]&lt;560, "Low", IF(Table4_2[[#This Row],[TDS Value (ppm)]]&lt;=800,"Optimal","High"))</f>
        <v>Optimal</v>
      </c>
    </row>
    <row r="2652" spans="1:12" x14ac:dyDescent="0.25">
      <c r="A2652">
        <v>58</v>
      </c>
      <c r="B2652" s="1">
        <v>45164</v>
      </c>
      <c r="C2652" s="1" t="str">
        <f>TEXT(Table4_2[[#This Row],[Date]],"dddd")</f>
        <v>Saturday</v>
      </c>
      <c r="D2652" s="21">
        <v>21.4</v>
      </c>
      <c r="E2652" s="21">
        <v>69</v>
      </c>
      <c r="F2652" s="21">
        <v>525</v>
      </c>
      <c r="G2652" s="21">
        <v>6.3</v>
      </c>
      <c r="H2652">
        <v>24</v>
      </c>
      <c r="I2652">
        <v>70.52</v>
      </c>
      <c r="J2652">
        <v>0.69</v>
      </c>
      <c r="K2652" t="str" cm="1">
        <f t="array" ref="K2652">_xlfn.IFS(Table4_2[[#This Row],[Growth Days]]&lt;=14,"Seedling",Table4_2[[#This Row],[Growth Days]]&lt;=35, "Vegetative",Table4_2[[#This Row],[Growth Days]]&lt;=50, "Maturity")</f>
        <v>Vegetative</v>
      </c>
      <c r="L2652" t="str">
        <f>IF(Table4_2[[#This Row],[TDS Value (ppm)]]&lt;560, "Low", IF(Table4_2[[#This Row],[TDS Value (ppm)]]&lt;=800,"Optimal","High"))</f>
        <v>Low</v>
      </c>
    </row>
    <row r="2653" spans="1:12" x14ac:dyDescent="0.25">
      <c r="A2653">
        <v>58</v>
      </c>
      <c r="B2653" s="1">
        <v>45171</v>
      </c>
      <c r="C2653" s="1" t="str">
        <f>TEXT(Table4_2[[#This Row],[Date]],"dddd")</f>
        <v>Saturday</v>
      </c>
      <c r="D2653" s="21">
        <v>20.9</v>
      </c>
      <c r="E2653" s="21">
        <v>54</v>
      </c>
      <c r="F2653" s="21">
        <v>608</v>
      </c>
      <c r="G2653" s="21">
        <v>6.7</v>
      </c>
      <c r="H2653">
        <v>31</v>
      </c>
      <c r="I2653">
        <v>69.62</v>
      </c>
      <c r="J2653">
        <v>0.54</v>
      </c>
      <c r="K2653" t="str" cm="1">
        <f t="array" ref="K2653">_xlfn.IFS(Table4_2[[#This Row],[Growth Days]]&lt;=14,"Seedling",Table4_2[[#This Row],[Growth Days]]&lt;=35, "Vegetative",Table4_2[[#This Row],[Growth Days]]&lt;=50, "Maturity")</f>
        <v>Vegetative</v>
      </c>
      <c r="L2653" t="str">
        <f>IF(Table4_2[[#This Row],[TDS Value (ppm)]]&lt;560, "Low", IF(Table4_2[[#This Row],[TDS Value (ppm)]]&lt;=800,"Optimal","High"))</f>
        <v>Optimal</v>
      </c>
    </row>
    <row r="2654" spans="1:12" x14ac:dyDescent="0.25">
      <c r="A2654">
        <v>58</v>
      </c>
      <c r="B2654" s="1">
        <v>45178</v>
      </c>
      <c r="C2654" s="1" t="str">
        <f>TEXT(Table4_2[[#This Row],[Date]],"dddd")</f>
        <v>Saturday</v>
      </c>
      <c r="D2654" s="21">
        <v>20.7</v>
      </c>
      <c r="E2654" s="21">
        <v>57</v>
      </c>
      <c r="F2654" s="21">
        <v>491</v>
      </c>
      <c r="G2654" s="21">
        <v>6.4</v>
      </c>
      <c r="H2654">
        <v>38</v>
      </c>
      <c r="I2654">
        <v>69.260000000000005</v>
      </c>
      <c r="J2654">
        <v>0.56999999999999995</v>
      </c>
      <c r="K2654" t="str" cm="1">
        <f t="array" ref="K2654">_xlfn.IFS(Table4_2[[#This Row],[Growth Days]]&lt;=14,"Seedling",Table4_2[[#This Row],[Growth Days]]&lt;=35, "Vegetative",Table4_2[[#This Row],[Growth Days]]&lt;=50, "Maturity")</f>
        <v>Maturity</v>
      </c>
      <c r="L2654" t="str">
        <f>IF(Table4_2[[#This Row],[TDS Value (ppm)]]&lt;560, "Low", IF(Table4_2[[#This Row],[TDS Value (ppm)]]&lt;=800,"Optimal","High"))</f>
        <v>Low</v>
      </c>
    </row>
    <row r="2655" spans="1:12" x14ac:dyDescent="0.25">
      <c r="A2655">
        <v>58</v>
      </c>
      <c r="B2655" s="1">
        <v>45185</v>
      </c>
      <c r="C2655" s="1" t="str">
        <f>TEXT(Table4_2[[#This Row],[Date]],"dddd")</f>
        <v>Saturday</v>
      </c>
      <c r="D2655" s="21">
        <v>23.3</v>
      </c>
      <c r="E2655" s="21">
        <v>50</v>
      </c>
      <c r="F2655" s="21">
        <v>704</v>
      </c>
      <c r="G2655" s="21">
        <v>6.3</v>
      </c>
      <c r="H2655">
        <v>45</v>
      </c>
      <c r="I2655">
        <v>73.94</v>
      </c>
      <c r="J2655">
        <v>0.5</v>
      </c>
      <c r="K2655" t="str" cm="1">
        <f t="array" ref="K2655">_xlfn.IFS(Table4_2[[#This Row],[Growth Days]]&lt;=14,"Seedling",Table4_2[[#This Row],[Growth Days]]&lt;=35, "Vegetative",Table4_2[[#This Row],[Growth Days]]&lt;=50, "Maturity")</f>
        <v>Maturity</v>
      </c>
      <c r="L2655" t="str">
        <f>IF(Table4_2[[#This Row],[TDS Value (ppm)]]&lt;560, "Low", IF(Table4_2[[#This Row],[TDS Value (ppm)]]&lt;=800,"Optimal","High"))</f>
        <v>Optimal</v>
      </c>
    </row>
    <row r="2656" spans="1:12" x14ac:dyDescent="0.25">
      <c r="A2656">
        <v>59</v>
      </c>
      <c r="B2656" s="1">
        <v>45143</v>
      </c>
      <c r="C2656" s="1" t="str">
        <f>TEXT(Table4_2[[#This Row],[Date]],"dddd")</f>
        <v>Saturday</v>
      </c>
      <c r="D2656" s="21">
        <v>20.2</v>
      </c>
      <c r="E2656" s="21">
        <v>64</v>
      </c>
      <c r="F2656" s="21">
        <v>495</v>
      </c>
      <c r="G2656" s="21">
        <v>6.4</v>
      </c>
      <c r="H2656">
        <v>3</v>
      </c>
      <c r="I2656">
        <v>68.36</v>
      </c>
      <c r="J2656">
        <v>0.64</v>
      </c>
      <c r="K2656" t="str" cm="1">
        <f t="array" ref="K2656">_xlfn.IFS(Table4_2[[#This Row],[Growth Days]]&lt;=14,"Seedling",Table4_2[[#This Row],[Growth Days]]&lt;=35, "Vegetative",Table4_2[[#This Row],[Growth Days]]&lt;=50, "Maturity")</f>
        <v>Seedling</v>
      </c>
      <c r="L2656" t="str">
        <f>IF(Table4_2[[#This Row],[TDS Value (ppm)]]&lt;560, "Low", IF(Table4_2[[#This Row],[TDS Value (ppm)]]&lt;=800,"Optimal","High"))</f>
        <v>Low</v>
      </c>
    </row>
    <row r="2657" spans="1:12" x14ac:dyDescent="0.25">
      <c r="A2657">
        <v>59</v>
      </c>
      <c r="B2657" s="1">
        <v>45150</v>
      </c>
      <c r="C2657" s="1" t="str">
        <f>TEXT(Table4_2[[#This Row],[Date]],"dddd")</f>
        <v>Saturday</v>
      </c>
      <c r="D2657" s="21">
        <v>18.899999999999999</v>
      </c>
      <c r="E2657" s="21">
        <v>71</v>
      </c>
      <c r="F2657" s="21">
        <v>768</v>
      </c>
      <c r="G2657" s="21">
        <v>6.4</v>
      </c>
      <c r="H2657">
        <v>10</v>
      </c>
      <c r="I2657">
        <v>66.02</v>
      </c>
      <c r="J2657">
        <v>0.71</v>
      </c>
      <c r="K2657" t="str" cm="1">
        <f t="array" ref="K2657">_xlfn.IFS(Table4_2[[#This Row],[Growth Days]]&lt;=14,"Seedling",Table4_2[[#This Row],[Growth Days]]&lt;=35, "Vegetative",Table4_2[[#This Row],[Growth Days]]&lt;=50, "Maturity")</f>
        <v>Seedling</v>
      </c>
      <c r="L2657" t="str">
        <f>IF(Table4_2[[#This Row],[TDS Value (ppm)]]&lt;560, "Low", IF(Table4_2[[#This Row],[TDS Value (ppm)]]&lt;=800,"Optimal","High"))</f>
        <v>Optimal</v>
      </c>
    </row>
    <row r="2658" spans="1:12" x14ac:dyDescent="0.25">
      <c r="A2658">
        <v>59</v>
      </c>
      <c r="B2658" s="1">
        <v>45157</v>
      </c>
      <c r="C2658" s="1" t="str">
        <f>TEXT(Table4_2[[#This Row],[Date]],"dddd")</f>
        <v>Saturday</v>
      </c>
      <c r="D2658" s="21">
        <v>23.5</v>
      </c>
      <c r="E2658" s="21">
        <v>78</v>
      </c>
      <c r="F2658" s="21">
        <v>588</v>
      </c>
      <c r="G2658" s="21">
        <v>6.7</v>
      </c>
      <c r="H2658">
        <v>17</v>
      </c>
      <c r="I2658">
        <v>74.3</v>
      </c>
      <c r="J2658">
        <v>0.78</v>
      </c>
      <c r="K2658" t="str" cm="1">
        <f t="array" ref="K2658">_xlfn.IFS(Table4_2[[#This Row],[Growth Days]]&lt;=14,"Seedling",Table4_2[[#This Row],[Growth Days]]&lt;=35, "Vegetative",Table4_2[[#This Row],[Growth Days]]&lt;=50, "Maturity")</f>
        <v>Vegetative</v>
      </c>
      <c r="L2658" t="str">
        <f>IF(Table4_2[[#This Row],[TDS Value (ppm)]]&lt;560, "Low", IF(Table4_2[[#This Row],[TDS Value (ppm)]]&lt;=800,"Optimal","High"))</f>
        <v>Optimal</v>
      </c>
    </row>
    <row r="2659" spans="1:12" x14ac:dyDescent="0.25">
      <c r="A2659">
        <v>59</v>
      </c>
      <c r="B2659" s="1">
        <v>45164</v>
      </c>
      <c r="C2659" s="1" t="str">
        <f>TEXT(Table4_2[[#This Row],[Date]],"dddd")</f>
        <v>Saturday</v>
      </c>
      <c r="D2659" s="21">
        <v>21.9</v>
      </c>
      <c r="E2659" s="21">
        <v>57</v>
      </c>
      <c r="F2659" s="21">
        <v>791</v>
      </c>
      <c r="G2659" s="21">
        <v>6.1</v>
      </c>
      <c r="H2659">
        <v>24</v>
      </c>
      <c r="I2659">
        <v>71.42</v>
      </c>
      <c r="J2659">
        <v>0.56999999999999995</v>
      </c>
      <c r="K2659" t="str" cm="1">
        <f t="array" ref="K2659">_xlfn.IFS(Table4_2[[#This Row],[Growth Days]]&lt;=14,"Seedling",Table4_2[[#This Row],[Growth Days]]&lt;=35, "Vegetative",Table4_2[[#This Row],[Growth Days]]&lt;=50, "Maturity")</f>
        <v>Vegetative</v>
      </c>
      <c r="L2659" t="str">
        <f>IF(Table4_2[[#This Row],[TDS Value (ppm)]]&lt;560, "Low", IF(Table4_2[[#This Row],[TDS Value (ppm)]]&lt;=800,"Optimal","High"))</f>
        <v>Optimal</v>
      </c>
    </row>
    <row r="2660" spans="1:12" x14ac:dyDescent="0.25">
      <c r="A2660">
        <v>59</v>
      </c>
      <c r="B2660" s="1">
        <v>45171</v>
      </c>
      <c r="C2660" s="1" t="str">
        <f>TEXT(Table4_2[[#This Row],[Date]],"dddd")</f>
        <v>Saturday</v>
      </c>
      <c r="D2660" s="21">
        <v>21.8</v>
      </c>
      <c r="E2660" s="21">
        <v>73</v>
      </c>
      <c r="F2660" s="21">
        <v>800</v>
      </c>
      <c r="G2660" s="21">
        <v>6.7</v>
      </c>
      <c r="H2660">
        <v>31</v>
      </c>
      <c r="I2660">
        <v>71.239999999999995</v>
      </c>
      <c r="J2660">
        <v>0.73</v>
      </c>
      <c r="K2660" t="str" cm="1">
        <f t="array" ref="K2660">_xlfn.IFS(Table4_2[[#This Row],[Growth Days]]&lt;=14,"Seedling",Table4_2[[#This Row],[Growth Days]]&lt;=35, "Vegetative",Table4_2[[#This Row],[Growth Days]]&lt;=50, "Maturity")</f>
        <v>Vegetative</v>
      </c>
      <c r="L2660" t="str">
        <f>IF(Table4_2[[#This Row],[TDS Value (ppm)]]&lt;560, "Low", IF(Table4_2[[#This Row],[TDS Value (ppm)]]&lt;=800,"Optimal","High"))</f>
        <v>Optimal</v>
      </c>
    </row>
    <row r="2661" spans="1:12" x14ac:dyDescent="0.25">
      <c r="A2661">
        <v>59</v>
      </c>
      <c r="B2661" s="1">
        <v>45178</v>
      </c>
      <c r="C2661" s="1" t="str">
        <f>TEXT(Table4_2[[#This Row],[Date]],"dddd")</f>
        <v>Saturday</v>
      </c>
      <c r="D2661" s="21">
        <v>24.9</v>
      </c>
      <c r="E2661" s="21">
        <v>61</v>
      </c>
      <c r="F2661" s="21">
        <v>419</v>
      </c>
      <c r="G2661" s="21">
        <v>6.6</v>
      </c>
      <c r="H2661">
        <v>38</v>
      </c>
      <c r="I2661">
        <v>76.819999999999993</v>
      </c>
      <c r="J2661">
        <v>0.61</v>
      </c>
      <c r="K2661" t="str" cm="1">
        <f t="array" ref="K2661">_xlfn.IFS(Table4_2[[#This Row],[Growth Days]]&lt;=14,"Seedling",Table4_2[[#This Row],[Growth Days]]&lt;=35, "Vegetative",Table4_2[[#This Row],[Growth Days]]&lt;=50, "Maturity")</f>
        <v>Maturity</v>
      </c>
      <c r="L2661" t="str">
        <f>IF(Table4_2[[#This Row],[TDS Value (ppm)]]&lt;560, "Low", IF(Table4_2[[#This Row],[TDS Value (ppm)]]&lt;=800,"Optimal","High"))</f>
        <v>Low</v>
      </c>
    </row>
    <row r="2662" spans="1:12" x14ac:dyDescent="0.25">
      <c r="A2662">
        <v>59</v>
      </c>
      <c r="B2662" s="1">
        <v>45185</v>
      </c>
      <c r="C2662" s="1" t="str">
        <f>TEXT(Table4_2[[#This Row],[Date]],"dddd")</f>
        <v>Saturday</v>
      </c>
      <c r="D2662" s="21">
        <v>19.3</v>
      </c>
      <c r="E2662" s="21">
        <v>74</v>
      </c>
      <c r="F2662" s="21">
        <v>422</v>
      </c>
      <c r="G2662" s="21">
        <v>6.2</v>
      </c>
      <c r="H2662">
        <v>45</v>
      </c>
      <c r="I2662">
        <v>66.739999999999995</v>
      </c>
      <c r="J2662">
        <v>0.74</v>
      </c>
      <c r="K2662" t="str" cm="1">
        <f t="array" ref="K2662">_xlfn.IFS(Table4_2[[#This Row],[Growth Days]]&lt;=14,"Seedling",Table4_2[[#This Row],[Growth Days]]&lt;=35, "Vegetative",Table4_2[[#This Row],[Growth Days]]&lt;=50, "Maturity")</f>
        <v>Maturity</v>
      </c>
      <c r="L2662" t="str">
        <f>IF(Table4_2[[#This Row],[TDS Value (ppm)]]&lt;560, "Low", IF(Table4_2[[#This Row],[TDS Value (ppm)]]&lt;=800,"Optimal","High"))</f>
        <v>Low</v>
      </c>
    </row>
    <row r="2663" spans="1:12" x14ac:dyDescent="0.25">
      <c r="A2663">
        <v>60</v>
      </c>
      <c r="B2663" s="1">
        <v>45143</v>
      </c>
      <c r="C2663" s="1" t="str">
        <f>TEXT(Table4_2[[#This Row],[Date]],"dddd")</f>
        <v>Saturday</v>
      </c>
      <c r="D2663" s="21">
        <v>18</v>
      </c>
      <c r="E2663" s="21">
        <v>74</v>
      </c>
      <c r="F2663" s="21">
        <v>747</v>
      </c>
      <c r="G2663" s="21">
        <v>6.1</v>
      </c>
      <c r="H2663">
        <v>3</v>
      </c>
      <c r="I2663">
        <v>64.400000000000006</v>
      </c>
      <c r="J2663">
        <v>0.74</v>
      </c>
      <c r="K2663" t="str" cm="1">
        <f t="array" ref="K2663">_xlfn.IFS(Table4_2[[#This Row],[Growth Days]]&lt;=14,"Seedling",Table4_2[[#This Row],[Growth Days]]&lt;=35, "Vegetative",Table4_2[[#This Row],[Growth Days]]&lt;=50, "Maturity")</f>
        <v>Seedling</v>
      </c>
      <c r="L2663" t="str">
        <f>IF(Table4_2[[#This Row],[TDS Value (ppm)]]&lt;560, "Low", IF(Table4_2[[#This Row],[TDS Value (ppm)]]&lt;=800,"Optimal","High"))</f>
        <v>Optimal</v>
      </c>
    </row>
    <row r="2664" spans="1:12" x14ac:dyDescent="0.25">
      <c r="A2664">
        <v>60</v>
      </c>
      <c r="B2664" s="1">
        <v>45150</v>
      </c>
      <c r="C2664" s="1" t="str">
        <f>TEXT(Table4_2[[#This Row],[Date]],"dddd")</f>
        <v>Saturday</v>
      </c>
      <c r="D2664" s="21">
        <v>23.7</v>
      </c>
      <c r="E2664" s="21">
        <v>51</v>
      </c>
      <c r="F2664" s="21">
        <v>511</v>
      </c>
      <c r="G2664" s="21">
        <v>6.6</v>
      </c>
      <c r="H2664">
        <v>10</v>
      </c>
      <c r="I2664">
        <v>74.66</v>
      </c>
      <c r="J2664">
        <v>0.51</v>
      </c>
      <c r="K2664" t="str" cm="1">
        <f t="array" ref="K2664">_xlfn.IFS(Table4_2[[#This Row],[Growth Days]]&lt;=14,"Seedling",Table4_2[[#This Row],[Growth Days]]&lt;=35, "Vegetative",Table4_2[[#This Row],[Growth Days]]&lt;=50, "Maturity")</f>
        <v>Seedling</v>
      </c>
      <c r="L2664" t="str">
        <f>IF(Table4_2[[#This Row],[TDS Value (ppm)]]&lt;560, "Low", IF(Table4_2[[#This Row],[TDS Value (ppm)]]&lt;=800,"Optimal","High"))</f>
        <v>Low</v>
      </c>
    </row>
    <row r="2665" spans="1:12" x14ac:dyDescent="0.25">
      <c r="A2665">
        <v>60</v>
      </c>
      <c r="B2665" s="1">
        <v>45157</v>
      </c>
      <c r="C2665" s="1" t="str">
        <f>TEXT(Table4_2[[#This Row],[Date]],"dddd")</f>
        <v>Saturday</v>
      </c>
      <c r="D2665" s="21">
        <v>18.100000000000001</v>
      </c>
      <c r="E2665" s="21">
        <v>62</v>
      </c>
      <c r="F2665" s="21">
        <v>618</v>
      </c>
      <c r="G2665" s="21">
        <v>6.6</v>
      </c>
      <c r="H2665">
        <v>17</v>
      </c>
      <c r="I2665">
        <v>64.58</v>
      </c>
      <c r="J2665">
        <v>0.62</v>
      </c>
      <c r="K2665" t="str" cm="1">
        <f t="array" ref="K2665">_xlfn.IFS(Table4_2[[#This Row],[Growth Days]]&lt;=14,"Seedling",Table4_2[[#This Row],[Growth Days]]&lt;=35, "Vegetative",Table4_2[[#This Row],[Growth Days]]&lt;=50, "Maturity")</f>
        <v>Vegetative</v>
      </c>
      <c r="L2665" t="str">
        <f>IF(Table4_2[[#This Row],[TDS Value (ppm)]]&lt;560, "Low", IF(Table4_2[[#This Row],[TDS Value (ppm)]]&lt;=800,"Optimal","High"))</f>
        <v>Optimal</v>
      </c>
    </row>
    <row r="2666" spans="1:12" x14ac:dyDescent="0.25">
      <c r="A2666">
        <v>60</v>
      </c>
      <c r="B2666" s="1">
        <v>45164</v>
      </c>
      <c r="C2666" s="1" t="str">
        <f>TEXT(Table4_2[[#This Row],[Date]],"dddd")</f>
        <v>Saturday</v>
      </c>
      <c r="D2666" s="21">
        <v>18.5</v>
      </c>
      <c r="E2666" s="21">
        <v>56</v>
      </c>
      <c r="F2666" s="21">
        <v>671</v>
      </c>
      <c r="G2666" s="21">
        <v>6</v>
      </c>
      <c r="H2666">
        <v>24</v>
      </c>
      <c r="I2666">
        <v>65.3</v>
      </c>
      <c r="J2666">
        <v>0.56000000000000005</v>
      </c>
      <c r="K2666" t="str" cm="1">
        <f t="array" ref="K2666">_xlfn.IFS(Table4_2[[#This Row],[Growth Days]]&lt;=14,"Seedling",Table4_2[[#This Row],[Growth Days]]&lt;=35, "Vegetative",Table4_2[[#This Row],[Growth Days]]&lt;=50, "Maturity")</f>
        <v>Vegetative</v>
      </c>
      <c r="L2666" t="str">
        <f>IF(Table4_2[[#This Row],[TDS Value (ppm)]]&lt;560, "Low", IF(Table4_2[[#This Row],[TDS Value (ppm)]]&lt;=800,"Optimal","High"))</f>
        <v>Optimal</v>
      </c>
    </row>
    <row r="2667" spans="1:12" x14ac:dyDescent="0.25">
      <c r="A2667">
        <v>60</v>
      </c>
      <c r="B2667" s="1">
        <v>45171</v>
      </c>
      <c r="C2667" s="1" t="str">
        <f>TEXT(Table4_2[[#This Row],[Date]],"dddd")</f>
        <v>Saturday</v>
      </c>
      <c r="D2667" s="21">
        <v>23.1</v>
      </c>
      <c r="E2667" s="21">
        <v>57</v>
      </c>
      <c r="F2667" s="21">
        <v>734</v>
      </c>
      <c r="G2667" s="21">
        <v>6.4</v>
      </c>
      <c r="H2667">
        <v>31</v>
      </c>
      <c r="I2667">
        <v>73.58</v>
      </c>
      <c r="J2667">
        <v>0.56999999999999995</v>
      </c>
      <c r="K2667" t="str" cm="1">
        <f t="array" ref="K2667">_xlfn.IFS(Table4_2[[#This Row],[Growth Days]]&lt;=14,"Seedling",Table4_2[[#This Row],[Growth Days]]&lt;=35, "Vegetative",Table4_2[[#This Row],[Growth Days]]&lt;=50, "Maturity")</f>
        <v>Vegetative</v>
      </c>
      <c r="L2667" t="str">
        <f>IF(Table4_2[[#This Row],[TDS Value (ppm)]]&lt;560, "Low", IF(Table4_2[[#This Row],[TDS Value (ppm)]]&lt;=800,"Optimal","High"))</f>
        <v>Optimal</v>
      </c>
    </row>
    <row r="2668" spans="1:12" x14ac:dyDescent="0.25">
      <c r="A2668">
        <v>60</v>
      </c>
      <c r="B2668" s="1">
        <v>45178</v>
      </c>
      <c r="C2668" s="1" t="str">
        <f>TEXT(Table4_2[[#This Row],[Date]],"dddd")</f>
        <v>Saturday</v>
      </c>
      <c r="D2668" s="21">
        <v>18</v>
      </c>
      <c r="E2668" s="21">
        <v>78</v>
      </c>
      <c r="F2668" s="21">
        <v>600</v>
      </c>
      <c r="G2668" s="21">
        <v>6.4</v>
      </c>
      <c r="H2668">
        <v>38</v>
      </c>
      <c r="I2668">
        <v>64.400000000000006</v>
      </c>
      <c r="J2668">
        <v>0.78</v>
      </c>
      <c r="K2668" t="str" cm="1">
        <f t="array" ref="K2668">_xlfn.IFS(Table4_2[[#This Row],[Growth Days]]&lt;=14,"Seedling",Table4_2[[#This Row],[Growth Days]]&lt;=35, "Vegetative",Table4_2[[#This Row],[Growth Days]]&lt;=50, "Maturity")</f>
        <v>Maturity</v>
      </c>
      <c r="L2668" t="str">
        <f>IF(Table4_2[[#This Row],[TDS Value (ppm)]]&lt;560, "Low", IF(Table4_2[[#This Row],[TDS Value (ppm)]]&lt;=800,"Optimal","High"))</f>
        <v>Optimal</v>
      </c>
    </row>
    <row r="2669" spans="1:12" x14ac:dyDescent="0.25">
      <c r="A2669">
        <v>60</v>
      </c>
      <c r="B2669" s="1">
        <v>45185</v>
      </c>
      <c r="C2669" s="1" t="str">
        <f>TEXT(Table4_2[[#This Row],[Date]],"dddd")</f>
        <v>Saturday</v>
      </c>
      <c r="D2669" s="21">
        <v>23.5</v>
      </c>
      <c r="E2669" s="21">
        <v>73</v>
      </c>
      <c r="F2669" s="21">
        <v>507</v>
      </c>
      <c r="G2669" s="21">
        <v>6.2</v>
      </c>
      <c r="H2669">
        <v>45</v>
      </c>
      <c r="I2669">
        <v>74.3</v>
      </c>
      <c r="J2669">
        <v>0.73</v>
      </c>
      <c r="K2669" t="str" cm="1">
        <f t="array" ref="K2669">_xlfn.IFS(Table4_2[[#This Row],[Growth Days]]&lt;=14,"Seedling",Table4_2[[#This Row],[Growth Days]]&lt;=35, "Vegetative",Table4_2[[#This Row],[Growth Days]]&lt;=50, "Maturity")</f>
        <v>Maturity</v>
      </c>
      <c r="L2669" t="str">
        <f>IF(Table4_2[[#This Row],[TDS Value (ppm)]]&lt;560, "Low", IF(Table4_2[[#This Row],[TDS Value (ppm)]]&lt;=800,"Optimal","High"))</f>
        <v>Low</v>
      </c>
    </row>
    <row r="2670" spans="1:12" x14ac:dyDescent="0.25">
      <c r="A2670">
        <v>61</v>
      </c>
      <c r="B2670" s="1">
        <v>45143</v>
      </c>
      <c r="C2670" s="1" t="str">
        <f>TEXT(Table4_2[[#This Row],[Date]],"dddd")</f>
        <v>Saturday</v>
      </c>
      <c r="D2670" s="21">
        <v>18.7</v>
      </c>
      <c r="E2670" s="21">
        <v>56</v>
      </c>
      <c r="F2670" s="21">
        <v>556</v>
      </c>
      <c r="G2670" s="21">
        <v>6.2</v>
      </c>
      <c r="H2670">
        <v>3</v>
      </c>
      <c r="I2670">
        <v>65.66</v>
      </c>
      <c r="J2670">
        <v>0.56000000000000005</v>
      </c>
      <c r="K2670" t="str" cm="1">
        <f t="array" ref="K2670">_xlfn.IFS(Table4_2[[#This Row],[Growth Days]]&lt;=14,"Seedling",Table4_2[[#This Row],[Growth Days]]&lt;=35, "Vegetative",Table4_2[[#This Row],[Growth Days]]&lt;=50, "Maturity")</f>
        <v>Seedling</v>
      </c>
      <c r="L2670" t="str">
        <f>IF(Table4_2[[#This Row],[TDS Value (ppm)]]&lt;560, "Low", IF(Table4_2[[#This Row],[TDS Value (ppm)]]&lt;=800,"Optimal","High"))</f>
        <v>Low</v>
      </c>
    </row>
    <row r="2671" spans="1:12" x14ac:dyDescent="0.25">
      <c r="A2671">
        <v>61</v>
      </c>
      <c r="B2671" s="1">
        <v>45150</v>
      </c>
      <c r="C2671" s="1" t="str">
        <f>TEXT(Table4_2[[#This Row],[Date]],"dddd")</f>
        <v>Saturday</v>
      </c>
      <c r="D2671" s="21">
        <v>22.6</v>
      </c>
      <c r="E2671" s="21">
        <v>58</v>
      </c>
      <c r="F2671" s="21">
        <v>644</v>
      </c>
      <c r="G2671" s="21">
        <v>6.4</v>
      </c>
      <c r="H2671">
        <v>10</v>
      </c>
      <c r="I2671">
        <v>72.680000000000007</v>
      </c>
      <c r="J2671">
        <v>0.57999999999999996</v>
      </c>
      <c r="K2671" t="str" cm="1">
        <f t="array" ref="K2671">_xlfn.IFS(Table4_2[[#This Row],[Growth Days]]&lt;=14,"Seedling",Table4_2[[#This Row],[Growth Days]]&lt;=35, "Vegetative",Table4_2[[#This Row],[Growth Days]]&lt;=50, "Maturity")</f>
        <v>Seedling</v>
      </c>
      <c r="L2671" t="str">
        <f>IF(Table4_2[[#This Row],[TDS Value (ppm)]]&lt;560, "Low", IF(Table4_2[[#This Row],[TDS Value (ppm)]]&lt;=800,"Optimal","High"))</f>
        <v>Optimal</v>
      </c>
    </row>
    <row r="2672" spans="1:12" x14ac:dyDescent="0.25">
      <c r="A2672">
        <v>61</v>
      </c>
      <c r="B2672" s="1">
        <v>45157</v>
      </c>
      <c r="C2672" s="1" t="str">
        <f>TEXT(Table4_2[[#This Row],[Date]],"dddd")</f>
        <v>Saturday</v>
      </c>
      <c r="D2672" s="21">
        <v>22.7</v>
      </c>
      <c r="E2672" s="21">
        <v>70</v>
      </c>
      <c r="F2672" s="21">
        <v>485</v>
      </c>
      <c r="G2672" s="21">
        <v>6</v>
      </c>
      <c r="H2672">
        <v>17</v>
      </c>
      <c r="I2672">
        <v>72.86</v>
      </c>
      <c r="J2672">
        <v>0.7</v>
      </c>
      <c r="K2672" t="str" cm="1">
        <f t="array" ref="K2672">_xlfn.IFS(Table4_2[[#This Row],[Growth Days]]&lt;=14,"Seedling",Table4_2[[#This Row],[Growth Days]]&lt;=35, "Vegetative",Table4_2[[#This Row],[Growth Days]]&lt;=50, "Maturity")</f>
        <v>Vegetative</v>
      </c>
      <c r="L2672" t="str">
        <f>IF(Table4_2[[#This Row],[TDS Value (ppm)]]&lt;560, "Low", IF(Table4_2[[#This Row],[TDS Value (ppm)]]&lt;=800,"Optimal","High"))</f>
        <v>Low</v>
      </c>
    </row>
    <row r="2673" spans="1:12" x14ac:dyDescent="0.25">
      <c r="A2673">
        <v>61</v>
      </c>
      <c r="B2673" s="1">
        <v>45164</v>
      </c>
      <c r="C2673" s="1" t="str">
        <f>TEXT(Table4_2[[#This Row],[Date]],"dddd")</f>
        <v>Saturday</v>
      </c>
      <c r="D2673" s="21">
        <v>23.4</v>
      </c>
      <c r="E2673" s="21">
        <v>54</v>
      </c>
      <c r="F2673" s="21">
        <v>522</v>
      </c>
      <c r="G2673" s="21">
        <v>6.6</v>
      </c>
      <c r="H2673">
        <v>24</v>
      </c>
      <c r="I2673">
        <v>74.12</v>
      </c>
      <c r="J2673">
        <v>0.54</v>
      </c>
      <c r="K2673" t="str" cm="1">
        <f t="array" ref="K2673">_xlfn.IFS(Table4_2[[#This Row],[Growth Days]]&lt;=14,"Seedling",Table4_2[[#This Row],[Growth Days]]&lt;=35, "Vegetative",Table4_2[[#This Row],[Growth Days]]&lt;=50, "Maturity")</f>
        <v>Vegetative</v>
      </c>
      <c r="L2673" t="str">
        <f>IF(Table4_2[[#This Row],[TDS Value (ppm)]]&lt;560, "Low", IF(Table4_2[[#This Row],[TDS Value (ppm)]]&lt;=800,"Optimal","High"))</f>
        <v>Low</v>
      </c>
    </row>
    <row r="2674" spans="1:12" x14ac:dyDescent="0.25">
      <c r="A2674">
        <v>61</v>
      </c>
      <c r="B2674" s="1">
        <v>45171</v>
      </c>
      <c r="C2674" s="1" t="str">
        <f>TEXT(Table4_2[[#This Row],[Date]],"dddd")</f>
        <v>Saturday</v>
      </c>
      <c r="D2674" s="21">
        <v>24.8</v>
      </c>
      <c r="E2674" s="21">
        <v>53</v>
      </c>
      <c r="F2674" s="21">
        <v>701</v>
      </c>
      <c r="G2674" s="21">
        <v>6.1</v>
      </c>
      <c r="H2674">
        <v>31</v>
      </c>
      <c r="I2674">
        <v>76.64</v>
      </c>
      <c r="J2674">
        <v>0.53</v>
      </c>
      <c r="K2674" t="str" cm="1">
        <f t="array" ref="K2674">_xlfn.IFS(Table4_2[[#This Row],[Growth Days]]&lt;=14,"Seedling",Table4_2[[#This Row],[Growth Days]]&lt;=35, "Vegetative",Table4_2[[#This Row],[Growth Days]]&lt;=50, "Maturity")</f>
        <v>Vegetative</v>
      </c>
      <c r="L2674" t="str">
        <f>IF(Table4_2[[#This Row],[TDS Value (ppm)]]&lt;560, "Low", IF(Table4_2[[#This Row],[TDS Value (ppm)]]&lt;=800,"Optimal","High"))</f>
        <v>Optimal</v>
      </c>
    </row>
    <row r="2675" spans="1:12" x14ac:dyDescent="0.25">
      <c r="A2675">
        <v>61</v>
      </c>
      <c r="B2675" s="1">
        <v>45178</v>
      </c>
      <c r="C2675" s="1" t="str">
        <f>TEXT(Table4_2[[#This Row],[Date]],"dddd")</f>
        <v>Saturday</v>
      </c>
      <c r="D2675" s="21">
        <v>18.2</v>
      </c>
      <c r="E2675" s="21">
        <v>66</v>
      </c>
      <c r="F2675" s="21">
        <v>486</v>
      </c>
      <c r="G2675" s="21">
        <v>6.7</v>
      </c>
      <c r="H2675">
        <v>38</v>
      </c>
      <c r="I2675">
        <v>64.760000000000005</v>
      </c>
      <c r="J2675">
        <v>0.66</v>
      </c>
      <c r="K2675" t="str" cm="1">
        <f t="array" ref="K2675">_xlfn.IFS(Table4_2[[#This Row],[Growth Days]]&lt;=14,"Seedling",Table4_2[[#This Row],[Growth Days]]&lt;=35, "Vegetative",Table4_2[[#This Row],[Growth Days]]&lt;=50, "Maturity")</f>
        <v>Maturity</v>
      </c>
      <c r="L2675" t="str">
        <f>IF(Table4_2[[#This Row],[TDS Value (ppm)]]&lt;560, "Low", IF(Table4_2[[#This Row],[TDS Value (ppm)]]&lt;=800,"Optimal","High"))</f>
        <v>Low</v>
      </c>
    </row>
    <row r="2676" spans="1:12" x14ac:dyDescent="0.25">
      <c r="A2676">
        <v>61</v>
      </c>
      <c r="B2676" s="1">
        <v>45185</v>
      </c>
      <c r="C2676" s="1" t="str">
        <f>TEXT(Table4_2[[#This Row],[Date]],"dddd")</f>
        <v>Saturday</v>
      </c>
      <c r="D2676" s="21">
        <v>23.6</v>
      </c>
      <c r="E2676" s="21">
        <v>73</v>
      </c>
      <c r="F2676" s="21">
        <v>638</v>
      </c>
      <c r="G2676" s="21">
        <v>6</v>
      </c>
      <c r="H2676">
        <v>45</v>
      </c>
      <c r="I2676">
        <v>74.48</v>
      </c>
      <c r="J2676">
        <v>0.73</v>
      </c>
      <c r="K2676" t="str" cm="1">
        <f t="array" ref="K2676">_xlfn.IFS(Table4_2[[#This Row],[Growth Days]]&lt;=14,"Seedling",Table4_2[[#This Row],[Growth Days]]&lt;=35, "Vegetative",Table4_2[[#This Row],[Growth Days]]&lt;=50, "Maturity")</f>
        <v>Maturity</v>
      </c>
      <c r="L2676" t="str">
        <f>IF(Table4_2[[#This Row],[TDS Value (ppm)]]&lt;560, "Low", IF(Table4_2[[#This Row],[TDS Value (ppm)]]&lt;=800,"Optimal","High"))</f>
        <v>Optimal</v>
      </c>
    </row>
    <row r="2677" spans="1:12" x14ac:dyDescent="0.25">
      <c r="A2677">
        <v>62</v>
      </c>
      <c r="B2677" s="1">
        <v>45143</v>
      </c>
      <c r="C2677" s="1" t="str">
        <f>TEXT(Table4_2[[#This Row],[Date]],"dddd")</f>
        <v>Saturday</v>
      </c>
      <c r="D2677" s="21">
        <v>20.5</v>
      </c>
      <c r="E2677" s="21">
        <v>78</v>
      </c>
      <c r="F2677" s="21">
        <v>555</v>
      </c>
      <c r="G2677" s="21">
        <v>6</v>
      </c>
      <c r="H2677">
        <v>3</v>
      </c>
      <c r="I2677">
        <v>68.900000000000006</v>
      </c>
      <c r="J2677">
        <v>0.78</v>
      </c>
      <c r="K2677" t="str" cm="1">
        <f t="array" ref="K2677">_xlfn.IFS(Table4_2[[#This Row],[Growth Days]]&lt;=14,"Seedling",Table4_2[[#This Row],[Growth Days]]&lt;=35, "Vegetative",Table4_2[[#This Row],[Growth Days]]&lt;=50, "Maturity")</f>
        <v>Seedling</v>
      </c>
      <c r="L2677" t="str">
        <f>IF(Table4_2[[#This Row],[TDS Value (ppm)]]&lt;560, "Low", IF(Table4_2[[#This Row],[TDS Value (ppm)]]&lt;=800,"Optimal","High"))</f>
        <v>Low</v>
      </c>
    </row>
    <row r="2678" spans="1:12" x14ac:dyDescent="0.25">
      <c r="A2678">
        <v>62</v>
      </c>
      <c r="B2678" s="1">
        <v>45150</v>
      </c>
      <c r="C2678" s="1" t="str">
        <f>TEXT(Table4_2[[#This Row],[Date]],"dddd")</f>
        <v>Saturday</v>
      </c>
      <c r="D2678" s="21">
        <v>22</v>
      </c>
      <c r="E2678" s="21">
        <v>54</v>
      </c>
      <c r="F2678" s="21">
        <v>431</v>
      </c>
      <c r="G2678" s="21">
        <v>6.1</v>
      </c>
      <c r="H2678">
        <v>10</v>
      </c>
      <c r="I2678">
        <v>71.599999999999994</v>
      </c>
      <c r="J2678">
        <v>0.54</v>
      </c>
      <c r="K2678" t="str" cm="1">
        <f t="array" ref="K2678">_xlfn.IFS(Table4_2[[#This Row],[Growth Days]]&lt;=14,"Seedling",Table4_2[[#This Row],[Growth Days]]&lt;=35, "Vegetative",Table4_2[[#This Row],[Growth Days]]&lt;=50, "Maturity")</f>
        <v>Seedling</v>
      </c>
      <c r="L2678" t="str">
        <f>IF(Table4_2[[#This Row],[TDS Value (ppm)]]&lt;560, "Low", IF(Table4_2[[#This Row],[TDS Value (ppm)]]&lt;=800,"Optimal","High"))</f>
        <v>Low</v>
      </c>
    </row>
    <row r="2679" spans="1:12" x14ac:dyDescent="0.25">
      <c r="A2679">
        <v>62</v>
      </c>
      <c r="B2679" s="1">
        <v>45157</v>
      </c>
      <c r="C2679" s="1" t="str">
        <f>TEXT(Table4_2[[#This Row],[Date]],"dddd")</f>
        <v>Saturday</v>
      </c>
      <c r="D2679" s="21">
        <v>18.3</v>
      </c>
      <c r="E2679" s="21">
        <v>72</v>
      </c>
      <c r="F2679" s="21">
        <v>494</v>
      </c>
      <c r="G2679" s="21">
        <v>6.4</v>
      </c>
      <c r="H2679">
        <v>17</v>
      </c>
      <c r="I2679">
        <v>64.94</v>
      </c>
      <c r="J2679">
        <v>0.72</v>
      </c>
      <c r="K2679" t="str" cm="1">
        <f t="array" ref="K2679">_xlfn.IFS(Table4_2[[#This Row],[Growth Days]]&lt;=14,"Seedling",Table4_2[[#This Row],[Growth Days]]&lt;=35, "Vegetative",Table4_2[[#This Row],[Growth Days]]&lt;=50, "Maturity")</f>
        <v>Vegetative</v>
      </c>
      <c r="L2679" t="str">
        <f>IF(Table4_2[[#This Row],[TDS Value (ppm)]]&lt;560, "Low", IF(Table4_2[[#This Row],[TDS Value (ppm)]]&lt;=800,"Optimal","High"))</f>
        <v>Low</v>
      </c>
    </row>
    <row r="2680" spans="1:12" x14ac:dyDescent="0.25">
      <c r="A2680">
        <v>62</v>
      </c>
      <c r="B2680" s="1">
        <v>45164</v>
      </c>
      <c r="C2680" s="1" t="str">
        <f>TEXT(Table4_2[[#This Row],[Date]],"dddd")</f>
        <v>Saturday</v>
      </c>
      <c r="D2680" s="21">
        <v>23.3</v>
      </c>
      <c r="E2680" s="21">
        <v>62</v>
      </c>
      <c r="F2680" s="21">
        <v>771</v>
      </c>
      <c r="G2680" s="21">
        <v>6.5</v>
      </c>
      <c r="H2680">
        <v>24</v>
      </c>
      <c r="I2680">
        <v>73.94</v>
      </c>
      <c r="J2680">
        <v>0.62</v>
      </c>
      <c r="K2680" t="str" cm="1">
        <f t="array" ref="K2680">_xlfn.IFS(Table4_2[[#This Row],[Growth Days]]&lt;=14,"Seedling",Table4_2[[#This Row],[Growth Days]]&lt;=35, "Vegetative",Table4_2[[#This Row],[Growth Days]]&lt;=50, "Maturity")</f>
        <v>Vegetative</v>
      </c>
      <c r="L2680" t="str">
        <f>IF(Table4_2[[#This Row],[TDS Value (ppm)]]&lt;560, "Low", IF(Table4_2[[#This Row],[TDS Value (ppm)]]&lt;=800,"Optimal","High"))</f>
        <v>Optimal</v>
      </c>
    </row>
    <row r="2681" spans="1:12" x14ac:dyDescent="0.25">
      <c r="A2681">
        <v>62</v>
      </c>
      <c r="B2681" s="1">
        <v>45171</v>
      </c>
      <c r="C2681" s="1" t="str">
        <f>TEXT(Table4_2[[#This Row],[Date]],"dddd")</f>
        <v>Saturday</v>
      </c>
      <c r="D2681" s="21">
        <v>24.1</v>
      </c>
      <c r="E2681" s="21">
        <v>72</v>
      </c>
      <c r="F2681" s="21">
        <v>497</v>
      </c>
      <c r="G2681" s="21">
        <v>6.5</v>
      </c>
      <c r="H2681">
        <v>31</v>
      </c>
      <c r="I2681">
        <v>75.38</v>
      </c>
      <c r="J2681">
        <v>0.72</v>
      </c>
      <c r="K2681" t="str" cm="1">
        <f t="array" ref="K2681">_xlfn.IFS(Table4_2[[#This Row],[Growth Days]]&lt;=14,"Seedling",Table4_2[[#This Row],[Growth Days]]&lt;=35, "Vegetative",Table4_2[[#This Row],[Growth Days]]&lt;=50, "Maturity")</f>
        <v>Vegetative</v>
      </c>
      <c r="L2681" t="str">
        <f>IF(Table4_2[[#This Row],[TDS Value (ppm)]]&lt;560, "Low", IF(Table4_2[[#This Row],[TDS Value (ppm)]]&lt;=800,"Optimal","High"))</f>
        <v>Low</v>
      </c>
    </row>
    <row r="2682" spans="1:12" x14ac:dyDescent="0.25">
      <c r="A2682">
        <v>62</v>
      </c>
      <c r="B2682" s="1">
        <v>45178</v>
      </c>
      <c r="C2682" s="1" t="str">
        <f>TEXT(Table4_2[[#This Row],[Date]],"dddd")</f>
        <v>Saturday</v>
      </c>
      <c r="D2682" s="21">
        <v>22.7</v>
      </c>
      <c r="E2682" s="21">
        <v>72</v>
      </c>
      <c r="F2682" s="21">
        <v>656</v>
      </c>
      <c r="G2682" s="21">
        <v>6.1</v>
      </c>
      <c r="H2682">
        <v>38</v>
      </c>
      <c r="I2682">
        <v>72.86</v>
      </c>
      <c r="J2682">
        <v>0.72</v>
      </c>
      <c r="K2682" t="str" cm="1">
        <f t="array" ref="K2682">_xlfn.IFS(Table4_2[[#This Row],[Growth Days]]&lt;=14,"Seedling",Table4_2[[#This Row],[Growth Days]]&lt;=35, "Vegetative",Table4_2[[#This Row],[Growth Days]]&lt;=50, "Maturity")</f>
        <v>Maturity</v>
      </c>
      <c r="L2682" t="str">
        <f>IF(Table4_2[[#This Row],[TDS Value (ppm)]]&lt;560, "Low", IF(Table4_2[[#This Row],[TDS Value (ppm)]]&lt;=800,"Optimal","High"))</f>
        <v>Optimal</v>
      </c>
    </row>
    <row r="2683" spans="1:12" x14ac:dyDescent="0.25">
      <c r="A2683">
        <v>62</v>
      </c>
      <c r="B2683" s="1">
        <v>45185</v>
      </c>
      <c r="C2683" s="1" t="str">
        <f>TEXT(Table4_2[[#This Row],[Date]],"dddd")</f>
        <v>Saturday</v>
      </c>
      <c r="D2683" s="21">
        <v>20.7</v>
      </c>
      <c r="E2683" s="21">
        <v>74</v>
      </c>
      <c r="F2683" s="21">
        <v>581</v>
      </c>
      <c r="G2683" s="21">
        <v>6.1</v>
      </c>
      <c r="H2683">
        <v>45</v>
      </c>
      <c r="I2683">
        <v>69.260000000000005</v>
      </c>
      <c r="J2683">
        <v>0.74</v>
      </c>
      <c r="K2683" t="str" cm="1">
        <f t="array" ref="K2683">_xlfn.IFS(Table4_2[[#This Row],[Growth Days]]&lt;=14,"Seedling",Table4_2[[#This Row],[Growth Days]]&lt;=35, "Vegetative",Table4_2[[#This Row],[Growth Days]]&lt;=50, "Maturity")</f>
        <v>Maturity</v>
      </c>
      <c r="L2683" t="str">
        <f>IF(Table4_2[[#This Row],[TDS Value (ppm)]]&lt;560, "Low", IF(Table4_2[[#This Row],[TDS Value (ppm)]]&lt;=800,"Optimal","High"))</f>
        <v>Optimal</v>
      </c>
    </row>
    <row r="2684" spans="1:12" x14ac:dyDescent="0.25">
      <c r="A2684">
        <v>63</v>
      </c>
      <c r="B2684" s="1">
        <v>45143</v>
      </c>
      <c r="C2684" s="1" t="str">
        <f>TEXT(Table4_2[[#This Row],[Date]],"dddd")</f>
        <v>Saturday</v>
      </c>
      <c r="D2684" s="21">
        <v>18.2</v>
      </c>
      <c r="E2684" s="21">
        <v>66</v>
      </c>
      <c r="F2684" s="21">
        <v>684</v>
      </c>
      <c r="G2684" s="21">
        <v>6.1</v>
      </c>
      <c r="H2684">
        <v>3</v>
      </c>
      <c r="I2684">
        <v>64.760000000000005</v>
      </c>
      <c r="J2684">
        <v>0.66</v>
      </c>
      <c r="K2684" t="str" cm="1">
        <f t="array" ref="K2684">_xlfn.IFS(Table4_2[[#This Row],[Growth Days]]&lt;=14,"Seedling",Table4_2[[#This Row],[Growth Days]]&lt;=35, "Vegetative",Table4_2[[#This Row],[Growth Days]]&lt;=50, "Maturity")</f>
        <v>Seedling</v>
      </c>
      <c r="L2684" t="str">
        <f>IF(Table4_2[[#This Row],[TDS Value (ppm)]]&lt;560, "Low", IF(Table4_2[[#This Row],[TDS Value (ppm)]]&lt;=800,"Optimal","High"))</f>
        <v>Optimal</v>
      </c>
    </row>
    <row r="2685" spans="1:12" x14ac:dyDescent="0.25">
      <c r="A2685">
        <v>63</v>
      </c>
      <c r="B2685" s="1">
        <v>45150</v>
      </c>
      <c r="C2685" s="1" t="str">
        <f>TEXT(Table4_2[[#This Row],[Date]],"dddd")</f>
        <v>Saturday</v>
      </c>
      <c r="D2685" s="21">
        <v>19.5</v>
      </c>
      <c r="E2685" s="21">
        <v>78</v>
      </c>
      <c r="F2685" s="21">
        <v>732</v>
      </c>
      <c r="G2685" s="21">
        <v>6.2</v>
      </c>
      <c r="H2685">
        <v>10</v>
      </c>
      <c r="I2685">
        <v>67.099999999999994</v>
      </c>
      <c r="J2685">
        <v>0.78</v>
      </c>
      <c r="K2685" t="str" cm="1">
        <f t="array" ref="K2685">_xlfn.IFS(Table4_2[[#This Row],[Growth Days]]&lt;=14,"Seedling",Table4_2[[#This Row],[Growth Days]]&lt;=35, "Vegetative",Table4_2[[#This Row],[Growth Days]]&lt;=50, "Maturity")</f>
        <v>Seedling</v>
      </c>
      <c r="L2685" t="str">
        <f>IF(Table4_2[[#This Row],[TDS Value (ppm)]]&lt;560, "Low", IF(Table4_2[[#This Row],[TDS Value (ppm)]]&lt;=800,"Optimal","High"))</f>
        <v>Optimal</v>
      </c>
    </row>
    <row r="2686" spans="1:12" x14ac:dyDescent="0.25">
      <c r="A2686">
        <v>63</v>
      </c>
      <c r="B2686" s="1">
        <v>45157</v>
      </c>
      <c r="C2686" s="1" t="str">
        <f>TEXT(Table4_2[[#This Row],[Date]],"dddd")</f>
        <v>Saturday</v>
      </c>
      <c r="D2686" s="21">
        <v>19.899999999999999</v>
      </c>
      <c r="E2686" s="21">
        <v>74</v>
      </c>
      <c r="F2686" s="21">
        <v>431</v>
      </c>
      <c r="G2686" s="21">
        <v>6</v>
      </c>
      <c r="H2686">
        <v>17</v>
      </c>
      <c r="I2686">
        <v>67.819999999999993</v>
      </c>
      <c r="J2686">
        <v>0.74</v>
      </c>
      <c r="K2686" t="str" cm="1">
        <f t="array" ref="K2686">_xlfn.IFS(Table4_2[[#This Row],[Growth Days]]&lt;=14,"Seedling",Table4_2[[#This Row],[Growth Days]]&lt;=35, "Vegetative",Table4_2[[#This Row],[Growth Days]]&lt;=50, "Maturity")</f>
        <v>Vegetative</v>
      </c>
      <c r="L2686" t="str">
        <f>IF(Table4_2[[#This Row],[TDS Value (ppm)]]&lt;560, "Low", IF(Table4_2[[#This Row],[TDS Value (ppm)]]&lt;=800,"Optimal","High"))</f>
        <v>Low</v>
      </c>
    </row>
    <row r="2687" spans="1:12" x14ac:dyDescent="0.25">
      <c r="A2687">
        <v>63</v>
      </c>
      <c r="B2687" s="1">
        <v>45164</v>
      </c>
      <c r="C2687" s="1" t="str">
        <f>TEXT(Table4_2[[#This Row],[Date]],"dddd")</f>
        <v>Saturday</v>
      </c>
      <c r="D2687" s="21">
        <v>20.8</v>
      </c>
      <c r="E2687" s="21">
        <v>74</v>
      </c>
      <c r="F2687" s="21">
        <v>743</v>
      </c>
      <c r="G2687" s="21">
        <v>6.7</v>
      </c>
      <c r="H2687">
        <v>24</v>
      </c>
      <c r="I2687">
        <v>69.44</v>
      </c>
      <c r="J2687">
        <v>0.74</v>
      </c>
      <c r="K2687" t="str" cm="1">
        <f t="array" ref="K2687">_xlfn.IFS(Table4_2[[#This Row],[Growth Days]]&lt;=14,"Seedling",Table4_2[[#This Row],[Growth Days]]&lt;=35, "Vegetative",Table4_2[[#This Row],[Growth Days]]&lt;=50, "Maturity")</f>
        <v>Vegetative</v>
      </c>
      <c r="L2687" t="str">
        <f>IF(Table4_2[[#This Row],[TDS Value (ppm)]]&lt;560, "Low", IF(Table4_2[[#This Row],[TDS Value (ppm)]]&lt;=800,"Optimal","High"))</f>
        <v>Optimal</v>
      </c>
    </row>
    <row r="2688" spans="1:12" x14ac:dyDescent="0.25">
      <c r="A2688">
        <v>63</v>
      </c>
      <c r="B2688" s="1">
        <v>45171</v>
      </c>
      <c r="C2688" s="1" t="str">
        <f>TEXT(Table4_2[[#This Row],[Date]],"dddd")</f>
        <v>Saturday</v>
      </c>
      <c r="D2688" s="21">
        <v>24.6</v>
      </c>
      <c r="E2688" s="21">
        <v>78</v>
      </c>
      <c r="F2688" s="21">
        <v>457</v>
      </c>
      <c r="G2688" s="21">
        <v>6.8</v>
      </c>
      <c r="H2688">
        <v>31</v>
      </c>
      <c r="I2688">
        <v>76.28</v>
      </c>
      <c r="J2688">
        <v>0.78</v>
      </c>
      <c r="K2688" t="str" cm="1">
        <f t="array" ref="K2688">_xlfn.IFS(Table4_2[[#This Row],[Growth Days]]&lt;=14,"Seedling",Table4_2[[#This Row],[Growth Days]]&lt;=35, "Vegetative",Table4_2[[#This Row],[Growth Days]]&lt;=50, "Maturity")</f>
        <v>Vegetative</v>
      </c>
      <c r="L2688" t="str">
        <f>IF(Table4_2[[#This Row],[TDS Value (ppm)]]&lt;560, "Low", IF(Table4_2[[#This Row],[TDS Value (ppm)]]&lt;=800,"Optimal","High"))</f>
        <v>Low</v>
      </c>
    </row>
    <row r="2689" spans="1:12" x14ac:dyDescent="0.25">
      <c r="A2689">
        <v>63</v>
      </c>
      <c r="B2689" s="1">
        <v>45178</v>
      </c>
      <c r="C2689" s="1" t="str">
        <f>TEXT(Table4_2[[#This Row],[Date]],"dddd")</f>
        <v>Saturday</v>
      </c>
      <c r="D2689" s="21">
        <v>18.8</v>
      </c>
      <c r="E2689" s="21">
        <v>57</v>
      </c>
      <c r="F2689" s="21">
        <v>482</v>
      </c>
      <c r="G2689" s="21">
        <v>6</v>
      </c>
      <c r="H2689">
        <v>38</v>
      </c>
      <c r="I2689">
        <v>65.84</v>
      </c>
      <c r="J2689">
        <v>0.56999999999999995</v>
      </c>
      <c r="K2689" t="str" cm="1">
        <f t="array" ref="K2689">_xlfn.IFS(Table4_2[[#This Row],[Growth Days]]&lt;=14,"Seedling",Table4_2[[#This Row],[Growth Days]]&lt;=35, "Vegetative",Table4_2[[#This Row],[Growth Days]]&lt;=50, "Maturity")</f>
        <v>Maturity</v>
      </c>
      <c r="L2689" t="str">
        <f>IF(Table4_2[[#This Row],[TDS Value (ppm)]]&lt;560, "Low", IF(Table4_2[[#This Row],[TDS Value (ppm)]]&lt;=800,"Optimal","High"))</f>
        <v>Low</v>
      </c>
    </row>
    <row r="2690" spans="1:12" x14ac:dyDescent="0.25">
      <c r="A2690">
        <v>63</v>
      </c>
      <c r="B2690" s="1">
        <v>45185</v>
      </c>
      <c r="C2690" s="1" t="str">
        <f>TEXT(Table4_2[[#This Row],[Date]],"dddd")</f>
        <v>Saturday</v>
      </c>
      <c r="D2690" s="21">
        <v>22.1</v>
      </c>
      <c r="E2690" s="21">
        <v>64</v>
      </c>
      <c r="F2690" s="21">
        <v>533</v>
      </c>
      <c r="G2690" s="21">
        <v>6.6</v>
      </c>
      <c r="H2690">
        <v>45</v>
      </c>
      <c r="I2690">
        <v>71.78</v>
      </c>
      <c r="J2690">
        <v>0.64</v>
      </c>
      <c r="K2690" t="str" cm="1">
        <f t="array" ref="K2690">_xlfn.IFS(Table4_2[[#This Row],[Growth Days]]&lt;=14,"Seedling",Table4_2[[#This Row],[Growth Days]]&lt;=35, "Vegetative",Table4_2[[#This Row],[Growth Days]]&lt;=50, "Maturity")</f>
        <v>Maturity</v>
      </c>
      <c r="L2690" t="str">
        <f>IF(Table4_2[[#This Row],[TDS Value (ppm)]]&lt;560, "Low", IF(Table4_2[[#This Row],[TDS Value (ppm)]]&lt;=800,"Optimal","High"))</f>
        <v>Low</v>
      </c>
    </row>
    <row r="2691" spans="1:12" x14ac:dyDescent="0.25">
      <c r="A2691">
        <v>64</v>
      </c>
      <c r="B2691" s="1">
        <v>45143</v>
      </c>
      <c r="C2691" s="1" t="str">
        <f>TEXT(Table4_2[[#This Row],[Date]],"dddd")</f>
        <v>Saturday</v>
      </c>
      <c r="D2691" s="21">
        <v>18.600000000000001</v>
      </c>
      <c r="E2691" s="21">
        <v>62</v>
      </c>
      <c r="F2691" s="21">
        <v>573</v>
      </c>
      <c r="G2691" s="21">
        <v>6.3</v>
      </c>
      <c r="H2691">
        <v>3</v>
      </c>
      <c r="I2691">
        <v>65.48</v>
      </c>
      <c r="J2691">
        <v>0.62</v>
      </c>
      <c r="K2691" t="str" cm="1">
        <f t="array" ref="K2691">_xlfn.IFS(Table4_2[[#This Row],[Growth Days]]&lt;=14,"Seedling",Table4_2[[#This Row],[Growth Days]]&lt;=35, "Vegetative",Table4_2[[#This Row],[Growth Days]]&lt;=50, "Maturity")</f>
        <v>Seedling</v>
      </c>
      <c r="L2691" t="str">
        <f>IF(Table4_2[[#This Row],[TDS Value (ppm)]]&lt;560, "Low", IF(Table4_2[[#This Row],[TDS Value (ppm)]]&lt;=800,"Optimal","High"))</f>
        <v>Optimal</v>
      </c>
    </row>
    <row r="2692" spans="1:12" x14ac:dyDescent="0.25">
      <c r="A2692">
        <v>64</v>
      </c>
      <c r="B2692" s="1">
        <v>45150</v>
      </c>
      <c r="C2692" s="1" t="str">
        <f>TEXT(Table4_2[[#This Row],[Date]],"dddd")</f>
        <v>Saturday</v>
      </c>
      <c r="D2692" s="21">
        <v>24.2</v>
      </c>
      <c r="E2692" s="21">
        <v>65</v>
      </c>
      <c r="F2692" s="21">
        <v>535</v>
      </c>
      <c r="G2692" s="21">
        <v>6.5</v>
      </c>
      <c r="H2692">
        <v>10</v>
      </c>
      <c r="I2692">
        <v>75.56</v>
      </c>
      <c r="J2692">
        <v>0.65</v>
      </c>
      <c r="K2692" t="str" cm="1">
        <f t="array" ref="K2692">_xlfn.IFS(Table4_2[[#This Row],[Growth Days]]&lt;=14,"Seedling",Table4_2[[#This Row],[Growth Days]]&lt;=35, "Vegetative",Table4_2[[#This Row],[Growth Days]]&lt;=50, "Maturity")</f>
        <v>Seedling</v>
      </c>
      <c r="L2692" t="str">
        <f>IF(Table4_2[[#This Row],[TDS Value (ppm)]]&lt;560, "Low", IF(Table4_2[[#This Row],[TDS Value (ppm)]]&lt;=800,"Optimal","High"))</f>
        <v>Low</v>
      </c>
    </row>
    <row r="2693" spans="1:12" x14ac:dyDescent="0.25">
      <c r="A2693">
        <v>64</v>
      </c>
      <c r="B2693" s="1">
        <v>45157</v>
      </c>
      <c r="C2693" s="1" t="str">
        <f>TEXT(Table4_2[[#This Row],[Date]],"dddd")</f>
        <v>Saturday</v>
      </c>
      <c r="D2693" s="21">
        <v>19.600000000000001</v>
      </c>
      <c r="E2693" s="21">
        <v>61</v>
      </c>
      <c r="F2693" s="21">
        <v>407</v>
      </c>
      <c r="G2693" s="21">
        <v>6.7</v>
      </c>
      <c r="H2693">
        <v>17</v>
      </c>
      <c r="I2693">
        <v>67.28</v>
      </c>
      <c r="J2693">
        <v>0.61</v>
      </c>
      <c r="K2693" t="str" cm="1">
        <f t="array" ref="K2693">_xlfn.IFS(Table4_2[[#This Row],[Growth Days]]&lt;=14,"Seedling",Table4_2[[#This Row],[Growth Days]]&lt;=35, "Vegetative",Table4_2[[#This Row],[Growth Days]]&lt;=50, "Maturity")</f>
        <v>Vegetative</v>
      </c>
      <c r="L2693" t="str">
        <f>IF(Table4_2[[#This Row],[TDS Value (ppm)]]&lt;560, "Low", IF(Table4_2[[#This Row],[TDS Value (ppm)]]&lt;=800,"Optimal","High"))</f>
        <v>Low</v>
      </c>
    </row>
    <row r="2694" spans="1:12" x14ac:dyDescent="0.25">
      <c r="A2694">
        <v>64</v>
      </c>
      <c r="B2694" s="1">
        <v>45164</v>
      </c>
      <c r="C2694" s="1" t="str">
        <f>TEXT(Table4_2[[#This Row],[Date]],"dddd")</f>
        <v>Saturday</v>
      </c>
      <c r="D2694" s="21">
        <v>18.2</v>
      </c>
      <c r="E2694" s="21">
        <v>78</v>
      </c>
      <c r="F2694" s="21">
        <v>772</v>
      </c>
      <c r="G2694" s="21">
        <v>6.1</v>
      </c>
      <c r="H2694">
        <v>24</v>
      </c>
      <c r="I2694">
        <v>64.760000000000005</v>
      </c>
      <c r="J2694">
        <v>0.78</v>
      </c>
      <c r="K2694" t="str" cm="1">
        <f t="array" ref="K2694">_xlfn.IFS(Table4_2[[#This Row],[Growth Days]]&lt;=14,"Seedling",Table4_2[[#This Row],[Growth Days]]&lt;=35, "Vegetative",Table4_2[[#This Row],[Growth Days]]&lt;=50, "Maturity")</f>
        <v>Vegetative</v>
      </c>
      <c r="L2694" t="str">
        <f>IF(Table4_2[[#This Row],[TDS Value (ppm)]]&lt;560, "Low", IF(Table4_2[[#This Row],[TDS Value (ppm)]]&lt;=800,"Optimal","High"))</f>
        <v>Optimal</v>
      </c>
    </row>
    <row r="2695" spans="1:12" x14ac:dyDescent="0.25">
      <c r="A2695">
        <v>64</v>
      </c>
      <c r="B2695" s="1">
        <v>45171</v>
      </c>
      <c r="C2695" s="1" t="str">
        <f>TEXT(Table4_2[[#This Row],[Date]],"dddd")</f>
        <v>Saturday</v>
      </c>
      <c r="D2695" s="21">
        <v>24.2</v>
      </c>
      <c r="E2695" s="21">
        <v>80</v>
      </c>
      <c r="F2695" s="21">
        <v>688</v>
      </c>
      <c r="G2695" s="21">
        <v>6.5</v>
      </c>
      <c r="H2695">
        <v>31</v>
      </c>
      <c r="I2695">
        <v>75.56</v>
      </c>
      <c r="J2695">
        <v>0.8</v>
      </c>
      <c r="K2695" t="str" cm="1">
        <f t="array" ref="K2695">_xlfn.IFS(Table4_2[[#This Row],[Growth Days]]&lt;=14,"Seedling",Table4_2[[#This Row],[Growth Days]]&lt;=35, "Vegetative",Table4_2[[#This Row],[Growth Days]]&lt;=50, "Maturity")</f>
        <v>Vegetative</v>
      </c>
      <c r="L2695" t="str">
        <f>IF(Table4_2[[#This Row],[TDS Value (ppm)]]&lt;560, "Low", IF(Table4_2[[#This Row],[TDS Value (ppm)]]&lt;=800,"Optimal","High"))</f>
        <v>Optimal</v>
      </c>
    </row>
    <row r="2696" spans="1:12" x14ac:dyDescent="0.25">
      <c r="A2696">
        <v>64</v>
      </c>
      <c r="B2696" s="1">
        <v>45178</v>
      </c>
      <c r="C2696" s="1" t="str">
        <f>TEXT(Table4_2[[#This Row],[Date]],"dddd")</f>
        <v>Saturday</v>
      </c>
      <c r="D2696" s="21">
        <v>20.8</v>
      </c>
      <c r="E2696" s="21">
        <v>59</v>
      </c>
      <c r="F2696" s="21">
        <v>742</v>
      </c>
      <c r="G2696" s="21">
        <v>6.2</v>
      </c>
      <c r="H2696">
        <v>38</v>
      </c>
      <c r="I2696">
        <v>69.44</v>
      </c>
      <c r="J2696">
        <v>0.59</v>
      </c>
      <c r="K2696" t="str" cm="1">
        <f t="array" ref="K2696">_xlfn.IFS(Table4_2[[#This Row],[Growth Days]]&lt;=14,"Seedling",Table4_2[[#This Row],[Growth Days]]&lt;=35, "Vegetative",Table4_2[[#This Row],[Growth Days]]&lt;=50, "Maturity")</f>
        <v>Maturity</v>
      </c>
      <c r="L2696" t="str">
        <f>IF(Table4_2[[#This Row],[TDS Value (ppm)]]&lt;560, "Low", IF(Table4_2[[#This Row],[TDS Value (ppm)]]&lt;=800,"Optimal","High"))</f>
        <v>Optimal</v>
      </c>
    </row>
    <row r="2697" spans="1:12" x14ac:dyDescent="0.25">
      <c r="A2697">
        <v>64</v>
      </c>
      <c r="B2697" s="1">
        <v>45185</v>
      </c>
      <c r="C2697" s="1" t="str">
        <f>TEXT(Table4_2[[#This Row],[Date]],"dddd")</f>
        <v>Saturday</v>
      </c>
      <c r="D2697" s="21">
        <v>18.8</v>
      </c>
      <c r="E2697" s="21">
        <v>51</v>
      </c>
      <c r="F2697" s="21">
        <v>476</v>
      </c>
      <c r="G2697" s="21">
        <v>6.5</v>
      </c>
      <c r="H2697">
        <v>45</v>
      </c>
      <c r="I2697">
        <v>65.84</v>
      </c>
      <c r="J2697">
        <v>0.51</v>
      </c>
      <c r="K2697" t="str" cm="1">
        <f t="array" ref="K2697">_xlfn.IFS(Table4_2[[#This Row],[Growth Days]]&lt;=14,"Seedling",Table4_2[[#This Row],[Growth Days]]&lt;=35, "Vegetative",Table4_2[[#This Row],[Growth Days]]&lt;=50, "Maturity")</f>
        <v>Maturity</v>
      </c>
      <c r="L2697" t="str">
        <f>IF(Table4_2[[#This Row],[TDS Value (ppm)]]&lt;560, "Low", IF(Table4_2[[#This Row],[TDS Value (ppm)]]&lt;=800,"Optimal","High"))</f>
        <v>Low</v>
      </c>
    </row>
    <row r="2698" spans="1:12" x14ac:dyDescent="0.25">
      <c r="A2698">
        <v>65</v>
      </c>
      <c r="B2698" s="1">
        <v>45143</v>
      </c>
      <c r="C2698" s="1" t="str">
        <f>TEXT(Table4_2[[#This Row],[Date]],"dddd")</f>
        <v>Saturday</v>
      </c>
      <c r="D2698" s="21">
        <v>24.3</v>
      </c>
      <c r="E2698" s="21">
        <v>70</v>
      </c>
      <c r="F2698" s="21">
        <v>580</v>
      </c>
      <c r="G2698" s="21">
        <v>6.7</v>
      </c>
      <c r="H2698">
        <v>3</v>
      </c>
      <c r="I2698">
        <v>75.739999999999995</v>
      </c>
      <c r="J2698">
        <v>0.7</v>
      </c>
      <c r="K2698" t="str" cm="1">
        <f t="array" ref="K2698">_xlfn.IFS(Table4_2[[#This Row],[Growth Days]]&lt;=14,"Seedling",Table4_2[[#This Row],[Growth Days]]&lt;=35, "Vegetative",Table4_2[[#This Row],[Growth Days]]&lt;=50, "Maturity")</f>
        <v>Seedling</v>
      </c>
      <c r="L2698" t="str">
        <f>IF(Table4_2[[#This Row],[TDS Value (ppm)]]&lt;560, "Low", IF(Table4_2[[#This Row],[TDS Value (ppm)]]&lt;=800,"Optimal","High"))</f>
        <v>Optimal</v>
      </c>
    </row>
    <row r="2699" spans="1:12" x14ac:dyDescent="0.25">
      <c r="A2699">
        <v>65</v>
      </c>
      <c r="B2699" s="1">
        <v>45150</v>
      </c>
      <c r="C2699" s="1" t="str">
        <f>TEXT(Table4_2[[#This Row],[Date]],"dddd")</f>
        <v>Saturday</v>
      </c>
      <c r="D2699" s="21">
        <v>22.3</v>
      </c>
      <c r="E2699" s="21">
        <v>52</v>
      </c>
      <c r="F2699" s="21">
        <v>616</v>
      </c>
      <c r="G2699" s="21">
        <v>6.4</v>
      </c>
      <c r="H2699">
        <v>10</v>
      </c>
      <c r="I2699">
        <v>72.14</v>
      </c>
      <c r="J2699">
        <v>0.52</v>
      </c>
      <c r="K2699" t="str" cm="1">
        <f t="array" ref="K2699">_xlfn.IFS(Table4_2[[#This Row],[Growth Days]]&lt;=14,"Seedling",Table4_2[[#This Row],[Growth Days]]&lt;=35, "Vegetative",Table4_2[[#This Row],[Growth Days]]&lt;=50, "Maturity")</f>
        <v>Seedling</v>
      </c>
      <c r="L2699" t="str">
        <f>IF(Table4_2[[#This Row],[TDS Value (ppm)]]&lt;560, "Low", IF(Table4_2[[#This Row],[TDS Value (ppm)]]&lt;=800,"Optimal","High"))</f>
        <v>Optimal</v>
      </c>
    </row>
    <row r="2700" spans="1:12" x14ac:dyDescent="0.25">
      <c r="A2700">
        <v>65</v>
      </c>
      <c r="B2700" s="1">
        <v>45157</v>
      </c>
      <c r="C2700" s="1" t="str">
        <f>TEXT(Table4_2[[#This Row],[Date]],"dddd")</f>
        <v>Saturday</v>
      </c>
      <c r="D2700" s="21">
        <v>24.8</v>
      </c>
      <c r="E2700" s="21">
        <v>76</v>
      </c>
      <c r="F2700" s="21">
        <v>762</v>
      </c>
      <c r="G2700" s="21">
        <v>6.8</v>
      </c>
      <c r="H2700">
        <v>17</v>
      </c>
      <c r="I2700">
        <v>76.64</v>
      </c>
      <c r="J2700">
        <v>0.76</v>
      </c>
      <c r="K2700" t="str" cm="1">
        <f t="array" ref="K2700">_xlfn.IFS(Table4_2[[#This Row],[Growth Days]]&lt;=14,"Seedling",Table4_2[[#This Row],[Growth Days]]&lt;=35, "Vegetative",Table4_2[[#This Row],[Growth Days]]&lt;=50, "Maturity")</f>
        <v>Vegetative</v>
      </c>
      <c r="L2700" t="str">
        <f>IF(Table4_2[[#This Row],[TDS Value (ppm)]]&lt;560, "Low", IF(Table4_2[[#This Row],[TDS Value (ppm)]]&lt;=800,"Optimal","High"))</f>
        <v>Optimal</v>
      </c>
    </row>
    <row r="2701" spans="1:12" x14ac:dyDescent="0.25">
      <c r="A2701">
        <v>65</v>
      </c>
      <c r="B2701" s="1">
        <v>45164</v>
      </c>
      <c r="C2701" s="1" t="str">
        <f>TEXT(Table4_2[[#This Row],[Date]],"dddd")</f>
        <v>Saturday</v>
      </c>
      <c r="D2701" s="21">
        <v>23.8</v>
      </c>
      <c r="E2701" s="21">
        <v>57</v>
      </c>
      <c r="F2701" s="21">
        <v>768</v>
      </c>
      <c r="G2701" s="21">
        <v>6.1</v>
      </c>
      <c r="H2701">
        <v>24</v>
      </c>
      <c r="I2701">
        <v>74.84</v>
      </c>
      <c r="J2701">
        <v>0.56999999999999995</v>
      </c>
      <c r="K2701" t="str" cm="1">
        <f t="array" ref="K2701">_xlfn.IFS(Table4_2[[#This Row],[Growth Days]]&lt;=14,"Seedling",Table4_2[[#This Row],[Growth Days]]&lt;=35, "Vegetative",Table4_2[[#This Row],[Growth Days]]&lt;=50, "Maturity")</f>
        <v>Vegetative</v>
      </c>
      <c r="L2701" t="str">
        <f>IF(Table4_2[[#This Row],[TDS Value (ppm)]]&lt;560, "Low", IF(Table4_2[[#This Row],[TDS Value (ppm)]]&lt;=800,"Optimal","High"))</f>
        <v>Optimal</v>
      </c>
    </row>
    <row r="2702" spans="1:12" x14ac:dyDescent="0.25">
      <c r="A2702">
        <v>65</v>
      </c>
      <c r="B2702" s="1">
        <v>45171</v>
      </c>
      <c r="C2702" s="1" t="str">
        <f>TEXT(Table4_2[[#This Row],[Date]],"dddd")</f>
        <v>Saturday</v>
      </c>
      <c r="D2702" s="21">
        <v>22</v>
      </c>
      <c r="E2702" s="21">
        <v>71</v>
      </c>
      <c r="F2702" s="21">
        <v>786</v>
      </c>
      <c r="G2702" s="21">
        <v>6</v>
      </c>
      <c r="H2702">
        <v>31</v>
      </c>
      <c r="I2702">
        <v>71.599999999999994</v>
      </c>
      <c r="J2702">
        <v>0.71</v>
      </c>
      <c r="K2702" t="str" cm="1">
        <f t="array" ref="K2702">_xlfn.IFS(Table4_2[[#This Row],[Growth Days]]&lt;=14,"Seedling",Table4_2[[#This Row],[Growth Days]]&lt;=35, "Vegetative",Table4_2[[#This Row],[Growth Days]]&lt;=50, "Maturity")</f>
        <v>Vegetative</v>
      </c>
      <c r="L2702" t="str">
        <f>IF(Table4_2[[#This Row],[TDS Value (ppm)]]&lt;560, "Low", IF(Table4_2[[#This Row],[TDS Value (ppm)]]&lt;=800,"Optimal","High"))</f>
        <v>Optimal</v>
      </c>
    </row>
    <row r="2703" spans="1:12" x14ac:dyDescent="0.25">
      <c r="A2703">
        <v>65</v>
      </c>
      <c r="B2703" s="1">
        <v>45178</v>
      </c>
      <c r="C2703" s="1" t="str">
        <f>TEXT(Table4_2[[#This Row],[Date]],"dddd")</f>
        <v>Saturday</v>
      </c>
      <c r="D2703" s="21">
        <v>23.7</v>
      </c>
      <c r="E2703" s="21">
        <v>64</v>
      </c>
      <c r="F2703" s="21">
        <v>696</v>
      </c>
      <c r="G2703" s="21">
        <v>6.7</v>
      </c>
      <c r="H2703">
        <v>38</v>
      </c>
      <c r="I2703">
        <v>74.66</v>
      </c>
      <c r="J2703">
        <v>0.64</v>
      </c>
      <c r="K2703" t="str" cm="1">
        <f t="array" ref="K2703">_xlfn.IFS(Table4_2[[#This Row],[Growth Days]]&lt;=14,"Seedling",Table4_2[[#This Row],[Growth Days]]&lt;=35, "Vegetative",Table4_2[[#This Row],[Growth Days]]&lt;=50, "Maturity")</f>
        <v>Maturity</v>
      </c>
      <c r="L2703" t="str">
        <f>IF(Table4_2[[#This Row],[TDS Value (ppm)]]&lt;560, "Low", IF(Table4_2[[#This Row],[TDS Value (ppm)]]&lt;=800,"Optimal","High"))</f>
        <v>Optimal</v>
      </c>
    </row>
    <row r="2704" spans="1:12" x14ac:dyDescent="0.25">
      <c r="A2704">
        <v>65</v>
      </c>
      <c r="B2704" s="1">
        <v>45185</v>
      </c>
      <c r="C2704" s="1" t="str">
        <f>TEXT(Table4_2[[#This Row],[Date]],"dddd")</f>
        <v>Saturday</v>
      </c>
      <c r="D2704" s="21">
        <v>23.3</v>
      </c>
      <c r="E2704" s="21">
        <v>62</v>
      </c>
      <c r="F2704" s="21">
        <v>506</v>
      </c>
      <c r="G2704" s="21">
        <v>6.7</v>
      </c>
      <c r="H2704">
        <v>45</v>
      </c>
      <c r="I2704">
        <v>73.94</v>
      </c>
      <c r="J2704">
        <v>0.62</v>
      </c>
      <c r="K2704" t="str" cm="1">
        <f t="array" ref="K2704">_xlfn.IFS(Table4_2[[#This Row],[Growth Days]]&lt;=14,"Seedling",Table4_2[[#This Row],[Growth Days]]&lt;=35, "Vegetative",Table4_2[[#This Row],[Growth Days]]&lt;=50, "Maturity")</f>
        <v>Maturity</v>
      </c>
      <c r="L2704" t="str">
        <f>IF(Table4_2[[#This Row],[TDS Value (ppm)]]&lt;560, "Low", IF(Table4_2[[#This Row],[TDS Value (ppm)]]&lt;=800,"Optimal","High"))</f>
        <v>Low</v>
      </c>
    </row>
    <row r="2705" spans="1:12" x14ac:dyDescent="0.25">
      <c r="A2705">
        <v>66</v>
      </c>
      <c r="B2705" s="1">
        <v>45143</v>
      </c>
      <c r="C2705" s="1" t="str">
        <f>TEXT(Table4_2[[#This Row],[Date]],"dddd")</f>
        <v>Saturday</v>
      </c>
      <c r="D2705" s="21">
        <v>24.6</v>
      </c>
      <c r="E2705" s="21">
        <v>65</v>
      </c>
      <c r="F2705" s="21">
        <v>765</v>
      </c>
      <c r="G2705" s="21">
        <v>6.5</v>
      </c>
      <c r="H2705">
        <v>3</v>
      </c>
      <c r="I2705">
        <v>76.28</v>
      </c>
      <c r="J2705">
        <v>0.65</v>
      </c>
      <c r="K2705" t="str" cm="1">
        <f t="array" ref="K2705">_xlfn.IFS(Table4_2[[#This Row],[Growth Days]]&lt;=14,"Seedling",Table4_2[[#This Row],[Growth Days]]&lt;=35, "Vegetative",Table4_2[[#This Row],[Growth Days]]&lt;=50, "Maturity")</f>
        <v>Seedling</v>
      </c>
      <c r="L2705" t="str">
        <f>IF(Table4_2[[#This Row],[TDS Value (ppm)]]&lt;560, "Low", IF(Table4_2[[#This Row],[TDS Value (ppm)]]&lt;=800,"Optimal","High"))</f>
        <v>Optimal</v>
      </c>
    </row>
    <row r="2706" spans="1:12" x14ac:dyDescent="0.25">
      <c r="A2706">
        <v>66</v>
      </c>
      <c r="B2706" s="1">
        <v>45150</v>
      </c>
      <c r="C2706" s="1" t="str">
        <f>TEXT(Table4_2[[#This Row],[Date]],"dddd")</f>
        <v>Saturday</v>
      </c>
      <c r="D2706" s="21">
        <v>19.8</v>
      </c>
      <c r="E2706" s="21">
        <v>74</v>
      </c>
      <c r="F2706" s="21">
        <v>496</v>
      </c>
      <c r="G2706" s="21">
        <v>6.1</v>
      </c>
      <c r="H2706">
        <v>10</v>
      </c>
      <c r="I2706">
        <v>67.64</v>
      </c>
      <c r="J2706">
        <v>0.74</v>
      </c>
      <c r="K2706" t="str" cm="1">
        <f t="array" ref="K2706">_xlfn.IFS(Table4_2[[#This Row],[Growth Days]]&lt;=14,"Seedling",Table4_2[[#This Row],[Growth Days]]&lt;=35, "Vegetative",Table4_2[[#This Row],[Growth Days]]&lt;=50, "Maturity")</f>
        <v>Seedling</v>
      </c>
      <c r="L2706" t="str">
        <f>IF(Table4_2[[#This Row],[TDS Value (ppm)]]&lt;560, "Low", IF(Table4_2[[#This Row],[TDS Value (ppm)]]&lt;=800,"Optimal","High"))</f>
        <v>Low</v>
      </c>
    </row>
    <row r="2707" spans="1:12" x14ac:dyDescent="0.25">
      <c r="A2707">
        <v>66</v>
      </c>
      <c r="B2707" s="1">
        <v>45157</v>
      </c>
      <c r="C2707" s="1" t="str">
        <f>TEXT(Table4_2[[#This Row],[Date]],"dddd")</f>
        <v>Saturday</v>
      </c>
      <c r="D2707" s="21">
        <v>22.2</v>
      </c>
      <c r="E2707" s="21">
        <v>54</v>
      </c>
      <c r="F2707" s="21">
        <v>532</v>
      </c>
      <c r="G2707" s="21">
        <v>6.2</v>
      </c>
      <c r="H2707">
        <v>17</v>
      </c>
      <c r="I2707">
        <v>71.959999999999994</v>
      </c>
      <c r="J2707">
        <v>0.54</v>
      </c>
      <c r="K2707" t="str" cm="1">
        <f t="array" ref="K2707">_xlfn.IFS(Table4_2[[#This Row],[Growth Days]]&lt;=14,"Seedling",Table4_2[[#This Row],[Growth Days]]&lt;=35, "Vegetative",Table4_2[[#This Row],[Growth Days]]&lt;=50, "Maturity")</f>
        <v>Vegetative</v>
      </c>
      <c r="L2707" t="str">
        <f>IF(Table4_2[[#This Row],[TDS Value (ppm)]]&lt;560, "Low", IF(Table4_2[[#This Row],[TDS Value (ppm)]]&lt;=800,"Optimal","High"))</f>
        <v>Low</v>
      </c>
    </row>
    <row r="2708" spans="1:12" x14ac:dyDescent="0.25">
      <c r="A2708">
        <v>66</v>
      </c>
      <c r="B2708" s="1">
        <v>45164</v>
      </c>
      <c r="C2708" s="1" t="str">
        <f>TEXT(Table4_2[[#This Row],[Date]],"dddd")</f>
        <v>Saturday</v>
      </c>
      <c r="D2708" s="21">
        <v>21.5</v>
      </c>
      <c r="E2708" s="21">
        <v>77</v>
      </c>
      <c r="F2708" s="21">
        <v>711</v>
      </c>
      <c r="G2708" s="21">
        <v>6.5</v>
      </c>
      <c r="H2708">
        <v>24</v>
      </c>
      <c r="I2708">
        <v>70.7</v>
      </c>
      <c r="J2708">
        <v>0.77</v>
      </c>
      <c r="K2708" t="str" cm="1">
        <f t="array" ref="K2708">_xlfn.IFS(Table4_2[[#This Row],[Growth Days]]&lt;=14,"Seedling",Table4_2[[#This Row],[Growth Days]]&lt;=35, "Vegetative",Table4_2[[#This Row],[Growth Days]]&lt;=50, "Maturity")</f>
        <v>Vegetative</v>
      </c>
      <c r="L2708" t="str">
        <f>IF(Table4_2[[#This Row],[TDS Value (ppm)]]&lt;560, "Low", IF(Table4_2[[#This Row],[TDS Value (ppm)]]&lt;=800,"Optimal","High"))</f>
        <v>Optimal</v>
      </c>
    </row>
    <row r="2709" spans="1:12" x14ac:dyDescent="0.25">
      <c r="A2709">
        <v>66</v>
      </c>
      <c r="B2709" s="1">
        <v>45171</v>
      </c>
      <c r="C2709" s="1" t="str">
        <f>TEXT(Table4_2[[#This Row],[Date]],"dddd")</f>
        <v>Saturday</v>
      </c>
      <c r="D2709" s="21">
        <v>20.100000000000001</v>
      </c>
      <c r="E2709" s="21">
        <v>73</v>
      </c>
      <c r="F2709" s="21">
        <v>731</v>
      </c>
      <c r="G2709" s="21">
        <v>6.6</v>
      </c>
      <c r="H2709">
        <v>31</v>
      </c>
      <c r="I2709">
        <v>68.180000000000007</v>
      </c>
      <c r="J2709">
        <v>0.73</v>
      </c>
      <c r="K2709" t="str" cm="1">
        <f t="array" ref="K2709">_xlfn.IFS(Table4_2[[#This Row],[Growth Days]]&lt;=14,"Seedling",Table4_2[[#This Row],[Growth Days]]&lt;=35, "Vegetative",Table4_2[[#This Row],[Growth Days]]&lt;=50, "Maturity")</f>
        <v>Vegetative</v>
      </c>
      <c r="L2709" t="str">
        <f>IF(Table4_2[[#This Row],[TDS Value (ppm)]]&lt;560, "Low", IF(Table4_2[[#This Row],[TDS Value (ppm)]]&lt;=800,"Optimal","High"))</f>
        <v>Optimal</v>
      </c>
    </row>
    <row r="2710" spans="1:12" x14ac:dyDescent="0.25">
      <c r="A2710">
        <v>66</v>
      </c>
      <c r="B2710" s="1">
        <v>45178</v>
      </c>
      <c r="C2710" s="1" t="str">
        <f>TEXT(Table4_2[[#This Row],[Date]],"dddd")</f>
        <v>Saturday</v>
      </c>
      <c r="D2710" s="21">
        <v>23.7</v>
      </c>
      <c r="E2710" s="21">
        <v>73</v>
      </c>
      <c r="F2710" s="21">
        <v>669</v>
      </c>
      <c r="G2710" s="21">
        <v>6.1</v>
      </c>
      <c r="H2710">
        <v>38</v>
      </c>
      <c r="I2710">
        <v>74.66</v>
      </c>
      <c r="J2710">
        <v>0.73</v>
      </c>
      <c r="K2710" t="str" cm="1">
        <f t="array" ref="K2710">_xlfn.IFS(Table4_2[[#This Row],[Growth Days]]&lt;=14,"Seedling",Table4_2[[#This Row],[Growth Days]]&lt;=35, "Vegetative",Table4_2[[#This Row],[Growth Days]]&lt;=50, "Maturity")</f>
        <v>Maturity</v>
      </c>
      <c r="L2710" t="str">
        <f>IF(Table4_2[[#This Row],[TDS Value (ppm)]]&lt;560, "Low", IF(Table4_2[[#This Row],[TDS Value (ppm)]]&lt;=800,"Optimal","High"))</f>
        <v>Optimal</v>
      </c>
    </row>
    <row r="2711" spans="1:12" x14ac:dyDescent="0.25">
      <c r="A2711">
        <v>66</v>
      </c>
      <c r="B2711" s="1">
        <v>45185</v>
      </c>
      <c r="C2711" s="1" t="str">
        <f>TEXT(Table4_2[[#This Row],[Date]],"dddd")</f>
        <v>Saturday</v>
      </c>
      <c r="D2711" s="21">
        <v>20</v>
      </c>
      <c r="E2711" s="21">
        <v>55</v>
      </c>
      <c r="F2711" s="21">
        <v>648</v>
      </c>
      <c r="G2711" s="21">
        <v>6.5</v>
      </c>
      <c r="H2711">
        <v>45</v>
      </c>
      <c r="I2711">
        <v>68</v>
      </c>
      <c r="J2711">
        <v>0.55000000000000004</v>
      </c>
      <c r="K2711" t="str" cm="1">
        <f t="array" ref="K2711">_xlfn.IFS(Table4_2[[#This Row],[Growth Days]]&lt;=14,"Seedling",Table4_2[[#This Row],[Growth Days]]&lt;=35, "Vegetative",Table4_2[[#This Row],[Growth Days]]&lt;=50, "Maturity")</f>
        <v>Maturity</v>
      </c>
      <c r="L2711" t="str">
        <f>IF(Table4_2[[#This Row],[TDS Value (ppm)]]&lt;560, "Low", IF(Table4_2[[#This Row],[TDS Value (ppm)]]&lt;=800,"Optimal","High"))</f>
        <v>Optimal</v>
      </c>
    </row>
    <row r="2712" spans="1:12" x14ac:dyDescent="0.25">
      <c r="A2712">
        <v>67</v>
      </c>
      <c r="B2712" s="1">
        <v>45143</v>
      </c>
      <c r="C2712" s="1" t="str">
        <f>TEXT(Table4_2[[#This Row],[Date]],"dddd")</f>
        <v>Saturday</v>
      </c>
      <c r="D2712" s="21">
        <v>19</v>
      </c>
      <c r="E2712" s="21">
        <v>59</v>
      </c>
      <c r="F2712" s="21">
        <v>446</v>
      </c>
      <c r="G2712" s="21">
        <v>6.1</v>
      </c>
      <c r="H2712">
        <v>3</v>
      </c>
      <c r="I2712">
        <v>66.2</v>
      </c>
      <c r="J2712">
        <v>0.59</v>
      </c>
      <c r="K2712" t="str" cm="1">
        <f t="array" ref="K2712">_xlfn.IFS(Table4_2[[#This Row],[Growth Days]]&lt;=14,"Seedling",Table4_2[[#This Row],[Growth Days]]&lt;=35, "Vegetative",Table4_2[[#This Row],[Growth Days]]&lt;=50, "Maturity")</f>
        <v>Seedling</v>
      </c>
      <c r="L2712" t="str">
        <f>IF(Table4_2[[#This Row],[TDS Value (ppm)]]&lt;560, "Low", IF(Table4_2[[#This Row],[TDS Value (ppm)]]&lt;=800,"Optimal","High"))</f>
        <v>Low</v>
      </c>
    </row>
    <row r="2713" spans="1:12" x14ac:dyDescent="0.25">
      <c r="A2713">
        <v>67</v>
      </c>
      <c r="B2713" s="1">
        <v>45150</v>
      </c>
      <c r="C2713" s="1" t="str">
        <f>TEXT(Table4_2[[#This Row],[Date]],"dddd")</f>
        <v>Saturday</v>
      </c>
      <c r="D2713" s="21">
        <v>23.9</v>
      </c>
      <c r="E2713" s="21">
        <v>74</v>
      </c>
      <c r="F2713" s="21">
        <v>781</v>
      </c>
      <c r="G2713" s="21">
        <v>6.7</v>
      </c>
      <c r="H2713">
        <v>10</v>
      </c>
      <c r="I2713">
        <v>75.02</v>
      </c>
      <c r="J2713">
        <v>0.74</v>
      </c>
      <c r="K2713" t="str" cm="1">
        <f t="array" ref="K2713">_xlfn.IFS(Table4_2[[#This Row],[Growth Days]]&lt;=14,"Seedling",Table4_2[[#This Row],[Growth Days]]&lt;=35, "Vegetative",Table4_2[[#This Row],[Growth Days]]&lt;=50, "Maturity")</f>
        <v>Seedling</v>
      </c>
      <c r="L2713" t="str">
        <f>IF(Table4_2[[#This Row],[TDS Value (ppm)]]&lt;560, "Low", IF(Table4_2[[#This Row],[TDS Value (ppm)]]&lt;=800,"Optimal","High"))</f>
        <v>Optimal</v>
      </c>
    </row>
    <row r="2714" spans="1:12" x14ac:dyDescent="0.25">
      <c r="A2714">
        <v>67</v>
      </c>
      <c r="B2714" s="1">
        <v>45157</v>
      </c>
      <c r="C2714" s="1" t="str">
        <f>TEXT(Table4_2[[#This Row],[Date]],"dddd")</f>
        <v>Saturday</v>
      </c>
      <c r="D2714" s="21">
        <v>18.899999999999999</v>
      </c>
      <c r="E2714" s="21">
        <v>69</v>
      </c>
      <c r="F2714" s="21">
        <v>729</v>
      </c>
      <c r="G2714" s="21">
        <v>6.4</v>
      </c>
      <c r="H2714">
        <v>17</v>
      </c>
      <c r="I2714">
        <v>66.02</v>
      </c>
      <c r="J2714">
        <v>0.69</v>
      </c>
      <c r="K2714" t="str" cm="1">
        <f t="array" ref="K2714">_xlfn.IFS(Table4_2[[#This Row],[Growth Days]]&lt;=14,"Seedling",Table4_2[[#This Row],[Growth Days]]&lt;=35, "Vegetative",Table4_2[[#This Row],[Growth Days]]&lt;=50, "Maturity")</f>
        <v>Vegetative</v>
      </c>
      <c r="L2714" t="str">
        <f>IF(Table4_2[[#This Row],[TDS Value (ppm)]]&lt;560, "Low", IF(Table4_2[[#This Row],[TDS Value (ppm)]]&lt;=800,"Optimal","High"))</f>
        <v>Optimal</v>
      </c>
    </row>
    <row r="2715" spans="1:12" x14ac:dyDescent="0.25">
      <c r="A2715">
        <v>67</v>
      </c>
      <c r="B2715" s="1">
        <v>45164</v>
      </c>
      <c r="C2715" s="1" t="str">
        <f>TEXT(Table4_2[[#This Row],[Date]],"dddd")</f>
        <v>Saturday</v>
      </c>
      <c r="D2715" s="21">
        <v>21.9</v>
      </c>
      <c r="E2715" s="21">
        <v>61</v>
      </c>
      <c r="F2715" s="21">
        <v>787</v>
      </c>
      <c r="G2715" s="21">
        <v>6.4</v>
      </c>
      <c r="H2715">
        <v>24</v>
      </c>
      <c r="I2715">
        <v>71.42</v>
      </c>
      <c r="J2715">
        <v>0.61</v>
      </c>
      <c r="K2715" t="str" cm="1">
        <f t="array" ref="K2715">_xlfn.IFS(Table4_2[[#This Row],[Growth Days]]&lt;=14,"Seedling",Table4_2[[#This Row],[Growth Days]]&lt;=35, "Vegetative",Table4_2[[#This Row],[Growth Days]]&lt;=50, "Maturity")</f>
        <v>Vegetative</v>
      </c>
      <c r="L2715" t="str">
        <f>IF(Table4_2[[#This Row],[TDS Value (ppm)]]&lt;560, "Low", IF(Table4_2[[#This Row],[TDS Value (ppm)]]&lt;=800,"Optimal","High"))</f>
        <v>Optimal</v>
      </c>
    </row>
    <row r="2716" spans="1:12" x14ac:dyDescent="0.25">
      <c r="A2716">
        <v>67</v>
      </c>
      <c r="B2716" s="1">
        <v>45171</v>
      </c>
      <c r="C2716" s="1" t="str">
        <f>TEXT(Table4_2[[#This Row],[Date]],"dddd")</f>
        <v>Saturday</v>
      </c>
      <c r="D2716" s="21">
        <v>19.5</v>
      </c>
      <c r="E2716" s="21">
        <v>73</v>
      </c>
      <c r="F2716" s="21">
        <v>779</v>
      </c>
      <c r="G2716" s="21">
        <v>6.3</v>
      </c>
      <c r="H2716">
        <v>31</v>
      </c>
      <c r="I2716">
        <v>67.099999999999994</v>
      </c>
      <c r="J2716">
        <v>0.73</v>
      </c>
      <c r="K2716" t="str" cm="1">
        <f t="array" ref="K2716">_xlfn.IFS(Table4_2[[#This Row],[Growth Days]]&lt;=14,"Seedling",Table4_2[[#This Row],[Growth Days]]&lt;=35, "Vegetative",Table4_2[[#This Row],[Growth Days]]&lt;=50, "Maturity")</f>
        <v>Vegetative</v>
      </c>
      <c r="L2716" t="str">
        <f>IF(Table4_2[[#This Row],[TDS Value (ppm)]]&lt;560, "Low", IF(Table4_2[[#This Row],[TDS Value (ppm)]]&lt;=800,"Optimal","High"))</f>
        <v>Optimal</v>
      </c>
    </row>
    <row r="2717" spans="1:12" x14ac:dyDescent="0.25">
      <c r="A2717">
        <v>67</v>
      </c>
      <c r="B2717" s="1">
        <v>45178</v>
      </c>
      <c r="C2717" s="1" t="str">
        <f>TEXT(Table4_2[[#This Row],[Date]],"dddd")</f>
        <v>Saturday</v>
      </c>
      <c r="D2717" s="21">
        <v>24.6</v>
      </c>
      <c r="E2717" s="21">
        <v>76</v>
      </c>
      <c r="F2717" s="21">
        <v>657</v>
      </c>
      <c r="G2717" s="21">
        <v>6.2</v>
      </c>
      <c r="H2717">
        <v>38</v>
      </c>
      <c r="I2717">
        <v>76.28</v>
      </c>
      <c r="J2717">
        <v>0.76</v>
      </c>
      <c r="K2717" t="str" cm="1">
        <f t="array" ref="K2717">_xlfn.IFS(Table4_2[[#This Row],[Growth Days]]&lt;=14,"Seedling",Table4_2[[#This Row],[Growth Days]]&lt;=35, "Vegetative",Table4_2[[#This Row],[Growth Days]]&lt;=50, "Maturity")</f>
        <v>Maturity</v>
      </c>
      <c r="L2717" t="str">
        <f>IF(Table4_2[[#This Row],[TDS Value (ppm)]]&lt;560, "Low", IF(Table4_2[[#This Row],[TDS Value (ppm)]]&lt;=800,"Optimal","High"))</f>
        <v>Optimal</v>
      </c>
    </row>
    <row r="2718" spans="1:12" x14ac:dyDescent="0.25">
      <c r="A2718">
        <v>67</v>
      </c>
      <c r="B2718" s="1">
        <v>45185</v>
      </c>
      <c r="C2718" s="1" t="str">
        <f>TEXT(Table4_2[[#This Row],[Date]],"dddd")</f>
        <v>Saturday</v>
      </c>
      <c r="D2718" s="21">
        <v>20</v>
      </c>
      <c r="E2718" s="21">
        <v>61</v>
      </c>
      <c r="F2718" s="21">
        <v>403</v>
      </c>
      <c r="G2718" s="21">
        <v>6.2</v>
      </c>
      <c r="H2718">
        <v>45</v>
      </c>
      <c r="I2718">
        <v>68</v>
      </c>
      <c r="J2718">
        <v>0.61</v>
      </c>
      <c r="K2718" t="str" cm="1">
        <f t="array" ref="K2718">_xlfn.IFS(Table4_2[[#This Row],[Growth Days]]&lt;=14,"Seedling",Table4_2[[#This Row],[Growth Days]]&lt;=35, "Vegetative",Table4_2[[#This Row],[Growth Days]]&lt;=50, "Maturity")</f>
        <v>Maturity</v>
      </c>
      <c r="L2718" t="str">
        <f>IF(Table4_2[[#This Row],[TDS Value (ppm)]]&lt;560, "Low", IF(Table4_2[[#This Row],[TDS Value (ppm)]]&lt;=800,"Optimal","High"))</f>
        <v>Low</v>
      </c>
    </row>
    <row r="2719" spans="1:12" x14ac:dyDescent="0.25">
      <c r="A2719">
        <v>68</v>
      </c>
      <c r="B2719" s="1">
        <v>45143</v>
      </c>
      <c r="C2719" s="1" t="str">
        <f>TEXT(Table4_2[[#This Row],[Date]],"dddd")</f>
        <v>Saturday</v>
      </c>
      <c r="D2719" s="21">
        <v>18.100000000000001</v>
      </c>
      <c r="E2719" s="21">
        <v>75</v>
      </c>
      <c r="F2719" s="21">
        <v>655</v>
      </c>
      <c r="G2719" s="21">
        <v>6.5</v>
      </c>
      <c r="H2719">
        <v>3</v>
      </c>
      <c r="I2719">
        <v>64.58</v>
      </c>
      <c r="J2719">
        <v>0.75</v>
      </c>
      <c r="K2719" t="str" cm="1">
        <f t="array" ref="K2719">_xlfn.IFS(Table4_2[[#This Row],[Growth Days]]&lt;=14,"Seedling",Table4_2[[#This Row],[Growth Days]]&lt;=35, "Vegetative",Table4_2[[#This Row],[Growth Days]]&lt;=50, "Maturity")</f>
        <v>Seedling</v>
      </c>
      <c r="L2719" t="str">
        <f>IF(Table4_2[[#This Row],[TDS Value (ppm)]]&lt;560, "Low", IF(Table4_2[[#This Row],[TDS Value (ppm)]]&lt;=800,"Optimal","High"))</f>
        <v>Optimal</v>
      </c>
    </row>
    <row r="2720" spans="1:12" x14ac:dyDescent="0.25">
      <c r="A2720">
        <v>68</v>
      </c>
      <c r="B2720" s="1">
        <v>45150</v>
      </c>
      <c r="C2720" s="1" t="str">
        <f>TEXT(Table4_2[[#This Row],[Date]],"dddd")</f>
        <v>Saturday</v>
      </c>
      <c r="D2720" s="21">
        <v>24.5</v>
      </c>
      <c r="E2720" s="21">
        <v>69</v>
      </c>
      <c r="F2720" s="21">
        <v>563</v>
      </c>
      <c r="G2720" s="21">
        <v>6.4</v>
      </c>
      <c r="H2720">
        <v>10</v>
      </c>
      <c r="I2720">
        <v>76.099999999999994</v>
      </c>
      <c r="J2720">
        <v>0.69</v>
      </c>
      <c r="K2720" t="str" cm="1">
        <f t="array" ref="K2720">_xlfn.IFS(Table4_2[[#This Row],[Growth Days]]&lt;=14,"Seedling",Table4_2[[#This Row],[Growth Days]]&lt;=35, "Vegetative",Table4_2[[#This Row],[Growth Days]]&lt;=50, "Maturity")</f>
        <v>Seedling</v>
      </c>
      <c r="L2720" t="str">
        <f>IF(Table4_2[[#This Row],[TDS Value (ppm)]]&lt;560, "Low", IF(Table4_2[[#This Row],[TDS Value (ppm)]]&lt;=800,"Optimal","High"))</f>
        <v>Optimal</v>
      </c>
    </row>
    <row r="2721" spans="1:12" x14ac:dyDescent="0.25">
      <c r="A2721">
        <v>68</v>
      </c>
      <c r="B2721" s="1">
        <v>45157</v>
      </c>
      <c r="C2721" s="1" t="str">
        <f>TEXT(Table4_2[[#This Row],[Date]],"dddd")</f>
        <v>Saturday</v>
      </c>
      <c r="D2721" s="21">
        <v>22.5</v>
      </c>
      <c r="E2721" s="21">
        <v>53</v>
      </c>
      <c r="F2721" s="21">
        <v>600</v>
      </c>
      <c r="G2721" s="21">
        <v>6.5</v>
      </c>
      <c r="H2721">
        <v>17</v>
      </c>
      <c r="I2721">
        <v>72.5</v>
      </c>
      <c r="J2721">
        <v>0.53</v>
      </c>
      <c r="K2721" t="str" cm="1">
        <f t="array" ref="K2721">_xlfn.IFS(Table4_2[[#This Row],[Growth Days]]&lt;=14,"Seedling",Table4_2[[#This Row],[Growth Days]]&lt;=35, "Vegetative",Table4_2[[#This Row],[Growth Days]]&lt;=50, "Maturity")</f>
        <v>Vegetative</v>
      </c>
      <c r="L2721" t="str">
        <f>IF(Table4_2[[#This Row],[TDS Value (ppm)]]&lt;560, "Low", IF(Table4_2[[#This Row],[TDS Value (ppm)]]&lt;=800,"Optimal","High"))</f>
        <v>Optimal</v>
      </c>
    </row>
    <row r="2722" spans="1:12" x14ac:dyDescent="0.25">
      <c r="A2722">
        <v>68</v>
      </c>
      <c r="B2722" s="1">
        <v>45164</v>
      </c>
      <c r="C2722" s="1" t="str">
        <f>TEXT(Table4_2[[#This Row],[Date]],"dddd")</f>
        <v>Saturday</v>
      </c>
      <c r="D2722" s="21">
        <v>22.9</v>
      </c>
      <c r="E2722" s="21">
        <v>58</v>
      </c>
      <c r="F2722" s="21">
        <v>702</v>
      </c>
      <c r="G2722" s="21">
        <v>6.5</v>
      </c>
      <c r="H2722">
        <v>24</v>
      </c>
      <c r="I2722">
        <v>73.22</v>
      </c>
      <c r="J2722">
        <v>0.57999999999999996</v>
      </c>
      <c r="K2722" t="str" cm="1">
        <f t="array" ref="K2722">_xlfn.IFS(Table4_2[[#This Row],[Growth Days]]&lt;=14,"Seedling",Table4_2[[#This Row],[Growth Days]]&lt;=35, "Vegetative",Table4_2[[#This Row],[Growth Days]]&lt;=50, "Maturity")</f>
        <v>Vegetative</v>
      </c>
      <c r="L2722" t="str">
        <f>IF(Table4_2[[#This Row],[TDS Value (ppm)]]&lt;560, "Low", IF(Table4_2[[#This Row],[TDS Value (ppm)]]&lt;=800,"Optimal","High"))</f>
        <v>Optimal</v>
      </c>
    </row>
    <row r="2723" spans="1:12" x14ac:dyDescent="0.25">
      <c r="A2723">
        <v>68</v>
      </c>
      <c r="B2723" s="1">
        <v>45171</v>
      </c>
      <c r="C2723" s="1" t="str">
        <f>TEXT(Table4_2[[#This Row],[Date]],"dddd")</f>
        <v>Saturday</v>
      </c>
      <c r="D2723" s="21">
        <v>21.6</v>
      </c>
      <c r="E2723" s="21">
        <v>62</v>
      </c>
      <c r="F2723" s="21">
        <v>606</v>
      </c>
      <c r="G2723" s="21">
        <v>6.1</v>
      </c>
      <c r="H2723">
        <v>31</v>
      </c>
      <c r="I2723">
        <v>70.88</v>
      </c>
      <c r="J2723">
        <v>0.62</v>
      </c>
      <c r="K2723" t="str" cm="1">
        <f t="array" ref="K2723">_xlfn.IFS(Table4_2[[#This Row],[Growth Days]]&lt;=14,"Seedling",Table4_2[[#This Row],[Growth Days]]&lt;=35, "Vegetative",Table4_2[[#This Row],[Growth Days]]&lt;=50, "Maturity")</f>
        <v>Vegetative</v>
      </c>
      <c r="L2723" t="str">
        <f>IF(Table4_2[[#This Row],[TDS Value (ppm)]]&lt;560, "Low", IF(Table4_2[[#This Row],[TDS Value (ppm)]]&lt;=800,"Optimal","High"))</f>
        <v>Optimal</v>
      </c>
    </row>
    <row r="2724" spans="1:12" x14ac:dyDescent="0.25">
      <c r="A2724">
        <v>68</v>
      </c>
      <c r="B2724" s="1">
        <v>45178</v>
      </c>
      <c r="C2724" s="1" t="str">
        <f>TEXT(Table4_2[[#This Row],[Date]],"dddd")</f>
        <v>Saturday</v>
      </c>
      <c r="D2724" s="21">
        <v>24.2</v>
      </c>
      <c r="E2724" s="21">
        <v>71</v>
      </c>
      <c r="F2724" s="21">
        <v>707</v>
      </c>
      <c r="G2724" s="21">
        <v>6.3</v>
      </c>
      <c r="H2724">
        <v>38</v>
      </c>
      <c r="I2724">
        <v>75.56</v>
      </c>
      <c r="J2724">
        <v>0.71</v>
      </c>
      <c r="K2724" t="str" cm="1">
        <f t="array" ref="K2724">_xlfn.IFS(Table4_2[[#This Row],[Growth Days]]&lt;=14,"Seedling",Table4_2[[#This Row],[Growth Days]]&lt;=35, "Vegetative",Table4_2[[#This Row],[Growth Days]]&lt;=50, "Maturity")</f>
        <v>Maturity</v>
      </c>
      <c r="L2724" t="str">
        <f>IF(Table4_2[[#This Row],[TDS Value (ppm)]]&lt;560, "Low", IF(Table4_2[[#This Row],[TDS Value (ppm)]]&lt;=800,"Optimal","High"))</f>
        <v>Optimal</v>
      </c>
    </row>
    <row r="2725" spans="1:12" x14ac:dyDescent="0.25">
      <c r="A2725">
        <v>68</v>
      </c>
      <c r="B2725" s="1">
        <v>45185</v>
      </c>
      <c r="C2725" s="1" t="str">
        <f>TEXT(Table4_2[[#This Row],[Date]],"dddd")</f>
        <v>Saturday</v>
      </c>
      <c r="D2725" s="21">
        <v>21.2</v>
      </c>
      <c r="E2725" s="21">
        <v>63</v>
      </c>
      <c r="F2725" s="21">
        <v>777</v>
      </c>
      <c r="G2725" s="21">
        <v>6.7</v>
      </c>
      <c r="H2725">
        <v>45</v>
      </c>
      <c r="I2725">
        <v>70.16</v>
      </c>
      <c r="J2725">
        <v>0.63</v>
      </c>
      <c r="K2725" t="str" cm="1">
        <f t="array" ref="K2725">_xlfn.IFS(Table4_2[[#This Row],[Growth Days]]&lt;=14,"Seedling",Table4_2[[#This Row],[Growth Days]]&lt;=35, "Vegetative",Table4_2[[#This Row],[Growth Days]]&lt;=50, "Maturity")</f>
        <v>Maturity</v>
      </c>
      <c r="L2725" t="str">
        <f>IF(Table4_2[[#This Row],[TDS Value (ppm)]]&lt;560, "Low", IF(Table4_2[[#This Row],[TDS Value (ppm)]]&lt;=800,"Optimal","High"))</f>
        <v>Optimal</v>
      </c>
    </row>
    <row r="2726" spans="1:12" x14ac:dyDescent="0.25">
      <c r="A2726">
        <v>69</v>
      </c>
      <c r="B2726" s="1">
        <v>45143</v>
      </c>
      <c r="C2726" s="1" t="str">
        <f>TEXT(Table4_2[[#This Row],[Date]],"dddd")</f>
        <v>Saturday</v>
      </c>
      <c r="D2726" s="21">
        <v>22</v>
      </c>
      <c r="E2726" s="21">
        <v>55</v>
      </c>
      <c r="F2726" s="21">
        <v>631</v>
      </c>
      <c r="G2726" s="21">
        <v>6</v>
      </c>
      <c r="H2726">
        <v>3</v>
      </c>
      <c r="I2726">
        <v>71.599999999999994</v>
      </c>
      <c r="J2726">
        <v>0.55000000000000004</v>
      </c>
      <c r="K2726" t="str" cm="1">
        <f t="array" ref="K2726">_xlfn.IFS(Table4_2[[#This Row],[Growth Days]]&lt;=14,"Seedling",Table4_2[[#This Row],[Growth Days]]&lt;=35, "Vegetative",Table4_2[[#This Row],[Growth Days]]&lt;=50, "Maturity")</f>
        <v>Seedling</v>
      </c>
      <c r="L2726" t="str">
        <f>IF(Table4_2[[#This Row],[TDS Value (ppm)]]&lt;560, "Low", IF(Table4_2[[#This Row],[TDS Value (ppm)]]&lt;=800,"Optimal","High"))</f>
        <v>Optimal</v>
      </c>
    </row>
    <row r="2727" spans="1:12" x14ac:dyDescent="0.25">
      <c r="A2727">
        <v>69</v>
      </c>
      <c r="B2727" s="1">
        <v>45150</v>
      </c>
      <c r="C2727" s="1" t="str">
        <f>TEXT(Table4_2[[#This Row],[Date]],"dddd")</f>
        <v>Saturday</v>
      </c>
      <c r="D2727" s="21">
        <v>22.3</v>
      </c>
      <c r="E2727" s="21">
        <v>79</v>
      </c>
      <c r="F2727" s="21">
        <v>405</v>
      </c>
      <c r="G2727" s="21">
        <v>6.2</v>
      </c>
      <c r="H2727">
        <v>10</v>
      </c>
      <c r="I2727">
        <v>72.14</v>
      </c>
      <c r="J2727">
        <v>0.79</v>
      </c>
      <c r="K2727" t="str" cm="1">
        <f t="array" ref="K2727">_xlfn.IFS(Table4_2[[#This Row],[Growth Days]]&lt;=14,"Seedling",Table4_2[[#This Row],[Growth Days]]&lt;=35, "Vegetative",Table4_2[[#This Row],[Growth Days]]&lt;=50, "Maturity")</f>
        <v>Seedling</v>
      </c>
      <c r="L2727" t="str">
        <f>IF(Table4_2[[#This Row],[TDS Value (ppm)]]&lt;560, "Low", IF(Table4_2[[#This Row],[TDS Value (ppm)]]&lt;=800,"Optimal","High"))</f>
        <v>Low</v>
      </c>
    </row>
    <row r="2728" spans="1:12" x14ac:dyDescent="0.25">
      <c r="A2728">
        <v>69</v>
      </c>
      <c r="B2728" s="1">
        <v>45157</v>
      </c>
      <c r="C2728" s="1" t="str">
        <f>TEXT(Table4_2[[#This Row],[Date]],"dddd")</f>
        <v>Saturday</v>
      </c>
      <c r="D2728" s="21">
        <v>22.7</v>
      </c>
      <c r="E2728" s="21">
        <v>53</v>
      </c>
      <c r="F2728" s="21">
        <v>531</v>
      </c>
      <c r="G2728" s="21">
        <v>6.6</v>
      </c>
      <c r="H2728">
        <v>17</v>
      </c>
      <c r="I2728">
        <v>72.86</v>
      </c>
      <c r="J2728">
        <v>0.53</v>
      </c>
      <c r="K2728" t="str" cm="1">
        <f t="array" ref="K2728">_xlfn.IFS(Table4_2[[#This Row],[Growth Days]]&lt;=14,"Seedling",Table4_2[[#This Row],[Growth Days]]&lt;=35, "Vegetative",Table4_2[[#This Row],[Growth Days]]&lt;=50, "Maturity")</f>
        <v>Vegetative</v>
      </c>
      <c r="L2728" t="str">
        <f>IF(Table4_2[[#This Row],[TDS Value (ppm)]]&lt;560, "Low", IF(Table4_2[[#This Row],[TDS Value (ppm)]]&lt;=800,"Optimal","High"))</f>
        <v>Low</v>
      </c>
    </row>
    <row r="2729" spans="1:12" x14ac:dyDescent="0.25">
      <c r="A2729">
        <v>69</v>
      </c>
      <c r="B2729" s="1">
        <v>45164</v>
      </c>
      <c r="C2729" s="1" t="str">
        <f>TEXT(Table4_2[[#This Row],[Date]],"dddd")</f>
        <v>Saturday</v>
      </c>
      <c r="D2729" s="21">
        <v>21.6</v>
      </c>
      <c r="E2729" s="21">
        <v>50</v>
      </c>
      <c r="F2729" s="21">
        <v>547</v>
      </c>
      <c r="G2729" s="21">
        <v>6.2</v>
      </c>
      <c r="H2729">
        <v>24</v>
      </c>
      <c r="I2729">
        <v>70.88</v>
      </c>
      <c r="J2729">
        <v>0.5</v>
      </c>
      <c r="K2729" t="str" cm="1">
        <f t="array" ref="K2729">_xlfn.IFS(Table4_2[[#This Row],[Growth Days]]&lt;=14,"Seedling",Table4_2[[#This Row],[Growth Days]]&lt;=35, "Vegetative",Table4_2[[#This Row],[Growth Days]]&lt;=50, "Maturity")</f>
        <v>Vegetative</v>
      </c>
      <c r="L2729" t="str">
        <f>IF(Table4_2[[#This Row],[TDS Value (ppm)]]&lt;560, "Low", IF(Table4_2[[#This Row],[TDS Value (ppm)]]&lt;=800,"Optimal","High"))</f>
        <v>Low</v>
      </c>
    </row>
    <row r="2730" spans="1:12" x14ac:dyDescent="0.25">
      <c r="A2730">
        <v>69</v>
      </c>
      <c r="B2730" s="1">
        <v>45171</v>
      </c>
      <c r="C2730" s="1" t="str">
        <f>TEXT(Table4_2[[#This Row],[Date]],"dddd")</f>
        <v>Saturday</v>
      </c>
      <c r="D2730" s="21">
        <v>20</v>
      </c>
      <c r="E2730" s="21">
        <v>63</v>
      </c>
      <c r="F2730" s="21">
        <v>418</v>
      </c>
      <c r="G2730" s="21">
        <v>6.6</v>
      </c>
      <c r="H2730">
        <v>31</v>
      </c>
      <c r="I2730">
        <v>68</v>
      </c>
      <c r="J2730">
        <v>0.63</v>
      </c>
      <c r="K2730" t="str" cm="1">
        <f t="array" ref="K2730">_xlfn.IFS(Table4_2[[#This Row],[Growth Days]]&lt;=14,"Seedling",Table4_2[[#This Row],[Growth Days]]&lt;=35, "Vegetative",Table4_2[[#This Row],[Growth Days]]&lt;=50, "Maturity")</f>
        <v>Vegetative</v>
      </c>
      <c r="L2730" t="str">
        <f>IF(Table4_2[[#This Row],[TDS Value (ppm)]]&lt;560, "Low", IF(Table4_2[[#This Row],[TDS Value (ppm)]]&lt;=800,"Optimal","High"))</f>
        <v>Low</v>
      </c>
    </row>
    <row r="2731" spans="1:12" x14ac:dyDescent="0.25">
      <c r="A2731">
        <v>69</v>
      </c>
      <c r="B2731" s="1">
        <v>45178</v>
      </c>
      <c r="C2731" s="1" t="str">
        <f>TEXT(Table4_2[[#This Row],[Date]],"dddd")</f>
        <v>Saturday</v>
      </c>
      <c r="D2731" s="21">
        <v>19.8</v>
      </c>
      <c r="E2731" s="21">
        <v>62</v>
      </c>
      <c r="F2731" s="21">
        <v>784</v>
      </c>
      <c r="G2731" s="21">
        <v>6.6</v>
      </c>
      <c r="H2731">
        <v>38</v>
      </c>
      <c r="I2731">
        <v>67.64</v>
      </c>
      <c r="J2731">
        <v>0.62</v>
      </c>
      <c r="K2731" t="str" cm="1">
        <f t="array" ref="K2731">_xlfn.IFS(Table4_2[[#This Row],[Growth Days]]&lt;=14,"Seedling",Table4_2[[#This Row],[Growth Days]]&lt;=35, "Vegetative",Table4_2[[#This Row],[Growth Days]]&lt;=50, "Maturity")</f>
        <v>Maturity</v>
      </c>
      <c r="L2731" t="str">
        <f>IF(Table4_2[[#This Row],[TDS Value (ppm)]]&lt;560, "Low", IF(Table4_2[[#This Row],[TDS Value (ppm)]]&lt;=800,"Optimal","High"))</f>
        <v>Optimal</v>
      </c>
    </row>
    <row r="2732" spans="1:12" x14ac:dyDescent="0.25">
      <c r="A2732">
        <v>69</v>
      </c>
      <c r="B2732" s="1">
        <v>45185</v>
      </c>
      <c r="C2732" s="1" t="str">
        <f>TEXT(Table4_2[[#This Row],[Date]],"dddd")</f>
        <v>Saturday</v>
      </c>
      <c r="D2732" s="21">
        <v>21.2</v>
      </c>
      <c r="E2732" s="21">
        <v>70</v>
      </c>
      <c r="F2732" s="21">
        <v>703</v>
      </c>
      <c r="G2732" s="21">
        <v>6.1</v>
      </c>
      <c r="H2732">
        <v>45</v>
      </c>
      <c r="I2732">
        <v>70.16</v>
      </c>
      <c r="J2732">
        <v>0.7</v>
      </c>
      <c r="K2732" t="str" cm="1">
        <f t="array" ref="K2732">_xlfn.IFS(Table4_2[[#This Row],[Growth Days]]&lt;=14,"Seedling",Table4_2[[#This Row],[Growth Days]]&lt;=35, "Vegetative",Table4_2[[#This Row],[Growth Days]]&lt;=50, "Maturity")</f>
        <v>Maturity</v>
      </c>
      <c r="L2732" t="str">
        <f>IF(Table4_2[[#This Row],[TDS Value (ppm)]]&lt;560, "Low", IF(Table4_2[[#This Row],[TDS Value (ppm)]]&lt;=800,"Optimal","High"))</f>
        <v>Optimal</v>
      </c>
    </row>
    <row r="2733" spans="1:12" x14ac:dyDescent="0.25">
      <c r="A2733">
        <v>70</v>
      </c>
      <c r="B2733" s="1">
        <v>45143</v>
      </c>
      <c r="C2733" s="1" t="str">
        <f>TEXT(Table4_2[[#This Row],[Date]],"dddd")</f>
        <v>Saturday</v>
      </c>
      <c r="D2733" s="21">
        <v>19</v>
      </c>
      <c r="E2733" s="21">
        <v>68</v>
      </c>
      <c r="F2733" s="21">
        <v>454</v>
      </c>
      <c r="G2733" s="21">
        <v>6.2</v>
      </c>
      <c r="H2733">
        <v>3</v>
      </c>
      <c r="I2733">
        <v>66.2</v>
      </c>
      <c r="J2733">
        <v>0.68</v>
      </c>
      <c r="K2733" t="str" cm="1">
        <f t="array" ref="K2733">_xlfn.IFS(Table4_2[[#This Row],[Growth Days]]&lt;=14,"Seedling",Table4_2[[#This Row],[Growth Days]]&lt;=35, "Vegetative",Table4_2[[#This Row],[Growth Days]]&lt;=50, "Maturity")</f>
        <v>Seedling</v>
      </c>
      <c r="L2733" t="str">
        <f>IF(Table4_2[[#This Row],[TDS Value (ppm)]]&lt;560, "Low", IF(Table4_2[[#This Row],[TDS Value (ppm)]]&lt;=800,"Optimal","High"))</f>
        <v>Low</v>
      </c>
    </row>
    <row r="2734" spans="1:12" x14ac:dyDescent="0.25">
      <c r="A2734">
        <v>70</v>
      </c>
      <c r="B2734" s="1">
        <v>45150</v>
      </c>
      <c r="C2734" s="1" t="str">
        <f>TEXT(Table4_2[[#This Row],[Date]],"dddd")</f>
        <v>Saturday</v>
      </c>
      <c r="D2734" s="21">
        <v>24.3</v>
      </c>
      <c r="E2734" s="21">
        <v>64</v>
      </c>
      <c r="F2734" s="21">
        <v>656</v>
      </c>
      <c r="G2734" s="21">
        <v>6.3</v>
      </c>
      <c r="H2734">
        <v>10</v>
      </c>
      <c r="I2734">
        <v>75.739999999999995</v>
      </c>
      <c r="J2734">
        <v>0.64</v>
      </c>
      <c r="K2734" t="str" cm="1">
        <f t="array" ref="K2734">_xlfn.IFS(Table4_2[[#This Row],[Growth Days]]&lt;=14,"Seedling",Table4_2[[#This Row],[Growth Days]]&lt;=35, "Vegetative",Table4_2[[#This Row],[Growth Days]]&lt;=50, "Maturity")</f>
        <v>Seedling</v>
      </c>
      <c r="L2734" t="str">
        <f>IF(Table4_2[[#This Row],[TDS Value (ppm)]]&lt;560, "Low", IF(Table4_2[[#This Row],[TDS Value (ppm)]]&lt;=800,"Optimal","High"))</f>
        <v>Optimal</v>
      </c>
    </row>
    <row r="2735" spans="1:12" x14ac:dyDescent="0.25">
      <c r="A2735">
        <v>70</v>
      </c>
      <c r="B2735" s="1">
        <v>45157</v>
      </c>
      <c r="C2735" s="1" t="str">
        <f>TEXT(Table4_2[[#This Row],[Date]],"dddd")</f>
        <v>Saturday</v>
      </c>
      <c r="D2735" s="21">
        <v>20.7</v>
      </c>
      <c r="E2735" s="21">
        <v>51</v>
      </c>
      <c r="F2735" s="21">
        <v>795</v>
      </c>
      <c r="G2735" s="21">
        <v>6.5</v>
      </c>
      <c r="H2735">
        <v>17</v>
      </c>
      <c r="I2735">
        <v>69.260000000000005</v>
      </c>
      <c r="J2735">
        <v>0.51</v>
      </c>
      <c r="K2735" t="str" cm="1">
        <f t="array" ref="K2735">_xlfn.IFS(Table4_2[[#This Row],[Growth Days]]&lt;=14,"Seedling",Table4_2[[#This Row],[Growth Days]]&lt;=35, "Vegetative",Table4_2[[#This Row],[Growth Days]]&lt;=50, "Maturity")</f>
        <v>Vegetative</v>
      </c>
      <c r="L2735" t="str">
        <f>IF(Table4_2[[#This Row],[TDS Value (ppm)]]&lt;560, "Low", IF(Table4_2[[#This Row],[TDS Value (ppm)]]&lt;=800,"Optimal","High"))</f>
        <v>Optimal</v>
      </c>
    </row>
    <row r="2736" spans="1:12" x14ac:dyDescent="0.25">
      <c r="A2736">
        <v>70</v>
      </c>
      <c r="B2736" s="1">
        <v>45164</v>
      </c>
      <c r="C2736" s="1" t="str">
        <f>TEXT(Table4_2[[#This Row],[Date]],"dddd")</f>
        <v>Saturday</v>
      </c>
      <c r="D2736" s="21">
        <v>19.7</v>
      </c>
      <c r="E2736" s="21">
        <v>67</v>
      </c>
      <c r="F2736" s="21">
        <v>757</v>
      </c>
      <c r="G2736" s="21">
        <v>6.2</v>
      </c>
      <c r="H2736">
        <v>24</v>
      </c>
      <c r="I2736">
        <v>67.459999999999994</v>
      </c>
      <c r="J2736">
        <v>0.67</v>
      </c>
      <c r="K2736" t="str" cm="1">
        <f t="array" ref="K2736">_xlfn.IFS(Table4_2[[#This Row],[Growth Days]]&lt;=14,"Seedling",Table4_2[[#This Row],[Growth Days]]&lt;=35, "Vegetative",Table4_2[[#This Row],[Growth Days]]&lt;=50, "Maturity")</f>
        <v>Vegetative</v>
      </c>
      <c r="L2736" t="str">
        <f>IF(Table4_2[[#This Row],[TDS Value (ppm)]]&lt;560, "Low", IF(Table4_2[[#This Row],[TDS Value (ppm)]]&lt;=800,"Optimal","High"))</f>
        <v>Optimal</v>
      </c>
    </row>
    <row r="2737" spans="1:12" x14ac:dyDescent="0.25">
      <c r="A2737">
        <v>70</v>
      </c>
      <c r="B2737" s="1">
        <v>45171</v>
      </c>
      <c r="C2737" s="1" t="str">
        <f>TEXT(Table4_2[[#This Row],[Date]],"dddd")</f>
        <v>Saturday</v>
      </c>
      <c r="D2737" s="21">
        <v>22.7</v>
      </c>
      <c r="E2737" s="21">
        <v>65</v>
      </c>
      <c r="F2737" s="21">
        <v>566</v>
      </c>
      <c r="G2737" s="21">
        <v>6.3</v>
      </c>
      <c r="H2737">
        <v>31</v>
      </c>
      <c r="I2737">
        <v>72.86</v>
      </c>
      <c r="J2737">
        <v>0.65</v>
      </c>
      <c r="K2737" t="str" cm="1">
        <f t="array" ref="K2737">_xlfn.IFS(Table4_2[[#This Row],[Growth Days]]&lt;=14,"Seedling",Table4_2[[#This Row],[Growth Days]]&lt;=35, "Vegetative",Table4_2[[#This Row],[Growth Days]]&lt;=50, "Maturity")</f>
        <v>Vegetative</v>
      </c>
      <c r="L2737" t="str">
        <f>IF(Table4_2[[#This Row],[TDS Value (ppm)]]&lt;560, "Low", IF(Table4_2[[#This Row],[TDS Value (ppm)]]&lt;=800,"Optimal","High"))</f>
        <v>Optimal</v>
      </c>
    </row>
    <row r="2738" spans="1:12" x14ac:dyDescent="0.25">
      <c r="A2738">
        <v>70</v>
      </c>
      <c r="B2738" s="1">
        <v>45178</v>
      </c>
      <c r="C2738" s="1" t="str">
        <f>TEXT(Table4_2[[#This Row],[Date]],"dddd")</f>
        <v>Saturday</v>
      </c>
      <c r="D2738" s="21">
        <v>21.6</v>
      </c>
      <c r="E2738" s="21">
        <v>80</v>
      </c>
      <c r="F2738" s="21">
        <v>506</v>
      </c>
      <c r="G2738" s="21">
        <v>6.7</v>
      </c>
      <c r="H2738">
        <v>38</v>
      </c>
      <c r="I2738">
        <v>70.88</v>
      </c>
      <c r="J2738">
        <v>0.8</v>
      </c>
      <c r="K2738" t="str" cm="1">
        <f t="array" ref="K2738">_xlfn.IFS(Table4_2[[#This Row],[Growth Days]]&lt;=14,"Seedling",Table4_2[[#This Row],[Growth Days]]&lt;=35, "Vegetative",Table4_2[[#This Row],[Growth Days]]&lt;=50, "Maturity")</f>
        <v>Maturity</v>
      </c>
      <c r="L2738" t="str">
        <f>IF(Table4_2[[#This Row],[TDS Value (ppm)]]&lt;560, "Low", IF(Table4_2[[#This Row],[TDS Value (ppm)]]&lt;=800,"Optimal","High"))</f>
        <v>Low</v>
      </c>
    </row>
    <row r="2739" spans="1:12" x14ac:dyDescent="0.25">
      <c r="A2739">
        <v>70</v>
      </c>
      <c r="B2739" s="1">
        <v>45185</v>
      </c>
      <c r="C2739" s="1" t="str">
        <f>TEXT(Table4_2[[#This Row],[Date]],"dddd")</f>
        <v>Saturday</v>
      </c>
      <c r="D2739" s="21">
        <v>24.6</v>
      </c>
      <c r="E2739" s="21">
        <v>79</v>
      </c>
      <c r="F2739" s="21">
        <v>621</v>
      </c>
      <c r="G2739" s="21">
        <v>6</v>
      </c>
      <c r="H2739">
        <v>45</v>
      </c>
      <c r="I2739">
        <v>76.28</v>
      </c>
      <c r="J2739">
        <v>0.79</v>
      </c>
      <c r="K2739" t="str" cm="1">
        <f t="array" ref="K2739">_xlfn.IFS(Table4_2[[#This Row],[Growth Days]]&lt;=14,"Seedling",Table4_2[[#This Row],[Growth Days]]&lt;=35, "Vegetative",Table4_2[[#This Row],[Growth Days]]&lt;=50, "Maturity")</f>
        <v>Maturity</v>
      </c>
      <c r="L2739" t="str">
        <f>IF(Table4_2[[#This Row],[TDS Value (ppm)]]&lt;560, "Low", IF(Table4_2[[#This Row],[TDS Value (ppm)]]&lt;=800,"Optimal","High"))</f>
        <v>Optimal</v>
      </c>
    </row>
    <row r="2740" spans="1:12" x14ac:dyDescent="0.25">
      <c r="A2740">
        <v>1</v>
      </c>
      <c r="B2740" s="1">
        <v>45144</v>
      </c>
      <c r="C2740" s="1" t="str">
        <f>TEXT(Table4_2[[#This Row],[Date]],"dddd")</f>
        <v>Sunday</v>
      </c>
      <c r="D2740" s="21">
        <v>33.4</v>
      </c>
      <c r="E2740" s="21">
        <v>68</v>
      </c>
      <c r="F2740" s="21">
        <v>420</v>
      </c>
      <c r="G2740" s="21">
        <v>6.4</v>
      </c>
      <c r="H2740">
        <v>4</v>
      </c>
      <c r="I2740">
        <v>92.12</v>
      </c>
      <c r="J2740">
        <v>0.68</v>
      </c>
      <c r="K2740" t="str" cm="1">
        <f t="array" ref="K2740">_xlfn.IFS(Table4_2[[#This Row],[Growth Days]]&lt;=14,"Seedling",Table4_2[[#This Row],[Growth Days]]&lt;=35, "Vegetative",Table4_2[[#This Row],[Growth Days]]&lt;=50, "Maturity")</f>
        <v>Seedling</v>
      </c>
      <c r="L2740" t="str">
        <f>IF(Table4_2[[#This Row],[TDS Value (ppm)]]&lt;560, "Low", IF(Table4_2[[#This Row],[TDS Value (ppm)]]&lt;=800,"Optimal","High"))</f>
        <v>Low</v>
      </c>
    </row>
    <row r="2741" spans="1:12" x14ac:dyDescent="0.25">
      <c r="A2741">
        <v>1</v>
      </c>
      <c r="B2741" s="1">
        <v>45151</v>
      </c>
      <c r="C2741" s="1" t="str">
        <f>TEXT(Table4_2[[#This Row],[Date]],"dddd")</f>
        <v>Sunday</v>
      </c>
      <c r="D2741" s="21">
        <v>30.1</v>
      </c>
      <c r="E2741" s="21">
        <v>77</v>
      </c>
      <c r="F2741" s="21">
        <v>670</v>
      </c>
      <c r="G2741" s="21">
        <v>6.5</v>
      </c>
      <c r="H2741">
        <v>11</v>
      </c>
      <c r="I2741">
        <v>86.18</v>
      </c>
      <c r="J2741">
        <v>0.77</v>
      </c>
      <c r="K2741" t="str" cm="1">
        <f t="array" ref="K2741">_xlfn.IFS(Table4_2[[#This Row],[Growth Days]]&lt;=14,"Seedling",Table4_2[[#This Row],[Growth Days]]&lt;=35, "Vegetative",Table4_2[[#This Row],[Growth Days]]&lt;=50, "Maturity")</f>
        <v>Seedling</v>
      </c>
      <c r="L2741" t="str">
        <f>IF(Table4_2[[#This Row],[TDS Value (ppm)]]&lt;560, "Low", IF(Table4_2[[#This Row],[TDS Value (ppm)]]&lt;=800,"Optimal","High"))</f>
        <v>Optimal</v>
      </c>
    </row>
    <row r="2742" spans="1:12" x14ac:dyDescent="0.25">
      <c r="A2742">
        <v>1</v>
      </c>
      <c r="B2742" s="1">
        <v>45158</v>
      </c>
      <c r="C2742" s="1" t="str">
        <f>TEXT(Table4_2[[#This Row],[Date]],"dddd")</f>
        <v>Sunday</v>
      </c>
      <c r="D2742" s="21">
        <v>30.9</v>
      </c>
      <c r="E2742" s="21">
        <v>78</v>
      </c>
      <c r="F2742" s="21">
        <v>789</v>
      </c>
      <c r="G2742" s="21">
        <v>6.5</v>
      </c>
      <c r="H2742">
        <v>18</v>
      </c>
      <c r="I2742">
        <v>87.62</v>
      </c>
      <c r="J2742">
        <v>0.78</v>
      </c>
      <c r="K2742" t="str" cm="1">
        <f t="array" ref="K2742">_xlfn.IFS(Table4_2[[#This Row],[Growth Days]]&lt;=14,"Seedling",Table4_2[[#This Row],[Growth Days]]&lt;=35, "Vegetative",Table4_2[[#This Row],[Growth Days]]&lt;=50, "Maturity")</f>
        <v>Vegetative</v>
      </c>
      <c r="L2742" t="str">
        <f>IF(Table4_2[[#This Row],[TDS Value (ppm)]]&lt;560, "Low", IF(Table4_2[[#This Row],[TDS Value (ppm)]]&lt;=800,"Optimal","High"))</f>
        <v>Optimal</v>
      </c>
    </row>
    <row r="2743" spans="1:12" x14ac:dyDescent="0.25">
      <c r="A2743">
        <v>1</v>
      </c>
      <c r="B2743" s="1">
        <v>45165</v>
      </c>
      <c r="C2743" s="1" t="str">
        <f>TEXT(Table4_2[[#This Row],[Date]],"dddd")</f>
        <v>Sunday</v>
      </c>
      <c r="D2743" s="21">
        <v>30.1</v>
      </c>
      <c r="E2743" s="21">
        <v>77</v>
      </c>
      <c r="F2743" s="21">
        <v>589</v>
      </c>
      <c r="G2743" s="21">
        <v>6.7</v>
      </c>
      <c r="H2743">
        <v>25</v>
      </c>
      <c r="I2743">
        <v>86.18</v>
      </c>
      <c r="J2743">
        <v>0.77</v>
      </c>
      <c r="K2743" t="str" cm="1">
        <f t="array" ref="K2743">_xlfn.IFS(Table4_2[[#This Row],[Growth Days]]&lt;=14,"Seedling",Table4_2[[#This Row],[Growth Days]]&lt;=35, "Vegetative",Table4_2[[#This Row],[Growth Days]]&lt;=50, "Maturity")</f>
        <v>Vegetative</v>
      </c>
      <c r="L2743" t="str">
        <f>IF(Table4_2[[#This Row],[TDS Value (ppm)]]&lt;560, "Low", IF(Table4_2[[#This Row],[TDS Value (ppm)]]&lt;=800,"Optimal","High"))</f>
        <v>Optimal</v>
      </c>
    </row>
    <row r="2744" spans="1:12" x14ac:dyDescent="0.25">
      <c r="A2744">
        <v>1</v>
      </c>
      <c r="B2744" s="1">
        <v>45172</v>
      </c>
      <c r="C2744" s="1" t="str">
        <f>TEXT(Table4_2[[#This Row],[Date]],"dddd")</f>
        <v>Sunday</v>
      </c>
      <c r="D2744" s="21">
        <v>31.7</v>
      </c>
      <c r="E2744" s="21">
        <v>76</v>
      </c>
      <c r="F2744" s="21">
        <v>762</v>
      </c>
      <c r="G2744" s="21">
        <v>6.7</v>
      </c>
      <c r="H2744">
        <v>32</v>
      </c>
      <c r="I2744">
        <v>89.06</v>
      </c>
      <c r="J2744">
        <v>0.76</v>
      </c>
      <c r="K2744" t="str" cm="1">
        <f t="array" ref="K2744">_xlfn.IFS(Table4_2[[#This Row],[Growth Days]]&lt;=14,"Seedling",Table4_2[[#This Row],[Growth Days]]&lt;=35, "Vegetative",Table4_2[[#This Row],[Growth Days]]&lt;=50, "Maturity")</f>
        <v>Vegetative</v>
      </c>
      <c r="L2744" t="str">
        <f>IF(Table4_2[[#This Row],[TDS Value (ppm)]]&lt;560, "Low", IF(Table4_2[[#This Row],[TDS Value (ppm)]]&lt;=800,"Optimal","High"))</f>
        <v>Optimal</v>
      </c>
    </row>
    <row r="2745" spans="1:12" x14ac:dyDescent="0.25">
      <c r="A2745">
        <v>1</v>
      </c>
      <c r="B2745" s="1">
        <v>45179</v>
      </c>
      <c r="C2745" s="1" t="str">
        <f>TEXT(Table4_2[[#This Row],[Date]],"dddd")</f>
        <v>Sunday</v>
      </c>
      <c r="D2745" s="21">
        <v>31.1</v>
      </c>
      <c r="E2745" s="21">
        <v>64</v>
      </c>
      <c r="F2745" s="21">
        <v>478</v>
      </c>
      <c r="G2745" s="21">
        <v>6</v>
      </c>
      <c r="H2745">
        <v>39</v>
      </c>
      <c r="I2745">
        <v>87.98</v>
      </c>
      <c r="J2745">
        <v>0.64</v>
      </c>
      <c r="K2745" t="str" cm="1">
        <f t="array" ref="K2745">_xlfn.IFS(Table4_2[[#This Row],[Growth Days]]&lt;=14,"Seedling",Table4_2[[#This Row],[Growth Days]]&lt;=35, "Vegetative",Table4_2[[#This Row],[Growth Days]]&lt;=50, "Maturity")</f>
        <v>Maturity</v>
      </c>
      <c r="L2745" t="str">
        <f>IF(Table4_2[[#This Row],[TDS Value (ppm)]]&lt;560, "Low", IF(Table4_2[[#This Row],[TDS Value (ppm)]]&lt;=800,"Optimal","High"))</f>
        <v>Low</v>
      </c>
    </row>
    <row r="2746" spans="1:12" x14ac:dyDescent="0.25">
      <c r="A2746">
        <v>2</v>
      </c>
      <c r="B2746" s="1">
        <v>45144</v>
      </c>
      <c r="C2746" s="1" t="str">
        <f>TEXT(Table4_2[[#This Row],[Date]],"dddd")</f>
        <v>Sunday</v>
      </c>
      <c r="D2746" s="21">
        <v>33.4</v>
      </c>
      <c r="E2746" s="21">
        <v>68</v>
      </c>
      <c r="F2746" s="21">
        <v>680</v>
      </c>
      <c r="G2746" s="21">
        <v>6.8</v>
      </c>
      <c r="H2746">
        <v>4</v>
      </c>
      <c r="I2746">
        <v>92.12</v>
      </c>
      <c r="J2746">
        <v>0.68</v>
      </c>
      <c r="K2746" t="str" cm="1">
        <f t="array" ref="K2746">_xlfn.IFS(Table4_2[[#This Row],[Growth Days]]&lt;=14,"Seedling",Table4_2[[#This Row],[Growth Days]]&lt;=35, "Vegetative",Table4_2[[#This Row],[Growth Days]]&lt;=50, "Maturity")</f>
        <v>Seedling</v>
      </c>
      <c r="L2746" t="str">
        <f>IF(Table4_2[[#This Row],[TDS Value (ppm)]]&lt;560, "Low", IF(Table4_2[[#This Row],[TDS Value (ppm)]]&lt;=800,"Optimal","High"))</f>
        <v>Optimal</v>
      </c>
    </row>
    <row r="2747" spans="1:12" x14ac:dyDescent="0.25">
      <c r="A2747">
        <v>2</v>
      </c>
      <c r="B2747" s="1">
        <v>45151</v>
      </c>
      <c r="C2747" s="1" t="str">
        <f>TEXT(Table4_2[[#This Row],[Date]],"dddd")</f>
        <v>Sunday</v>
      </c>
      <c r="D2747" s="21">
        <v>30.1</v>
      </c>
      <c r="E2747" s="21">
        <v>71</v>
      </c>
      <c r="F2747" s="21">
        <v>664</v>
      </c>
      <c r="G2747" s="21">
        <v>6.4</v>
      </c>
      <c r="H2747">
        <v>11</v>
      </c>
      <c r="I2747">
        <v>86.18</v>
      </c>
      <c r="J2747">
        <v>0.71</v>
      </c>
      <c r="K2747" t="str" cm="1">
        <f t="array" ref="K2747">_xlfn.IFS(Table4_2[[#This Row],[Growth Days]]&lt;=14,"Seedling",Table4_2[[#This Row],[Growth Days]]&lt;=35, "Vegetative",Table4_2[[#This Row],[Growth Days]]&lt;=50, "Maturity")</f>
        <v>Seedling</v>
      </c>
      <c r="L2747" t="str">
        <f>IF(Table4_2[[#This Row],[TDS Value (ppm)]]&lt;560, "Low", IF(Table4_2[[#This Row],[TDS Value (ppm)]]&lt;=800,"Optimal","High"))</f>
        <v>Optimal</v>
      </c>
    </row>
    <row r="2748" spans="1:12" x14ac:dyDescent="0.25">
      <c r="A2748">
        <v>2</v>
      </c>
      <c r="B2748" s="1">
        <v>45158</v>
      </c>
      <c r="C2748" s="1" t="str">
        <f>TEXT(Table4_2[[#This Row],[Date]],"dddd")</f>
        <v>Sunday</v>
      </c>
      <c r="D2748" s="21">
        <v>30.9</v>
      </c>
      <c r="E2748" s="21">
        <v>71</v>
      </c>
      <c r="F2748" s="21">
        <v>527</v>
      </c>
      <c r="G2748" s="21">
        <v>6.2</v>
      </c>
      <c r="H2748">
        <v>18</v>
      </c>
      <c r="I2748">
        <v>87.62</v>
      </c>
      <c r="J2748">
        <v>0.71</v>
      </c>
      <c r="K2748" t="str" cm="1">
        <f t="array" ref="K2748">_xlfn.IFS(Table4_2[[#This Row],[Growth Days]]&lt;=14,"Seedling",Table4_2[[#This Row],[Growth Days]]&lt;=35, "Vegetative",Table4_2[[#This Row],[Growth Days]]&lt;=50, "Maturity")</f>
        <v>Vegetative</v>
      </c>
      <c r="L2748" t="str">
        <f>IF(Table4_2[[#This Row],[TDS Value (ppm)]]&lt;560, "Low", IF(Table4_2[[#This Row],[TDS Value (ppm)]]&lt;=800,"Optimal","High"))</f>
        <v>Low</v>
      </c>
    </row>
    <row r="2749" spans="1:12" x14ac:dyDescent="0.25">
      <c r="A2749">
        <v>2</v>
      </c>
      <c r="B2749" s="1">
        <v>45165</v>
      </c>
      <c r="C2749" s="1" t="str">
        <f>TEXT(Table4_2[[#This Row],[Date]],"dddd")</f>
        <v>Sunday</v>
      </c>
      <c r="D2749" s="21">
        <v>30.1</v>
      </c>
      <c r="E2749" s="21">
        <v>78</v>
      </c>
      <c r="F2749" s="21">
        <v>427</v>
      </c>
      <c r="G2749" s="21">
        <v>6.3</v>
      </c>
      <c r="H2749">
        <v>25</v>
      </c>
      <c r="I2749">
        <v>86.18</v>
      </c>
      <c r="J2749">
        <v>0.78</v>
      </c>
      <c r="K2749" t="str" cm="1">
        <f t="array" ref="K2749">_xlfn.IFS(Table4_2[[#This Row],[Growth Days]]&lt;=14,"Seedling",Table4_2[[#This Row],[Growth Days]]&lt;=35, "Vegetative",Table4_2[[#This Row],[Growth Days]]&lt;=50, "Maturity")</f>
        <v>Vegetative</v>
      </c>
      <c r="L2749" t="str">
        <f>IF(Table4_2[[#This Row],[TDS Value (ppm)]]&lt;560, "Low", IF(Table4_2[[#This Row],[TDS Value (ppm)]]&lt;=800,"Optimal","High"))</f>
        <v>Low</v>
      </c>
    </row>
    <row r="2750" spans="1:12" x14ac:dyDescent="0.25">
      <c r="A2750">
        <v>2</v>
      </c>
      <c r="B2750" s="1">
        <v>45172</v>
      </c>
      <c r="C2750" s="1" t="str">
        <f>TEXT(Table4_2[[#This Row],[Date]],"dddd")</f>
        <v>Sunday</v>
      </c>
      <c r="D2750" s="21">
        <v>31.7</v>
      </c>
      <c r="E2750" s="21">
        <v>57</v>
      </c>
      <c r="F2750" s="21">
        <v>597</v>
      </c>
      <c r="G2750" s="21">
        <v>6.2</v>
      </c>
      <c r="H2750">
        <v>32</v>
      </c>
      <c r="I2750">
        <v>89.06</v>
      </c>
      <c r="J2750">
        <v>0.56999999999999995</v>
      </c>
      <c r="K2750" t="str" cm="1">
        <f t="array" ref="K2750">_xlfn.IFS(Table4_2[[#This Row],[Growth Days]]&lt;=14,"Seedling",Table4_2[[#This Row],[Growth Days]]&lt;=35, "Vegetative",Table4_2[[#This Row],[Growth Days]]&lt;=50, "Maturity")</f>
        <v>Vegetative</v>
      </c>
      <c r="L2750" t="str">
        <f>IF(Table4_2[[#This Row],[TDS Value (ppm)]]&lt;560, "Low", IF(Table4_2[[#This Row],[TDS Value (ppm)]]&lt;=800,"Optimal","High"))</f>
        <v>Optimal</v>
      </c>
    </row>
    <row r="2751" spans="1:12" x14ac:dyDescent="0.25">
      <c r="A2751">
        <v>2</v>
      </c>
      <c r="B2751" s="1">
        <v>45179</v>
      </c>
      <c r="C2751" s="1" t="str">
        <f>TEXT(Table4_2[[#This Row],[Date]],"dddd")</f>
        <v>Sunday</v>
      </c>
      <c r="D2751" s="21">
        <v>31.1</v>
      </c>
      <c r="E2751" s="21">
        <v>70</v>
      </c>
      <c r="F2751" s="21">
        <v>428</v>
      </c>
      <c r="G2751" s="21">
        <v>6.7</v>
      </c>
      <c r="H2751">
        <v>39</v>
      </c>
      <c r="I2751">
        <v>87.98</v>
      </c>
      <c r="J2751">
        <v>0.7</v>
      </c>
      <c r="K2751" t="str" cm="1">
        <f t="array" ref="K2751">_xlfn.IFS(Table4_2[[#This Row],[Growth Days]]&lt;=14,"Seedling",Table4_2[[#This Row],[Growth Days]]&lt;=35, "Vegetative",Table4_2[[#This Row],[Growth Days]]&lt;=50, "Maturity")</f>
        <v>Maturity</v>
      </c>
      <c r="L2751" t="str">
        <f>IF(Table4_2[[#This Row],[TDS Value (ppm)]]&lt;560, "Low", IF(Table4_2[[#This Row],[TDS Value (ppm)]]&lt;=800,"Optimal","High"))</f>
        <v>Low</v>
      </c>
    </row>
    <row r="2752" spans="1:12" x14ac:dyDescent="0.25">
      <c r="A2752">
        <v>3</v>
      </c>
      <c r="B2752" s="1">
        <v>45144</v>
      </c>
      <c r="C2752" s="1" t="str">
        <f>TEXT(Table4_2[[#This Row],[Date]],"dddd")</f>
        <v>Sunday</v>
      </c>
      <c r="D2752" s="21">
        <v>33.4</v>
      </c>
      <c r="E2752" s="21">
        <v>62</v>
      </c>
      <c r="F2752" s="21">
        <v>525</v>
      </c>
      <c r="G2752" s="21">
        <v>6.6</v>
      </c>
      <c r="H2752">
        <v>4</v>
      </c>
      <c r="I2752">
        <v>92.12</v>
      </c>
      <c r="J2752">
        <v>0.62</v>
      </c>
      <c r="K2752" t="str" cm="1">
        <f t="array" ref="K2752">_xlfn.IFS(Table4_2[[#This Row],[Growth Days]]&lt;=14,"Seedling",Table4_2[[#This Row],[Growth Days]]&lt;=35, "Vegetative",Table4_2[[#This Row],[Growth Days]]&lt;=50, "Maturity")</f>
        <v>Seedling</v>
      </c>
      <c r="L2752" t="str">
        <f>IF(Table4_2[[#This Row],[TDS Value (ppm)]]&lt;560, "Low", IF(Table4_2[[#This Row],[TDS Value (ppm)]]&lt;=800,"Optimal","High"))</f>
        <v>Low</v>
      </c>
    </row>
    <row r="2753" spans="1:12" x14ac:dyDescent="0.25">
      <c r="A2753">
        <v>3</v>
      </c>
      <c r="B2753" s="1">
        <v>45151</v>
      </c>
      <c r="C2753" s="1" t="str">
        <f>TEXT(Table4_2[[#This Row],[Date]],"dddd")</f>
        <v>Sunday</v>
      </c>
      <c r="D2753" s="21">
        <v>30.1</v>
      </c>
      <c r="E2753" s="21">
        <v>55</v>
      </c>
      <c r="F2753" s="21">
        <v>745</v>
      </c>
      <c r="G2753" s="21">
        <v>6.1</v>
      </c>
      <c r="H2753">
        <v>11</v>
      </c>
      <c r="I2753">
        <v>86.18</v>
      </c>
      <c r="J2753">
        <v>0.55000000000000004</v>
      </c>
      <c r="K2753" t="str" cm="1">
        <f t="array" ref="K2753">_xlfn.IFS(Table4_2[[#This Row],[Growth Days]]&lt;=14,"Seedling",Table4_2[[#This Row],[Growth Days]]&lt;=35, "Vegetative",Table4_2[[#This Row],[Growth Days]]&lt;=50, "Maturity")</f>
        <v>Seedling</v>
      </c>
      <c r="L2753" t="str">
        <f>IF(Table4_2[[#This Row],[TDS Value (ppm)]]&lt;560, "Low", IF(Table4_2[[#This Row],[TDS Value (ppm)]]&lt;=800,"Optimal","High"))</f>
        <v>Optimal</v>
      </c>
    </row>
    <row r="2754" spans="1:12" x14ac:dyDescent="0.25">
      <c r="A2754">
        <v>3</v>
      </c>
      <c r="B2754" s="1">
        <v>45158</v>
      </c>
      <c r="C2754" s="1" t="str">
        <f>TEXT(Table4_2[[#This Row],[Date]],"dddd")</f>
        <v>Sunday</v>
      </c>
      <c r="D2754" s="21">
        <v>30.9</v>
      </c>
      <c r="E2754" s="21">
        <v>79</v>
      </c>
      <c r="F2754" s="21">
        <v>467</v>
      </c>
      <c r="G2754" s="21">
        <v>6.3</v>
      </c>
      <c r="H2754">
        <v>18</v>
      </c>
      <c r="I2754">
        <v>87.62</v>
      </c>
      <c r="J2754">
        <v>0.79</v>
      </c>
      <c r="K2754" t="str" cm="1">
        <f t="array" ref="K2754">_xlfn.IFS(Table4_2[[#This Row],[Growth Days]]&lt;=14,"Seedling",Table4_2[[#This Row],[Growth Days]]&lt;=35, "Vegetative",Table4_2[[#This Row],[Growth Days]]&lt;=50, "Maturity")</f>
        <v>Vegetative</v>
      </c>
      <c r="L2754" t="str">
        <f>IF(Table4_2[[#This Row],[TDS Value (ppm)]]&lt;560, "Low", IF(Table4_2[[#This Row],[TDS Value (ppm)]]&lt;=800,"Optimal","High"))</f>
        <v>Low</v>
      </c>
    </row>
    <row r="2755" spans="1:12" x14ac:dyDescent="0.25">
      <c r="A2755">
        <v>3</v>
      </c>
      <c r="B2755" s="1">
        <v>45165</v>
      </c>
      <c r="C2755" s="1" t="str">
        <f>TEXT(Table4_2[[#This Row],[Date]],"dddd")</f>
        <v>Sunday</v>
      </c>
      <c r="D2755" s="21">
        <v>30.1</v>
      </c>
      <c r="E2755" s="21">
        <v>80</v>
      </c>
      <c r="F2755" s="21">
        <v>661</v>
      </c>
      <c r="G2755" s="21">
        <v>6.7</v>
      </c>
      <c r="H2755">
        <v>25</v>
      </c>
      <c r="I2755">
        <v>86.18</v>
      </c>
      <c r="J2755">
        <v>0.8</v>
      </c>
      <c r="K2755" t="str" cm="1">
        <f t="array" ref="K2755">_xlfn.IFS(Table4_2[[#This Row],[Growth Days]]&lt;=14,"Seedling",Table4_2[[#This Row],[Growth Days]]&lt;=35, "Vegetative",Table4_2[[#This Row],[Growth Days]]&lt;=50, "Maturity")</f>
        <v>Vegetative</v>
      </c>
      <c r="L2755" t="str">
        <f>IF(Table4_2[[#This Row],[TDS Value (ppm)]]&lt;560, "Low", IF(Table4_2[[#This Row],[TDS Value (ppm)]]&lt;=800,"Optimal","High"))</f>
        <v>Optimal</v>
      </c>
    </row>
    <row r="2756" spans="1:12" x14ac:dyDescent="0.25">
      <c r="A2756">
        <v>3</v>
      </c>
      <c r="B2756" s="1">
        <v>45172</v>
      </c>
      <c r="C2756" s="1" t="str">
        <f>TEXT(Table4_2[[#This Row],[Date]],"dddd")</f>
        <v>Sunday</v>
      </c>
      <c r="D2756" s="21">
        <v>31.7</v>
      </c>
      <c r="E2756" s="21">
        <v>69</v>
      </c>
      <c r="F2756" s="21">
        <v>439</v>
      </c>
      <c r="G2756" s="21">
        <v>6.3</v>
      </c>
      <c r="H2756">
        <v>32</v>
      </c>
      <c r="I2756">
        <v>89.06</v>
      </c>
      <c r="J2756">
        <v>0.69</v>
      </c>
      <c r="K2756" t="str" cm="1">
        <f t="array" ref="K2756">_xlfn.IFS(Table4_2[[#This Row],[Growth Days]]&lt;=14,"Seedling",Table4_2[[#This Row],[Growth Days]]&lt;=35, "Vegetative",Table4_2[[#This Row],[Growth Days]]&lt;=50, "Maturity")</f>
        <v>Vegetative</v>
      </c>
      <c r="L2756" t="str">
        <f>IF(Table4_2[[#This Row],[TDS Value (ppm)]]&lt;560, "Low", IF(Table4_2[[#This Row],[TDS Value (ppm)]]&lt;=800,"Optimal","High"))</f>
        <v>Low</v>
      </c>
    </row>
    <row r="2757" spans="1:12" x14ac:dyDescent="0.25">
      <c r="A2757">
        <v>3</v>
      </c>
      <c r="B2757" s="1">
        <v>45179</v>
      </c>
      <c r="C2757" s="1" t="str">
        <f>TEXT(Table4_2[[#This Row],[Date]],"dddd")</f>
        <v>Sunday</v>
      </c>
      <c r="D2757" s="21">
        <v>31.1</v>
      </c>
      <c r="E2757" s="21">
        <v>79</v>
      </c>
      <c r="F2757" s="21">
        <v>794</v>
      </c>
      <c r="G2757" s="21">
        <v>6.3</v>
      </c>
      <c r="H2757">
        <v>39</v>
      </c>
      <c r="I2757">
        <v>87.98</v>
      </c>
      <c r="J2757">
        <v>0.79</v>
      </c>
      <c r="K2757" t="str" cm="1">
        <f t="array" ref="K2757">_xlfn.IFS(Table4_2[[#This Row],[Growth Days]]&lt;=14,"Seedling",Table4_2[[#This Row],[Growth Days]]&lt;=35, "Vegetative",Table4_2[[#This Row],[Growth Days]]&lt;=50, "Maturity")</f>
        <v>Maturity</v>
      </c>
      <c r="L2757" t="str">
        <f>IF(Table4_2[[#This Row],[TDS Value (ppm)]]&lt;560, "Low", IF(Table4_2[[#This Row],[TDS Value (ppm)]]&lt;=800,"Optimal","High"))</f>
        <v>Optimal</v>
      </c>
    </row>
    <row r="2758" spans="1:12" x14ac:dyDescent="0.25">
      <c r="A2758">
        <v>3</v>
      </c>
      <c r="B2758" s="1">
        <v>45186</v>
      </c>
      <c r="C2758" s="1" t="str">
        <f>TEXT(Table4_2[[#This Row],[Date]],"dddd")</f>
        <v>Sunday</v>
      </c>
      <c r="D2758" s="21">
        <v>30.5</v>
      </c>
      <c r="E2758" s="21">
        <v>75</v>
      </c>
      <c r="F2758" s="21">
        <v>517</v>
      </c>
      <c r="G2758" s="21">
        <v>6.4</v>
      </c>
      <c r="H2758">
        <v>46</v>
      </c>
      <c r="I2758">
        <v>86.9</v>
      </c>
      <c r="J2758">
        <v>0.75</v>
      </c>
      <c r="K2758" t="str" cm="1">
        <f t="array" ref="K2758">_xlfn.IFS(Table4_2[[#This Row],[Growth Days]]&lt;=14,"Seedling",Table4_2[[#This Row],[Growth Days]]&lt;=35, "Vegetative",Table4_2[[#This Row],[Growth Days]]&lt;=50, "Maturity")</f>
        <v>Maturity</v>
      </c>
      <c r="L2758" t="str">
        <f>IF(Table4_2[[#This Row],[TDS Value (ppm)]]&lt;560, "Low", IF(Table4_2[[#This Row],[TDS Value (ppm)]]&lt;=800,"Optimal","High"))</f>
        <v>Low</v>
      </c>
    </row>
    <row r="2759" spans="1:12" x14ac:dyDescent="0.25">
      <c r="A2759">
        <v>4</v>
      </c>
      <c r="B2759" s="1">
        <v>45144</v>
      </c>
      <c r="C2759" s="1" t="str">
        <f>TEXT(Table4_2[[#This Row],[Date]],"dddd")</f>
        <v>Sunday</v>
      </c>
      <c r="D2759" s="21">
        <v>33.4</v>
      </c>
      <c r="E2759" s="21">
        <v>58</v>
      </c>
      <c r="F2759" s="21">
        <v>562</v>
      </c>
      <c r="G2759" s="21">
        <v>6</v>
      </c>
      <c r="H2759">
        <v>4</v>
      </c>
      <c r="I2759">
        <v>92.12</v>
      </c>
      <c r="J2759">
        <v>0.57999999999999996</v>
      </c>
      <c r="K2759" t="str" cm="1">
        <f t="array" ref="K2759">_xlfn.IFS(Table4_2[[#This Row],[Growth Days]]&lt;=14,"Seedling",Table4_2[[#This Row],[Growth Days]]&lt;=35, "Vegetative",Table4_2[[#This Row],[Growth Days]]&lt;=50, "Maturity")</f>
        <v>Seedling</v>
      </c>
      <c r="L2759" t="str">
        <f>IF(Table4_2[[#This Row],[TDS Value (ppm)]]&lt;560, "Low", IF(Table4_2[[#This Row],[TDS Value (ppm)]]&lt;=800,"Optimal","High"))</f>
        <v>Optimal</v>
      </c>
    </row>
    <row r="2760" spans="1:12" x14ac:dyDescent="0.25">
      <c r="A2760">
        <v>4</v>
      </c>
      <c r="B2760" s="1">
        <v>45151</v>
      </c>
      <c r="C2760" s="1" t="str">
        <f>TEXT(Table4_2[[#This Row],[Date]],"dddd")</f>
        <v>Sunday</v>
      </c>
      <c r="D2760" s="21">
        <v>30.1</v>
      </c>
      <c r="E2760" s="21">
        <v>70</v>
      </c>
      <c r="F2760" s="21">
        <v>419</v>
      </c>
      <c r="G2760" s="21">
        <v>6.1</v>
      </c>
      <c r="H2760">
        <v>11</v>
      </c>
      <c r="I2760">
        <v>86.18</v>
      </c>
      <c r="J2760">
        <v>0.7</v>
      </c>
      <c r="K2760" t="str" cm="1">
        <f t="array" ref="K2760">_xlfn.IFS(Table4_2[[#This Row],[Growth Days]]&lt;=14,"Seedling",Table4_2[[#This Row],[Growth Days]]&lt;=35, "Vegetative",Table4_2[[#This Row],[Growth Days]]&lt;=50, "Maturity")</f>
        <v>Seedling</v>
      </c>
      <c r="L2760" t="str">
        <f>IF(Table4_2[[#This Row],[TDS Value (ppm)]]&lt;560, "Low", IF(Table4_2[[#This Row],[TDS Value (ppm)]]&lt;=800,"Optimal","High"))</f>
        <v>Low</v>
      </c>
    </row>
    <row r="2761" spans="1:12" x14ac:dyDescent="0.25">
      <c r="A2761">
        <v>4</v>
      </c>
      <c r="B2761" s="1">
        <v>45158</v>
      </c>
      <c r="C2761" s="1" t="str">
        <f>TEXT(Table4_2[[#This Row],[Date]],"dddd")</f>
        <v>Sunday</v>
      </c>
      <c r="D2761" s="21">
        <v>30.9</v>
      </c>
      <c r="E2761" s="21">
        <v>66</v>
      </c>
      <c r="F2761" s="21">
        <v>490</v>
      </c>
      <c r="G2761" s="21">
        <v>6.3</v>
      </c>
      <c r="H2761">
        <v>18</v>
      </c>
      <c r="I2761">
        <v>87.62</v>
      </c>
      <c r="J2761">
        <v>0.66</v>
      </c>
      <c r="K2761" t="str" cm="1">
        <f t="array" ref="K2761">_xlfn.IFS(Table4_2[[#This Row],[Growth Days]]&lt;=14,"Seedling",Table4_2[[#This Row],[Growth Days]]&lt;=35, "Vegetative",Table4_2[[#This Row],[Growth Days]]&lt;=50, "Maturity")</f>
        <v>Vegetative</v>
      </c>
      <c r="L2761" t="str">
        <f>IF(Table4_2[[#This Row],[TDS Value (ppm)]]&lt;560, "Low", IF(Table4_2[[#This Row],[TDS Value (ppm)]]&lt;=800,"Optimal","High"))</f>
        <v>Low</v>
      </c>
    </row>
    <row r="2762" spans="1:12" x14ac:dyDescent="0.25">
      <c r="A2762">
        <v>4</v>
      </c>
      <c r="B2762" s="1">
        <v>45165</v>
      </c>
      <c r="C2762" s="1" t="str">
        <f>TEXT(Table4_2[[#This Row],[Date]],"dddd")</f>
        <v>Sunday</v>
      </c>
      <c r="D2762" s="21">
        <v>30.1</v>
      </c>
      <c r="E2762" s="21">
        <v>66</v>
      </c>
      <c r="F2762" s="21">
        <v>652</v>
      </c>
      <c r="G2762" s="21">
        <v>6.6</v>
      </c>
      <c r="H2762">
        <v>25</v>
      </c>
      <c r="I2762">
        <v>86.18</v>
      </c>
      <c r="J2762">
        <v>0.66</v>
      </c>
      <c r="K2762" t="str" cm="1">
        <f t="array" ref="K2762">_xlfn.IFS(Table4_2[[#This Row],[Growth Days]]&lt;=14,"Seedling",Table4_2[[#This Row],[Growth Days]]&lt;=35, "Vegetative",Table4_2[[#This Row],[Growth Days]]&lt;=50, "Maturity")</f>
        <v>Vegetative</v>
      </c>
      <c r="L2762" t="str">
        <f>IF(Table4_2[[#This Row],[TDS Value (ppm)]]&lt;560, "Low", IF(Table4_2[[#This Row],[TDS Value (ppm)]]&lt;=800,"Optimal","High"))</f>
        <v>Optimal</v>
      </c>
    </row>
    <row r="2763" spans="1:12" x14ac:dyDescent="0.25">
      <c r="A2763">
        <v>4</v>
      </c>
      <c r="B2763" s="1">
        <v>45172</v>
      </c>
      <c r="C2763" s="1" t="str">
        <f>TEXT(Table4_2[[#This Row],[Date]],"dddd")</f>
        <v>Sunday</v>
      </c>
      <c r="D2763" s="21">
        <v>31.7</v>
      </c>
      <c r="E2763" s="21">
        <v>69</v>
      </c>
      <c r="F2763" s="21">
        <v>546</v>
      </c>
      <c r="G2763" s="21">
        <v>6.3</v>
      </c>
      <c r="H2763">
        <v>32</v>
      </c>
      <c r="I2763">
        <v>89.06</v>
      </c>
      <c r="J2763">
        <v>0.69</v>
      </c>
      <c r="K2763" t="str" cm="1">
        <f t="array" ref="K2763">_xlfn.IFS(Table4_2[[#This Row],[Growth Days]]&lt;=14,"Seedling",Table4_2[[#This Row],[Growth Days]]&lt;=35, "Vegetative",Table4_2[[#This Row],[Growth Days]]&lt;=50, "Maturity")</f>
        <v>Vegetative</v>
      </c>
      <c r="L2763" t="str">
        <f>IF(Table4_2[[#This Row],[TDS Value (ppm)]]&lt;560, "Low", IF(Table4_2[[#This Row],[TDS Value (ppm)]]&lt;=800,"Optimal","High"))</f>
        <v>Low</v>
      </c>
    </row>
    <row r="2764" spans="1:12" x14ac:dyDescent="0.25">
      <c r="A2764">
        <v>4</v>
      </c>
      <c r="B2764" s="1">
        <v>45179</v>
      </c>
      <c r="C2764" s="1" t="str">
        <f>TEXT(Table4_2[[#This Row],[Date]],"dddd")</f>
        <v>Sunday</v>
      </c>
      <c r="D2764" s="21">
        <v>31.1</v>
      </c>
      <c r="E2764" s="21">
        <v>63</v>
      </c>
      <c r="F2764" s="21">
        <v>543</v>
      </c>
      <c r="G2764" s="21">
        <v>6.3</v>
      </c>
      <c r="H2764">
        <v>39</v>
      </c>
      <c r="I2764">
        <v>87.98</v>
      </c>
      <c r="J2764">
        <v>0.63</v>
      </c>
      <c r="K2764" t="str" cm="1">
        <f t="array" ref="K2764">_xlfn.IFS(Table4_2[[#This Row],[Growth Days]]&lt;=14,"Seedling",Table4_2[[#This Row],[Growth Days]]&lt;=35, "Vegetative",Table4_2[[#This Row],[Growth Days]]&lt;=50, "Maturity")</f>
        <v>Maturity</v>
      </c>
      <c r="L2764" t="str">
        <f>IF(Table4_2[[#This Row],[TDS Value (ppm)]]&lt;560, "Low", IF(Table4_2[[#This Row],[TDS Value (ppm)]]&lt;=800,"Optimal","High"))</f>
        <v>Low</v>
      </c>
    </row>
    <row r="2765" spans="1:12" x14ac:dyDescent="0.25">
      <c r="A2765">
        <v>4</v>
      </c>
      <c r="B2765" s="1">
        <v>45186</v>
      </c>
      <c r="C2765" s="1" t="str">
        <f>TEXT(Table4_2[[#This Row],[Date]],"dddd")</f>
        <v>Sunday</v>
      </c>
      <c r="D2765" s="21">
        <v>31.3</v>
      </c>
      <c r="E2765" s="21">
        <v>71</v>
      </c>
      <c r="F2765" s="21">
        <v>652</v>
      </c>
      <c r="G2765" s="21">
        <v>6.8</v>
      </c>
      <c r="H2765">
        <v>46</v>
      </c>
      <c r="I2765">
        <v>88.34</v>
      </c>
      <c r="J2765">
        <v>0.71</v>
      </c>
      <c r="K2765" t="str" cm="1">
        <f t="array" ref="K2765">_xlfn.IFS(Table4_2[[#This Row],[Growth Days]]&lt;=14,"Seedling",Table4_2[[#This Row],[Growth Days]]&lt;=35, "Vegetative",Table4_2[[#This Row],[Growth Days]]&lt;=50, "Maturity")</f>
        <v>Maturity</v>
      </c>
      <c r="L2765" t="str">
        <f>IF(Table4_2[[#This Row],[TDS Value (ppm)]]&lt;560, "Low", IF(Table4_2[[#This Row],[TDS Value (ppm)]]&lt;=800,"Optimal","High"))</f>
        <v>Optimal</v>
      </c>
    </row>
    <row r="2766" spans="1:12" x14ac:dyDescent="0.25">
      <c r="A2766">
        <v>5</v>
      </c>
      <c r="B2766" s="1">
        <v>45144</v>
      </c>
      <c r="C2766" s="1" t="str">
        <f>TEXT(Table4_2[[#This Row],[Date]],"dddd")</f>
        <v>Sunday</v>
      </c>
      <c r="D2766" s="21">
        <v>33.4</v>
      </c>
      <c r="E2766" s="21">
        <v>76</v>
      </c>
      <c r="F2766" s="21">
        <v>572</v>
      </c>
      <c r="G2766" s="21">
        <v>6.6</v>
      </c>
      <c r="H2766">
        <v>4</v>
      </c>
      <c r="I2766">
        <v>92.12</v>
      </c>
      <c r="J2766">
        <v>0.76</v>
      </c>
      <c r="K2766" t="str" cm="1">
        <f t="array" ref="K2766">_xlfn.IFS(Table4_2[[#This Row],[Growth Days]]&lt;=14,"Seedling",Table4_2[[#This Row],[Growth Days]]&lt;=35, "Vegetative",Table4_2[[#This Row],[Growth Days]]&lt;=50, "Maturity")</f>
        <v>Seedling</v>
      </c>
      <c r="L2766" t="str">
        <f>IF(Table4_2[[#This Row],[TDS Value (ppm)]]&lt;560, "Low", IF(Table4_2[[#This Row],[TDS Value (ppm)]]&lt;=800,"Optimal","High"))</f>
        <v>Optimal</v>
      </c>
    </row>
    <row r="2767" spans="1:12" x14ac:dyDescent="0.25">
      <c r="A2767">
        <v>5</v>
      </c>
      <c r="B2767" s="1">
        <v>45151</v>
      </c>
      <c r="C2767" s="1" t="str">
        <f>TEXT(Table4_2[[#This Row],[Date]],"dddd")</f>
        <v>Sunday</v>
      </c>
      <c r="D2767" s="21">
        <v>30.1</v>
      </c>
      <c r="E2767" s="21">
        <v>79</v>
      </c>
      <c r="F2767" s="21">
        <v>429</v>
      </c>
      <c r="G2767" s="21">
        <v>6.2</v>
      </c>
      <c r="H2767">
        <v>11</v>
      </c>
      <c r="I2767">
        <v>86.18</v>
      </c>
      <c r="J2767">
        <v>0.79</v>
      </c>
      <c r="K2767" t="str" cm="1">
        <f t="array" ref="K2767">_xlfn.IFS(Table4_2[[#This Row],[Growth Days]]&lt;=14,"Seedling",Table4_2[[#This Row],[Growth Days]]&lt;=35, "Vegetative",Table4_2[[#This Row],[Growth Days]]&lt;=50, "Maturity")</f>
        <v>Seedling</v>
      </c>
      <c r="L2767" t="str">
        <f>IF(Table4_2[[#This Row],[TDS Value (ppm)]]&lt;560, "Low", IF(Table4_2[[#This Row],[TDS Value (ppm)]]&lt;=800,"Optimal","High"))</f>
        <v>Low</v>
      </c>
    </row>
    <row r="2768" spans="1:12" x14ac:dyDescent="0.25">
      <c r="A2768">
        <v>5</v>
      </c>
      <c r="B2768" s="1">
        <v>45158</v>
      </c>
      <c r="C2768" s="1" t="str">
        <f>TEXT(Table4_2[[#This Row],[Date]],"dddd")</f>
        <v>Sunday</v>
      </c>
      <c r="D2768" s="21">
        <v>30.9</v>
      </c>
      <c r="E2768" s="21">
        <v>57</v>
      </c>
      <c r="F2768" s="21">
        <v>502</v>
      </c>
      <c r="G2768" s="21">
        <v>6.7</v>
      </c>
      <c r="H2768">
        <v>18</v>
      </c>
      <c r="I2768">
        <v>87.62</v>
      </c>
      <c r="J2768">
        <v>0.56999999999999995</v>
      </c>
      <c r="K2768" t="str" cm="1">
        <f t="array" ref="K2768">_xlfn.IFS(Table4_2[[#This Row],[Growth Days]]&lt;=14,"Seedling",Table4_2[[#This Row],[Growth Days]]&lt;=35, "Vegetative",Table4_2[[#This Row],[Growth Days]]&lt;=50, "Maturity")</f>
        <v>Vegetative</v>
      </c>
      <c r="L2768" t="str">
        <f>IF(Table4_2[[#This Row],[TDS Value (ppm)]]&lt;560, "Low", IF(Table4_2[[#This Row],[TDS Value (ppm)]]&lt;=800,"Optimal","High"))</f>
        <v>Low</v>
      </c>
    </row>
    <row r="2769" spans="1:12" x14ac:dyDescent="0.25">
      <c r="A2769">
        <v>5</v>
      </c>
      <c r="B2769" s="1">
        <v>45165</v>
      </c>
      <c r="C2769" s="1" t="str">
        <f>TEXT(Table4_2[[#This Row],[Date]],"dddd")</f>
        <v>Sunday</v>
      </c>
      <c r="D2769" s="21">
        <v>30.1</v>
      </c>
      <c r="E2769" s="21">
        <v>52</v>
      </c>
      <c r="F2769" s="21">
        <v>468</v>
      </c>
      <c r="G2769" s="21">
        <v>6.7</v>
      </c>
      <c r="H2769">
        <v>25</v>
      </c>
      <c r="I2769">
        <v>86.18</v>
      </c>
      <c r="J2769">
        <v>0.52</v>
      </c>
      <c r="K2769" t="str" cm="1">
        <f t="array" ref="K2769">_xlfn.IFS(Table4_2[[#This Row],[Growth Days]]&lt;=14,"Seedling",Table4_2[[#This Row],[Growth Days]]&lt;=35, "Vegetative",Table4_2[[#This Row],[Growth Days]]&lt;=50, "Maturity")</f>
        <v>Vegetative</v>
      </c>
      <c r="L2769" t="str">
        <f>IF(Table4_2[[#This Row],[TDS Value (ppm)]]&lt;560, "Low", IF(Table4_2[[#This Row],[TDS Value (ppm)]]&lt;=800,"Optimal","High"))</f>
        <v>Low</v>
      </c>
    </row>
    <row r="2770" spans="1:12" x14ac:dyDescent="0.25">
      <c r="A2770">
        <v>5</v>
      </c>
      <c r="B2770" s="1">
        <v>45172</v>
      </c>
      <c r="C2770" s="1" t="str">
        <f>TEXT(Table4_2[[#This Row],[Date]],"dddd")</f>
        <v>Sunday</v>
      </c>
      <c r="D2770" s="21">
        <v>31.7</v>
      </c>
      <c r="E2770" s="21">
        <v>67</v>
      </c>
      <c r="F2770" s="21">
        <v>468</v>
      </c>
      <c r="G2770" s="21">
        <v>6.2</v>
      </c>
      <c r="H2770">
        <v>32</v>
      </c>
      <c r="I2770">
        <v>89.06</v>
      </c>
      <c r="J2770">
        <v>0.67</v>
      </c>
      <c r="K2770" t="str" cm="1">
        <f t="array" ref="K2770">_xlfn.IFS(Table4_2[[#This Row],[Growth Days]]&lt;=14,"Seedling",Table4_2[[#This Row],[Growth Days]]&lt;=35, "Vegetative",Table4_2[[#This Row],[Growth Days]]&lt;=50, "Maturity")</f>
        <v>Vegetative</v>
      </c>
      <c r="L2770" t="str">
        <f>IF(Table4_2[[#This Row],[TDS Value (ppm)]]&lt;560, "Low", IF(Table4_2[[#This Row],[TDS Value (ppm)]]&lt;=800,"Optimal","High"))</f>
        <v>Low</v>
      </c>
    </row>
    <row r="2771" spans="1:12" x14ac:dyDescent="0.25">
      <c r="A2771">
        <v>5</v>
      </c>
      <c r="B2771" s="1">
        <v>45179</v>
      </c>
      <c r="C2771" s="1" t="str">
        <f>TEXT(Table4_2[[#This Row],[Date]],"dddd")</f>
        <v>Sunday</v>
      </c>
      <c r="D2771" s="21">
        <v>31.1</v>
      </c>
      <c r="E2771" s="21">
        <v>76</v>
      </c>
      <c r="F2771" s="21">
        <v>573</v>
      </c>
      <c r="G2771" s="21">
        <v>6.4</v>
      </c>
      <c r="H2771">
        <v>39</v>
      </c>
      <c r="I2771">
        <v>87.98</v>
      </c>
      <c r="J2771">
        <v>0.76</v>
      </c>
      <c r="K2771" t="str" cm="1">
        <f t="array" ref="K2771">_xlfn.IFS(Table4_2[[#This Row],[Growth Days]]&lt;=14,"Seedling",Table4_2[[#This Row],[Growth Days]]&lt;=35, "Vegetative",Table4_2[[#This Row],[Growth Days]]&lt;=50, "Maturity")</f>
        <v>Maturity</v>
      </c>
      <c r="L2771" t="str">
        <f>IF(Table4_2[[#This Row],[TDS Value (ppm)]]&lt;560, "Low", IF(Table4_2[[#This Row],[TDS Value (ppm)]]&lt;=800,"Optimal","High"))</f>
        <v>Optimal</v>
      </c>
    </row>
    <row r="2772" spans="1:12" x14ac:dyDescent="0.25">
      <c r="A2772">
        <v>6</v>
      </c>
      <c r="B2772" s="1">
        <v>45144</v>
      </c>
      <c r="C2772" s="1" t="str">
        <f>TEXT(Table4_2[[#This Row],[Date]],"dddd")</f>
        <v>Sunday</v>
      </c>
      <c r="D2772" s="21">
        <v>33.4</v>
      </c>
      <c r="E2772" s="21">
        <v>56</v>
      </c>
      <c r="F2772" s="21">
        <v>653</v>
      </c>
      <c r="G2772" s="21">
        <v>6.3</v>
      </c>
      <c r="H2772">
        <v>4</v>
      </c>
      <c r="I2772">
        <v>92.12</v>
      </c>
      <c r="J2772">
        <v>0.56000000000000005</v>
      </c>
      <c r="K2772" t="str" cm="1">
        <f t="array" ref="K2772">_xlfn.IFS(Table4_2[[#This Row],[Growth Days]]&lt;=14,"Seedling",Table4_2[[#This Row],[Growth Days]]&lt;=35, "Vegetative",Table4_2[[#This Row],[Growth Days]]&lt;=50, "Maturity")</f>
        <v>Seedling</v>
      </c>
      <c r="L2772" t="str">
        <f>IF(Table4_2[[#This Row],[TDS Value (ppm)]]&lt;560, "Low", IF(Table4_2[[#This Row],[TDS Value (ppm)]]&lt;=800,"Optimal","High"))</f>
        <v>Optimal</v>
      </c>
    </row>
    <row r="2773" spans="1:12" x14ac:dyDescent="0.25">
      <c r="A2773">
        <v>6</v>
      </c>
      <c r="B2773" s="1">
        <v>45151</v>
      </c>
      <c r="C2773" s="1" t="str">
        <f>TEXT(Table4_2[[#This Row],[Date]],"dddd")</f>
        <v>Sunday</v>
      </c>
      <c r="D2773" s="21">
        <v>30.1</v>
      </c>
      <c r="E2773" s="21">
        <v>59</v>
      </c>
      <c r="F2773" s="21">
        <v>648</v>
      </c>
      <c r="G2773" s="21">
        <v>6.1</v>
      </c>
      <c r="H2773">
        <v>11</v>
      </c>
      <c r="I2773">
        <v>86.18</v>
      </c>
      <c r="J2773">
        <v>0.59</v>
      </c>
      <c r="K2773" t="str" cm="1">
        <f t="array" ref="K2773">_xlfn.IFS(Table4_2[[#This Row],[Growth Days]]&lt;=14,"Seedling",Table4_2[[#This Row],[Growth Days]]&lt;=35, "Vegetative",Table4_2[[#This Row],[Growth Days]]&lt;=50, "Maturity")</f>
        <v>Seedling</v>
      </c>
      <c r="L2773" t="str">
        <f>IF(Table4_2[[#This Row],[TDS Value (ppm)]]&lt;560, "Low", IF(Table4_2[[#This Row],[TDS Value (ppm)]]&lt;=800,"Optimal","High"))</f>
        <v>Optimal</v>
      </c>
    </row>
    <row r="2774" spans="1:12" x14ac:dyDescent="0.25">
      <c r="A2774">
        <v>6</v>
      </c>
      <c r="B2774" s="1">
        <v>45158</v>
      </c>
      <c r="C2774" s="1" t="str">
        <f>TEXT(Table4_2[[#This Row],[Date]],"dddd")</f>
        <v>Sunday</v>
      </c>
      <c r="D2774" s="21">
        <v>30.9</v>
      </c>
      <c r="E2774" s="21">
        <v>56</v>
      </c>
      <c r="F2774" s="21">
        <v>568</v>
      </c>
      <c r="G2774" s="21">
        <v>6.2</v>
      </c>
      <c r="H2774">
        <v>18</v>
      </c>
      <c r="I2774">
        <v>87.62</v>
      </c>
      <c r="J2774">
        <v>0.56000000000000005</v>
      </c>
      <c r="K2774" t="str" cm="1">
        <f t="array" ref="K2774">_xlfn.IFS(Table4_2[[#This Row],[Growth Days]]&lt;=14,"Seedling",Table4_2[[#This Row],[Growth Days]]&lt;=35, "Vegetative",Table4_2[[#This Row],[Growth Days]]&lt;=50, "Maturity")</f>
        <v>Vegetative</v>
      </c>
      <c r="L2774" t="str">
        <f>IF(Table4_2[[#This Row],[TDS Value (ppm)]]&lt;560, "Low", IF(Table4_2[[#This Row],[TDS Value (ppm)]]&lt;=800,"Optimal","High"))</f>
        <v>Optimal</v>
      </c>
    </row>
    <row r="2775" spans="1:12" x14ac:dyDescent="0.25">
      <c r="A2775">
        <v>6</v>
      </c>
      <c r="B2775" s="1">
        <v>45165</v>
      </c>
      <c r="C2775" s="1" t="str">
        <f>TEXT(Table4_2[[#This Row],[Date]],"dddd")</f>
        <v>Sunday</v>
      </c>
      <c r="D2775" s="21">
        <v>30.1</v>
      </c>
      <c r="E2775" s="21">
        <v>51</v>
      </c>
      <c r="F2775" s="21">
        <v>474</v>
      </c>
      <c r="G2775" s="21">
        <v>6.2</v>
      </c>
      <c r="H2775">
        <v>25</v>
      </c>
      <c r="I2775">
        <v>86.18</v>
      </c>
      <c r="J2775">
        <v>0.51</v>
      </c>
      <c r="K2775" t="str" cm="1">
        <f t="array" ref="K2775">_xlfn.IFS(Table4_2[[#This Row],[Growth Days]]&lt;=14,"Seedling",Table4_2[[#This Row],[Growth Days]]&lt;=35, "Vegetative",Table4_2[[#This Row],[Growth Days]]&lt;=50, "Maturity")</f>
        <v>Vegetative</v>
      </c>
      <c r="L2775" t="str">
        <f>IF(Table4_2[[#This Row],[TDS Value (ppm)]]&lt;560, "Low", IF(Table4_2[[#This Row],[TDS Value (ppm)]]&lt;=800,"Optimal","High"))</f>
        <v>Low</v>
      </c>
    </row>
    <row r="2776" spans="1:12" x14ac:dyDescent="0.25">
      <c r="A2776">
        <v>6</v>
      </c>
      <c r="B2776" s="1">
        <v>45172</v>
      </c>
      <c r="C2776" s="1" t="str">
        <f>TEXT(Table4_2[[#This Row],[Date]],"dddd")</f>
        <v>Sunday</v>
      </c>
      <c r="D2776" s="21">
        <v>31.7</v>
      </c>
      <c r="E2776" s="21">
        <v>53</v>
      </c>
      <c r="F2776" s="21">
        <v>757</v>
      </c>
      <c r="G2776" s="21">
        <v>6.5</v>
      </c>
      <c r="H2776">
        <v>32</v>
      </c>
      <c r="I2776">
        <v>89.06</v>
      </c>
      <c r="J2776">
        <v>0.53</v>
      </c>
      <c r="K2776" t="str" cm="1">
        <f t="array" ref="K2776">_xlfn.IFS(Table4_2[[#This Row],[Growth Days]]&lt;=14,"Seedling",Table4_2[[#This Row],[Growth Days]]&lt;=35, "Vegetative",Table4_2[[#This Row],[Growth Days]]&lt;=50, "Maturity")</f>
        <v>Vegetative</v>
      </c>
      <c r="L2776" t="str">
        <f>IF(Table4_2[[#This Row],[TDS Value (ppm)]]&lt;560, "Low", IF(Table4_2[[#This Row],[TDS Value (ppm)]]&lt;=800,"Optimal","High"))</f>
        <v>Optimal</v>
      </c>
    </row>
    <row r="2777" spans="1:12" x14ac:dyDescent="0.25">
      <c r="A2777">
        <v>6</v>
      </c>
      <c r="B2777" s="1">
        <v>45179</v>
      </c>
      <c r="C2777" s="1" t="str">
        <f>TEXT(Table4_2[[#This Row],[Date]],"dddd")</f>
        <v>Sunday</v>
      </c>
      <c r="D2777" s="21">
        <v>31.1</v>
      </c>
      <c r="E2777" s="21">
        <v>71</v>
      </c>
      <c r="F2777" s="21">
        <v>555</v>
      </c>
      <c r="G2777" s="21">
        <v>6.2</v>
      </c>
      <c r="H2777">
        <v>39</v>
      </c>
      <c r="I2777">
        <v>87.98</v>
      </c>
      <c r="J2777">
        <v>0.71</v>
      </c>
      <c r="K2777" t="str" cm="1">
        <f t="array" ref="K2777">_xlfn.IFS(Table4_2[[#This Row],[Growth Days]]&lt;=14,"Seedling",Table4_2[[#This Row],[Growth Days]]&lt;=35, "Vegetative",Table4_2[[#This Row],[Growth Days]]&lt;=50, "Maturity")</f>
        <v>Maturity</v>
      </c>
      <c r="L2777" t="str">
        <f>IF(Table4_2[[#This Row],[TDS Value (ppm)]]&lt;560, "Low", IF(Table4_2[[#This Row],[TDS Value (ppm)]]&lt;=800,"Optimal","High"))</f>
        <v>Low</v>
      </c>
    </row>
    <row r="2778" spans="1:12" x14ac:dyDescent="0.25">
      <c r="A2778">
        <v>7</v>
      </c>
      <c r="B2778" s="1">
        <v>45144</v>
      </c>
      <c r="C2778" s="1" t="str">
        <f>TEXT(Table4_2[[#This Row],[Date]],"dddd")</f>
        <v>Sunday</v>
      </c>
      <c r="D2778" s="21">
        <v>33.4</v>
      </c>
      <c r="E2778" s="21">
        <v>58</v>
      </c>
      <c r="F2778" s="21">
        <v>583</v>
      </c>
      <c r="G2778" s="21">
        <v>6.1</v>
      </c>
      <c r="H2778">
        <v>4</v>
      </c>
      <c r="I2778">
        <v>92.12</v>
      </c>
      <c r="J2778">
        <v>0.57999999999999996</v>
      </c>
      <c r="K2778" t="str" cm="1">
        <f t="array" ref="K2778">_xlfn.IFS(Table4_2[[#This Row],[Growth Days]]&lt;=14,"Seedling",Table4_2[[#This Row],[Growth Days]]&lt;=35, "Vegetative",Table4_2[[#This Row],[Growth Days]]&lt;=50, "Maturity")</f>
        <v>Seedling</v>
      </c>
      <c r="L2778" t="str">
        <f>IF(Table4_2[[#This Row],[TDS Value (ppm)]]&lt;560, "Low", IF(Table4_2[[#This Row],[TDS Value (ppm)]]&lt;=800,"Optimal","High"))</f>
        <v>Optimal</v>
      </c>
    </row>
    <row r="2779" spans="1:12" x14ac:dyDescent="0.25">
      <c r="A2779">
        <v>7</v>
      </c>
      <c r="B2779" s="1">
        <v>45151</v>
      </c>
      <c r="C2779" s="1" t="str">
        <f>TEXT(Table4_2[[#This Row],[Date]],"dddd")</f>
        <v>Sunday</v>
      </c>
      <c r="D2779" s="21">
        <v>30.1</v>
      </c>
      <c r="E2779" s="21">
        <v>68</v>
      </c>
      <c r="F2779" s="21">
        <v>432</v>
      </c>
      <c r="G2779" s="21">
        <v>6.4</v>
      </c>
      <c r="H2779">
        <v>11</v>
      </c>
      <c r="I2779">
        <v>86.18</v>
      </c>
      <c r="J2779">
        <v>0.68</v>
      </c>
      <c r="K2779" t="str" cm="1">
        <f t="array" ref="K2779">_xlfn.IFS(Table4_2[[#This Row],[Growth Days]]&lt;=14,"Seedling",Table4_2[[#This Row],[Growth Days]]&lt;=35, "Vegetative",Table4_2[[#This Row],[Growth Days]]&lt;=50, "Maturity")</f>
        <v>Seedling</v>
      </c>
      <c r="L2779" t="str">
        <f>IF(Table4_2[[#This Row],[TDS Value (ppm)]]&lt;560, "Low", IF(Table4_2[[#This Row],[TDS Value (ppm)]]&lt;=800,"Optimal","High"))</f>
        <v>Low</v>
      </c>
    </row>
    <row r="2780" spans="1:12" x14ac:dyDescent="0.25">
      <c r="A2780">
        <v>7</v>
      </c>
      <c r="B2780" s="1">
        <v>45158</v>
      </c>
      <c r="C2780" s="1" t="str">
        <f>TEXT(Table4_2[[#This Row],[Date]],"dddd")</f>
        <v>Sunday</v>
      </c>
      <c r="D2780" s="21">
        <v>30.9</v>
      </c>
      <c r="E2780" s="21">
        <v>77</v>
      </c>
      <c r="F2780" s="21">
        <v>730</v>
      </c>
      <c r="G2780" s="21">
        <v>6.4</v>
      </c>
      <c r="H2780">
        <v>18</v>
      </c>
      <c r="I2780">
        <v>87.62</v>
      </c>
      <c r="J2780">
        <v>0.77</v>
      </c>
      <c r="K2780" t="str" cm="1">
        <f t="array" ref="K2780">_xlfn.IFS(Table4_2[[#This Row],[Growth Days]]&lt;=14,"Seedling",Table4_2[[#This Row],[Growth Days]]&lt;=35, "Vegetative",Table4_2[[#This Row],[Growth Days]]&lt;=50, "Maturity")</f>
        <v>Vegetative</v>
      </c>
      <c r="L2780" t="str">
        <f>IF(Table4_2[[#This Row],[TDS Value (ppm)]]&lt;560, "Low", IF(Table4_2[[#This Row],[TDS Value (ppm)]]&lt;=800,"Optimal","High"))</f>
        <v>Optimal</v>
      </c>
    </row>
    <row r="2781" spans="1:12" x14ac:dyDescent="0.25">
      <c r="A2781">
        <v>7</v>
      </c>
      <c r="B2781" s="1">
        <v>45165</v>
      </c>
      <c r="C2781" s="1" t="str">
        <f>TEXT(Table4_2[[#This Row],[Date]],"dddd")</f>
        <v>Sunday</v>
      </c>
      <c r="D2781" s="21">
        <v>30.1</v>
      </c>
      <c r="E2781" s="21">
        <v>55</v>
      </c>
      <c r="F2781" s="21">
        <v>600</v>
      </c>
      <c r="G2781" s="21">
        <v>6.5</v>
      </c>
      <c r="H2781">
        <v>25</v>
      </c>
      <c r="I2781">
        <v>86.18</v>
      </c>
      <c r="J2781">
        <v>0.55000000000000004</v>
      </c>
      <c r="K2781" t="str" cm="1">
        <f t="array" ref="K2781">_xlfn.IFS(Table4_2[[#This Row],[Growth Days]]&lt;=14,"Seedling",Table4_2[[#This Row],[Growth Days]]&lt;=35, "Vegetative",Table4_2[[#This Row],[Growth Days]]&lt;=50, "Maturity")</f>
        <v>Vegetative</v>
      </c>
      <c r="L2781" t="str">
        <f>IF(Table4_2[[#This Row],[TDS Value (ppm)]]&lt;560, "Low", IF(Table4_2[[#This Row],[TDS Value (ppm)]]&lt;=800,"Optimal","High"))</f>
        <v>Optimal</v>
      </c>
    </row>
    <row r="2782" spans="1:12" x14ac:dyDescent="0.25">
      <c r="A2782">
        <v>7</v>
      </c>
      <c r="B2782" s="1">
        <v>45172</v>
      </c>
      <c r="C2782" s="1" t="str">
        <f>TEXT(Table4_2[[#This Row],[Date]],"dddd")</f>
        <v>Sunday</v>
      </c>
      <c r="D2782" s="21">
        <v>31.7</v>
      </c>
      <c r="E2782" s="21">
        <v>71</v>
      </c>
      <c r="F2782" s="21">
        <v>781</v>
      </c>
      <c r="G2782" s="21">
        <v>6.6</v>
      </c>
      <c r="H2782">
        <v>32</v>
      </c>
      <c r="I2782">
        <v>89.06</v>
      </c>
      <c r="J2782">
        <v>0.71</v>
      </c>
      <c r="K2782" t="str" cm="1">
        <f t="array" ref="K2782">_xlfn.IFS(Table4_2[[#This Row],[Growth Days]]&lt;=14,"Seedling",Table4_2[[#This Row],[Growth Days]]&lt;=35, "Vegetative",Table4_2[[#This Row],[Growth Days]]&lt;=50, "Maturity")</f>
        <v>Vegetative</v>
      </c>
      <c r="L2782" t="str">
        <f>IF(Table4_2[[#This Row],[TDS Value (ppm)]]&lt;560, "Low", IF(Table4_2[[#This Row],[TDS Value (ppm)]]&lt;=800,"Optimal","High"))</f>
        <v>Optimal</v>
      </c>
    </row>
    <row r="2783" spans="1:12" x14ac:dyDescent="0.25">
      <c r="A2783">
        <v>7</v>
      </c>
      <c r="B2783" s="1">
        <v>45179</v>
      </c>
      <c r="C2783" s="1" t="str">
        <f>TEXT(Table4_2[[#This Row],[Date]],"dddd")</f>
        <v>Sunday</v>
      </c>
      <c r="D2783" s="21">
        <v>31.1</v>
      </c>
      <c r="E2783" s="21">
        <v>53</v>
      </c>
      <c r="F2783" s="21">
        <v>545</v>
      </c>
      <c r="G2783" s="21">
        <v>6.2</v>
      </c>
      <c r="H2783">
        <v>39</v>
      </c>
      <c r="I2783">
        <v>87.98</v>
      </c>
      <c r="J2783">
        <v>0.53</v>
      </c>
      <c r="K2783" t="str" cm="1">
        <f t="array" ref="K2783">_xlfn.IFS(Table4_2[[#This Row],[Growth Days]]&lt;=14,"Seedling",Table4_2[[#This Row],[Growth Days]]&lt;=35, "Vegetative",Table4_2[[#This Row],[Growth Days]]&lt;=50, "Maturity")</f>
        <v>Maturity</v>
      </c>
      <c r="L2783" t="str">
        <f>IF(Table4_2[[#This Row],[TDS Value (ppm)]]&lt;560, "Low", IF(Table4_2[[#This Row],[TDS Value (ppm)]]&lt;=800,"Optimal","High"))</f>
        <v>Low</v>
      </c>
    </row>
    <row r="2784" spans="1:12" x14ac:dyDescent="0.25">
      <c r="A2784">
        <v>7</v>
      </c>
      <c r="B2784" s="1">
        <v>45186</v>
      </c>
      <c r="C2784" s="1" t="str">
        <f>TEXT(Table4_2[[#This Row],[Date]],"dddd")</f>
        <v>Sunday</v>
      </c>
      <c r="D2784" s="21">
        <v>29.1</v>
      </c>
      <c r="E2784" s="21">
        <v>62</v>
      </c>
      <c r="F2784" s="21">
        <v>696</v>
      </c>
      <c r="G2784" s="21">
        <v>6.5</v>
      </c>
      <c r="H2784">
        <v>46</v>
      </c>
      <c r="I2784">
        <v>84.38</v>
      </c>
      <c r="J2784">
        <v>0.62</v>
      </c>
      <c r="K2784" t="str" cm="1">
        <f t="array" ref="K2784">_xlfn.IFS(Table4_2[[#This Row],[Growth Days]]&lt;=14,"Seedling",Table4_2[[#This Row],[Growth Days]]&lt;=35, "Vegetative",Table4_2[[#This Row],[Growth Days]]&lt;=50, "Maturity")</f>
        <v>Maturity</v>
      </c>
      <c r="L2784" t="str">
        <f>IF(Table4_2[[#This Row],[TDS Value (ppm)]]&lt;560, "Low", IF(Table4_2[[#This Row],[TDS Value (ppm)]]&lt;=800,"Optimal","High"))</f>
        <v>Optimal</v>
      </c>
    </row>
    <row r="2785" spans="1:12" x14ac:dyDescent="0.25">
      <c r="A2785">
        <v>8</v>
      </c>
      <c r="B2785" s="1">
        <v>45144</v>
      </c>
      <c r="C2785" s="1" t="str">
        <f>TEXT(Table4_2[[#This Row],[Date]],"dddd")</f>
        <v>Sunday</v>
      </c>
      <c r="D2785" s="21">
        <v>33.4</v>
      </c>
      <c r="E2785" s="21">
        <v>71</v>
      </c>
      <c r="F2785" s="21">
        <v>673</v>
      </c>
      <c r="G2785" s="21">
        <v>6.4</v>
      </c>
      <c r="H2785">
        <v>4</v>
      </c>
      <c r="I2785">
        <v>92.12</v>
      </c>
      <c r="J2785">
        <v>0.71</v>
      </c>
      <c r="K2785" t="str" cm="1">
        <f t="array" ref="K2785">_xlfn.IFS(Table4_2[[#This Row],[Growth Days]]&lt;=14,"Seedling",Table4_2[[#This Row],[Growth Days]]&lt;=35, "Vegetative",Table4_2[[#This Row],[Growth Days]]&lt;=50, "Maturity")</f>
        <v>Seedling</v>
      </c>
      <c r="L2785" t="str">
        <f>IF(Table4_2[[#This Row],[TDS Value (ppm)]]&lt;560, "Low", IF(Table4_2[[#This Row],[TDS Value (ppm)]]&lt;=800,"Optimal","High"))</f>
        <v>Optimal</v>
      </c>
    </row>
    <row r="2786" spans="1:12" x14ac:dyDescent="0.25">
      <c r="A2786">
        <v>8</v>
      </c>
      <c r="B2786" s="1">
        <v>45151</v>
      </c>
      <c r="C2786" s="1" t="str">
        <f>TEXT(Table4_2[[#This Row],[Date]],"dddd")</f>
        <v>Sunday</v>
      </c>
      <c r="D2786" s="21">
        <v>30.1</v>
      </c>
      <c r="E2786" s="21">
        <v>77</v>
      </c>
      <c r="F2786" s="21">
        <v>606</v>
      </c>
      <c r="G2786" s="21">
        <v>6.3</v>
      </c>
      <c r="H2786">
        <v>11</v>
      </c>
      <c r="I2786">
        <v>86.18</v>
      </c>
      <c r="J2786">
        <v>0.77</v>
      </c>
      <c r="K2786" t="str" cm="1">
        <f t="array" ref="K2786">_xlfn.IFS(Table4_2[[#This Row],[Growth Days]]&lt;=14,"Seedling",Table4_2[[#This Row],[Growth Days]]&lt;=35, "Vegetative",Table4_2[[#This Row],[Growth Days]]&lt;=50, "Maturity")</f>
        <v>Seedling</v>
      </c>
      <c r="L2786" t="str">
        <f>IF(Table4_2[[#This Row],[TDS Value (ppm)]]&lt;560, "Low", IF(Table4_2[[#This Row],[TDS Value (ppm)]]&lt;=800,"Optimal","High"))</f>
        <v>Optimal</v>
      </c>
    </row>
    <row r="2787" spans="1:12" x14ac:dyDescent="0.25">
      <c r="A2787">
        <v>8</v>
      </c>
      <c r="B2787" s="1">
        <v>45158</v>
      </c>
      <c r="C2787" s="1" t="str">
        <f>TEXT(Table4_2[[#This Row],[Date]],"dddd")</f>
        <v>Sunday</v>
      </c>
      <c r="D2787" s="21">
        <v>30.9</v>
      </c>
      <c r="E2787" s="21">
        <v>76</v>
      </c>
      <c r="F2787" s="21">
        <v>781</v>
      </c>
      <c r="G2787" s="21">
        <v>6.5</v>
      </c>
      <c r="H2787">
        <v>18</v>
      </c>
      <c r="I2787">
        <v>87.62</v>
      </c>
      <c r="J2787">
        <v>0.76</v>
      </c>
      <c r="K2787" t="str" cm="1">
        <f t="array" ref="K2787">_xlfn.IFS(Table4_2[[#This Row],[Growth Days]]&lt;=14,"Seedling",Table4_2[[#This Row],[Growth Days]]&lt;=35, "Vegetative",Table4_2[[#This Row],[Growth Days]]&lt;=50, "Maturity")</f>
        <v>Vegetative</v>
      </c>
      <c r="L2787" t="str">
        <f>IF(Table4_2[[#This Row],[TDS Value (ppm)]]&lt;560, "Low", IF(Table4_2[[#This Row],[TDS Value (ppm)]]&lt;=800,"Optimal","High"))</f>
        <v>Optimal</v>
      </c>
    </row>
    <row r="2788" spans="1:12" x14ac:dyDescent="0.25">
      <c r="A2788">
        <v>8</v>
      </c>
      <c r="B2788" s="1">
        <v>45165</v>
      </c>
      <c r="C2788" s="1" t="str">
        <f>TEXT(Table4_2[[#This Row],[Date]],"dddd")</f>
        <v>Sunday</v>
      </c>
      <c r="D2788" s="21">
        <v>30.1</v>
      </c>
      <c r="E2788" s="21">
        <v>68</v>
      </c>
      <c r="F2788" s="21">
        <v>542</v>
      </c>
      <c r="G2788" s="21">
        <v>6.7</v>
      </c>
      <c r="H2788">
        <v>25</v>
      </c>
      <c r="I2788">
        <v>86.18</v>
      </c>
      <c r="J2788">
        <v>0.68</v>
      </c>
      <c r="K2788" t="str" cm="1">
        <f t="array" ref="K2788">_xlfn.IFS(Table4_2[[#This Row],[Growth Days]]&lt;=14,"Seedling",Table4_2[[#This Row],[Growth Days]]&lt;=35, "Vegetative",Table4_2[[#This Row],[Growth Days]]&lt;=50, "Maturity")</f>
        <v>Vegetative</v>
      </c>
      <c r="L2788" t="str">
        <f>IF(Table4_2[[#This Row],[TDS Value (ppm)]]&lt;560, "Low", IF(Table4_2[[#This Row],[TDS Value (ppm)]]&lt;=800,"Optimal","High"))</f>
        <v>Low</v>
      </c>
    </row>
    <row r="2789" spans="1:12" x14ac:dyDescent="0.25">
      <c r="A2789">
        <v>8</v>
      </c>
      <c r="B2789" s="1">
        <v>45172</v>
      </c>
      <c r="C2789" s="1" t="str">
        <f>TEXT(Table4_2[[#This Row],[Date]],"dddd")</f>
        <v>Sunday</v>
      </c>
      <c r="D2789" s="21">
        <v>31.7</v>
      </c>
      <c r="E2789" s="21">
        <v>76</v>
      </c>
      <c r="F2789" s="21">
        <v>438</v>
      </c>
      <c r="G2789" s="21">
        <v>6.5</v>
      </c>
      <c r="H2789">
        <v>32</v>
      </c>
      <c r="I2789">
        <v>89.06</v>
      </c>
      <c r="J2789">
        <v>0.76</v>
      </c>
      <c r="K2789" t="str" cm="1">
        <f t="array" ref="K2789">_xlfn.IFS(Table4_2[[#This Row],[Growth Days]]&lt;=14,"Seedling",Table4_2[[#This Row],[Growth Days]]&lt;=35, "Vegetative",Table4_2[[#This Row],[Growth Days]]&lt;=50, "Maturity")</f>
        <v>Vegetative</v>
      </c>
      <c r="L2789" t="str">
        <f>IF(Table4_2[[#This Row],[TDS Value (ppm)]]&lt;560, "Low", IF(Table4_2[[#This Row],[TDS Value (ppm)]]&lt;=800,"Optimal","High"))</f>
        <v>Low</v>
      </c>
    </row>
    <row r="2790" spans="1:12" x14ac:dyDescent="0.25">
      <c r="A2790">
        <v>8</v>
      </c>
      <c r="B2790" s="1">
        <v>45179</v>
      </c>
      <c r="C2790" s="1" t="str">
        <f>TEXT(Table4_2[[#This Row],[Date]],"dddd")</f>
        <v>Sunday</v>
      </c>
      <c r="D2790" s="21">
        <v>31.1</v>
      </c>
      <c r="E2790" s="21">
        <v>75</v>
      </c>
      <c r="F2790" s="21">
        <v>698</v>
      </c>
      <c r="G2790" s="21">
        <v>6.7</v>
      </c>
      <c r="H2790">
        <v>39</v>
      </c>
      <c r="I2790">
        <v>87.98</v>
      </c>
      <c r="J2790">
        <v>0.75</v>
      </c>
      <c r="K2790" t="str" cm="1">
        <f t="array" ref="K2790">_xlfn.IFS(Table4_2[[#This Row],[Growth Days]]&lt;=14,"Seedling",Table4_2[[#This Row],[Growth Days]]&lt;=35, "Vegetative",Table4_2[[#This Row],[Growth Days]]&lt;=50, "Maturity")</f>
        <v>Maturity</v>
      </c>
      <c r="L2790" t="str">
        <f>IF(Table4_2[[#This Row],[TDS Value (ppm)]]&lt;560, "Low", IF(Table4_2[[#This Row],[TDS Value (ppm)]]&lt;=800,"Optimal","High"))</f>
        <v>Optimal</v>
      </c>
    </row>
    <row r="2791" spans="1:12" x14ac:dyDescent="0.25">
      <c r="A2791">
        <v>9</v>
      </c>
      <c r="B2791" s="1">
        <v>45144</v>
      </c>
      <c r="C2791" s="1" t="str">
        <f>TEXT(Table4_2[[#This Row],[Date]],"dddd")</f>
        <v>Sunday</v>
      </c>
      <c r="D2791" s="21">
        <v>33.4</v>
      </c>
      <c r="E2791" s="21">
        <v>64</v>
      </c>
      <c r="F2791" s="21">
        <v>613</v>
      </c>
      <c r="G2791" s="21">
        <v>6.1</v>
      </c>
      <c r="H2791">
        <v>4</v>
      </c>
      <c r="I2791">
        <v>92.12</v>
      </c>
      <c r="J2791">
        <v>0.64</v>
      </c>
      <c r="K2791" t="str" cm="1">
        <f t="array" ref="K2791">_xlfn.IFS(Table4_2[[#This Row],[Growth Days]]&lt;=14,"Seedling",Table4_2[[#This Row],[Growth Days]]&lt;=35, "Vegetative",Table4_2[[#This Row],[Growth Days]]&lt;=50, "Maturity")</f>
        <v>Seedling</v>
      </c>
      <c r="L2791" t="str">
        <f>IF(Table4_2[[#This Row],[TDS Value (ppm)]]&lt;560, "Low", IF(Table4_2[[#This Row],[TDS Value (ppm)]]&lt;=800,"Optimal","High"))</f>
        <v>Optimal</v>
      </c>
    </row>
    <row r="2792" spans="1:12" x14ac:dyDescent="0.25">
      <c r="A2792">
        <v>9</v>
      </c>
      <c r="B2792" s="1">
        <v>45151</v>
      </c>
      <c r="C2792" s="1" t="str">
        <f>TEXT(Table4_2[[#This Row],[Date]],"dddd")</f>
        <v>Sunday</v>
      </c>
      <c r="D2792" s="21">
        <v>30.1</v>
      </c>
      <c r="E2792" s="21">
        <v>80</v>
      </c>
      <c r="F2792" s="21">
        <v>791</v>
      </c>
      <c r="G2792" s="21">
        <v>6.4</v>
      </c>
      <c r="H2792">
        <v>11</v>
      </c>
      <c r="I2792">
        <v>86.18</v>
      </c>
      <c r="J2792">
        <v>0.8</v>
      </c>
      <c r="K2792" t="str" cm="1">
        <f t="array" ref="K2792">_xlfn.IFS(Table4_2[[#This Row],[Growth Days]]&lt;=14,"Seedling",Table4_2[[#This Row],[Growth Days]]&lt;=35, "Vegetative",Table4_2[[#This Row],[Growth Days]]&lt;=50, "Maturity")</f>
        <v>Seedling</v>
      </c>
      <c r="L2792" t="str">
        <f>IF(Table4_2[[#This Row],[TDS Value (ppm)]]&lt;560, "Low", IF(Table4_2[[#This Row],[TDS Value (ppm)]]&lt;=800,"Optimal","High"))</f>
        <v>Optimal</v>
      </c>
    </row>
    <row r="2793" spans="1:12" x14ac:dyDescent="0.25">
      <c r="A2793">
        <v>9</v>
      </c>
      <c r="B2793" s="1">
        <v>45158</v>
      </c>
      <c r="C2793" s="1" t="str">
        <f>TEXT(Table4_2[[#This Row],[Date]],"dddd")</f>
        <v>Sunday</v>
      </c>
      <c r="D2793" s="21">
        <v>30.9</v>
      </c>
      <c r="E2793" s="21">
        <v>57</v>
      </c>
      <c r="F2793" s="21">
        <v>746</v>
      </c>
      <c r="G2793" s="21">
        <v>6.2</v>
      </c>
      <c r="H2793">
        <v>18</v>
      </c>
      <c r="I2793">
        <v>87.62</v>
      </c>
      <c r="J2793">
        <v>0.56999999999999995</v>
      </c>
      <c r="K2793" t="str" cm="1">
        <f t="array" ref="K2793">_xlfn.IFS(Table4_2[[#This Row],[Growth Days]]&lt;=14,"Seedling",Table4_2[[#This Row],[Growth Days]]&lt;=35, "Vegetative",Table4_2[[#This Row],[Growth Days]]&lt;=50, "Maturity")</f>
        <v>Vegetative</v>
      </c>
      <c r="L2793" t="str">
        <f>IF(Table4_2[[#This Row],[TDS Value (ppm)]]&lt;560, "Low", IF(Table4_2[[#This Row],[TDS Value (ppm)]]&lt;=800,"Optimal","High"))</f>
        <v>Optimal</v>
      </c>
    </row>
    <row r="2794" spans="1:12" x14ac:dyDescent="0.25">
      <c r="A2794">
        <v>9</v>
      </c>
      <c r="B2794" s="1">
        <v>45165</v>
      </c>
      <c r="C2794" s="1" t="str">
        <f>TEXT(Table4_2[[#This Row],[Date]],"dddd")</f>
        <v>Sunday</v>
      </c>
      <c r="D2794" s="21">
        <v>30.1</v>
      </c>
      <c r="E2794" s="21">
        <v>50</v>
      </c>
      <c r="F2794" s="21">
        <v>775</v>
      </c>
      <c r="G2794" s="21">
        <v>6.6</v>
      </c>
      <c r="H2794">
        <v>25</v>
      </c>
      <c r="I2794">
        <v>86.18</v>
      </c>
      <c r="J2794">
        <v>0.5</v>
      </c>
      <c r="K2794" t="str" cm="1">
        <f t="array" ref="K2794">_xlfn.IFS(Table4_2[[#This Row],[Growth Days]]&lt;=14,"Seedling",Table4_2[[#This Row],[Growth Days]]&lt;=35, "Vegetative",Table4_2[[#This Row],[Growth Days]]&lt;=50, "Maturity")</f>
        <v>Vegetative</v>
      </c>
      <c r="L2794" t="str">
        <f>IF(Table4_2[[#This Row],[TDS Value (ppm)]]&lt;560, "Low", IF(Table4_2[[#This Row],[TDS Value (ppm)]]&lt;=800,"Optimal","High"))</f>
        <v>Optimal</v>
      </c>
    </row>
    <row r="2795" spans="1:12" x14ac:dyDescent="0.25">
      <c r="A2795">
        <v>9</v>
      </c>
      <c r="B2795" s="1">
        <v>45172</v>
      </c>
      <c r="C2795" s="1" t="str">
        <f>TEXT(Table4_2[[#This Row],[Date]],"dddd")</f>
        <v>Sunday</v>
      </c>
      <c r="D2795" s="21">
        <v>31.7</v>
      </c>
      <c r="E2795" s="21">
        <v>55</v>
      </c>
      <c r="F2795" s="21">
        <v>490</v>
      </c>
      <c r="G2795" s="21">
        <v>6.4</v>
      </c>
      <c r="H2795">
        <v>32</v>
      </c>
      <c r="I2795">
        <v>89.06</v>
      </c>
      <c r="J2795">
        <v>0.55000000000000004</v>
      </c>
      <c r="K2795" t="str" cm="1">
        <f t="array" ref="K2795">_xlfn.IFS(Table4_2[[#This Row],[Growth Days]]&lt;=14,"Seedling",Table4_2[[#This Row],[Growth Days]]&lt;=35, "Vegetative",Table4_2[[#This Row],[Growth Days]]&lt;=50, "Maturity")</f>
        <v>Vegetative</v>
      </c>
      <c r="L2795" t="str">
        <f>IF(Table4_2[[#This Row],[TDS Value (ppm)]]&lt;560, "Low", IF(Table4_2[[#This Row],[TDS Value (ppm)]]&lt;=800,"Optimal","High"))</f>
        <v>Low</v>
      </c>
    </row>
    <row r="2796" spans="1:12" x14ac:dyDescent="0.25">
      <c r="A2796">
        <v>9</v>
      </c>
      <c r="B2796" s="1">
        <v>45179</v>
      </c>
      <c r="C2796" s="1" t="str">
        <f>TEXT(Table4_2[[#This Row],[Date]],"dddd")</f>
        <v>Sunday</v>
      </c>
      <c r="D2796" s="21">
        <v>31.1</v>
      </c>
      <c r="E2796" s="21">
        <v>69</v>
      </c>
      <c r="F2796" s="21">
        <v>726</v>
      </c>
      <c r="G2796" s="21">
        <v>6.7</v>
      </c>
      <c r="H2796">
        <v>39</v>
      </c>
      <c r="I2796">
        <v>87.98</v>
      </c>
      <c r="J2796">
        <v>0.69</v>
      </c>
      <c r="K2796" t="str" cm="1">
        <f t="array" ref="K2796">_xlfn.IFS(Table4_2[[#This Row],[Growth Days]]&lt;=14,"Seedling",Table4_2[[#This Row],[Growth Days]]&lt;=35, "Vegetative",Table4_2[[#This Row],[Growth Days]]&lt;=50, "Maturity")</f>
        <v>Maturity</v>
      </c>
      <c r="L2796" t="str">
        <f>IF(Table4_2[[#This Row],[TDS Value (ppm)]]&lt;560, "Low", IF(Table4_2[[#This Row],[TDS Value (ppm)]]&lt;=800,"Optimal","High"))</f>
        <v>Optimal</v>
      </c>
    </row>
    <row r="2797" spans="1:12" x14ac:dyDescent="0.25">
      <c r="A2797">
        <v>9</v>
      </c>
      <c r="B2797" s="1">
        <v>45186</v>
      </c>
      <c r="C2797" s="1" t="str">
        <f>TEXT(Table4_2[[#This Row],[Date]],"dddd")</f>
        <v>Sunday</v>
      </c>
      <c r="D2797" s="21">
        <v>31.3</v>
      </c>
      <c r="E2797" s="21">
        <v>66</v>
      </c>
      <c r="F2797" s="21">
        <v>505</v>
      </c>
      <c r="G2797" s="21">
        <v>6.2</v>
      </c>
      <c r="H2797">
        <v>46</v>
      </c>
      <c r="I2797">
        <v>88.34</v>
      </c>
      <c r="J2797">
        <v>0.66</v>
      </c>
      <c r="K2797" t="str" cm="1">
        <f t="array" ref="K2797">_xlfn.IFS(Table4_2[[#This Row],[Growth Days]]&lt;=14,"Seedling",Table4_2[[#This Row],[Growth Days]]&lt;=35, "Vegetative",Table4_2[[#This Row],[Growth Days]]&lt;=50, "Maturity")</f>
        <v>Maturity</v>
      </c>
      <c r="L2797" t="str">
        <f>IF(Table4_2[[#This Row],[TDS Value (ppm)]]&lt;560, "Low", IF(Table4_2[[#This Row],[TDS Value (ppm)]]&lt;=800,"Optimal","High"))</f>
        <v>Low</v>
      </c>
    </row>
    <row r="2798" spans="1:12" x14ac:dyDescent="0.25">
      <c r="A2798">
        <v>10</v>
      </c>
      <c r="B2798" s="1">
        <v>45144</v>
      </c>
      <c r="C2798" s="1" t="str">
        <f>TEXT(Table4_2[[#This Row],[Date]],"dddd")</f>
        <v>Sunday</v>
      </c>
      <c r="D2798" s="21">
        <v>33.4</v>
      </c>
      <c r="E2798" s="21">
        <v>56</v>
      </c>
      <c r="F2798" s="21">
        <v>607</v>
      </c>
      <c r="G2798" s="21">
        <v>6.4</v>
      </c>
      <c r="H2798">
        <v>4</v>
      </c>
      <c r="I2798">
        <v>92.12</v>
      </c>
      <c r="J2798">
        <v>0.56000000000000005</v>
      </c>
      <c r="K2798" t="str" cm="1">
        <f t="array" ref="K2798">_xlfn.IFS(Table4_2[[#This Row],[Growth Days]]&lt;=14,"Seedling",Table4_2[[#This Row],[Growth Days]]&lt;=35, "Vegetative",Table4_2[[#This Row],[Growth Days]]&lt;=50, "Maturity")</f>
        <v>Seedling</v>
      </c>
      <c r="L2798" t="str">
        <f>IF(Table4_2[[#This Row],[TDS Value (ppm)]]&lt;560, "Low", IF(Table4_2[[#This Row],[TDS Value (ppm)]]&lt;=800,"Optimal","High"))</f>
        <v>Optimal</v>
      </c>
    </row>
    <row r="2799" spans="1:12" x14ac:dyDescent="0.25">
      <c r="A2799">
        <v>10</v>
      </c>
      <c r="B2799" s="1">
        <v>45151</v>
      </c>
      <c r="C2799" s="1" t="str">
        <f>TEXT(Table4_2[[#This Row],[Date]],"dddd")</f>
        <v>Sunday</v>
      </c>
      <c r="D2799" s="21">
        <v>30.1</v>
      </c>
      <c r="E2799" s="21">
        <v>52</v>
      </c>
      <c r="F2799" s="21">
        <v>471</v>
      </c>
      <c r="G2799" s="21">
        <v>6.2</v>
      </c>
      <c r="H2799">
        <v>11</v>
      </c>
      <c r="I2799">
        <v>86.18</v>
      </c>
      <c r="J2799">
        <v>0.52</v>
      </c>
      <c r="K2799" t="str" cm="1">
        <f t="array" ref="K2799">_xlfn.IFS(Table4_2[[#This Row],[Growth Days]]&lt;=14,"Seedling",Table4_2[[#This Row],[Growth Days]]&lt;=35, "Vegetative",Table4_2[[#This Row],[Growth Days]]&lt;=50, "Maturity")</f>
        <v>Seedling</v>
      </c>
      <c r="L2799" t="str">
        <f>IF(Table4_2[[#This Row],[TDS Value (ppm)]]&lt;560, "Low", IF(Table4_2[[#This Row],[TDS Value (ppm)]]&lt;=800,"Optimal","High"))</f>
        <v>Low</v>
      </c>
    </row>
    <row r="2800" spans="1:12" x14ac:dyDescent="0.25">
      <c r="A2800">
        <v>10</v>
      </c>
      <c r="B2800" s="1">
        <v>45158</v>
      </c>
      <c r="C2800" s="1" t="str">
        <f>TEXT(Table4_2[[#This Row],[Date]],"dddd")</f>
        <v>Sunday</v>
      </c>
      <c r="D2800" s="21">
        <v>30.9</v>
      </c>
      <c r="E2800" s="21">
        <v>53</v>
      </c>
      <c r="F2800" s="21">
        <v>721</v>
      </c>
      <c r="G2800" s="21">
        <v>6.4</v>
      </c>
      <c r="H2800">
        <v>18</v>
      </c>
      <c r="I2800">
        <v>87.62</v>
      </c>
      <c r="J2800">
        <v>0.53</v>
      </c>
      <c r="K2800" t="str" cm="1">
        <f t="array" ref="K2800">_xlfn.IFS(Table4_2[[#This Row],[Growth Days]]&lt;=14,"Seedling",Table4_2[[#This Row],[Growth Days]]&lt;=35, "Vegetative",Table4_2[[#This Row],[Growth Days]]&lt;=50, "Maturity")</f>
        <v>Vegetative</v>
      </c>
      <c r="L2800" t="str">
        <f>IF(Table4_2[[#This Row],[TDS Value (ppm)]]&lt;560, "Low", IF(Table4_2[[#This Row],[TDS Value (ppm)]]&lt;=800,"Optimal","High"))</f>
        <v>Optimal</v>
      </c>
    </row>
    <row r="2801" spans="1:12" x14ac:dyDescent="0.25">
      <c r="A2801">
        <v>10</v>
      </c>
      <c r="B2801" s="1">
        <v>45165</v>
      </c>
      <c r="C2801" s="1" t="str">
        <f>TEXT(Table4_2[[#This Row],[Date]],"dddd")</f>
        <v>Sunday</v>
      </c>
      <c r="D2801" s="21">
        <v>30.1</v>
      </c>
      <c r="E2801" s="21">
        <v>77</v>
      </c>
      <c r="F2801" s="21">
        <v>560</v>
      </c>
      <c r="G2801" s="21">
        <v>6.5</v>
      </c>
      <c r="H2801">
        <v>25</v>
      </c>
      <c r="I2801">
        <v>86.18</v>
      </c>
      <c r="J2801">
        <v>0.77</v>
      </c>
      <c r="K2801" t="str" cm="1">
        <f t="array" ref="K2801">_xlfn.IFS(Table4_2[[#This Row],[Growth Days]]&lt;=14,"Seedling",Table4_2[[#This Row],[Growth Days]]&lt;=35, "Vegetative",Table4_2[[#This Row],[Growth Days]]&lt;=50, "Maturity")</f>
        <v>Vegetative</v>
      </c>
      <c r="L2801" t="str">
        <f>IF(Table4_2[[#This Row],[TDS Value (ppm)]]&lt;560, "Low", IF(Table4_2[[#This Row],[TDS Value (ppm)]]&lt;=800,"Optimal","High"))</f>
        <v>Optimal</v>
      </c>
    </row>
    <row r="2802" spans="1:12" x14ac:dyDescent="0.25">
      <c r="A2802">
        <v>10</v>
      </c>
      <c r="B2802" s="1">
        <v>45172</v>
      </c>
      <c r="C2802" s="1" t="str">
        <f>TEXT(Table4_2[[#This Row],[Date]],"dddd")</f>
        <v>Sunday</v>
      </c>
      <c r="D2802" s="21">
        <v>31.7</v>
      </c>
      <c r="E2802" s="21">
        <v>71</v>
      </c>
      <c r="F2802" s="21">
        <v>623</v>
      </c>
      <c r="G2802" s="21">
        <v>6.1</v>
      </c>
      <c r="H2802">
        <v>32</v>
      </c>
      <c r="I2802">
        <v>89.06</v>
      </c>
      <c r="J2802">
        <v>0.71</v>
      </c>
      <c r="K2802" t="str" cm="1">
        <f t="array" ref="K2802">_xlfn.IFS(Table4_2[[#This Row],[Growth Days]]&lt;=14,"Seedling",Table4_2[[#This Row],[Growth Days]]&lt;=35, "Vegetative",Table4_2[[#This Row],[Growth Days]]&lt;=50, "Maturity")</f>
        <v>Vegetative</v>
      </c>
      <c r="L2802" t="str">
        <f>IF(Table4_2[[#This Row],[TDS Value (ppm)]]&lt;560, "Low", IF(Table4_2[[#This Row],[TDS Value (ppm)]]&lt;=800,"Optimal","High"))</f>
        <v>Optimal</v>
      </c>
    </row>
    <row r="2803" spans="1:12" x14ac:dyDescent="0.25">
      <c r="A2803">
        <v>10</v>
      </c>
      <c r="B2803" s="1">
        <v>45179</v>
      </c>
      <c r="C2803" s="1" t="str">
        <f>TEXT(Table4_2[[#This Row],[Date]],"dddd")</f>
        <v>Sunday</v>
      </c>
      <c r="D2803" s="21">
        <v>31.1</v>
      </c>
      <c r="E2803" s="21">
        <v>68</v>
      </c>
      <c r="F2803" s="21">
        <v>538</v>
      </c>
      <c r="G2803" s="21">
        <v>6.7</v>
      </c>
      <c r="H2803">
        <v>39</v>
      </c>
      <c r="I2803">
        <v>87.98</v>
      </c>
      <c r="J2803">
        <v>0.68</v>
      </c>
      <c r="K2803" t="str" cm="1">
        <f t="array" ref="K2803">_xlfn.IFS(Table4_2[[#This Row],[Growth Days]]&lt;=14,"Seedling",Table4_2[[#This Row],[Growth Days]]&lt;=35, "Vegetative",Table4_2[[#This Row],[Growth Days]]&lt;=50, "Maturity")</f>
        <v>Maturity</v>
      </c>
      <c r="L2803" t="str">
        <f>IF(Table4_2[[#This Row],[TDS Value (ppm)]]&lt;560, "Low", IF(Table4_2[[#This Row],[TDS Value (ppm)]]&lt;=800,"Optimal","High"))</f>
        <v>Low</v>
      </c>
    </row>
    <row r="2804" spans="1:12" x14ac:dyDescent="0.25">
      <c r="A2804">
        <v>11</v>
      </c>
      <c r="B2804" s="1">
        <v>45144</v>
      </c>
      <c r="C2804" s="1" t="str">
        <f>TEXT(Table4_2[[#This Row],[Date]],"dddd")</f>
        <v>Sunday</v>
      </c>
      <c r="D2804" s="21">
        <v>33.4</v>
      </c>
      <c r="E2804" s="21">
        <v>50</v>
      </c>
      <c r="F2804" s="21">
        <v>734</v>
      </c>
      <c r="G2804" s="21">
        <v>6.4</v>
      </c>
      <c r="H2804">
        <v>4</v>
      </c>
      <c r="I2804">
        <v>92.12</v>
      </c>
      <c r="J2804">
        <v>0.5</v>
      </c>
      <c r="K2804" t="str" cm="1">
        <f t="array" ref="K2804">_xlfn.IFS(Table4_2[[#This Row],[Growth Days]]&lt;=14,"Seedling",Table4_2[[#This Row],[Growth Days]]&lt;=35, "Vegetative",Table4_2[[#This Row],[Growth Days]]&lt;=50, "Maturity")</f>
        <v>Seedling</v>
      </c>
      <c r="L2804" t="str">
        <f>IF(Table4_2[[#This Row],[TDS Value (ppm)]]&lt;560, "Low", IF(Table4_2[[#This Row],[TDS Value (ppm)]]&lt;=800,"Optimal","High"))</f>
        <v>Optimal</v>
      </c>
    </row>
    <row r="2805" spans="1:12" x14ac:dyDescent="0.25">
      <c r="A2805">
        <v>11</v>
      </c>
      <c r="B2805" s="1">
        <v>45151</v>
      </c>
      <c r="C2805" s="1" t="str">
        <f>TEXT(Table4_2[[#This Row],[Date]],"dddd")</f>
        <v>Sunday</v>
      </c>
      <c r="D2805" s="21">
        <v>30.1</v>
      </c>
      <c r="E2805" s="21">
        <v>74</v>
      </c>
      <c r="F2805" s="21">
        <v>557</v>
      </c>
      <c r="G2805" s="21">
        <v>6.2</v>
      </c>
      <c r="H2805">
        <v>11</v>
      </c>
      <c r="I2805">
        <v>86.18</v>
      </c>
      <c r="J2805">
        <v>0.74</v>
      </c>
      <c r="K2805" t="str" cm="1">
        <f t="array" ref="K2805">_xlfn.IFS(Table4_2[[#This Row],[Growth Days]]&lt;=14,"Seedling",Table4_2[[#This Row],[Growth Days]]&lt;=35, "Vegetative",Table4_2[[#This Row],[Growth Days]]&lt;=50, "Maturity")</f>
        <v>Seedling</v>
      </c>
      <c r="L2805" t="str">
        <f>IF(Table4_2[[#This Row],[TDS Value (ppm)]]&lt;560, "Low", IF(Table4_2[[#This Row],[TDS Value (ppm)]]&lt;=800,"Optimal","High"))</f>
        <v>Low</v>
      </c>
    </row>
    <row r="2806" spans="1:12" x14ac:dyDescent="0.25">
      <c r="A2806">
        <v>11</v>
      </c>
      <c r="B2806" s="1">
        <v>45158</v>
      </c>
      <c r="C2806" s="1" t="str">
        <f>TEXT(Table4_2[[#This Row],[Date]],"dddd")</f>
        <v>Sunday</v>
      </c>
      <c r="D2806" s="21">
        <v>30.9</v>
      </c>
      <c r="E2806" s="21">
        <v>61</v>
      </c>
      <c r="F2806" s="21">
        <v>565</v>
      </c>
      <c r="G2806" s="21">
        <v>6.4</v>
      </c>
      <c r="H2806">
        <v>18</v>
      </c>
      <c r="I2806">
        <v>87.62</v>
      </c>
      <c r="J2806">
        <v>0.61</v>
      </c>
      <c r="K2806" t="str" cm="1">
        <f t="array" ref="K2806">_xlfn.IFS(Table4_2[[#This Row],[Growth Days]]&lt;=14,"Seedling",Table4_2[[#This Row],[Growth Days]]&lt;=35, "Vegetative",Table4_2[[#This Row],[Growth Days]]&lt;=50, "Maturity")</f>
        <v>Vegetative</v>
      </c>
      <c r="L2806" t="str">
        <f>IF(Table4_2[[#This Row],[TDS Value (ppm)]]&lt;560, "Low", IF(Table4_2[[#This Row],[TDS Value (ppm)]]&lt;=800,"Optimal","High"))</f>
        <v>Optimal</v>
      </c>
    </row>
    <row r="2807" spans="1:12" x14ac:dyDescent="0.25">
      <c r="A2807">
        <v>11</v>
      </c>
      <c r="B2807" s="1">
        <v>45165</v>
      </c>
      <c r="C2807" s="1" t="str">
        <f>TEXT(Table4_2[[#This Row],[Date]],"dddd")</f>
        <v>Sunday</v>
      </c>
      <c r="D2807" s="21">
        <v>30.1</v>
      </c>
      <c r="E2807" s="21">
        <v>76</v>
      </c>
      <c r="F2807" s="21">
        <v>489</v>
      </c>
      <c r="G2807" s="21">
        <v>6.3</v>
      </c>
      <c r="H2807">
        <v>25</v>
      </c>
      <c r="I2807">
        <v>86.18</v>
      </c>
      <c r="J2807">
        <v>0.76</v>
      </c>
      <c r="K2807" t="str" cm="1">
        <f t="array" ref="K2807">_xlfn.IFS(Table4_2[[#This Row],[Growth Days]]&lt;=14,"Seedling",Table4_2[[#This Row],[Growth Days]]&lt;=35, "Vegetative",Table4_2[[#This Row],[Growth Days]]&lt;=50, "Maturity")</f>
        <v>Vegetative</v>
      </c>
      <c r="L2807" t="str">
        <f>IF(Table4_2[[#This Row],[TDS Value (ppm)]]&lt;560, "Low", IF(Table4_2[[#This Row],[TDS Value (ppm)]]&lt;=800,"Optimal","High"))</f>
        <v>Low</v>
      </c>
    </row>
    <row r="2808" spans="1:12" x14ac:dyDescent="0.25">
      <c r="A2808">
        <v>11</v>
      </c>
      <c r="B2808" s="1">
        <v>45172</v>
      </c>
      <c r="C2808" s="1" t="str">
        <f>TEXT(Table4_2[[#This Row],[Date]],"dddd")</f>
        <v>Sunday</v>
      </c>
      <c r="D2808" s="21">
        <v>31.7</v>
      </c>
      <c r="E2808" s="21">
        <v>54</v>
      </c>
      <c r="F2808" s="21">
        <v>749</v>
      </c>
      <c r="G2808" s="21">
        <v>6.3</v>
      </c>
      <c r="H2808">
        <v>32</v>
      </c>
      <c r="I2808">
        <v>89.06</v>
      </c>
      <c r="J2808">
        <v>0.54</v>
      </c>
      <c r="K2808" t="str" cm="1">
        <f t="array" ref="K2808">_xlfn.IFS(Table4_2[[#This Row],[Growth Days]]&lt;=14,"Seedling",Table4_2[[#This Row],[Growth Days]]&lt;=35, "Vegetative",Table4_2[[#This Row],[Growth Days]]&lt;=50, "Maturity")</f>
        <v>Vegetative</v>
      </c>
      <c r="L2808" t="str">
        <f>IF(Table4_2[[#This Row],[TDS Value (ppm)]]&lt;560, "Low", IF(Table4_2[[#This Row],[TDS Value (ppm)]]&lt;=800,"Optimal","High"))</f>
        <v>Optimal</v>
      </c>
    </row>
    <row r="2809" spans="1:12" x14ac:dyDescent="0.25">
      <c r="A2809">
        <v>11</v>
      </c>
      <c r="B2809" s="1">
        <v>45179</v>
      </c>
      <c r="C2809" s="1" t="str">
        <f>TEXT(Table4_2[[#This Row],[Date]],"dddd")</f>
        <v>Sunday</v>
      </c>
      <c r="D2809" s="21">
        <v>31.1</v>
      </c>
      <c r="E2809" s="21">
        <v>67</v>
      </c>
      <c r="F2809" s="21">
        <v>552</v>
      </c>
      <c r="G2809" s="21">
        <v>6.5</v>
      </c>
      <c r="H2809">
        <v>39</v>
      </c>
      <c r="I2809">
        <v>87.98</v>
      </c>
      <c r="J2809">
        <v>0.67</v>
      </c>
      <c r="K2809" t="str" cm="1">
        <f t="array" ref="K2809">_xlfn.IFS(Table4_2[[#This Row],[Growth Days]]&lt;=14,"Seedling",Table4_2[[#This Row],[Growth Days]]&lt;=35, "Vegetative",Table4_2[[#This Row],[Growth Days]]&lt;=50, "Maturity")</f>
        <v>Maturity</v>
      </c>
      <c r="L2809" t="str">
        <f>IF(Table4_2[[#This Row],[TDS Value (ppm)]]&lt;560, "Low", IF(Table4_2[[#This Row],[TDS Value (ppm)]]&lt;=800,"Optimal","High"))</f>
        <v>Low</v>
      </c>
    </row>
    <row r="2810" spans="1:12" x14ac:dyDescent="0.25">
      <c r="A2810">
        <v>11</v>
      </c>
      <c r="B2810" s="1">
        <v>45186</v>
      </c>
      <c r="C2810" s="1" t="str">
        <f>TEXT(Table4_2[[#This Row],[Date]],"dddd")</f>
        <v>Sunday</v>
      </c>
      <c r="D2810" s="21">
        <v>32.1</v>
      </c>
      <c r="E2810" s="21">
        <v>62</v>
      </c>
      <c r="F2810" s="21">
        <v>589</v>
      </c>
      <c r="G2810" s="21">
        <v>6.4</v>
      </c>
      <c r="H2810">
        <v>46</v>
      </c>
      <c r="I2810">
        <v>89.78</v>
      </c>
      <c r="J2810">
        <v>0.62</v>
      </c>
      <c r="K2810" t="str" cm="1">
        <f t="array" ref="K2810">_xlfn.IFS(Table4_2[[#This Row],[Growth Days]]&lt;=14,"Seedling",Table4_2[[#This Row],[Growth Days]]&lt;=35, "Vegetative",Table4_2[[#This Row],[Growth Days]]&lt;=50, "Maturity")</f>
        <v>Maturity</v>
      </c>
      <c r="L2810" t="str">
        <f>IF(Table4_2[[#This Row],[TDS Value (ppm)]]&lt;560, "Low", IF(Table4_2[[#This Row],[TDS Value (ppm)]]&lt;=800,"Optimal","High"))</f>
        <v>Optimal</v>
      </c>
    </row>
    <row r="2811" spans="1:12" x14ac:dyDescent="0.25">
      <c r="A2811">
        <v>12</v>
      </c>
      <c r="B2811" s="1">
        <v>45144</v>
      </c>
      <c r="C2811" s="1" t="str">
        <f>TEXT(Table4_2[[#This Row],[Date]],"dddd")</f>
        <v>Sunday</v>
      </c>
      <c r="D2811" s="21">
        <v>33.4</v>
      </c>
      <c r="E2811" s="21">
        <v>60</v>
      </c>
      <c r="F2811" s="21">
        <v>732</v>
      </c>
      <c r="G2811" s="21">
        <v>6.1</v>
      </c>
      <c r="H2811">
        <v>4</v>
      </c>
      <c r="I2811">
        <v>92.12</v>
      </c>
      <c r="J2811">
        <v>0.6</v>
      </c>
      <c r="K2811" t="str" cm="1">
        <f t="array" ref="K2811">_xlfn.IFS(Table4_2[[#This Row],[Growth Days]]&lt;=14,"Seedling",Table4_2[[#This Row],[Growth Days]]&lt;=35, "Vegetative",Table4_2[[#This Row],[Growth Days]]&lt;=50, "Maturity")</f>
        <v>Seedling</v>
      </c>
      <c r="L2811" t="str">
        <f>IF(Table4_2[[#This Row],[TDS Value (ppm)]]&lt;560, "Low", IF(Table4_2[[#This Row],[TDS Value (ppm)]]&lt;=800,"Optimal","High"))</f>
        <v>Optimal</v>
      </c>
    </row>
    <row r="2812" spans="1:12" x14ac:dyDescent="0.25">
      <c r="A2812">
        <v>12</v>
      </c>
      <c r="B2812" s="1">
        <v>45151</v>
      </c>
      <c r="C2812" s="1" t="str">
        <f>TEXT(Table4_2[[#This Row],[Date]],"dddd")</f>
        <v>Sunday</v>
      </c>
      <c r="D2812" s="21">
        <v>30.1</v>
      </c>
      <c r="E2812" s="21">
        <v>59</v>
      </c>
      <c r="F2812" s="21">
        <v>712</v>
      </c>
      <c r="G2812" s="21">
        <v>6.1</v>
      </c>
      <c r="H2812">
        <v>11</v>
      </c>
      <c r="I2812">
        <v>86.18</v>
      </c>
      <c r="J2812">
        <v>0.59</v>
      </c>
      <c r="K2812" t="str" cm="1">
        <f t="array" ref="K2812">_xlfn.IFS(Table4_2[[#This Row],[Growth Days]]&lt;=14,"Seedling",Table4_2[[#This Row],[Growth Days]]&lt;=35, "Vegetative",Table4_2[[#This Row],[Growth Days]]&lt;=50, "Maturity")</f>
        <v>Seedling</v>
      </c>
      <c r="L2812" t="str">
        <f>IF(Table4_2[[#This Row],[TDS Value (ppm)]]&lt;560, "Low", IF(Table4_2[[#This Row],[TDS Value (ppm)]]&lt;=800,"Optimal","High"))</f>
        <v>Optimal</v>
      </c>
    </row>
    <row r="2813" spans="1:12" x14ac:dyDescent="0.25">
      <c r="A2813">
        <v>12</v>
      </c>
      <c r="B2813" s="1">
        <v>45158</v>
      </c>
      <c r="C2813" s="1" t="str">
        <f>TEXT(Table4_2[[#This Row],[Date]],"dddd")</f>
        <v>Sunday</v>
      </c>
      <c r="D2813" s="21">
        <v>30.9</v>
      </c>
      <c r="E2813" s="21">
        <v>70</v>
      </c>
      <c r="F2813" s="21">
        <v>628</v>
      </c>
      <c r="G2813" s="21">
        <v>6.7</v>
      </c>
      <c r="H2813">
        <v>18</v>
      </c>
      <c r="I2813">
        <v>87.62</v>
      </c>
      <c r="J2813">
        <v>0.7</v>
      </c>
      <c r="K2813" t="str" cm="1">
        <f t="array" ref="K2813">_xlfn.IFS(Table4_2[[#This Row],[Growth Days]]&lt;=14,"Seedling",Table4_2[[#This Row],[Growth Days]]&lt;=35, "Vegetative",Table4_2[[#This Row],[Growth Days]]&lt;=50, "Maturity")</f>
        <v>Vegetative</v>
      </c>
      <c r="L2813" t="str">
        <f>IF(Table4_2[[#This Row],[TDS Value (ppm)]]&lt;560, "Low", IF(Table4_2[[#This Row],[TDS Value (ppm)]]&lt;=800,"Optimal","High"))</f>
        <v>Optimal</v>
      </c>
    </row>
    <row r="2814" spans="1:12" x14ac:dyDescent="0.25">
      <c r="A2814">
        <v>12</v>
      </c>
      <c r="B2814" s="1">
        <v>45165</v>
      </c>
      <c r="C2814" s="1" t="str">
        <f>TEXT(Table4_2[[#This Row],[Date]],"dddd")</f>
        <v>Sunday</v>
      </c>
      <c r="D2814" s="21">
        <v>30.1</v>
      </c>
      <c r="E2814" s="21">
        <v>73</v>
      </c>
      <c r="F2814" s="21">
        <v>598</v>
      </c>
      <c r="G2814" s="21">
        <v>6.5</v>
      </c>
      <c r="H2814">
        <v>25</v>
      </c>
      <c r="I2814">
        <v>86.18</v>
      </c>
      <c r="J2814">
        <v>0.73</v>
      </c>
      <c r="K2814" t="str" cm="1">
        <f t="array" ref="K2814">_xlfn.IFS(Table4_2[[#This Row],[Growth Days]]&lt;=14,"Seedling",Table4_2[[#This Row],[Growth Days]]&lt;=35, "Vegetative",Table4_2[[#This Row],[Growth Days]]&lt;=50, "Maturity")</f>
        <v>Vegetative</v>
      </c>
      <c r="L2814" t="str">
        <f>IF(Table4_2[[#This Row],[TDS Value (ppm)]]&lt;560, "Low", IF(Table4_2[[#This Row],[TDS Value (ppm)]]&lt;=800,"Optimal","High"))</f>
        <v>Optimal</v>
      </c>
    </row>
    <row r="2815" spans="1:12" x14ac:dyDescent="0.25">
      <c r="A2815">
        <v>12</v>
      </c>
      <c r="B2815" s="1">
        <v>45172</v>
      </c>
      <c r="C2815" s="1" t="str">
        <f>TEXT(Table4_2[[#This Row],[Date]],"dddd")</f>
        <v>Sunday</v>
      </c>
      <c r="D2815" s="21">
        <v>31.7</v>
      </c>
      <c r="E2815" s="21">
        <v>74</v>
      </c>
      <c r="F2815" s="21">
        <v>591</v>
      </c>
      <c r="G2815" s="21">
        <v>6.2</v>
      </c>
      <c r="H2815">
        <v>32</v>
      </c>
      <c r="I2815">
        <v>89.06</v>
      </c>
      <c r="J2815">
        <v>0.74</v>
      </c>
      <c r="K2815" t="str" cm="1">
        <f t="array" ref="K2815">_xlfn.IFS(Table4_2[[#This Row],[Growth Days]]&lt;=14,"Seedling",Table4_2[[#This Row],[Growth Days]]&lt;=35, "Vegetative",Table4_2[[#This Row],[Growth Days]]&lt;=50, "Maturity")</f>
        <v>Vegetative</v>
      </c>
      <c r="L2815" t="str">
        <f>IF(Table4_2[[#This Row],[TDS Value (ppm)]]&lt;560, "Low", IF(Table4_2[[#This Row],[TDS Value (ppm)]]&lt;=800,"Optimal","High"))</f>
        <v>Optimal</v>
      </c>
    </row>
    <row r="2816" spans="1:12" x14ac:dyDescent="0.25">
      <c r="A2816">
        <v>12</v>
      </c>
      <c r="B2816" s="1">
        <v>45179</v>
      </c>
      <c r="C2816" s="1" t="str">
        <f>TEXT(Table4_2[[#This Row],[Date]],"dddd")</f>
        <v>Sunday</v>
      </c>
      <c r="D2816" s="21">
        <v>31.1</v>
      </c>
      <c r="E2816" s="21">
        <v>73</v>
      </c>
      <c r="F2816" s="21">
        <v>435</v>
      </c>
      <c r="G2816" s="21">
        <v>6.3</v>
      </c>
      <c r="H2816">
        <v>39</v>
      </c>
      <c r="I2816">
        <v>87.98</v>
      </c>
      <c r="J2816">
        <v>0.73</v>
      </c>
      <c r="K2816" t="str" cm="1">
        <f t="array" ref="K2816">_xlfn.IFS(Table4_2[[#This Row],[Growth Days]]&lt;=14,"Seedling",Table4_2[[#This Row],[Growth Days]]&lt;=35, "Vegetative",Table4_2[[#This Row],[Growth Days]]&lt;=50, "Maturity")</f>
        <v>Maturity</v>
      </c>
      <c r="L2816" t="str">
        <f>IF(Table4_2[[#This Row],[TDS Value (ppm)]]&lt;560, "Low", IF(Table4_2[[#This Row],[TDS Value (ppm)]]&lt;=800,"Optimal","High"))</f>
        <v>Low</v>
      </c>
    </row>
    <row r="2817" spans="1:12" x14ac:dyDescent="0.25">
      <c r="A2817">
        <v>13</v>
      </c>
      <c r="B2817" s="1">
        <v>45144</v>
      </c>
      <c r="C2817" s="1" t="str">
        <f>TEXT(Table4_2[[#This Row],[Date]],"dddd")</f>
        <v>Sunday</v>
      </c>
      <c r="D2817" s="21">
        <v>33.4</v>
      </c>
      <c r="E2817" s="21">
        <v>63</v>
      </c>
      <c r="F2817" s="21">
        <v>583</v>
      </c>
      <c r="G2817" s="21">
        <v>6.5</v>
      </c>
      <c r="H2817">
        <v>4</v>
      </c>
      <c r="I2817">
        <v>92.12</v>
      </c>
      <c r="J2817">
        <v>0.63</v>
      </c>
      <c r="K2817" t="str" cm="1">
        <f t="array" ref="K2817">_xlfn.IFS(Table4_2[[#This Row],[Growth Days]]&lt;=14,"Seedling",Table4_2[[#This Row],[Growth Days]]&lt;=35, "Vegetative",Table4_2[[#This Row],[Growth Days]]&lt;=50, "Maturity")</f>
        <v>Seedling</v>
      </c>
      <c r="L2817" t="str">
        <f>IF(Table4_2[[#This Row],[TDS Value (ppm)]]&lt;560, "Low", IF(Table4_2[[#This Row],[TDS Value (ppm)]]&lt;=800,"Optimal","High"))</f>
        <v>Optimal</v>
      </c>
    </row>
    <row r="2818" spans="1:12" x14ac:dyDescent="0.25">
      <c r="A2818">
        <v>13</v>
      </c>
      <c r="B2818" s="1">
        <v>45151</v>
      </c>
      <c r="C2818" s="1" t="str">
        <f>TEXT(Table4_2[[#This Row],[Date]],"dddd")</f>
        <v>Sunday</v>
      </c>
      <c r="D2818" s="21">
        <v>30.1</v>
      </c>
      <c r="E2818" s="21">
        <v>77</v>
      </c>
      <c r="F2818" s="21">
        <v>696</v>
      </c>
      <c r="G2818" s="21">
        <v>6.1</v>
      </c>
      <c r="H2818">
        <v>11</v>
      </c>
      <c r="I2818">
        <v>86.18</v>
      </c>
      <c r="J2818">
        <v>0.77</v>
      </c>
      <c r="K2818" t="str" cm="1">
        <f t="array" ref="K2818">_xlfn.IFS(Table4_2[[#This Row],[Growth Days]]&lt;=14,"Seedling",Table4_2[[#This Row],[Growth Days]]&lt;=35, "Vegetative",Table4_2[[#This Row],[Growth Days]]&lt;=50, "Maturity")</f>
        <v>Seedling</v>
      </c>
      <c r="L2818" t="str">
        <f>IF(Table4_2[[#This Row],[TDS Value (ppm)]]&lt;560, "Low", IF(Table4_2[[#This Row],[TDS Value (ppm)]]&lt;=800,"Optimal","High"))</f>
        <v>Optimal</v>
      </c>
    </row>
    <row r="2819" spans="1:12" x14ac:dyDescent="0.25">
      <c r="A2819">
        <v>13</v>
      </c>
      <c r="B2819" s="1">
        <v>45158</v>
      </c>
      <c r="C2819" s="1" t="str">
        <f>TEXT(Table4_2[[#This Row],[Date]],"dddd")</f>
        <v>Sunday</v>
      </c>
      <c r="D2819" s="21">
        <v>30.9</v>
      </c>
      <c r="E2819" s="21">
        <v>65</v>
      </c>
      <c r="F2819" s="21">
        <v>463</v>
      </c>
      <c r="G2819" s="21">
        <v>6.4</v>
      </c>
      <c r="H2819">
        <v>18</v>
      </c>
      <c r="I2819">
        <v>87.62</v>
      </c>
      <c r="J2819">
        <v>0.65</v>
      </c>
      <c r="K2819" t="str" cm="1">
        <f t="array" ref="K2819">_xlfn.IFS(Table4_2[[#This Row],[Growth Days]]&lt;=14,"Seedling",Table4_2[[#This Row],[Growth Days]]&lt;=35, "Vegetative",Table4_2[[#This Row],[Growth Days]]&lt;=50, "Maturity")</f>
        <v>Vegetative</v>
      </c>
      <c r="L2819" t="str">
        <f>IF(Table4_2[[#This Row],[TDS Value (ppm)]]&lt;560, "Low", IF(Table4_2[[#This Row],[TDS Value (ppm)]]&lt;=800,"Optimal","High"))</f>
        <v>Low</v>
      </c>
    </row>
    <row r="2820" spans="1:12" x14ac:dyDescent="0.25">
      <c r="A2820">
        <v>13</v>
      </c>
      <c r="B2820" s="1">
        <v>45165</v>
      </c>
      <c r="C2820" s="1" t="str">
        <f>TEXT(Table4_2[[#This Row],[Date]],"dddd")</f>
        <v>Sunday</v>
      </c>
      <c r="D2820" s="21">
        <v>30.1</v>
      </c>
      <c r="E2820" s="21">
        <v>53</v>
      </c>
      <c r="F2820" s="21">
        <v>740</v>
      </c>
      <c r="G2820" s="21">
        <v>6.7</v>
      </c>
      <c r="H2820">
        <v>25</v>
      </c>
      <c r="I2820">
        <v>86.18</v>
      </c>
      <c r="J2820">
        <v>0.53</v>
      </c>
      <c r="K2820" t="str" cm="1">
        <f t="array" ref="K2820">_xlfn.IFS(Table4_2[[#This Row],[Growth Days]]&lt;=14,"Seedling",Table4_2[[#This Row],[Growth Days]]&lt;=35, "Vegetative",Table4_2[[#This Row],[Growth Days]]&lt;=50, "Maturity")</f>
        <v>Vegetative</v>
      </c>
      <c r="L2820" t="str">
        <f>IF(Table4_2[[#This Row],[TDS Value (ppm)]]&lt;560, "Low", IF(Table4_2[[#This Row],[TDS Value (ppm)]]&lt;=800,"Optimal","High"))</f>
        <v>Optimal</v>
      </c>
    </row>
    <row r="2821" spans="1:12" x14ac:dyDescent="0.25">
      <c r="A2821">
        <v>13</v>
      </c>
      <c r="B2821" s="1">
        <v>45172</v>
      </c>
      <c r="C2821" s="1" t="str">
        <f>TEXT(Table4_2[[#This Row],[Date]],"dddd")</f>
        <v>Sunday</v>
      </c>
      <c r="D2821" s="21">
        <v>31.7</v>
      </c>
      <c r="E2821" s="21">
        <v>56</v>
      </c>
      <c r="F2821" s="21">
        <v>509</v>
      </c>
      <c r="G2821" s="21">
        <v>6.5</v>
      </c>
      <c r="H2821">
        <v>32</v>
      </c>
      <c r="I2821">
        <v>89.06</v>
      </c>
      <c r="J2821">
        <v>0.56000000000000005</v>
      </c>
      <c r="K2821" t="str" cm="1">
        <f t="array" ref="K2821">_xlfn.IFS(Table4_2[[#This Row],[Growth Days]]&lt;=14,"Seedling",Table4_2[[#This Row],[Growth Days]]&lt;=35, "Vegetative",Table4_2[[#This Row],[Growth Days]]&lt;=50, "Maturity")</f>
        <v>Vegetative</v>
      </c>
      <c r="L2821" t="str">
        <f>IF(Table4_2[[#This Row],[TDS Value (ppm)]]&lt;560, "Low", IF(Table4_2[[#This Row],[TDS Value (ppm)]]&lt;=800,"Optimal","High"))</f>
        <v>Low</v>
      </c>
    </row>
    <row r="2822" spans="1:12" x14ac:dyDescent="0.25">
      <c r="A2822">
        <v>13</v>
      </c>
      <c r="B2822" s="1">
        <v>45179</v>
      </c>
      <c r="C2822" s="1" t="str">
        <f>TEXT(Table4_2[[#This Row],[Date]],"dddd")</f>
        <v>Sunday</v>
      </c>
      <c r="D2822" s="21">
        <v>31.1</v>
      </c>
      <c r="E2822" s="21">
        <v>50</v>
      </c>
      <c r="F2822" s="21">
        <v>653</v>
      </c>
      <c r="G2822" s="21">
        <v>6.6</v>
      </c>
      <c r="H2822">
        <v>39</v>
      </c>
      <c r="I2822">
        <v>87.98</v>
      </c>
      <c r="J2822">
        <v>0.5</v>
      </c>
      <c r="K2822" t="str" cm="1">
        <f t="array" ref="K2822">_xlfn.IFS(Table4_2[[#This Row],[Growth Days]]&lt;=14,"Seedling",Table4_2[[#This Row],[Growth Days]]&lt;=35, "Vegetative",Table4_2[[#This Row],[Growth Days]]&lt;=50, "Maturity")</f>
        <v>Maturity</v>
      </c>
      <c r="L2822" t="str">
        <f>IF(Table4_2[[#This Row],[TDS Value (ppm)]]&lt;560, "Low", IF(Table4_2[[#This Row],[TDS Value (ppm)]]&lt;=800,"Optimal","High"))</f>
        <v>Optimal</v>
      </c>
    </row>
    <row r="2823" spans="1:12" x14ac:dyDescent="0.25">
      <c r="A2823">
        <v>14</v>
      </c>
      <c r="B2823" s="1">
        <v>45144</v>
      </c>
      <c r="C2823" s="1" t="str">
        <f>TEXT(Table4_2[[#This Row],[Date]],"dddd")</f>
        <v>Sunday</v>
      </c>
      <c r="D2823" s="21">
        <v>33.4</v>
      </c>
      <c r="E2823" s="21">
        <v>63</v>
      </c>
      <c r="F2823" s="21">
        <v>511</v>
      </c>
      <c r="G2823" s="21">
        <v>6.6</v>
      </c>
      <c r="H2823">
        <v>4</v>
      </c>
      <c r="I2823">
        <v>92.12</v>
      </c>
      <c r="J2823">
        <v>0.63</v>
      </c>
      <c r="K2823" t="str" cm="1">
        <f t="array" ref="K2823">_xlfn.IFS(Table4_2[[#This Row],[Growth Days]]&lt;=14,"Seedling",Table4_2[[#This Row],[Growth Days]]&lt;=35, "Vegetative",Table4_2[[#This Row],[Growth Days]]&lt;=50, "Maturity")</f>
        <v>Seedling</v>
      </c>
      <c r="L2823" t="str">
        <f>IF(Table4_2[[#This Row],[TDS Value (ppm)]]&lt;560, "Low", IF(Table4_2[[#This Row],[TDS Value (ppm)]]&lt;=800,"Optimal","High"))</f>
        <v>Low</v>
      </c>
    </row>
    <row r="2824" spans="1:12" x14ac:dyDescent="0.25">
      <c r="A2824">
        <v>14</v>
      </c>
      <c r="B2824" s="1">
        <v>45151</v>
      </c>
      <c r="C2824" s="1" t="str">
        <f>TEXT(Table4_2[[#This Row],[Date]],"dddd")</f>
        <v>Sunday</v>
      </c>
      <c r="D2824" s="21">
        <v>30.1</v>
      </c>
      <c r="E2824" s="21">
        <v>75</v>
      </c>
      <c r="F2824" s="21">
        <v>602</v>
      </c>
      <c r="G2824" s="21">
        <v>6</v>
      </c>
      <c r="H2824">
        <v>11</v>
      </c>
      <c r="I2824">
        <v>86.18</v>
      </c>
      <c r="J2824">
        <v>0.75</v>
      </c>
      <c r="K2824" t="str" cm="1">
        <f t="array" ref="K2824">_xlfn.IFS(Table4_2[[#This Row],[Growth Days]]&lt;=14,"Seedling",Table4_2[[#This Row],[Growth Days]]&lt;=35, "Vegetative",Table4_2[[#This Row],[Growth Days]]&lt;=50, "Maturity")</f>
        <v>Seedling</v>
      </c>
      <c r="L2824" t="str">
        <f>IF(Table4_2[[#This Row],[TDS Value (ppm)]]&lt;560, "Low", IF(Table4_2[[#This Row],[TDS Value (ppm)]]&lt;=800,"Optimal","High"))</f>
        <v>Optimal</v>
      </c>
    </row>
    <row r="2825" spans="1:12" x14ac:dyDescent="0.25">
      <c r="A2825">
        <v>14</v>
      </c>
      <c r="B2825" s="1">
        <v>45158</v>
      </c>
      <c r="C2825" s="1" t="str">
        <f>TEXT(Table4_2[[#This Row],[Date]],"dddd")</f>
        <v>Sunday</v>
      </c>
      <c r="D2825" s="21">
        <v>30.9</v>
      </c>
      <c r="E2825" s="21">
        <v>63</v>
      </c>
      <c r="F2825" s="21">
        <v>652</v>
      </c>
      <c r="G2825" s="21">
        <v>6.6</v>
      </c>
      <c r="H2825">
        <v>18</v>
      </c>
      <c r="I2825">
        <v>87.62</v>
      </c>
      <c r="J2825">
        <v>0.63</v>
      </c>
      <c r="K2825" t="str" cm="1">
        <f t="array" ref="K2825">_xlfn.IFS(Table4_2[[#This Row],[Growth Days]]&lt;=14,"Seedling",Table4_2[[#This Row],[Growth Days]]&lt;=35, "Vegetative",Table4_2[[#This Row],[Growth Days]]&lt;=50, "Maturity")</f>
        <v>Vegetative</v>
      </c>
      <c r="L2825" t="str">
        <f>IF(Table4_2[[#This Row],[TDS Value (ppm)]]&lt;560, "Low", IF(Table4_2[[#This Row],[TDS Value (ppm)]]&lt;=800,"Optimal","High"))</f>
        <v>Optimal</v>
      </c>
    </row>
    <row r="2826" spans="1:12" x14ac:dyDescent="0.25">
      <c r="A2826">
        <v>14</v>
      </c>
      <c r="B2826" s="1">
        <v>45165</v>
      </c>
      <c r="C2826" s="1" t="str">
        <f>TEXT(Table4_2[[#This Row],[Date]],"dddd")</f>
        <v>Sunday</v>
      </c>
      <c r="D2826" s="21">
        <v>30.1</v>
      </c>
      <c r="E2826" s="21">
        <v>55</v>
      </c>
      <c r="F2826" s="21">
        <v>743</v>
      </c>
      <c r="G2826" s="21">
        <v>6.4</v>
      </c>
      <c r="H2826">
        <v>25</v>
      </c>
      <c r="I2826">
        <v>86.18</v>
      </c>
      <c r="J2826">
        <v>0.55000000000000004</v>
      </c>
      <c r="K2826" t="str" cm="1">
        <f t="array" ref="K2826">_xlfn.IFS(Table4_2[[#This Row],[Growth Days]]&lt;=14,"Seedling",Table4_2[[#This Row],[Growth Days]]&lt;=35, "Vegetative",Table4_2[[#This Row],[Growth Days]]&lt;=50, "Maturity")</f>
        <v>Vegetative</v>
      </c>
      <c r="L2826" t="str">
        <f>IF(Table4_2[[#This Row],[TDS Value (ppm)]]&lt;560, "Low", IF(Table4_2[[#This Row],[TDS Value (ppm)]]&lt;=800,"Optimal","High"))</f>
        <v>Optimal</v>
      </c>
    </row>
    <row r="2827" spans="1:12" x14ac:dyDescent="0.25">
      <c r="A2827">
        <v>14</v>
      </c>
      <c r="B2827" s="1">
        <v>45172</v>
      </c>
      <c r="C2827" s="1" t="str">
        <f>TEXT(Table4_2[[#This Row],[Date]],"dddd")</f>
        <v>Sunday</v>
      </c>
      <c r="D2827" s="21">
        <v>31.7</v>
      </c>
      <c r="E2827" s="21">
        <v>63</v>
      </c>
      <c r="F2827" s="21">
        <v>710</v>
      </c>
      <c r="G2827" s="21">
        <v>6.3</v>
      </c>
      <c r="H2827">
        <v>32</v>
      </c>
      <c r="I2827">
        <v>89.06</v>
      </c>
      <c r="J2827">
        <v>0.63</v>
      </c>
      <c r="K2827" t="str" cm="1">
        <f t="array" ref="K2827">_xlfn.IFS(Table4_2[[#This Row],[Growth Days]]&lt;=14,"Seedling",Table4_2[[#This Row],[Growth Days]]&lt;=35, "Vegetative",Table4_2[[#This Row],[Growth Days]]&lt;=50, "Maturity")</f>
        <v>Vegetative</v>
      </c>
      <c r="L2827" t="str">
        <f>IF(Table4_2[[#This Row],[TDS Value (ppm)]]&lt;560, "Low", IF(Table4_2[[#This Row],[TDS Value (ppm)]]&lt;=800,"Optimal","High"))</f>
        <v>Optimal</v>
      </c>
    </row>
    <row r="2828" spans="1:12" x14ac:dyDescent="0.25">
      <c r="A2828">
        <v>14</v>
      </c>
      <c r="B2828" s="1">
        <v>45179</v>
      </c>
      <c r="C2828" s="1" t="str">
        <f>TEXT(Table4_2[[#This Row],[Date]],"dddd")</f>
        <v>Sunday</v>
      </c>
      <c r="D2828" s="21">
        <v>31.1</v>
      </c>
      <c r="E2828" s="21">
        <v>69</v>
      </c>
      <c r="F2828" s="21">
        <v>536</v>
      </c>
      <c r="G2828" s="21">
        <v>6</v>
      </c>
      <c r="H2828">
        <v>39</v>
      </c>
      <c r="I2828">
        <v>87.98</v>
      </c>
      <c r="J2828">
        <v>0.69</v>
      </c>
      <c r="K2828" t="str" cm="1">
        <f t="array" ref="K2828">_xlfn.IFS(Table4_2[[#This Row],[Growth Days]]&lt;=14,"Seedling",Table4_2[[#This Row],[Growth Days]]&lt;=35, "Vegetative",Table4_2[[#This Row],[Growth Days]]&lt;=50, "Maturity")</f>
        <v>Maturity</v>
      </c>
      <c r="L2828" t="str">
        <f>IF(Table4_2[[#This Row],[TDS Value (ppm)]]&lt;560, "Low", IF(Table4_2[[#This Row],[TDS Value (ppm)]]&lt;=800,"Optimal","High"))</f>
        <v>Low</v>
      </c>
    </row>
    <row r="2829" spans="1:12" x14ac:dyDescent="0.25">
      <c r="A2829">
        <v>15</v>
      </c>
      <c r="B2829" s="1">
        <v>45144</v>
      </c>
      <c r="C2829" s="1" t="str">
        <f>TEXT(Table4_2[[#This Row],[Date]],"dddd")</f>
        <v>Sunday</v>
      </c>
      <c r="D2829" s="21">
        <v>33.4</v>
      </c>
      <c r="E2829" s="21">
        <v>63</v>
      </c>
      <c r="F2829" s="21">
        <v>782</v>
      </c>
      <c r="G2829" s="21">
        <v>6.7</v>
      </c>
      <c r="H2829">
        <v>4</v>
      </c>
      <c r="I2829">
        <v>92.12</v>
      </c>
      <c r="J2829">
        <v>0.63</v>
      </c>
      <c r="K2829" t="str" cm="1">
        <f t="array" ref="K2829">_xlfn.IFS(Table4_2[[#This Row],[Growth Days]]&lt;=14,"Seedling",Table4_2[[#This Row],[Growth Days]]&lt;=35, "Vegetative",Table4_2[[#This Row],[Growth Days]]&lt;=50, "Maturity")</f>
        <v>Seedling</v>
      </c>
      <c r="L2829" t="str">
        <f>IF(Table4_2[[#This Row],[TDS Value (ppm)]]&lt;560, "Low", IF(Table4_2[[#This Row],[TDS Value (ppm)]]&lt;=800,"Optimal","High"))</f>
        <v>Optimal</v>
      </c>
    </row>
    <row r="2830" spans="1:12" x14ac:dyDescent="0.25">
      <c r="A2830">
        <v>15</v>
      </c>
      <c r="B2830" s="1">
        <v>45151</v>
      </c>
      <c r="C2830" s="1" t="str">
        <f>TEXT(Table4_2[[#This Row],[Date]],"dddd")</f>
        <v>Sunday</v>
      </c>
      <c r="D2830" s="21">
        <v>30.1</v>
      </c>
      <c r="E2830" s="21">
        <v>77</v>
      </c>
      <c r="F2830" s="21">
        <v>509</v>
      </c>
      <c r="G2830" s="21">
        <v>6</v>
      </c>
      <c r="H2830">
        <v>11</v>
      </c>
      <c r="I2830">
        <v>86.18</v>
      </c>
      <c r="J2830">
        <v>0.77</v>
      </c>
      <c r="K2830" t="str" cm="1">
        <f t="array" ref="K2830">_xlfn.IFS(Table4_2[[#This Row],[Growth Days]]&lt;=14,"Seedling",Table4_2[[#This Row],[Growth Days]]&lt;=35, "Vegetative",Table4_2[[#This Row],[Growth Days]]&lt;=50, "Maturity")</f>
        <v>Seedling</v>
      </c>
      <c r="L2830" t="str">
        <f>IF(Table4_2[[#This Row],[TDS Value (ppm)]]&lt;560, "Low", IF(Table4_2[[#This Row],[TDS Value (ppm)]]&lt;=800,"Optimal","High"))</f>
        <v>Low</v>
      </c>
    </row>
    <row r="2831" spans="1:12" x14ac:dyDescent="0.25">
      <c r="A2831">
        <v>15</v>
      </c>
      <c r="B2831" s="1">
        <v>45158</v>
      </c>
      <c r="C2831" s="1" t="str">
        <f>TEXT(Table4_2[[#This Row],[Date]],"dddd")</f>
        <v>Sunday</v>
      </c>
      <c r="D2831" s="21">
        <v>30.9</v>
      </c>
      <c r="E2831" s="21">
        <v>53</v>
      </c>
      <c r="F2831" s="21">
        <v>513</v>
      </c>
      <c r="G2831" s="21">
        <v>6.5</v>
      </c>
      <c r="H2831">
        <v>18</v>
      </c>
      <c r="I2831">
        <v>87.62</v>
      </c>
      <c r="J2831">
        <v>0.53</v>
      </c>
      <c r="K2831" t="str" cm="1">
        <f t="array" ref="K2831">_xlfn.IFS(Table4_2[[#This Row],[Growth Days]]&lt;=14,"Seedling",Table4_2[[#This Row],[Growth Days]]&lt;=35, "Vegetative",Table4_2[[#This Row],[Growth Days]]&lt;=50, "Maturity")</f>
        <v>Vegetative</v>
      </c>
      <c r="L2831" t="str">
        <f>IF(Table4_2[[#This Row],[TDS Value (ppm)]]&lt;560, "Low", IF(Table4_2[[#This Row],[TDS Value (ppm)]]&lt;=800,"Optimal","High"))</f>
        <v>Low</v>
      </c>
    </row>
    <row r="2832" spans="1:12" x14ac:dyDescent="0.25">
      <c r="A2832">
        <v>15</v>
      </c>
      <c r="B2832" s="1">
        <v>45165</v>
      </c>
      <c r="C2832" s="1" t="str">
        <f>TEXT(Table4_2[[#This Row],[Date]],"dddd")</f>
        <v>Sunday</v>
      </c>
      <c r="D2832" s="21">
        <v>30.1</v>
      </c>
      <c r="E2832" s="21">
        <v>52</v>
      </c>
      <c r="F2832" s="21">
        <v>663</v>
      </c>
      <c r="G2832" s="21">
        <v>6.6</v>
      </c>
      <c r="H2832">
        <v>25</v>
      </c>
      <c r="I2832">
        <v>86.18</v>
      </c>
      <c r="J2832">
        <v>0.52</v>
      </c>
      <c r="K2832" t="str" cm="1">
        <f t="array" ref="K2832">_xlfn.IFS(Table4_2[[#This Row],[Growth Days]]&lt;=14,"Seedling",Table4_2[[#This Row],[Growth Days]]&lt;=35, "Vegetative",Table4_2[[#This Row],[Growth Days]]&lt;=50, "Maturity")</f>
        <v>Vegetative</v>
      </c>
      <c r="L2832" t="str">
        <f>IF(Table4_2[[#This Row],[TDS Value (ppm)]]&lt;560, "Low", IF(Table4_2[[#This Row],[TDS Value (ppm)]]&lt;=800,"Optimal","High"))</f>
        <v>Optimal</v>
      </c>
    </row>
    <row r="2833" spans="1:12" x14ac:dyDescent="0.25">
      <c r="A2833">
        <v>15</v>
      </c>
      <c r="B2833" s="1">
        <v>45172</v>
      </c>
      <c r="C2833" s="1" t="str">
        <f>TEXT(Table4_2[[#This Row],[Date]],"dddd")</f>
        <v>Sunday</v>
      </c>
      <c r="D2833" s="21">
        <v>31.7</v>
      </c>
      <c r="E2833" s="21">
        <v>65</v>
      </c>
      <c r="F2833" s="21">
        <v>619</v>
      </c>
      <c r="G2833" s="21">
        <v>6.7</v>
      </c>
      <c r="H2833">
        <v>32</v>
      </c>
      <c r="I2833">
        <v>89.06</v>
      </c>
      <c r="J2833">
        <v>0.65</v>
      </c>
      <c r="K2833" t="str" cm="1">
        <f t="array" ref="K2833">_xlfn.IFS(Table4_2[[#This Row],[Growth Days]]&lt;=14,"Seedling",Table4_2[[#This Row],[Growth Days]]&lt;=35, "Vegetative",Table4_2[[#This Row],[Growth Days]]&lt;=50, "Maturity")</f>
        <v>Vegetative</v>
      </c>
      <c r="L2833" t="str">
        <f>IF(Table4_2[[#This Row],[TDS Value (ppm)]]&lt;560, "Low", IF(Table4_2[[#This Row],[TDS Value (ppm)]]&lt;=800,"Optimal","High"))</f>
        <v>Optimal</v>
      </c>
    </row>
    <row r="2834" spans="1:12" x14ac:dyDescent="0.25">
      <c r="A2834">
        <v>15</v>
      </c>
      <c r="B2834" s="1">
        <v>45179</v>
      </c>
      <c r="C2834" s="1" t="str">
        <f>TEXT(Table4_2[[#This Row],[Date]],"dddd")</f>
        <v>Sunday</v>
      </c>
      <c r="D2834" s="21">
        <v>31.1</v>
      </c>
      <c r="E2834" s="21">
        <v>53</v>
      </c>
      <c r="F2834" s="21">
        <v>604</v>
      </c>
      <c r="G2834" s="21">
        <v>6.8</v>
      </c>
      <c r="H2834">
        <v>39</v>
      </c>
      <c r="I2834">
        <v>87.98</v>
      </c>
      <c r="J2834">
        <v>0.53</v>
      </c>
      <c r="K2834" t="str" cm="1">
        <f t="array" ref="K2834">_xlfn.IFS(Table4_2[[#This Row],[Growth Days]]&lt;=14,"Seedling",Table4_2[[#This Row],[Growth Days]]&lt;=35, "Vegetative",Table4_2[[#This Row],[Growth Days]]&lt;=50, "Maturity")</f>
        <v>Maturity</v>
      </c>
      <c r="L2834" t="str">
        <f>IF(Table4_2[[#This Row],[TDS Value (ppm)]]&lt;560, "Low", IF(Table4_2[[#This Row],[TDS Value (ppm)]]&lt;=800,"Optimal","High"))</f>
        <v>Optimal</v>
      </c>
    </row>
    <row r="2835" spans="1:12" x14ac:dyDescent="0.25">
      <c r="A2835">
        <v>16</v>
      </c>
      <c r="B2835" s="1">
        <v>45144</v>
      </c>
      <c r="C2835" s="1" t="str">
        <f>TEXT(Table4_2[[#This Row],[Date]],"dddd")</f>
        <v>Sunday</v>
      </c>
      <c r="D2835" s="21">
        <v>33.4</v>
      </c>
      <c r="E2835" s="21">
        <v>56</v>
      </c>
      <c r="F2835" s="21">
        <v>588</v>
      </c>
      <c r="G2835" s="21">
        <v>6</v>
      </c>
      <c r="H2835">
        <v>4</v>
      </c>
      <c r="I2835">
        <v>92.12</v>
      </c>
      <c r="J2835">
        <v>0.56000000000000005</v>
      </c>
      <c r="K2835" t="str" cm="1">
        <f t="array" ref="K2835">_xlfn.IFS(Table4_2[[#This Row],[Growth Days]]&lt;=14,"Seedling",Table4_2[[#This Row],[Growth Days]]&lt;=35, "Vegetative",Table4_2[[#This Row],[Growth Days]]&lt;=50, "Maturity")</f>
        <v>Seedling</v>
      </c>
      <c r="L2835" t="str">
        <f>IF(Table4_2[[#This Row],[TDS Value (ppm)]]&lt;560, "Low", IF(Table4_2[[#This Row],[TDS Value (ppm)]]&lt;=800,"Optimal","High"))</f>
        <v>Optimal</v>
      </c>
    </row>
    <row r="2836" spans="1:12" x14ac:dyDescent="0.25">
      <c r="A2836">
        <v>16</v>
      </c>
      <c r="B2836" s="1">
        <v>45151</v>
      </c>
      <c r="C2836" s="1" t="str">
        <f>TEXT(Table4_2[[#This Row],[Date]],"dddd")</f>
        <v>Sunday</v>
      </c>
      <c r="D2836" s="21">
        <v>30.1</v>
      </c>
      <c r="E2836" s="21">
        <v>62</v>
      </c>
      <c r="F2836" s="21">
        <v>477</v>
      </c>
      <c r="G2836" s="21">
        <v>6.6</v>
      </c>
      <c r="H2836">
        <v>11</v>
      </c>
      <c r="I2836">
        <v>86.18</v>
      </c>
      <c r="J2836">
        <v>0.62</v>
      </c>
      <c r="K2836" t="str" cm="1">
        <f t="array" ref="K2836">_xlfn.IFS(Table4_2[[#This Row],[Growth Days]]&lt;=14,"Seedling",Table4_2[[#This Row],[Growth Days]]&lt;=35, "Vegetative",Table4_2[[#This Row],[Growth Days]]&lt;=50, "Maturity")</f>
        <v>Seedling</v>
      </c>
      <c r="L2836" t="str">
        <f>IF(Table4_2[[#This Row],[TDS Value (ppm)]]&lt;560, "Low", IF(Table4_2[[#This Row],[TDS Value (ppm)]]&lt;=800,"Optimal","High"))</f>
        <v>Low</v>
      </c>
    </row>
    <row r="2837" spans="1:12" x14ac:dyDescent="0.25">
      <c r="A2837">
        <v>16</v>
      </c>
      <c r="B2837" s="1">
        <v>45158</v>
      </c>
      <c r="C2837" s="1" t="str">
        <f>TEXT(Table4_2[[#This Row],[Date]],"dddd")</f>
        <v>Sunday</v>
      </c>
      <c r="D2837" s="21">
        <v>30.9</v>
      </c>
      <c r="E2837" s="21">
        <v>69</v>
      </c>
      <c r="F2837" s="21">
        <v>402</v>
      </c>
      <c r="G2837" s="21">
        <v>6.5</v>
      </c>
      <c r="H2837">
        <v>18</v>
      </c>
      <c r="I2837">
        <v>87.62</v>
      </c>
      <c r="J2837">
        <v>0.69</v>
      </c>
      <c r="K2837" t="str" cm="1">
        <f t="array" ref="K2837">_xlfn.IFS(Table4_2[[#This Row],[Growth Days]]&lt;=14,"Seedling",Table4_2[[#This Row],[Growth Days]]&lt;=35, "Vegetative",Table4_2[[#This Row],[Growth Days]]&lt;=50, "Maturity")</f>
        <v>Vegetative</v>
      </c>
      <c r="L2837" t="str">
        <f>IF(Table4_2[[#This Row],[TDS Value (ppm)]]&lt;560, "Low", IF(Table4_2[[#This Row],[TDS Value (ppm)]]&lt;=800,"Optimal","High"))</f>
        <v>Low</v>
      </c>
    </row>
    <row r="2838" spans="1:12" x14ac:dyDescent="0.25">
      <c r="A2838">
        <v>16</v>
      </c>
      <c r="B2838" s="1">
        <v>45165</v>
      </c>
      <c r="C2838" s="1" t="str">
        <f>TEXT(Table4_2[[#This Row],[Date]],"dddd")</f>
        <v>Sunday</v>
      </c>
      <c r="D2838" s="21">
        <v>30.1</v>
      </c>
      <c r="E2838" s="21">
        <v>51</v>
      </c>
      <c r="F2838" s="21">
        <v>626</v>
      </c>
      <c r="G2838" s="21">
        <v>6.1</v>
      </c>
      <c r="H2838">
        <v>25</v>
      </c>
      <c r="I2838">
        <v>86.18</v>
      </c>
      <c r="J2838">
        <v>0.51</v>
      </c>
      <c r="K2838" t="str" cm="1">
        <f t="array" ref="K2838">_xlfn.IFS(Table4_2[[#This Row],[Growth Days]]&lt;=14,"Seedling",Table4_2[[#This Row],[Growth Days]]&lt;=35, "Vegetative",Table4_2[[#This Row],[Growth Days]]&lt;=50, "Maturity")</f>
        <v>Vegetative</v>
      </c>
      <c r="L2838" t="str">
        <f>IF(Table4_2[[#This Row],[TDS Value (ppm)]]&lt;560, "Low", IF(Table4_2[[#This Row],[TDS Value (ppm)]]&lt;=800,"Optimal","High"))</f>
        <v>Optimal</v>
      </c>
    </row>
    <row r="2839" spans="1:12" x14ac:dyDescent="0.25">
      <c r="A2839">
        <v>16</v>
      </c>
      <c r="B2839" s="1">
        <v>45172</v>
      </c>
      <c r="C2839" s="1" t="str">
        <f>TEXT(Table4_2[[#This Row],[Date]],"dddd")</f>
        <v>Sunday</v>
      </c>
      <c r="D2839" s="21">
        <v>31.7</v>
      </c>
      <c r="E2839" s="21">
        <v>62</v>
      </c>
      <c r="F2839" s="21">
        <v>657</v>
      </c>
      <c r="G2839" s="21">
        <v>6.4</v>
      </c>
      <c r="H2839">
        <v>32</v>
      </c>
      <c r="I2839">
        <v>89.06</v>
      </c>
      <c r="J2839">
        <v>0.62</v>
      </c>
      <c r="K2839" t="str" cm="1">
        <f t="array" ref="K2839">_xlfn.IFS(Table4_2[[#This Row],[Growth Days]]&lt;=14,"Seedling",Table4_2[[#This Row],[Growth Days]]&lt;=35, "Vegetative",Table4_2[[#This Row],[Growth Days]]&lt;=50, "Maturity")</f>
        <v>Vegetative</v>
      </c>
      <c r="L2839" t="str">
        <f>IF(Table4_2[[#This Row],[TDS Value (ppm)]]&lt;560, "Low", IF(Table4_2[[#This Row],[TDS Value (ppm)]]&lt;=800,"Optimal","High"))</f>
        <v>Optimal</v>
      </c>
    </row>
    <row r="2840" spans="1:12" x14ac:dyDescent="0.25">
      <c r="A2840">
        <v>16</v>
      </c>
      <c r="B2840" s="1">
        <v>45179</v>
      </c>
      <c r="C2840" s="1" t="str">
        <f>TEXT(Table4_2[[#This Row],[Date]],"dddd")</f>
        <v>Sunday</v>
      </c>
      <c r="D2840" s="21">
        <v>31.1</v>
      </c>
      <c r="E2840" s="21">
        <v>54</v>
      </c>
      <c r="F2840" s="21">
        <v>645</v>
      </c>
      <c r="G2840" s="21">
        <v>6.3</v>
      </c>
      <c r="H2840">
        <v>39</v>
      </c>
      <c r="I2840">
        <v>87.98</v>
      </c>
      <c r="J2840">
        <v>0.54</v>
      </c>
      <c r="K2840" t="str" cm="1">
        <f t="array" ref="K2840">_xlfn.IFS(Table4_2[[#This Row],[Growth Days]]&lt;=14,"Seedling",Table4_2[[#This Row],[Growth Days]]&lt;=35, "Vegetative",Table4_2[[#This Row],[Growth Days]]&lt;=50, "Maturity")</f>
        <v>Maturity</v>
      </c>
      <c r="L2840" t="str">
        <f>IF(Table4_2[[#This Row],[TDS Value (ppm)]]&lt;560, "Low", IF(Table4_2[[#This Row],[TDS Value (ppm)]]&lt;=800,"Optimal","High"))</f>
        <v>Optimal</v>
      </c>
    </row>
    <row r="2841" spans="1:12" x14ac:dyDescent="0.25">
      <c r="A2841">
        <v>16</v>
      </c>
      <c r="B2841" s="1">
        <v>45186</v>
      </c>
      <c r="C2841" s="1" t="str">
        <f>TEXT(Table4_2[[#This Row],[Date]],"dddd")</f>
        <v>Sunday</v>
      </c>
      <c r="D2841" s="21">
        <v>30.9</v>
      </c>
      <c r="E2841" s="21">
        <v>65</v>
      </c>
      <c r="F2841" s="21">
        <v>651</v>
      </c>
      <c r="G2841" s="21">
        <v>6</v>
      </c>
      <c r="H2841">
        <v>46</v>
      </c>
      <c r="I2841">
        <v>87.62</v>
      </c>
      <c r="J2841">
        <v>0.65</v>
      </c>
      <c r="K2841" t="str" cm="1">
        <f t="array" ref="K2841">_xlfn.IFS(Table4_2[[#This Row],[Growth Days]]&lt;=14,"Seedling",Table4_2[[#This Row],[Growth Days]]&lt;=35, "Vegetative",Table4_2[[#This Row],[Growth Days]]&lt;=50, "Maturity")</f>
        <v>Maturity</v>
      </c>
      <c r="L2841" t="str">
        <f>IF(Table4_2[[#This Row],[TDS Value (ppm)]]&lt;560, "Low", IF(Table4_2[[#This Row],[TDS Value (ppm)]]&lt;=800,"Optimal","High"))</f>
        <v>Optimal</v>
      </c>
    </row>
    <row r="2842" spans="1:12" x14ac:dyDescent="0.25">
      <c r="A2842">
        <v>17</v>
      </c>
      <c r="B2842" s="1">
        <v>45144</v>
      </c>
      <c r="C2842" s="1" t="str">
        <f>TEXT(Table4_2[[#This Row],[Date]],"dddd")</f>
        <v>Sunday</v>
      </c>
      <c r="D2842" s="21">
        <v>33.4</v>
      </c>
      <c r="E2842" s="21">
        <v>62</v>
      </c>
      <c r="F2842" s="21">
        <v>647</v>
      </c>
      <c r="G2842" s="21">
        <v>6.1</v>
      </c>
      <c r="H2842">
        <v>4</v>
      </c>
      <c r="I2842">
        <v>92.12</v>
      </c>
      <c r="J2842">
        <v>0.62</v>
      </c>
      <c r="K2842" t="str" cm="1">
        <f t="array" ref="K2842">_xlfn.IFS(Table4_2[[#This Row],[Growth Days]]&lt;=14,"Seedling",Table4_2[[#This Row],[Growth Days]]&lt;=35, "Vegetative",Table4_2[[#This Row],[Growth Days]]&lt;=50, "Maturity")</f>
        <v>Seedling</v>
      </c>
      <c r="L2842" t="str">
        <f>IF(Table4_2[[#This Row],[TDS Value (ppm)]]&lt;560, "Low", IF(Table4_2[[#This Row],[TDS Value (ppm)]]&lt;=800,"Optimal","High"))</f>
        <v>Optimal</v>
      </c>
    </row>
    <row r="2843" spans="1:12" x14ac:dyDescent="0.25">
      <c r="A2843">
        <v>17</v>
      </c>
      <c r="B2843" s="1">
        <v>45151</v>
      </c>
      <c r="C2843" s="1" t="str">
        <f>TEXT(Table4_2[[#This Row],[Date]],"dddd")</f>
        <v>Sunday</v>
      </c>
      <c r="D2843" s="21">
        <v>30.1</v>
      </c>
      <c r="E2843" s="21">
        <v>51</v>
      </c>
      <c r="F2843" s="21">
        <v>798</v>
      </c>
      <c r="G2843" s="21">
        <v>6.5</v>
      </c>
      <c r="H2843">
        <v>11</v>
      </c>
      <c r="I2843">
        <v>86.18</v>
      </c>
      <c r="J2843">
        <v>0.51</v>
      </c>
      <c r="K2843" t="str" cm="1">
        <f t="array" ref="K2843">_xlfn.IFS(Table4_2[[#This Row],[Growth Days]]&lt;=14,"Seedling",Table4_2[[#This Row],[Growth Days]]&lt;=35, "Vegetative",Table4_2[[#This Row],[Growth Days]]&lt;=50, "Maturity")</f>
        <v>Seedling</v>
      </c>
      <c r="L2843" t="str">
        <f>IF(Table4_2[[#This Row],[TDS Value (ppm)]]&lt;560, "Low", IF(Table4_2[[#This Row],[TDS Value (ppm)]]&lt;=800,"Optimal","High"))</f>
        <v>Optimal</v>
      </c>
    </row>
    <row r="2844" spans="1:12" x14ac:dyDescent="0.25">
      <c r="A2844">
        <v>17</v>
      </c>
      <c r="B2844" s="1">
        <v>45158</v>
      </c>
      <c r="C2844" s="1" t="str">
        <f>TEXT(Table4_2[[#This Row],[Date]],"dddd")</f>
        <v>Sunday</v>
      </c>
      <c r="D2844" s="21">
        <v>30.9</v>
      </c>
      <c r="E2844" s="21">
        <v>80</v>
      </c>
      <c r="F2844" s="21">
        <v>716</v>
      </c>
      <c r="G2844" s="21">
        <v>6.7</v>
      </c>
      <c r="H2844">
        <v>18</v>
      </c>
      <c r="I2844">
        <v>87.62</v>
      </c>
      <c r="J2844">
        <v>0.8</v>
      </c>
      <c r="K2844" t="str" cm="1">
        <f t="array" ref="K2844">_xlfn.IFS(Table4_2[[#This Row],[Growth Days]]&lt;=14,"Seedling",Table4_2[[#This Row],[Growth Days]]&lt;=35, "Vegetative",Table4_2[[#This Row],[Growth Days]]&lt;=50, "Maturity")</f>
        <v>Vegetative</v>
      </c>
      <c r="L2844" t="str">
        <f>IF(Table4_2[[#This Row],[TDS Value (ppm)]]&lt;560, "Low", IF(Table4_2[[#This Row],[TDS Value (ppm)]]&lt;=800,"Optimal","High"))</f>
        <v>Optimal</v>
      </c>
    </row>
    <row r="2845" spans="1:12" x14ac:dyDescent="0.25">
      <c r="A2845">
        <v>17</v>
      </c>
      <c r="B2845" s="1">
        <v>45165</v>
      </c>
      <c r="C2845" s="1" t="str">
        <f>TEXT(Table4_2[[#This Row],[Date]],"dddd")</f>
        <v>Sunday</v>
      </c>
      <c r="D2845" s="21">
        <v>30.1</v>
      </c>
      <c r="E2845" s="21">
        <v>66</v>
      </c>
      <c r="F2845" s="21">
        <v>697</v>
      </c>
      <c r="G2845" s="21">
        <v>6.6</v>
      </c>
      <c r="H2845">
        <v>25</v>
      </c>
      <c r="I2845">
        <v>86.18</v>
      </c>
      <c r="J2845">
        <v>0.66</v>
      </c>
      <c r="K2845" t="str" cm="1">
        <f t="array" ref="K2845">_xlfn.IFS(Table4_2[[#This Row],[Growth Days]]&lt;=14,"Seedling",Table4_2[[#This Row],[Growth Days]]&lt;=35, "Vegetative",Table4_2[[#This Row],[Growth Days]]&lt;=50, "Maturity")</f>
        <v>Vegetative</v>
      </c>
      <c r="L2845" t="str">
        <f>IF(Table4_2[[#This Row],[TDS Value (ppm)]]&lt;560, "Low", IF(Table4_2[[#This Row],[TDS Value (ppm)]]&lt;=800,"Optimal","High"))</f>
        <v>Optimal</v>
      </c>
    </row>
    <row r="2846" spans="1:12" x14ac:dyDescent="0.25">
      <c r="A2846">
        <v>17</v>
      </c>
      <c r="B2846" s="1">
        <v>45172</v>
      </c>
      <c r="C2846" s="1" t="str">
        <f>TEXT(Table4_2[[#This Row],[Date]],"dddd")</f>
        <v>Sunday</v>
      </c>
      <c r="D2846" s="21">
        <v>31.7</v>
      </c>
      <c r="E2846" s="21">
        <v>53</v>
      </c>
      <c r="F2846" s="21">
        <v>461</v>
      </c>
      <c r="G2846" s="21">
        <v>6.3</v>
      </c>
      <c r="H2846">
        <v>32</v>
      </c>
      <c r="I2846">
        <v>89.06</v>
      </c>
      <c r="J2846">
        <v>0.53</v>
      </c>
      <c r="K2846" t="str" cm="1">
        <f t="array" ref="K2846">_xlfn.IFS(Table4_2[[#This Row],[Growth Days]]&lt;=14,"Seedling",Table4_2[[#This Row],[Growth Days]]&lt;=35, "Vegetative",Table4_2[[#This Row],[Growth Days]]&lt;=50, "Maturity")</f>
        <v>Vegetative</v>
      </c>
      <c r="L2846" t="str">
        <f>IF(Table4_2[[#This Row],[TDS Value (ppm)]]&lt;560, "Low", IF(Table4_2[[#This Row],[TDS Value (ppm)]]&lt;=800,"Optimal","High"))</f>
        <v>Low</v>
      </c>
    </row>
    <row r="2847" spans="1:12" x14ac:dyDescent="0.25">
      <c r="A2847">
        <v>17</v>
      </c>
      <c r="B2847" s="1">
        <v>45179</v>
      </c>
      <c r="C2847" s="1" t="str">
        <f>TEXT(Table4_2[[#This Row],[Date]],"dddd")</f>
        <v>Sunday</v>
      </c>
      <c r="D2847" s="21">
        <v>31.1</v>
      </c>
      <c r="E2847" s="21">
        <v>68</v>
      </c>
      <c r="F2847" s="21">
        <v>648</v>
      </c>
      <c r="G2847" s="21">
        <v>6</v>
      </c>
      <c r="H2847">
        <v>39</v>
      </c>
      <c r="I2847">
        <v>87.98</v>
      </c>
      <c r="J2847">
        <v>0.68</v>
      </c>
      <c r="K2847" t="str" cm="1">
        <f t="array" ref="K2847">_xlfn.IFS(Table4_2[[#This Row],[Growth Days]]&lt;=14,"Seedling",Table4_2[[#This Row],[Growth Days]]&lt;=35, "Vegetative",Table4_2[[#This Row],[Growth Days]]&lt;=50, "Maturity")</f>
        <v>Maturity</v>
      </c>
      <c r="L2847" t="str">
        <f>IF(Table4_2[[#This Row],[TDS Value (ppm)]]&lt;560, "Low", IF(Table4_2[[#This Row],[TDS Value (ppm)]]&lt;=800,"Optimal","High"))</f>
        <v>Optimal</v>
      </c>
    </row>
    <row r="2848" spans="1:12" x14ac:dyDescent="0.25">
      <c r="A2848">
        <v>18</v>
      </c>
      <c r="B2848" s="1">
        <v>45144</v>
      </c>
      <c r="C2848" s="1" t="str">
        <f>TEXT(Table4_2[[#This Row],[Date]],"dddd")</f>
        <v>Sunday</v>
      </c>
      <c r="D2848" s="21">
        <v>33.4</v>
      </c>
      <c r="E2848" s="21">
        <v>55</v>
      </c>
      <c r="F2848" s="21">
        <v>451</v>
      </c>
      <c r="G2848" s="21">
        <v>6.5</v>
      </c>
      <c r="H2848">
        <v>4</v>
      </c>
      <c r="I2848">
        <v>92.12</v>
      </c>
      <c r="J2848">
        <v>0.55000000000000004</v>
      </c>
      <c r="K2848" t="str" cm="1">
        <f t="array" ref="K2848">_xlfn.IFS(Table4_2[[#This Row],[Growth Days]]&lt;=14,"Seedling",Table4_2[[#This Row],[Growth Days]]&lt;=35, "Vegetative",Table4_2[[#This Row],[Growth Days]]&lt;=50, "Maturity")</f>
        <v>Seedling</v>
      </c>
      <c r="L2848" t="str">
        <f>IF(Table4_2[[#This Row],[TDS Value (ppm)]]&lt;560, "Low", IF(Table4_2[[#This Row],[TDS Value (ppm)]]&lt;=800,"Optimal","High"))</f>
        <v>Low</v>
      </c>
    </row>
    <row r="2849" spans="1:12" x14ac:dyDescent="0.25">
      <c r="A2849">
        <v>18</v>
      </c>
      <c r="B2849" s="1">
        <v>45151</v>
      </c>
      <c r="C2849" s="1" t="str">
        <f>TEXT(Table4_2[[#This Row],[Date]],"dddd")</f>
        <v>Sunday</v>
      </c>
      <c r="D2849" s="21">
        <v>30.1</v>
      </c>
      <c r="E2849" s="21">
        <v>54</v>
      </c>
      <c r="F2849" s="21">
        <v>528</v>
      </c>
      <c r="G2849" s="21">
        <v>6.5</v>
      </c>
      <c r="H2849">
        <v>11</v>
      </c>
      <c r="I2849">
        <v>86.18</v>
      </c>
      <c r="J2849">
        <v>0.54</v>
      </c>
      <c r="K2849" t="str" cm="1">
        <f t="array" ref="K2849">_xlfn.IFS(Table4_2[[#This Row],[Growth Days]]&lt;=14,"Seedling",Table4_2[[#This Row],[Growth Days]]&lt;=35, "Vegetative",Table4_2[[#This Row],[Growth Days]]&lt;=50, "Maturity")</f>
        <v>Seedling</v>
      </c>
      <c r="L2849" t="str">
        <f>IF(Table4_2[[#This Row],[TDS Value (ppm)]]&lt;560, "Low", IF(Table4_2[[#This Row],[TDS Value (ppm)]]&lt;=800,"Optimal","High"))</f>
        <v>Low</v>
      </c>
    </row>
    <row r="2850" spans="1:12" x14ac:dyDescent="0.25">
      <c r="A2850">
        <v>18</v>
      </c>
      <c r="B2850" s="1">
        <v>45158</v>
      </c>
      <c r="C2850" s="1" t="str">
        <f>TEXT(Table4_2[[#This Row],[Date]],"dddd")</f>
        <v>Sunday</v>
      </c>
      <c r="D2850" s="21">
        <v>30.9</v>
      </c>
      <c r="E2850" s="21">
        <v>60</v>
      </c>
      <c r="F2850" s="21">
        <v>630</v>
      </c>
      <c r="G2850" s="21">
        <v>6.2</v>
      </c>
      <c r="H2850">
        <v>18</v>
      </c>
      <c r="I2850">
        <v>87.62</v>
      </c>
      <c r="J2850">
        <v>0.6</v>
      </c>
      <c r="K2850" t="str" cm="1">
        <f t="array" ref="K2850">_xlfn.IFS(Table4_2[[#This Row],[Growth Days]]&lt;=14,"Seedling",Table4_2[[#This Row],[Growth Days]]&lt;=35, "Vegetative",Table4_2[[#This Row],[Growth Days]]&lt;=50, "Maturity")</f>
        <v>Vegetative</v>
      </c>
      <c r="L2850" t="str">
        <f>IF(Table4_2[[#This Row],[TDS Value (ppm)]]&lt;560, "Low", IF(Table4_2[[#This Row],[TDS Value (ppm)]]&lt;=800,"Optimal","High"))</f>
        <v>Optimal</v>
      </c>
    </row>
    <row r="2851" spans="1:12" x14ac:dyDescent="0.25">
      <c r="A2851">
        <v>18</v>
      </c>
      <c r="B2851" s="1">
        <v>45165</v>
      </c>
      <c r="C2851" s="1" t="str">
        <f>TEXT(Table4_2[[#This Row],[Date]],"dddd")</f>
        <v>Sunday</v>
      </c>
      <c r="D2851" s="21">
        <v>30.1</v>
      </c>
      <c r="E2851" s="21">
        <v>69</v>
      </c>
      <c r="F2851" s="21">
        <v>757</v>
      </c>
      <c r="G2851" s="21">
        <v>6.8</v>
      </c>
      <c r="H2851">
        <v>25</v>
      </c>
      <c r="I2851">
        <v>86.18</v>
      </c>
      <c r="J2851">
        <v>0.69</v>
      </c>
      <c r="K2851" t="str" cm="1">
        <f t="array" ref="K2851">_xlfn.IFS(Table4_2[[#This Row],[Growth Days]]&lt;=14,"Seedling",Table4_2[[#This Row],[Growth Days]]&lt;=35, "Vegetative",Table4_2[[#This Row],[Growth Days]]&lt;=50, "Maturity")</f>
        <v>Vegetative</v>
      </c>
      <c r="L2851" t="str">
        <f>IF(Table4_2[[#This Row],[TDS Value (ppm)]]&lt;560, "Low", IF(Table4_2[[#This Row],[TDS Value (ppm)]]&lt;=800,"Optimal","High"))</f>
        <v>Optimal</v>
      </c>
    </row>
    <row r="2852" spans="1:12" x14ac:dyDescent="0.25">
      <c r="A2852">
        <v>18</v>
      </c>
      <c r="B2852" s="1">
        <v>45172</v>
      </c>
      <c r="C2852" s="1" t="str">
        <f>TEXT(Table4_2[[#This Row],[Date]],"dddd")</f>
        <v>Sunday</v>
      </c>
      <c r="D2852" s="21">
        <v>31.7</v>
      </c>
      <c r="E2852" s="21">
        <v>64</v>
      </c>
      <c r="F2852" s="21">
        <v>740</v>
      </c>
      <c r="G2852" s="21">
        <v>6.1</v>
      </c>
      <c r="H2852">
        <v>32</v>
      </c>
      <c r="I2852">
        <v>89.06</v>
      </c>
      <c r="J2852">
        <v>0.64</v>
      </c>
      <c r="K2852" t="str" cm="1">
        <f t="array" ref="K2852">_xlfn.IFS(Table4_2[[#This Row],[Growth Days]]&lt;=14,"Seedling",Table4_2[[#This Row],[Growth Days]]&lt;=35, "Vegetative",Table4_2[[#This Row],[Growth Days]]&lt;=50, "Maturity")</f>
        <v>Vegetative</v>
      </c>
      <c r="L2852" t="str">
        <f>IF(Table4_2[[#This Row],[TDS Value (ppm)]]&lt;560, "Low", IF(Table4_2[[#This Row],[TDS Value (ppm)]]&lt;=800,"Optimal","High"))</f>
        <v>Optimal</v>
      </c>
    </row>
    <row r="2853" spans="1:12" x14ac:dyDescent="0.25">
      <c r="A2853">
        <v>18</v>
      </c>
      <c r="B2853" s="1">
        <v>45179</v>
      </c>
      <c r="C2853" s="1" t="str">
        <f>TEXT(Table4_2[[#This Row],[Date]],"dddd")</f>
        <v>Sunday</v>
      </c>
      <c r="D2853" s="21">
        <v>31.1</v>
      </c>
      <c r="E2853" s="21">
        <v>61</v>
      </c>
      <c r="F2853" s="21">
        <v>408</v>
      </c>
      <c r="G2853" s="21">
        <v>6.5</v>
      </c>
      <c r="H2853">
        <v>39</v>
      </c>
      <c r="I2853">
        <v>87.98</v>
      </c>
      <c r="J2853">
        <v>0.61</v>
      </c>
      <c r="K2853" t="str" cm="1">
        <f t="array" ref="K2853">_xlfn.IFS(Table4_2[[#This Row],[Growth Days]]&lt;=14,"Seedling",Table4_2[[#This Row],[Growth Days]]&lt;=35, "Vegetative",Table4_2[[#This Row],[Growth Days]]&lt;=50, "Maturity")</f>
        <v>Maturity</v>
      </c>
      <c r="L2853" t="str">
        <f>IF(Table4_2[[#This Row],[TDS Value (ppm)]]&lt;560, "Low", IF(Table4_2[[#This Row],[TDS Value (ppm)]]&lt;=800,"Optimal","High"))</f>
        <v>Low</v>
      </c>
    </row>
    <row r="2854" spans="1:12" x14ac:dyDescent="0.25">
      <c r="A2854">
        <v>19</v>
      </c>
      <c r="B2854" s="1">
        <v>45144</v>
      </c>
      <c r="C2854" s="1" t="str">
        <f>TEXT(Table4_2[[#This Row],[Date]],"dddd")</f>
        <v>Sunday</v>
      </c>
      <c r="D2854" s="21">
        <v>33.4</v>
      </c>
      <c r="E2854" s="21">
        <v>80</v>
      </c>
      <c r="F2854" s="21">
        <v>405</v>
      </c>
      <c r="G2854" s="21">
        <v>6.8</v>
      </c>
      <c r="H2854">
        <v>4</v>
      </c>
      <c r="I2854">
        <v>92.12</v>
      </c>
      <c r="J2854">
        <v>0.8</v>
      </c>
      <c r="K2854" t="str" cm="1">
        <f t="array" ref="K2854">_xlfn.IFS(Table4_2[[#This Row],[Growth Days]]&lt;=14,"Seedling",Table4_2[[#This Row],[Growth Days]]&lt;=35, "Vegetative",Table4_2[[#This Row],[Growth Days]]&lt;=50, "Maturity")</f>
        <v>Seedling</v>
      </c>
      <c r="L2854" t="str">
        <f>IF(Table4_2[[#This Row],[TDS Value (ppm)]]&lt;560, "Low", IF(Table4_2[[#This Row],[TDS Value (ppm)]]&lt;=800,"Optimal","High"))</f>
        <v>Low</v>
      </c>
    </row>
    <row r="2855" spans="1:12" x14ac:dyDescent="0.25">
      <c r="A2855">
        <v>19</v>
      </c>
      <c r="B2855" s="1">
        <v>45151</v>
      </c>
      <c r="C2855" s="1" t="str">
        <f>TEXT(Table4_2[[#This Row],[Date]],"dddd")</f>
        <v>Sunday</v>
      </c>
      <c r="D2855" s="21">
        <v>30.1</v>
      </c>
      <c r="E2855" s="21">
        <v>59</v>
      </c>
      <c r="F2855" s="21">
        <v>655</v>
      </c>
      <c r="G2855" s="21">
        <v>6.6</v>
      </c>
      <c r="H2855">
        <v>11</v>
      </c>
      <c r="I2855">
        <v>86.18</v>
      </c>
      <c r="J2855">
        <v>0.59</v>
      </c>
      <c r="K2855" t="str" cm="1">
        <f t="array" ref="K2855">_xlfn.IFS(Table4_2[[#This Row],[Growth Days]]&lt;=14,"Seedling",Table4_2[[#This Row],[Growth Days]]&lt;=35, "Vegetative",Table4_2[[#This Row],[Growth Days]]&lt;=50, "Maturity")</f>
        <v>Seedling</v>
      </c>
      <c r="L2855" t="str">
        <f>IF(Table4_2[[#This Row],[TDS Value (ppm)]]&lt;560, "Low", IF(Table4_2[[#This Row],[TDS Value (ppm)]]&lt;=800,"Optimal","High"))</f>
        <v>Optimal</v>
      </c>
    </row>
    <row r="2856" spans="1:12" x14ac:dyDescent="0.25">
      <c r="A2856">
        <v>19</v>
      </c>
      <c r="B2856" s="1">
        <v>45158</v>
      </c>
      <c r="C2856" s="1" t="str">
        <f>TEXT(Table4_2[[#This Row],[Date]],"dddd")</f>
        <v>Sunday</v>
      </c>
      <c r="D2856" s="21">
        <v>30.9</v>
      </c>
      <c r="E2856" s="21">
        <v>57</v>
      </c>
      <c r="F2856" s="21">
        <v>708</v>
      </c>
      <c r="G2856" s="21">
        <v>6.2</v>
      </c>
      <c r="H2856">
        <v>18</v>
      </c>
      <c r="I2856">
        <v>87.62</v>
      </c>
      <c r="J2856">
        <v>0.56999999999999995</v>
      </c>
      <c r="K2856" t="str" cm="1">
        <f t="array" ref="K2856">_xlfn.IFS(Table4_2[[#This Row],[Growth Days]]&lt;=14,"Seedling",Table4_2[[#This Row],[Growth Days]]&lt;=35, "Vegetative",Table4_2[[#This Row],[Growth Days]]&lt;=50, "Maturity")</f>
        <v>Vegetative</v>
      </c>
      <c r="L2856" t="str">
        <f>IF(Table4_2[[#This Row],[TDS Value (ppm)]]&lt;560, "Low", IF(Table4_2[[#This Row],[TDS Value (ppm)]]&lt;=800,"Optimal","High"))</f>
        <v>Optimal</v>
      </c>
    </row>
    <row r="2857" spans="1:12" x14ac:dyDescent="0.25">
      <c r="A2857">
        <v>19</v>
      </c>
      <c r="B2857" s="1">
        <v>45165</v>
      </c>
      <c r="C2857" s="1" t="str">
        <f>TEXT(Table4_2[[#This Row],[Date]],"dddd")</f>
        <v>Sunday</v>
      </c>
      <c r="D2857" s="21">
        <v>30.1</v>
      </c>
      <c r="E2857" s="21">
        <v>68</v>
      </c>
      <c r="F2857" s="21">
        <v>606</v>
      </c>
      <c r="G2857" s="21">
        <v>6</v>
      </c>
      <c r="H2857">
        <v>25</v>
      </c>
      <c r="I2857">
        <v>86.18</v>
      </c>
      <c r="J2857">
        <v>0.68</v>
      </c>
      <c r="K2857" t="str" cm="1">
        <f t="array" ref="K2857">_xlfn.IFS(Table4_2[[#This Row],[Growth Days]]&lt;=14,"Seedling",Table4_2[[#This Row],[Growth Days]]&lt;=35, "Vegetative",Table4_2[[#This Row],[Growth Days]]&lt;=50, "Maturity")</f>
        <v>Vegetative</v>
      </c>
      <c r="L2857" t="str">
        <f>IF(Table4_2[[#This Row],[TDS Value (ppm)]]&lt;560, "Low", IF(Table4_2[[#This Row],[TDS Value (ppm)]]&lt;=800,"Optimal","High"))</f>
        <v>Optimal</v>
      </c>
    </row>
    <row r="2858" spans="1:12" x14ac:dyDescent="0.25">
      <c r="A2858">
        <v>19</v>
      </c>
      <c r="B2858" s="1">
        <v>45172</v>
      </c>
      <c r="C2858" s="1" t="str">
        <f>TEXT(Table4_2[[#This Row],[Date]],"dddd")</f>
        <v>Sunday</v>
      </c>
      <c r="D2858" s="21">
        <v>31.7</v>
      </c>
      <c r="E2858" s="21">
        <v>53</v>
      </c>
      <c r="F2858" s="21">
        <v>583</v>
      </c>
      <c r="G2858" s="21">
        <v>6.1</v>
      </c>
      <c r="H2858">
        <v>32</v>
      </c>
      <c r="I2858">
        <v>89.06</v>
      </c>
      <c r="J2858">
        <v>0.53</v>
      </c>
      <c r="K2858" t="str" cm="1">
        <f t="array" ref="K2858">_xlfn.IFS(Table4_2[[#This Row],[Growth Days]]&lt;=14,"Seedling",Table4_2[[#This Row],[Growth Days]]&lt;=35, "Vegetative",Table4_2[[#This Row],[Growth Days]]&lt;=50, "Maturity")</f>
        <v>Vegetative</v>
      </c>
      <c r="L2858" t="str">
        <f>IF(Table4_2[[#This Row],[TDS Value (ppm)]]&lt;560, "Low", IF(Table4_2[[#This Row],[TDS Value (ppm)]]&lt;=800,"Optimal","High"))</f>
        <v>Optimal</v>
      </c>
    </row>
    <row r="2859" spans="1:12" x14ac:dyDescent="0.25">
      <c r="A2859">
        <v>19</v>
      </c>
      <c r="B2859" s="1">
        <v>45179</v>
      </c>
      <c r="C2859" s="1" t="str">
        <f>TEXT(Table4_2[[#This Row],[Date]],"dddd")</f>
        <v>Sunday</v>
      </c>
      <c r="D2859" s="21">
        <v>31.1</v>
      </c>
      <c r="E2859" s="21">
        <v>64</v>
      </c>
      <c r="F2859" s="21">
        <v>588</v>
      </c>
      <c r="G2859" s="21">
        <v>6.2</v>
      </c>
      <c r="H2859">
        <v>39</v>
      </c>
      <c r="I2859">
        <v>87.98</v>
      </c>
      <c r="J2859">
        <v>0.64</v>
      </c>
      <c r="K2859" t="str" cm="1">
        <f t="array" ref="K2859">_xlfn.IFS(Table4_2[[#This Row],[Growth Days]]&lt;=14,"Seedling",Table4_2[[#This Row],[Growth Days]]&lt;=35, "Vegetative",Table4_2[[#This Row],[Growth Days]]&lt;=50, "Maturity")</f>
        <v>Maturity</v>
      </c>
      <c r="L2859" t="str">
        <f>IF(Table4_2[[#This Row],[TDS Value (ppm)]]&lt;560, "Low", IF(Table4_2[[#This Row],[TDS Value (ppm)]]&lt;=800,"Optimal","High"))</f>
        <v>Optimal</v>
      </c>
    </row>
    <row r="2860" spans="1:12" x14ac:dyDescent="0.25">
      <c r="A2860">
        <v>20</v>
      </c>
      <c r="B2860" s="1">
        <v>45144</v>
      </c>
      <c r="C2860" s="1" t="str">
        <f>TEXT(Table4_2[[#This Row],[Date]],"dddd")</f>
        <v>Sunday</v>
      </c>
      <c r="D2860" s="21">
        <v>33.4</v>
      </c>
      <c r="E2860" s="21">
        <v>66</v>
      </c>
      <c r="F2860" s="21">
        <v>729</v>
      </c>
      <c r="G2860" s="21">
        <v>6.7</v>
      </c>
      <c r="H2860">
        <v>4</v>
      </c>
      <c r="I2860">
        <v>92.12</v>
      </c>
      <c r="J2860">
        <v>0.66</v>
      </c>
      <c r="K2860" t="str" cm="1">
        <f t="array" ref="K2860">_xlfn.IFS(Table4_2[[#This Row],[Growth Days]]&lt;=14,"Seedling",Table4_2[[#This Row],[Growth Days]]&lt;=35, "Vegetative",Table4_2[[#This Row],[Growth Days]]&lt;=50, "Maturity")</f>
        <v>Seedling</v>
      </c>
      <c r="L2860" t="str">
        <f>IF(Table4_2[[#This Row],[TDS Value (ppm)]]&lt;560, "Low", IF(Table4_2[[#This Row],[TDS Value (ppm)]]&lt;=800,"Optimal","High"))</f>
        <v>Optimal</v>
      </c>
    </row>
    <row r="2861" spans="1:12" x14ac:dyDescent="0.25">
      <c r="A2861">
        <v>20</v>
      </c>
      <c r="B2861" s="1">
        <v>45151</v>
      </c>
      <c r="C2861" s="1" t="str">
        <f>TEXT(Table4_2[[#This Row],[Date]],"dddd")</f>
        <v>Sunday</v>
      </c>
      <c r="D2861" s="21">
        <v>30.1</v>
      </c>
      <c r="E2861" s="21">
        <v>72</v>
      </c>
      <c r="F2861" s="21">
        <v>747</v>
      </c>
      <c r="G2861" s="21">
        <v>6.5</v>
      </c>
      <c r="H2861">
        <v>11</v>
      </c>
      <c r="I2861">
        <v>86.18</v>
      </c>
      <c r="J2861">
        <v>0.72</v>
      </c>
      <c r="K2861" t="str" cm="1">
        <f t="array" ref="K2861">_xlfn.IFS(Table4_2[[#This Row],[Growth Days]]&lt;=14,"Seedling",Table4_2[[#This Row],[Growth Days]]&lt;=35, "Vegetative",Table4_2[[#This Row],[Growth Days]]&lt;=50, "Maturity")</f>
        <v>Seedling</v>
      </c>
      <c r="L2861" t="str">
        <f>IF(Table4_2[[#This Row],[TDS Value (ppm)]]&lt;560, "Low", IF(Table4_2[[#This Row],[TDS Value (ppm)]]&lt;=800,"Optimal","High"))</f>
        <v>Optimal</v>
      </c>
    </row>
    <row r="2862" spans="1:12" x14ac:dyDescent="0.25">
      <c r="A2862">
        <v>20</v>
      </c>
      <c r="B2862" s="1">
        <v>45158</v>
      </c>
      <c r="C2862" s="1" t="str">
        <f>TEXT(Table4_2[[#This Row],[Date]],"dddd")</f>
        <v>Sunday</v>
      </c>
      <c r="D2862" s="21">
        <v>30.9</v>
      </c>
      <c r="E2862" s="21">
        <v>57</v>
      </c>
      <c r="F2862" s="21">
        <v>621</v>
      </c>
      <c r="G2862" s="21">
        <v>6.7</v>
      </c>
      <c r="H2862">
        <v>18</v>
      </c>
      <c r="I2862">
        <v>87.62</v>
      </c>
      <c r="J2862">
        <v>0.56999999999999995</v>
      </c>
      <c r="K2862" t="str" cm="1">
        <f t="array" ref="K2862">_xlfn.IFS(Table4_2[[#This Row],[Growth Days]]&lt;=14,"Seedling",Table4_2[[#This Row],[Growth Days]]&lt;=35, "Vegetative",Table4_2[[#This Row],[Growth Days]]&lt;=50, "Maturity")</f>
        <v>Vegetative</v>
      </c>
      <c r="L2862" t="str">
        <f>IF(Table4_2[[#This Row],[TDS Value (ppm)]]&lt;560, "Low", IF(Table4_2[[#This Row],[TDS Value (ppm)]]&lt;=800,"Optimal","High"))</f>
        <v>Optimal</v>
      </c>
    </row>
    <row r="2863" spans="1:12" x14ac:dyDescent="0.25">
      <c r="A2863">
        <v>20</v>
      </c>
      <c r="B2863" s="1">
        <v>45165</v>
      </c>
      <c r="C2863" s="1" t="str">
        <f>TEXT(Table4_2[[#This Row],[Date]],"dddd")</f>
        <v>Sunday</v>
      </c>
      <c r="D2863" s="21">
        <v>30.1</v>
      </c>
      <c r="E2863" s="21">
        <v>74</v>
      </c>
      <c r="F2863" s="21">
        <v>415</v>
      </c>
      <c r="G2863" s="21">
        <v>6.6</v>
      </c>
      <c r="H2863">
        <v>25</v>
      </c>
      <c r="I2863">
        <v>86.18</v>
      </c>
      <c r="J2863">
        <v>0.74</v>
      </c>
      <c r="K2863" t="str" cm="1">
        <f t="array" ref="K2863">_xlfn.IFS(Table4_2[[#This Row],[Growth Days]]&lt;=14,"Seedling",Table4_2[[#This Row],[Growth Days]]&lt;=35, "Vegetative",Table4_2[[#This Row],[Growth Days]]&lt;=50, "Maturity")</f>
        <v>Vegetative</v>
      </c>
      <c r="L2863" t="str">
        <f>IF(Table4_2[[#This Row],[TDS Value (ppm)]]&lt;560, "Low", IF(Table4_2[[#This Row],[TDS Value (ppm)]]&lt;=800,"Optimal","High"))</f>
        <v>Low</v>
      </c>
    </row>
    <row r="2864" spans="1:12" x14ac:dyDescent="0.25">
      <c r="A2864">
        <v>20</v>
      </c>
      <c r="B2864" s="1">
        <v>45172</v>
      </c>
      <c r="C2864" s="1" t="str">
        <f>TEXT(Table4_2[[#This Row],[Date]],"dddd")</f>
        <v>Sunday</v>
      </c>
      <c r="D2864" s="21">
        <v>31.7</v>
      </c>
      <c r="E2864" s="21">
        <v>54</v>
      </c>
      <c r="F2864" s="21">
        <v>748</v>
      </c>
      <c r="G2864" s="21">
        <v>6.4</v>
      </c>
      <c r="H2864">
        <v>32</v>
      </c>
      <c r="I2864">
        <v>89.06</v>
      </c>
      <c r="J2864">
        <v>0.54</v>
      </c>
      <c r="K2864" t="str" cm="1">
        <f t="array" ref="K2864">_xlfn.IFS(Table4_2[[#This Row],[Growth Days]]&lt;=14,"Seedling",Table4_2[[#This Row],[Growth Days]]&lt;=35, "Vegetative",Table4_2[[#This Row],[Growth Days]]&lt;=50, "Maturity")</f>
        <v>Vegetative</v>
      </c>
      <c r="L2864" t="str">
        <f>IF(Table4_2[[#This Row],[TDS Value (ppm)]]&lt;560, "Low", IF(Table4_2[[#This Row],[TDS Value (ppm)]]&lt;=800,"Optimal","High"))</f>
        <v>Optimal</v>
      </c>
    </row>
    <row r="2865" spans="1:12" x14ac:dyDescent="0.25">
      <c r="A2865">
        <v>20</v>
      </c>
      <c r="B2865" s="1">
        <v>45179</v>
      </c>
      <c r="C2865" s="1" t="str">
        <f>TEXT(Table4_2[[#This Row],[Date]],"dddd")</f>
        <v>Sunday</v>
      </c>
      <c r="D2865" s="21">
        <v>31.1</v>
      </c>
      <c r="E2865" s="21">
        <v>74</v>
      </c>
      <c r="F2865" s="21">
        <v>637</v>
      </c>
      <c r="G2865" s="21">
        <v>6.2</v>
      </c>
      <c r="H2865">
        <v>39</v>
      </c>
      <c r="I2865">
        <v>87.98</v>
      </c>
      <c r="J2865">
        <v>0.74</v>
      </c>
      <c r="K2865" t="str" cm="1">
        <f t="array" ref="K2865">_xlfn.IFS(Table4_2[[#This Row],[Growth Days]]&lt;=14,"Seedling",Table4_2[[#This Row],[Growth Days]]&lt;=35, "Vegetative",Table4_2[[#This Row],[Growth Days]]&lt;=50, "Maturity")</f>
        <v>Maturity</v>
      </c>
      <c r="L2865" t="str">
        <f>IF(Table4_2[[#This Row],[TDS Value (ppm)]]&lt;560, "Low", IF(Table4_2[[#This Row],[TDS Value (ppm)]]&lt;=800,"Optimal","High"))</f>
        <v>Optimal</v>
      </c>
    </row>
    <row r="2866" spans="1:12" x14ac:dyDescent="0.25">
      <c r="A2866">
        <v>21</v>
      </c>
      <c r="B2866" s="1">
        <v>45144</v>
      </c>
      <c r="C2866" s="1" t="str">
        <f>TEXT(Table4_2[[#This Row],[Date]],"dddd")</f>
        <v>Sunday</v>
      </c>
      <c r="D2866" s="21">
        <v>33.4</v>
      </c>
      <c r="E2866" s="21">
        <v>63</v>
      </c>
      <c r="F2866" s="21">
        <v>592</v>
      </c>
      <c r="G2866" s="21">
        <v>6</v>
      </c>
      <c r="H2866">
        <v>4</v>
      </c>
      <c r="I2866">
        <v>92.12</v>
      </c>
      <c r="J2866">
        <v>0.63</v>
      </c>
      <c r="K2866" t="str" cm="1">
        <f t="array" ref="K2866">_xlfn.IFS(Table4_2[[#This Row],[Growth Days]]&lt;=14,"Seedling",Table4_2[[#This Row],[Growth Days]]&lt;=35, "Vegetative",Table4_2[[#This Row],[Growth Days]]&lt;=50, "Maturity")</f>
        <v>Seedling</v>
      </c>
      <c r="L2866" t="str">
        <f>IF(Table4_2[[#This Row],[TDS Value (ppm)]]&lt;560, "Low", IF(Table4_2[[#This Row],[TDS Value (ppm)]]&lt;=800,"Optimal","High"))</f>
        <v>Optimal</v>
      </c>
    </row>
    <row r="2867" spans="1:12" x14ac:dyDescent="0.25">
      <c r="A2867">
        <v>21</v>
      </c>
      <c r="B2867" s="1">
        <v>45151</v>
      </c>
      <c r="C2867" s="1" t="str">
        <f>TEXT(Table4_2[[#This Row],[Date]],"dddd")</f>
        <v>Sunday</v>
      </c>
      <c r="D2867" s="21">
        <v>30.1</v>
      </c>
      <c r="E2867" s="21">
        <v>77</v>
      </c>
      <c r="F2867" s="21">
        <v>673</v>
      </c>
      <c r="G2867" s="21">
        <v>6.1</v>
      </c>
      <c r="H2867">
        <v>11</v>
      </c>
      <c r="I2867">
        <v>86.18</v>
      </c>
      <c r="J2867">
        <v>0.77</v>
      </c>
      <c r="K2867" t="str" cm="1">
        <f t="array" ref="K2867">_xlfn.IFS(Table4_2[[#This Row],[Growth Days]]&lt;=14,"Seedling",Table4_2[[#This Row],[Growth Days]]&lt;=35, "Vegetative",Table4_2[[#This Row],[Growth Days]]&lt;=50, "Maturity")</f>
        <v>Seedling</v>
      </c>
      <c r="L2867" t="str">
        <f>IF(Table4_2[[#This Row],[TDS Value (ppm)]]&lt;560, "Low", IF(Table4_2[[#This Row],[TDS Value (ppm)]]&lt;=800,"Optimal","High"))</f>
        <v>Optimal</v>
      </c>
    </row>
    <row r="2868" spans="1:12" x14ac:dyDescent="0.25">
      <c r="A2868">
        <v>21</v>
      </c>
      <c r="B2868" s="1">
        <v>45158</v>
      </c>
      <c r="C2868" s="1" t="str">
        <f>TEXT(Table4_2[[#This Row],[Date]],"dddd")</f>
        <v>Sunday</v>
      </c>
      <c r="D2868" s="21">
        <v>30.9</v>
      </c>
      <c r="E2868" s="21">
        <v>63</v>
      </c>
      <c r="F2868" s="21">
        <v>785</v>
      </c>
      <c r="G2868" s="21">
        <v>6.4</v>
      </c>
      <c r="H2868">
        <v>18</v>
      </c>
      <c r="I2868">
        <v>87.62</v>
      </c>
      <c r="J2868">
        <v>0.63</v>
      </c>
      <c r="K2868" t="str" cm="1">
        <f t="array" ref="K2868">_xlfn.IFS(Table4_2[[#This Row],[Growth Days]]&lt;=14,"Seedling",Table4_2[[#This Row],[Growth Days]]&lt;=35, "Vegetative",Table4_2[[#This Row],[Growth Days]]&lt;=50, "Maturity")</f>
        <v>Vegetative</v>
      </c>
      <c r="L2868" t="str">
        <f>IF(Table4_2[[#This Row],[TDS Value (ppm)]]&lt;560, "Low", IF(Table4_2[[#This Row],[TDS Value (ppm)]]&lt;=800,"Optimal","High"))</f>
        <v>Optimal</v>
      </c>
    </row>
    <row r="2869" spans="1:12" x14ac:dyDescent="0.25">
      <c r="A2869">
        <v>21</v>
      </c>
      <c r="B2869" s="1">
        <v>45165</v>
      </c>
      <c r="C2869" s="1" t="str">
        <f>TEXT(Table4_2[[#This Row],[Date]],"dddd")</f>
        <v>Sunday</v>
      </c>
      <c r="D2869" s="21">
        <v>30.1</v>
      </c>
      <c r="E2869" s="21">
        <v>59</v>
      </c>
      <c r="F2869" s="21">
        <v>659</v>
      </c>
      <c r="G2869" s="21">
        <v>6.7</v>
      </c>
      <c r="H2869">
        <v>25</v>
      </c>
      <c r="I2869">
        <v>86.18</v>
      </c>
      <c r="J2869">
        <v>0.59</v>
      </c>
      <c r="K2869" t="str" cm="1">
        <f t="array" ref="K2869">_xlfn.IFS(Table4_2[[#This Row],[Growth Days]]&lt;=14,"Seedling",Table4_2[[#This Row],[Growth Days]]&lt;=35, "Vegetative",Table4_2[[#This Row],[Growth Days]]&lt;=50, "Maturity")</f>
        <v>Vegetative</v>
      </c>
      <c r="L2869" t="str">
        <f>IF(Table4_2[[#This Row],[TDS Value (ppm)]]&lt;560, "Low", IF(Table4_2[[#This Row],[TDS Value (ppm)]]&lt;=800,"Optimal","High"))</f>
        <v>Optimal</v>
      </c>
    </row>
    <row r="2870" spans="1:12" x14ac:dyDescent="0.25">
      <c r="A2870">
        <v>21</v>
      </c>
      <c r="B2870" s="1">
        <v>45172</v>
      </c>
      <c r="C2870" s="1" t="str">
        <f>TEXT(Table4_2[[#This Row],[Date]],"dddd")</f>
        <v>Sunday</v>
      </c>
      <c r="D2870" s="21">
        <v>31.7</v>
      </c>
      <c r="E2870" s="21">
        <v>50</v>
      </c>
      <c r="F2870" s="21">
        <v>448</v>
      </c>
      <c r="G2870" s="21">
        <v>6.3</v>
      </c>
      <c r="H2870">
        <v>32</v>
      </c>
      <c r="I2870">
        <v>89.06</v>
      </c>
      <c r="J2870">
        <v>0.5</v>
      </c>
      <c r="K2870" t="str" cm="1">
        <f t="array" ref="K2870">_xlfn.IFS(Table4_2[[#This Row],[Growth Days]]&lt;=14,"Seedling",Table4_2[[#This Row],[Growth Days]]&lt;=35, "Vegetative",Table4_2[[#This Row],[Growth Days]]&lt;=50, "Maturity")</f>
        <v>Vegetative</v>
      </c>
      <c r="L2870" t="str">
        <f>IF(Table4_2[[#This Row],[TDS Value (ppm)]]&lt;560, "Low", IF(Table4_2[[#This Row],[TDS Value (ppm)]]&lt;=800,"Optimal","High"))</f>
        <v>Low</v>
      </c>
    </row>
    <row r="2871" spans="1:12" x14ac:dyDescent="0.25">
      <c r="A2871">
        <v>21</v>
      </c>
      <c r="B2871" s="1">
        <v>45179</v>
      </c>
      <c r="C2871" s="1" t="str">
        <f>TEXT(Table4_2[[#This Row],[Date]],"dddd")</f>
        <v>Sunday</v>
      </c>
      <c r="D2871" s="21">
        <v>31.1</v>
      </c>
      <c r="E2871" s="21">
        <v>70</v>
      </c>
      <c r="F2871" s="21">
        <v>698</v>
      </c>
      <c r="G2871" s="21">
        <v>6.2</v>
      </c>
      <c r="H2871">
        <v>39</v>
      </c>
      <c r="I2871">
        <v>87.98</v>
      </c>
      <c r="J2871">
        <v>0.7</v>
      </c>
      <c r="K2871" t="str" cm="1">
        <f t="array" ref="K2871">_xlfn.IFS(Table4_2[[#This Row],[Growth Days]]&lt;=14,"Seedling",Table4_2[[#This Row],[Growth Days]]&lt;=35, "Vegetative",Table4_2[[#This Row],[Growth Days]]&lt;=50, "Maturity")</f>
        <v>Maturity</v>
      </c>
      <c r="L2871" t="str">
        <f>IF(Table4_2[[#This Row],[TDS Value (ppm)]]&lt;560, "Low", IF(Table4_2[[#This Row],[TDS Value (ppm)]]&lt;=800,"Optimal","High"))</f>
        <v>Optimal</v>
      </c>
    </row>
    <row r="2872" spans="1:12" x14ac:dyDescent="0.25">
      <c r="A2872">
        <v>22</v>
      </c>
      <c r="B2872" s="1">
        <v>45144</v>
      </c>
      <c r="C2872" s="1" t="str">
        <f>TEXT(Table4_2[[#This Row],[Date]],"dddd")</f>
        <v>Sunday</v>
      </c>
      <c r="D2872" s="21">
        <v>33.4</v>
      </c>
      <c r="E2872" s="21">
        <v>50</v>
      </c>
      <c r="F2872" s="21">
        <v>721</v>
      </c>
      <c r="G2872" s="21">
        <v>6</v>
      </c>
      <c r="H2872">
        <v>4</v>
      </c>
      <c r="I2872">
        <v>92.12</v>
      </c>
      <c r="J2872">
        <v>0.5</v>
      </c>
      <c r="K2872" t="str" cm="1">
        <f t="array" ref="K2872">_xlfn.IFS(Table4_2[[#This Row],[Growth Days]]&lt;=14,"Seedling",Table4_2[[#This Row],[Growth Days]]&lt;=35, "Vegetative",Table4_2[[#This Row],[Growth Days]]&lt;=50, "Maturity")</f>
        <v>Seedling</v>
      </c>
      <c r="L2872" t="str">
        <f>IF(Table4_2[[#This Row],[TDS Value (ppm)]]&lt;560, "Low", IF(Table4_2[[#This Row],[TDS Value (ppm)]]&lt;=800,"Optimal","High"))</f>
        <v>Optimal</v>
      </c>
    </row>
    <row r="2873" spans="1:12" x14ac:dyDescent="0.25">
      <c r="A2873">
        <v>22</v>
      </c>
      <c r="B2873" s="1">
        <v>45151</v>
      </c>
      <c r="C2873" s="1" t="str">
        <f>TEXT(Table4_2[[#This Row],[Date]],"dddd")</f>
        <v>Sunday</v>
      </c>
      <c r="D2873" s="21">
        <v>30.1</v>
      </c>
      <c r="E2873" s="21">
        <v>64</v>
      </c>
      <c r="F2873" s="21">
        <v>519</v>
      </c>
      <c r="G2873" s="21">
        <v>6.7</v>
      </c>
      <c r="H2873">
        <v>11</v>
      </c>
      <c r="I2873">
        <v>86.18</v>
      </c>
      <c r="J2873">
        <v>0.64</v>
      </c>
      <c r="K2873" t="str" cm="1">
        <f t="array" ref="K2873">_xlfn.IFS(Table4_2[[#This Row],[Growth Days]]&lt;=14,"Seedling",Table4_2[[#This Row],[Growth Days]]&lt;=35, "Vegetative",Table4_2[[#This Row],[Growth Days]]&lt;=50, "Maturity")</f>
        <v>Seedling</v>
      </c>
      <c r="L2873" t="str">
        <f>IF(Table4_2[[#This Row],[TDS Value (ppm)]]&lt;560, "Low", IF(Table4_2[[#This Row],[TDS Value (ppm)]]&lt;=800,"Optimal","High"))</f>
        <v>Low</v>
      </c>
    </row>
    <row r="2874" spans="1:12" x14ac:dyDescent="0.25">
      <c r="A2874">
        <v>22</v>
      </c>
      <c r="B2874" s="1">
        <v>45158</v>
      </c>
      <c r="C2874" s="1" t="str">
        <f>TEXT(Table4_2[[#This Row],[Date]],"dddd")</f>
        <v>Sunday</v>
      </c>
      <c r="D2874" s="21">
        <v>30.9</v>
      </c>
      <c r="E2874" s="21">
        <v>76</v>
      </c>
      <c r="F2874" s="21">
        <v>749</v>
      </c>
      <c r="G2874" s="21">
        <v>6.7</v>
      </c>
      <c r="H2874">
        <v>18</v>
      </c>
      <c r="I2874">
        <v>87.62</v>
      </c>
      <c r="J2874">
        <v>0.76</v>
      </c>
      <c r="K2874" t="str" cm="1">
        <f t="array" ref="K2874">_xlfn.IFS(Table4_2[[#This Row],[Growth Days]]&lt;=14,"Seedling",Table4_2[[#This Row],[Growth Days]]&lt;=35, "Vegetative",Table4_2[[#This Row],[Growth Days]]&lt;=50, "Maturity")</f>
        <v>Vegetative</v>
      </c>
      <c r="L2874" t="str">
        <f>IF(Table4_2[[#This Row],[TDS Value (ppm)]]&lt;560, "Low", IF(Table4_2[[#This Row],[TDS Value (ppm)]]&lt;=800,"Optimal","High"))</f>
        <v>Optimal</v>
      </c>
    </row>
    <row r="2875" spans="1:12" x14ac:dyDescent="0.25">
      <c r="A2875">
        <v>22</v>
      </c>
      <c r="B2875" s="1">
        <v>45165</v>
      </c>
      <c r="C2875" s="1" t="str">
        <f>TEXT(Table4_2[[#This Row],[Date]],"dddd")</f>
        <v>Sunday</v>
      </c>
      <c r="D2875" s="21">
        <v>30.1</v>
      </c>
      <c r="E2875" s="21">
        <v>72</v>
      </c>
      <c r="F2875" s="21">
        <v>402</v>
      </c>
      <c r="G2875" s="21">
        <v>6.1</v>
      </c>
      <c r="H2875">
        <v>25</v>
      </c>
      <c r="I2875">
        <v>86.18</v>
      </c>
      <c r="J2875">
        <v>0.72</v>
      </c>
      <c r="K2875" t="str" cm="1">
        <f t="array" ref="K2875">_xlfn.IFS(Table4_2[[#This Row],[Growth Days]]&lt;=14,"Seedling",Table4_2[[#This Row],[Growth Days]]&lt;=35, "Vegetative",Table4_2[[#This Row],[Growth Days]]&lt;=50, "Maturity")</f>
        <v>Vegetative</v>
      </c>
      <c r="L2875" t="str">
        <f>IF(Table4_2[[#This Row],[TDS Value (ppm)]]&lt;560, "Low", IF(Table4_2[[#This Row],[TDS Value (ppm)]]&lt;=800,"Optimal","High"))</f>
        <v>Low</v>
      </c>
    </row>
    <row r="2876" spans="1:12" x14ac:dyDescent="0.25">
      <c r="A2876">
        <v>22</v>
      </c>
      <c r="B2876" s="1">
        <v>45172</v>
      </c>
      <c r="C2876" s="1" t="str">
        <f>TEXT(Table4_2[[#This Row],[Date]],"dddd")</f>
        <v>Sunday</v>
      </c>
      <c r="D2876" s="21">
        <v>31.7</v>
      </c>
      <c r="E2876" s="21">
        <v>75</v>
      </c>
      <c r="F2876" s="21">
        <v>736</v>
      </c>
      <c r="G2876" s="21">
        <v>6.3</v>
      </c>
      <c r="H2876">
        <v>32</v>
      </c>
      <c r="I2876">
        <v>89.06</v>
      </c>
      <c r="J2876">
        <v>0.75</v>
      </c>
      <c r="K2876" t="str" cm="1">
        <f t="array" ref="K2876">_xlfn.IFS(Table4_2[[#This Row],[Growth Days]]&lt;=14,"Seedling",Table4_2[[#This Row],[Growth Days]]&lt;=35, "Vegetative",Table4_2[[#This Row],[Growth Days]]&lt;=50, "Maturity")</f>
        <v>Vegetative</v>
      </c>
      <c r="L2876" t="str">
        <f>IF(Table4_2[[#This Row],[TDS Value (ppm)]]&lt;560, "Low", IF(Table4_2[[#This Row],[TDS Value (ppm)]]&lt;=800,"Optimal","High"))</f>
        <v>Optimal</v>
      </c>
    </row>
    <row r="2877" spans="1:12" x14ac:dyDescent="0.25">
      <c r="A2877">
        <v>22</v>
      </c>
      <c r="B2877" s="1">
        <v>45179</v>
      </c>
      <c r="C2877" s="1" t="str">
        <f>TEXT(Table4_2[[#This Row],[Date]],"dddd")</f>
        <v>Sunday</v>
      </c>
      <c r="D2877" s="21">
        <v>31.1</v>
      </c>
      <c r="E2877" s="21">
        <v>50</v>
      </c>
      <c r="F2877" s="21">
        <v>782</v>
      </c>
      <c r="G2877" s="21">
        <v>6.8</v>
      </c>
      <c r="H2877">
        <v>39</v>
      </c>
      <c r="I2877">
        <v>87.98</v>
      </c>
      <c r="J2877">
        <v>0.5</v>
      </c>
      <c r="K2877" t="str" cm="1">
        <f t="array" ref="K2877">_xlfn.IFS(Table4_2[[#This Row],[Growth Days]]&lt;=14,"Seedling",Table4_2[[#This Row],[Growth Days]]&lt;=35, "Vegetative",Table4_2[[#This Row],[Growth Days]]&lt;=50, "Maturity")</f>
        <v>Maturity</v>
      </c>
      <c r="L2877" t="str">
        <f>IF(Table4_2[[#This Row],[TDS Value (ppm)]]&lt;560, "Low", IF(Table4_2[[#This Row],[TDS Value (ppm)]]&lt;=800,"Optimal","High"))</f>
        <v>Optimal</v>
      </c>
    </row>
    <row r="2878" spans="1:12" x14ac:dyDescent="0.25">
      <c r="A2878">
        <v>23</v>
      </c>
      <c r="B2878" s="1">
        <v>45144</v>
      </c>
      <c r="C2878" s="1" t="str">
        <f>TEXT(Table4_2[[#This Row],[Date]],"dddd")</f>
        <v>Sunday</v>
      </c>
      <c r="D2878" s="21">
        <v>33.4</v>
      </c>
      <c r="E2878" s="21">
        <v>54</v>
      </c>
      <c r="F2878" s="21">
        <v>633</v>
      </c>
      <c r="G2878" s="21">
        <v>6</v>
      </c>
      <c r="H2878">
        <v>4</v>
      </c>
      <c r="I2878">
        <v>92.12</v>
      </c>
      <c r="J2878">
        <v>0.54</v>
      </c>
      <c r="K2878" t="str" cm="1">
        <f t="array" ref="K2878">_xlfn.IFS(Table4_2[[#This Row],[Growth Days]]&lt;=14,"Seedling",Table4_2[[#This Row],[Growth Days]]&lt;=35, "Vegetative",Table4_2[[#This Row],[Growth Days]]&lt;=50, "Maturity")</f>
        <v>Seedling</v>
      </c>
      <c r="L2878" t="str">
        <f>IF(Table4_2[[#This Row],[TDS Value (ppm)]]&lt;560, "Low", IF(Table4_2[[#This Row],[TDS Value (ppm)]]&lt;=800,"Optimal","High"))</f>
        <v>Optimal</v>
      </c>
    </row>
    <row r="2879" spans="1:12" x14ac:dyDescent="0.25">
      <c r="A2879">
        <v>23</v>
      </c>
      <c r="B2879" s="1">
        <v>45151</v>
      </c>
      <c r="C2879" s="1" t="str">
        <f>TEXT(Table4_2[[#This Row],[Date]],"dddd")</f>
        <v>Sunday</v>
      </c>
      <c r="D2879" s="21">
        <v>30.1</v>
      </c>
      <c r="E2879" s="21">
        <v>55</v>
      </c>
      <c r="F2879" s="21">
        <v>631</v>
      </c>
      <c r="G2879" s="21">
        <v>6.4</v>
      </c>
      <c r="H2879">
        <v>11</v>
      </c>
      <c r="I2879">
        <v>86.18</v>
      </c>
      <c r="J2879">
        <v>0.55000000000000004</v>
      </c>
      <c r="K2879" t="str" cm="1">
        <f t="array" ref="K2879">_xlfn.IFS(Table4_2[[#This Row],[Growth Days]]&lt;=14,"Seedling",Table4_2[[#This Row],[Growth Days]]&lt;=35, "Vegetative",Table4_2[[#This Row],[Growth Days]]&lt;=50, "Maturity")</f>
        <v>Seedling</v>
      </c>
      <c r="L2879" t="str">
        <f>IF(Table4_2[[#This Row],[TDS Value (ppm)]]&lt;560, "Low", IF(Table4_2[[#This Row],[TDS Value (ppm)]]&lt;=800,"Optimal","High"))</f>
        <v>Optimal</v>
      </c>
    </row>
    <row r="2880" spans="1:12" x14ac:dyDescent="0.25">
      <c r="A2880">
        <v>23</v>
      </c>
      <c r="B2880" s="1">
        <v>45158</v>
      </c>
      <c r="C2880" s="1" t="str">
        <f>TEXT(Table4_2[[#This Row],[Date]],"dddd")</f>
        <v>Sunday</v>
      </c>
      <c r="D2880" s="21">
        <v>30.9</v>
      </c>
      <c r="E2880" s="21">
        <v>67</v>
      </c>
      <c r="F2880" s="21">
        <v>566</v>
      </c>
      <c r="G2880" s="21">
        <v>6.1</v>
      </c>
      <c r="H2880">
        <v>18</v>
      </c>
      <c r="I2880">
        <v>87.62</v>
      </c>
      <c r="J2880">
        <v>0.67</v>
      </c>
      <c r="K2880" t="str" cm="1">
        <f t="array" ref="K2880">_xlfn.IFS(Table4_2[[#This Row],[Growth Days]]&lt;=14,"Seedling",Table4_2[[#This Row],[Growth Days]]&lt;=35, "Vegetative",Table4_2[[#This Row],[Growth Days]]&lt;=50, "Maturity")</f>
        <v>Vegetative</v>
      </c>
      <c r="L2880" t="str">
        <f>IF(Table4_2[[#This Row],[TDS Value (ppm)]]&lt;560, "Low", IF(Table4_2[[#This Row],[TDS Value (ppm)]]&lt;=800,"Optimal","High"))</f>
        <v>Optimal</v>
      </c>
    </row>
    <row r="2881" spans="1:12" x14ac:dyDescent="0.25">
      <c r="A2881">
        <v>23</v>
      </c>
      <c r="B2881" s="1">
        <v>45165</v>
      </c>
      <c r="C2881" s="1" t="str">
        <f>TEXT(Table4_2[[#This Row],[Date]],"dddd")</f>
        <v>Sunday</v>
      </c>
      <c r="D2881" s="21">
        <v>30.1</v>
      </c>
      <c r="E2881" s="21">
        <v>52</v>
      </c>
      <c r="F2881" s="21">
        <v>720</v>
      </c>
      <c r="G2881" s="21">
        <v>6.5</v>
      </c>
      <c r="H2881">
        <v>25</v>
      </c>
      <c r="I2881">
        <v>86.18</v>
      </c>
      <c r="J2881">
        <v>0.52</v>
      </c>
      <c r="K2881" t="str" cm="1">
        <f t="array" ref="K2881">_xlfn.IFS(Table4_2[[#This Row],[Growth Days]]&lt;=14,"Seedling",Table4_2[[#This Row],[Growth Days]]&lt;=35, "Vegetative",Table4_2[[#This Row],[Growth Days]]&lt;=50, "Maturity")</f>
        <v>Vegetative</v>
      </c>
      <c r="L2881" t="str">
        <f>IF(Table4_2[[#This Row],[TDS Value (ppm)]]&lt;560, "Low", IF(Table4_2[[#This Row],[TDS Value (ppm)]]&lt;=800,"Optimal","High"))</f>
        <v>Optimal</v>
      </c>
    </row>
    <row r="2882" spans="1:12" x14ac:dyDescent="0.25">
      <c r="A2882">
        <v>23</v>
      </c>
      <c r="B2882" s="1">
        <v>45172</v>
      </c>
      <c r="C2882" s="1" t="str">
        <f>TEXT(Table4_2[[#This Row],[Date]],"dddd")</f>
        <v>Sunday</v>
      </c>
      <c r="D2882" s="21">
        <v>31.7</v>
      </c>
      <c r="E2882" s="21">
        <v>66</v>
      </c>
      <c r="F2882" s="21">
        <v>538</v>
      </c>
      <c r="G2882" s="21">
        <v>6.3</v>
      </c>
      <c r="H2882">
        <v>32</v>
      </c>
      <c r="I2882">
        <v>89.06</v>
      </c>
      <c r="J2882">
        <v>0.66</v>
      </c>
      <c r="K2882" t="str" cm="1">
        <f t="array" ref="K2882">_xlfn.IFS(Table4_2[[#This Row],[Growth Days]]&lt;=14,"Seedling",Table4_2[[#This Row],[Growth Days]]&lt;=35, "Vegetative",Table4_2[[#This Row],[Growth Days]]&lt;=50, "Maturity")</f>
        <v>Vegetative</v>
      </c>
      <c r="L2882" t="str">
        <f>IF(Table4_2[[#This Row],[TDS Value (ppm)]]&lt;560, "Low", IF(Table4_2[[#This Row],[TDS Value (ppm)]]&lt;=800,"Optimal","High"))</f>
        <v>Low</v>
      </c>
    </row>
    <row r="2883" spans="1:12" x14ac:dyDescent="0.25">
      <c r="A2883">
        <v>23</v>
      </c>
      <c r="B2883" s="1">
        <v>45179</v>
      </c>
      <c r="C2883" s="1" t="str">
        <f>TEXT(Table4_2[[#This Row],[Date]],"dddd")</f>
        <v>Sunday</v>
      </c>
      <c r="D2883" s="21">
        <v>31.1</v>
      </c>
      <c r="E2883" s="21">
        <v>52</v>
      </c>
      <c r="F2883" s="21">
        <v>528</v>
      </c>
      <c r="G2883" s="21">
        <v>6.5</v>
      </c>
      <c r="H2883">
        <v>39</v>
      </c>
      <c r="I2883">
        <v>87.98</v>
      </c>
      <c r="J2883">
        <v>0.52</v>
      </c>
      <c r="K2883" t="str" cm="1">
        <f t="array" ref="K2883">_xlfn.IFS(Table4_2[[#This Row],[Growth Days]]&lt;=14,"Seedling",Table4_2[[#This Row],[Growth Days]]&lt;=35, "Vegetative",Table4_2[[#This Row],[Growth Days]]&lt;=50, "Maturity")</f>
        <v>Maturity</v>
      </c>
      <c r="L2883" t="str">
        <f>IF(Table4_2[[#This Row],[TDS Value (ppm)]]&lt;560, "Low", IF(Table4_2[[#This Row],[TDS Value (ppm)]]&lt;=800,"Optimal","High"))</f>
        <v>Low</v>
      </c>
    </row>
    <row r="2884" spans="1:12" x14ac:dyDescent="0.25">
      <c r="A2884">
        <v>23</v>
      </c>
      <c r="B2884" s="1">
        <v>45186</v>
      </c>
      <c r="C2884" s="1" t="str">
        <f>TEXT(Table4_2[[#This Row],[Date]],"dddd")</f>
        <v>Sunday</v>
      </c>
      <c r="D2884" s="21">
        <v>33.4</v>
      </c>
      <c r="E2884" s="21">
        <v>56</v>
      </c>
      <c r="F2884" s="21">
        <v>632</v>
      </c>
      <c r="G2884" s="21">
        <v>6.4</v>
      </c>
      <c r="H2884">
        <v>46</v>
      </c>
      <c r="I2884">
        <v>92.12</v>
      </c>
      <c r="J2884">
        <v>0.56000000000000005</v>
      </c>
      <c r="K2884" t="str" cm="1">
        <f t="array" ref="K2884">_xlfn.IFS(Table4_2[[#This Row],[Growth Days]]&lt;=14,"Seedling",Table4_2[[#This Row],[Growth Days]]&lt;=35, "Vegetative",Table4_2[[#This Row],[Growth Days]]&lt;=50, "Maturity")</f>
        <v>Maturity</v>
      </c>
      <c r="L2884" t="str">
        <f>IF(Table4_2[[#This Row],[TDS Value (ppm)]]&lt;560, "Low", IF(Table4_2[[#This Row],[TDS Value (ppm)]]&lt;=800,"Optimal","High"))</f>
        <v>Optimal</v>
      </c>
    </row>
    <row r="2885" spans="1:12" x14ac:dyDescent="0.25">
      <c r="A2885">
        <v>24</v>
      </c>
      <c r="B2885" s="1">
        <v>45144</v>
      </c>
      <c r="C2885" s="1" t="str">
        <f>TEXT(Table4_2[[#This Row],[Date]],"dddd")</f>
        <v>Sunday</v>
      </c>
      <c r="D2885" s="21">
        <v>33.4</v>
      </c>
      <c r="E2885" s="21">
        <v>72</v>
      </c>
      <c r="F2885" s="21">
        <v>606</v>
      </c>
      <c r="G2885" s="21">
        <v>6.8</v>
      </c>
      <c r="H2885">
        <v>4</v>
      </c>
      <c r="I2885">
        <v>92.12</v>
      </c>
      <c r="J2885">
        <v>0.72</v>
      </c>
      <c r="K2885" t="str" cm="1">
        <f t="array" ref="K2885">_xlfn.IFS(Table4_2[[#This Row],[Growth Days]]&lt;=14,"Seedling",Table4_2[[#This Row],[Growth Days]]&lt;=35, "Vegetative",Table4_2[[#This Row],[Growth Days]]&lt;=50, "Maturity")</f>
        <v>Seedling</v>
      </c>
      <c r="L2885" t="str">
        <f>IF(Table4_2[[#This Row],[TDS Value (ppm)]]&lt;560, "Low", IF(Table4_2[[#This Row],[TDS Value (ppm)]]&lt;=800,"Optimal","High"))</f>
        <v>Optimal</v>
      </c>
    </row>
    <row r="2886" spans="1:12" x14ac:dyDescent="0.25">
      <c r="A2886">
        <v>24</v>
      </c>
      <c r="B2886" s="1">
        <v>45151</v>
      </c>
      <c r="C2886" s="1" t="str">
        <f>TEXT(Table4_2[[#This Row],[Date]],"dddd")</f>
        <v>Sunday</v>
      </c>
      <c r="D2886" s="21">
        <v>30.1</v>
      </c>
      <c r="E2886" s="21">
        <v>54</v>
      </c>
      <c r="F2886" s="21">
        <v>582</v>
      </c>
      <c r="G2886" s="21">
        <v>6.1</v>
      </c>
      <c r="H2886">
        <v>11</v>
      </c>
      <c r="I2886">
        <v>86.18</v>
      </c>
      <c r="J2886">
        <v>0.54</v>
      </c>
      <c r="K2886" t="str" cm="1">
        <f t="array" ref="K2886">_xlfn.IFS(Table4_2[[#This Row],[Growth Days]]&lt;=14,"Seedling",Table4_2[[#This Row],[Growth Days]]&lt;=35, "Vegetative",Table4_2[[#This Row],[Growth Days]]&lt;=50, "Maturity")</f>
        <v>Seedling</v>
      </c>
      <c r="L2886" t="str">
        <f>IF(Table4_2[[#This Row],[TDS Value (ppm)]]&lt;560, "Low", IF(Table4_2[[#This Row],[TDS Value (ppm)]]&lt;=800,"Optimal","High"))</f>
        <v>Optimal</v>
      </c>
    </row>
    <row r="2887" spans="1:12" x14ac:dyDescent="0.25">
      <c r="A2887">
        <v>24</v>
      </c>
      <c r="B2887" s="1">
        <v>45158</v>
      </c>
      <c r="C2887" s="1" t="str">
        <f>TEXT(Table4_2[[#This Row],[Date]],"dddd")</f>
        <v>Sunday</v>
      </c>
      <c r="D2887" s="21">
        <v>30.2</v>
      </c>
      <c r="E2887" s="21">
        <v>65</v>
      </c>
      <c r="F2887" s="21">
        <v>749</v>
      </c>
      <c r="G2887" s="21">
        <v>6.6</v>
      </c>
      <c r="H2887">
        <v>18</v>
      </c>
      <c r="I2887">
        <v>86.36</v>
      </c>
      <c r="J2887">
        <v>0.65</v>
      </c>
      <c r="K2887" t="str" cm="1">
        <f t="array" ref="K2887">_xlfn.IFS(Table4_2[[#This Row],[Growth Days]]&lt;=14,"Seedling",Table4_2[[#This Row],[Growth Days]]&lt;=35, "Vegetative",Table4_2[[#This Row],[Growth Days]]&lt;=50, "Maturity")</f>
        <v>Vegetative</v>
      </c>
      <c r="L2887" t="str">
        <f>IF(Table4_2[[#This Row],[TDS Value (ppm)]]&lt;560, "Low", IF(Table4_2[[#This Row],[TDS Value (ppm)]]&lt;=800,"Optimal","High"))</f>
        <v>Optimal</v>
      </c>
    </row>
    <row r="2888" spans="1:12" x14ac:dyDescent="0.25">
      <c r="A2888">
        <v>24</v>
      </c>
      <c r="B2888" s="1">
        <v>45165</v>
      </c>
      <c r="C2888" s="1" t="str">
        <f>TEXT(Table4_2[[#This Row],[Date]],"dddd")</f>
        <v>Sunday</v>
      </c>
      <c r="D2888" s="21">
        <v>29.4</v>
      </c>
      <c r="E2888" s="21">
        <v>74</v>
      </c>
      <c r="F2888" s="21">
        <v>513</v>
      </c>
      <c r="G2888" s="21">
        <v>6.3</v>
      </c>
      <c r="H2888">
        <v>25</v>
      </c>
      <c r="I2888">
        <v>84.92</v>
      </c>
      <c r="J2888">
        <v>0.74</v>
      </c>
      <c r="K2888" t="str" cm="1">
        <f t="array" ref="K2888">_xlfn.IFS(Table4_2[[#This Row],[Growth Days]]&lt;=14,"Seedling",Table4_2[[#This Row],[Growth Days]]&lt;=35, "Vegetative",Table4_2[[#This Row],[Growth Days]]&lt;=50, "Maturity")</f>
        <v>Vegetative</v>
      </c>
      <c r="L2888" t="str">
        <f>IF(Table4_2[[#This Row],[TDS Value (ppm)]]&lt;560, "Low", IF(Table4_2[[#This Row],[TDS Value (ppm)]]&lt;=800,"Optimal","High"))</f>
        <v>Low</v>
      </c>
    </row>
    <row r="2889" spans="1:12" x14ac:dyDescent="0.25">
      <c r="A2889">
        <v>24</v>
      </c>
      <c r="B2889" s="1">
        <v>45172</v>
      </c>
      <c r="C2889" s="1" t="str">
        <f>TEXT(Table4_2[[#This Row],[Date]],"dddd")</f>
        <v>Sunday</v>
      </c>
      <c r="D2889" s="21">
        <v>31.7</v>
      </c>
      <c r="E2889" s="21">
        <v>76</v>
      </c>
      <c r="F2889" s="21">
        <v>465</v>
      </c>
      <c r="G2889" s="21">
        <v>6.6</v>
      </c>
      <c r="H2889">
        <v>32</v>
      </c>
      <c r="I2889">
        <v>89.06</v>
      </c>
      <c r="J2889">
        <v>0.76</v>
      </c>
      <c r="K2889" t="str" cm="1">
        <f t="array" ref="K2889">_xlfn.IFS(Table4_2[[#This Row],[Growth Days]]&lt;=14,"Seedling",Table4_2[[#This Row],[Growth Days]]&lt;=35, "Vegetative",Table4_2[[#This Row],[Growth Days]]&lt;=50, "Maturity")</f>
        <v>Vegetative</v>
      </c>
      <c r="L2889" t="str">
        <f>IF(Table4_2[[#This Row],[TDS Value (ppm)]]&lt;560, "Low", IF(Table4_2[[#This Row],[TDS Value (ppm)]]&lt;=800,"Optimal","High"))</f>
        <v>Low</v>
      </c>
    </row>
    <row r="2890" spans="1:12" x14ac:dyDescent="0.25">
      <c r="A2890">
        <v>24</v>
      </c>
      <c r="B2890" s="1">
        <v>45179</v>
      </c>
      <c r="C2890" s="1" t="str">
        <f>TEXT(Table4_2[[#This Row],[Date]],"dddd")</f>
        <v>Sunday</v>
      </c>
      <c r="D2890" s="21">
        <v>31.2</v>
      </c>
      <c r="E2890" s="21">
        <v>51</v>
      </c>
      <c r="F2890" s="21">
        <v>624</v>
      </c>
      <c r="G2890" s="21">
        <v>6.4</v>
      </c>
      <c r="H2890">
        <v>39</v>
      </c>
      <c r="I2890">
        <v>88.16</v>
      </c>
      <c r="J2890">
        <v>0.51</v>
      </c>
      <c r="K2890" t="str" cm="1">
        <f t="array" ref="K2890">_xlfn.IFS(Table4_2[[#This Row],[Growth Days]]&lt;=14,"Seedling",Table4_2[[#This Row],[Growth Days]]&lt;=35, "Vegetative",Table4_2[[#This Row],[Growth Days]]&lt;=50, "Maturity")</f>
        <v>Maturity</v>
      </c>
      <c r="L2890" t="str">
        <f>IF(Table4_2[[#This Row],[TDS Value (ppm)]]&lt;560, "Low", IF(Table4_2[[#This Row],[TDS Value (ppm)]]&lt;=800,"Optimal","High"))</f>
        <v>Optimal</v>
      </c>
    </row>
    <row r="2891" spans="1:12" x14ac:dyDescent="0.25">
      <c r="A2891">
        <v>25</v>
      </c>
      <c r="B2891" s="1">
        <v>45144</v>
      </c>
      <c r="C2891" s="1" t="str">
        <f>TEXT(Table4_2[[#This Row],[Date]],"dddd")</f>
        <v>Sunday</v>
      </c>
      <c r="D2891" s="21">
        <v>33.4</v>
      </c>
      <c r="E2891" s="21">
        <v>57</v>
      </c>
      <c r="F2891" s="21">
        <v>640</v>
      </c>
      <c r="G2891" s="21">
        <v>6.3</v>
      </c>
      <c r="H2891">
        <v>4</v>
      </c>
      <c r="I2891">
        <v>92.12</v>
      </c>
      <c r="J2891">
        <v>0.56999999999999995</v>
      </c>
      <c r="K2891" t="str" cm="1">
        <f t="array" ref="K2891">_xlfn.IFS(Table4_2[[#This Row],[Growth Days]]&lt;=14,"Seedling",Table4_2[[#This Row],[Growth Days]]&lt;=35, "Vegetative",Table4_2[[#This Row],[Growth Days]]&lt;=50, "Maturity")</f>
        <v>Seedling</v>
      </c>
      <c r="L2891" t="str">
        <f>IF(Table4_2[[#This Row],[TDS Value (ppm)]]&lt;560, "Low", IF(Table4_2[[#This Row],[TDS Value (ppm)]]&lt;=800,"Optimal","High"))</f>
        <v>Optimal</v>
      </c>
    </row>
    <row r="2892" spans="1:12" x14ac:dyDescent="0.25">
      <c r="A2892">
        <v>25</v>
      </c>
      <c r="B2892" s="1">
        <v>45151</v>
      </c>
      <c r="C2892" s="1" t="str">
        <f>TEXT(Table4_2[[#This Row],[Date]],"dddd")</f>
        <v>Sunday</v>
      </c>
      <c r="D2892" s="21">
        <v>30.1</v>
      </c>
      <c r="E2892" s="21">
        <v>64</v>
      </c>
      <c r="F2892" s="21">
        <v>503</v>
      </c>
      <c r="G2892" s="21">
        <v>6.7</v>
      </c>
      <c r="H2892">
        <v>11</v>
      </c>
      <c r="I2892">
        <v>86.18</v>
      </c>
      <c r="J2892">
        <v>0.64</v>
      </c>
      <c r="K2892" t="str" cm="1">
        <f t="array" ref="K2892">_xlfn.IFS(Table4_2[[#This Row],[Growth Days]]&lt;=14,"Seedling",Table4_2[[#This Row],[Growth Days]]&lt;=35, "Vegetative",Table4_2[[#This Row],[Growth Days]]&lt;=50, "Maturity")</f>
        <v>Seedling</v>
      </c>
      <c r="L2892" t="str">
        <f>IF(Table4_2[[#This Row],[TDS Value (ppm)]]&lt;560, "Low", IF(Table4_2[[#This Row],[TDS Value (ppm)]]&lt;=800,"Optimal","High"))</f>
        <v>Low</v>
      </c>
    </row>
    <row r="2893" spans="1:12" x14ac:dyDescent="0.25">
      <c r="A2893">
        <v>25</v>
      </c>
      <c r="B2893" s="1">
        <v>45158</v>
      </c>
      <c r="C2893" s="1" t="str">
        <f>TEXT(Table4_2[[#This Row],[Date]],"dddd")</f>
        <v>Sunday</v>
      </c>
      <c r="D2893" s="21">
        <v>30.9</v>
      </c>
      <c r="E2893" s="21">
        <v>70</v>
      </c>
      <c r="F2893" s="21">
        <v>637</v>
      </c>
      <c r="G2893" s="21">
        <v>6.3</v>
      </c>
      <c r="H2893">
        <v>18</v>
      </c>
      <c r="I2893">
        <v>87.62</v>
      </c>
      <c r="J2893">
        <v>0.7</v>
      </c>
      <c r="K2893" t="str" cm="1">
        <f t="array" ref="K2893">_xlfn.IFS(Table4_2[[#This Row],[Growth Days]]&lt;=14,"Seedling",Table4_2[[#This Row],[Growth Days]]&lt;=35, "Vegetative",Table4_2[[#This Row],[Growth Days]]&lt;=50, "Maturity")</f>
        <v>Vegetative</v>
      </c>
      <c r="L2893" t="str">
        <f>IF(Table4_2[[#This Row],[TDS Value (ppm)]]&lt;560, "Low", IF(Table4_2[[#This Row],[TDS Value (ppm)]]&lt;=800,"Optimal","High"))</f>
        <v>Optimal</v>
      </c>
    </row>
    <row r="2894" spans="1:12" x14ac:dyDescent="0.25">
      <c r="A2894">
        <v>25</v>
      </c>
      <c r="B2894" s="1">
        <v>45165</v>
      </c>
      <c r="C2894" s="1" t="str">
        <f>TEXT(Table4_2[[#This Row],[Date]],"dddd")</f>
        <v>Sunday</v>
      </c>
      <c r="D2894" s="21">
        <v>30.1</v>
      </c>
      <c r="E2894" s="21">
        <v>57</v>
      </c>
      <c r="F2894" s="21">
        <v>448</v>
      </c>
      <c r="G2894" s="21">
        <v>6.1</v>
      </c>
      <c r="H2894">
        <v>25</v>
      </c>
      <c r="I2894">
        <v>86.18</v>
      </c>
      <c r="J2894">
        <v>0.56999999999999995</v>
      </c>
      <c r="K2894" t="str" cm="1">
        <f t="array" ref="K2894">_xlfn.IFS(Table4_2[[#This Row],[Growth Days]]&lt;=14,"Seedling",Table4_2[[#This Row],[Growth Days]]&lt;=35, "Vegetative",Table4_2[[#This Row],[Growth Days]]&lt;=50, "Maturity")</f>
        <v>Vegetative</v>
      </c>
      <c r="L2894" t="str">
        <f>IF(Table4_2[[#This Row],[TDS Value (ppm)]]&lt;560, "Low", IF(Table4_2[[#This Row],[TDS Value (ppm)]]&lt;=800,"Optimal","High"))</f>
        <v>Low</v>
      </c>
    </row>
    <row r="2895" spans="1:12" x14ac:dyDescent="0.25">
      <c r="A2895">
        <v>25</v>
      </c>
      <c r="B2895" s="1">
        <v>45172</v>
      </c>
      <c r="C2895" s="1" t="str">
        <f>TEXT(Table4_2[[#This Row],[Date]],"dddd")</f>
        <v>Sunday</v>
      </c>
      <c r="D2895" s="21">
        <v>31.7</v>
      </c>
      <c r="E2895" s="21">
        <v>75</v>
      </c>
      <c r="F2895" s="21">
        <v>414</v>
      </c>
      <c r="G2895" s="21">
        <v>6.5</v>
      </c>
      <c r="H2895">
        <v>32</v>
      </c>
      <c r="I2895">
        <v>89.06</v>
      </c>
      <c r="J2895">
        <v>0.75</v>
      </c>
      <c r="K2895" t="str" cm="1">
        <f t="array" ref="K2895">_xlfn.IFS(Table4_2[[#This Row],[Growth Days]]&lt;=14,"Seedling",Table4_2[[#This Row],[Growth Days]]&lt;=35, "Vegetative",Table4_2[[#This Row],[Growth Days]]&lt;=50, "Maturity")</f>
        <v>Vegetative</v>
      </c>
      <c r="L2895" t="str">
        <f>IF(Table4_2[[#This Row],[TDS Value (ppm)]]&lt;560, "Low", IF(Table4_2[[#This Row],[TDS Value (ppm)]]&lt;=800,"Optimal","High"))</f>
        <v>Low</v>
      </c>
    </row>
    <row r="2896" spans="1:12" x14ac:dyDescent="0.25">
      <c r="A2896">
        <v>25</v>
      </c>
      <c r="B2896" s="1">
        <v>45179</v>
      </c>
      <c r="C2896" s="1" t="str">
        <f>TEXT(Table4_2[[#This Row],[Date]],"dddd")</f>
        <v>Sunday</v>
      </c>
      <c r="D2896" s="21">
        <v>31.1</v>
      </c>
      <c r="E2896" s="21">
        <v>78</v>
      </c>
      <c r="F2896" s="21">
        <v>608</v>
      </c>
      <c r="G2896" s="21">
        <v>6.3</v>
      </c>
      <c r="H2896">
        <v>39</v>
      </c>
      <c r="I2896">
        <v>87.98</v>
      </c>
      <c r="J2896">
        <v>0.78</v>
      </c>
      <c r="K2896" t="str" cm="1">
        <f t="array" ref="K2896">_xlfn.IFS(Table4_2[[#This Row],[Growth Days]]&lt;=14,"Seedling",Table4_2[[#This Row],[Growth Days]]&lt;=35, "Vegetative",Table4_2[[#This Row],[Growth Days]]&lt;=50, "Maturity")</f>
        <v>Maturity</v>
      </c>
      <c r="L2896" t="str">
        <f>IF(Table4_2[[#This Row],[TDS Value (ppm)]]&lt;560, "Low", IF(Table4_2[[#This Row],[TDS Value (ppm)]]&lt;=800,"Optimal","High"))</f>
        <v>Optimal</v>
      </c>
    </row>
    <row r="2897" spans="1:12" x14ac:dyDescent="0.25">
      <c r="A2897">
        <v>26</v>
      </c>
      <c r="B2897" s="1">
        <v>45144</v>
      </c>
      <c r="C2897" s="1" t="str">
        <f>TEXT(Table4_2[[#This Row],[Date]],"dddd")</f>
        <v>Sunday</v>
      </c>
      <c r="D2897" s="21">
        <v>33.4</v>
      </c>
      <c r="E2897" s="21">
        <v>55</v>
      </c>
      <c r="F2897" s="21">
        <v>423</v>
      </c>
      <c r="G2897" s="21">
        <v>6.4</v>
      </c>
      <c r="H2897">
        <v>4</v>
      </c>
      <c r="I2897">
        <v>92.12</v>
      </c>
      <c r="J2897">
        <v>0.55000000000000004</v>
      </c>
      <c r="K2897" t="str" cm="1">
        <f t="array" ref="K2897">_xlfn.IFS(Table4_2[[#This Row],[Growth Days]]&lt;=14,"Seedling",Table4_2[[#This Row],[Growth Days]]&lt;=35, "Vegetative",Table4_2[[#This Row],[Growth Days]]&lt;=50, "Maturity")</f>
        <v>Seedling</v>
      </c>
      <c r="L2897" t="str">
        <f>IF(Table4_2[[#This Row],[TDS Value (ppm)]]&lt;560, "Low", IF(Table4_2[[#This Row],[TDS Value (ppm)]]&lt;=800,"Optimal","High"))</f>
        <v>Low</v>
      </c>
    </row>
    <row r="2898" spans="1:12" x14ac:dyDescent="0.25">
      <c r="A2898">
        <v>26</v>
      </c>
      <c r="B2898" s="1">
        <v>45151</v>
      </c>
      <c r="C2898" s="1" t="str">
        <f>TEXT(Table4_2[[#This Row],[Date]],"dddd")</f>
        <v>Sunday</v>
      </c>
      <c r="D2898" s="21">
        <v>30.1</v>
      </c>
      <c r="E2898" s="21">
        <v>73</v>
      </c>
      <c r="F2898" s="21">
        <v>515</v>
      </c>
      <c r="G2898" s="21">
        <v>6.6</v>
      </c>
      <c r="H2898">
        <v>11</v>
      </c>
      <c r="I2898">
        <v>86.18</v>
      </c>
      <c r="J2898">
        <v>0.73</v>
      </c>
      <c r="K2898" t="str" cm="1">
        <f t="array" ref="K2898">_xlfn.IFS(Table4_2[[#This Row],[Growth Days]]&lt;=14,"Seedling",Table4_2[[#This Row],[Growth Days]]&lt;=35, "Vegetative",Table4_2[[#This Row],[Growth Days]]&lt;=50, "Maturity")</f>
        <v>Seedling</v>
      </c>
      <c r="L2898" t="str">
        <f>IF(Table4_2[[#This Row],[TDS Value (ppm)]]&lt;560, "Low", IF(Table4_2[[#This Row],[TDS Value (ppm)]]&lt;=800,"Optimal","High"))</f>
        <v>Low</v>
      </c>
    </row>
    <row r="2899" spans="1:12" x14ac:dyDescent="0.25">
      <c r="A2899">
        <v>26</v>
      </c>
      <c r="B2899" s="1">
        <v>45158</v>
      </c>
      <c r="C2899" s="1" t="str">
        <f>TEXT(Table4_2[[#This Row],[Date]],"dddd")</f>
        <v>Sunday</v>
      </c>
      <c r="D2899" s="21">
        <v>30.9</v>
      </c>
      <c r="E2899" s="21">
        <v>53</v>
      </c>
      <c r="F2899" s="21">
        <v>592</v>
      </c>
      <c r="G2899" s="21">
        <v>6.4</v>
      </c>
      <c r="H2899">
        <v>18</v>
      </c>
      <c r="I2899">
        <v>87.62</v>
      </c>
      <c r="J2899">
        <v>0.53</v>
      </c>
      <c r="K2899" t="str" cm="1">
        <f t="array" ref="K2899">_xlfn.IFS(Table4_2[[#This Row],[Growth Days]]&lt;=14,"Seedling",Table4_2[[#This Row],[Growth Days]]&lt;=35, "Vegetative",Table4_2[[#This Row],[Growth Days]]&lt;=50, "Maturity")</f>
        <v>Vegetative</v>
      </c>
      <c r="L2899" t="str">
        <f>IF(Table4_2[[#This Row],[TDS Value (ppm)]]&lt;560, "Low", IF(Table4_2[[#This Row],[TDS Value (ppm)]]&lt;=800,"Optimal","High"))</f>
        <v>Optimal</v>
      </c>
    </row>
    <row r="2900" spans="1:12" x14ac:dyDescent="0.25">
      <c r="A2900">
        <v>26</v>
      </c>
      <c r="B2900" s="1">
        <v>45165</v>
      </c>
      <c r="C2900" s="1" t="str">
        <f>TEXT(Table4_2[[#This Row],[Date]],"dddd")</f>
        <v>Sunday</v>
      </c>
      <c r="D2900" s="21">
        <v>30.1</v>
      </c>
      <c r="E2900" s="21">
        <v>72</v>
      </c>
      <c r="F2900" s="21">
        <v>610</v>
      </c>
      <c r="G2900" s="21">
        <v>6.4</v>
      </c>
      <c r="H2900">
        <v>25</v>
      </c>
      <c r="I2900">
        <v>86.18</v>
      </c>
      <c r="J2900">
        <v>0.72</v>
      </c>
      <c r="K2900" t="str" cm="1">
        <f t="array" ref="K2900">_xlfn.IFS(Table4_2[[#This Row],[Growth Days]]&lt;=14,"Seedling",Table4_2[[#This Row],[Growth Days]]&lt;=35, "Vegetative",Table4_2[[#This Row],[Growth Days]]&lt;=50, "Maturity")</f>
        <v>Vegetative</v>
      </c>
      <c r="L2900" t="str">
        <f>IF(Table4_2[[#This Row],[TDS Value (ppm)]]&lt;560, "Low", IF(Table4_2[[#This Row],[TDS Value (ppm)]]&lt;=800,"Optimal","High"))</f>
        <v>Optimal</v>
      </c>
    </row>
    <row r="2901" spans="1:12" x14ac:dyDescent="0.25">
      <c r="A2901">
        <v>26</v>
      </c>
      <c r="B2901" s="1">
        <v>45172</v>
      </c>
      <c r="C2901" s="1" t="str">
        <f>TEXT(Table4_2[[#This Row],[Date]],"dddd")</f>
        <v>Sunday</v>
      </c>
      <c r="D2901" s="21">
        <v>31.7</v>
      </c>
      <c r="E2901" s="21">
        <v>78</v>
      </c>
      <c r="F2901" s="21">
        <v>441</v>
      </c>
      <c r="G2901" s="21">
        <v>6.4</v>
      </c>
      <c r="H2901">
        <v>32</v>
      </c>
      <c r="I2901">
        <v>89.06</v>
      </c>
      <c r="J2901">
        <v>0.78</v>
      </c>
      <c r="K2901" t="str" cm="1">
        <f t="array" ref="K2901">_xlfn.IFS(Table4_2[[#This Row],[Growth Days]]&lt;=14,"Seedling",Table4_2[[#This Row],[Growth Days]]&lt;=35, "Vegetative",Table4_2[[#This Row],[Growth Days]]&lt;=50, "Maturity")</f>
        <v>Vegetative</v>
      </c>
      <c r="L2901" t="str">
        <f>IF(Table4_2[[#This Row],[TDS Value (ppm)]]&lt;560, "Low", IF(Table4_2[[#This Row],[TDS Value (ppm)]]&lt;=800,"Optimal","High"))</f>
        <v>Low</v>
      </c>
    </row>
    <row r="2902" spans="1:12" x14ac:dyDescent="0.25">
      <c r="A2902">
        <v>26</v>
      </c>
      <c r="B2902" s="1">
        <v>45179</v>
      </c>
      <c r="C2902" s="1" t="str">
        <f>TEXT(Table4_2[[#This Row],[Date]],"dddd")</f>
        <v>Sunday</v>
      </c>
      <c r="D2902" s="21">
        <v>31.1</v>
      </c>
      <c r="E2902" s="21">
        <v>58</v>
      </c>
      <c r="F2902" s="21">
        <v>496</v>
      </c>
      <c r="G2902" s="21">
        <v>6.4</v>
      </c>
      <c r="H2902">
        <v>39</v>
      </c>
      <c r="I2902">
        <v>87.98</v>
      </c>
      <c r="J2902">
        <v>0.57999999999999996</v>
      </c>
      <c r="K2902" t="str" cm="1">
        <f t="array" ref="K2902">_xlfn.IFS(Table4_2[[#This Row],[Growth Days]]&lt;=14,"Seedling",Table4_2[[#This Row],[Growth Days]]&lt;=35, "Vegetative",Table4_2[[#This Row],[Growth Days]]&lt;=50, "Maturity")</f>
        <v>Maturity</v>
      </c>
      <c r="L2902" t="str">
        <f>IF(Table4_2[[#This Row],[TDS Value (ppm)]]&lt;560, "Low", IF(Table4_2[[#This Row],[TDS Value (ppm)]]&lt;=800,"Optimal","High"))</f>
        <v>Low</v>
      </c>
    </row>
    <row r="2903" spans="1:12" x14ac:dyDescent="0.25">
      <c r="A2903">
        <v>27</v>
      </c>
      <c r="B2903" s="1">
        <v>45144</v>
      </c>
      <c r="C2903" s="1" t="str">
        <f>TEXT(Table4_2[[#This Row],[Date]],"dddd")</f>
        <v>Sunday</v>
      </c>
      <c r="D2903" s="21">
        <v>33.4</v>
      </c>
      <c r="E2903" s="21">
        <v>67</v>
      </c>
      <c r="F2903" s="21">
        <v>699</v>
      </c>
      <c r="G2903" s="21">
        <v>6.6</v>
      </c>
      <c r="H2903">
        <v>4</v>
      </c>
      <c r="I2903">
        <v>92.12</v>
      </c>
      <c r="J2903">
        <v>0.67</v>
      </c>
      <c r="K2903" t="str" cm="1">
        <f t="array" ref="K2903">_xlfn.IFS(Table4_2[[#This Row],[Growth Days]]&lt;=14,"Seedling",Table4_2[[#This Row],[Growth Days]]&lt;=35, "Vegetative",Table4_2[[#This Row],[Growth Days]]&lt;=50, "Maturity")</f>
        <v>Seedling</v>
      </c>
      <c r="L2903" t="str">
        <f>IF(Table4_2[[#This Row],[TDS Value (ppm)]]&lt;560, "Low", IF(Table4_2[[#This Row],[TDS Value (ppm)]]&lt;=800,"Optimal","High"))</f>
        <v>Optimal</v>
      </c>
    </row>
    <row r="2904" spans="1:12" x14ac:dyDescent="0.25">
      <c r="A2904">
        <v>27</v>
      </c>
      <c r="B2904" s="1">
        <v>45151</v>
      </c>
      <c r="C2904" s="1" t="str">
        <f>TEXT(Table4_2[[#This Row],[Date]],"dddd")</f>
        <v>Sunday</v>
      </c>
      <c r="D2904" s="21">
        <v>30.1</v>
      </c>
      <c r="E2904" s="21">
        <v>79</v>
      </c>
      <c r="F2904" s="21">
        <v>493</v>
      </c>
      <c r="G2904" s="21">
        <v>6.6</v>
      </c>
      <c r="H2904">
        <v>11</v>
      </c>
      <c r="I2904">
        <v>86.18</v>
      </c>
      <c r="J2904">
        <v>0.79</v>
      </c>
      <c r="K2904" t="str" cm="1">
        <f t="array" ref="K2904">_xlfn.IFS(Table4_2[[#This Row],[Growth Days]]&lt;=14,"Seedling",Table4_2[[#This Row],[Growth Days]]&lt;=35, "Vegetative",Table4_2[[#This Row],[Growth Days]]&lt;=50, "Maturity")</f>
        <v>Seedling</v>
      </c>
      <c r="L2904" t="str">
        <f>IF(Table4_2[[#This Row],[TDS Value (ppm)]]&lt;560, "Low", IF(Table4_2[[#This Row],[TDS Value (ppm)]]&lt;=800,"Optimal","High"))</f>
        <v>Low</v>
      </c>
    </row>
    <row r="2905" spans="1:12" x14ac:dyDescent="0.25">
      <c r="A2905">
        <v>27</v>
      </c>
      <c r="B2905" s="1">
        <v>45158</v>
      </c>
      <c r="C2905" s="1" t="str">
        <f>TEXT(Table4_2[[#This Row],[Date]],"dddd")</f>
        <v>Sunday</v>
      </c>
      <c r="D2905" s="21">
        <v>30.9</v>
      </c>
      <c r="E2905" s="21">
        <v>54</v>
      </c>
      <c r="F2905" s="21">
        <v>520</v>
      </c>
      <c r="G2905" s="21">
        <v>6.6</v>
      </c>
      <c r="H2905">
        <v>18</v>
      </c>
      <c r="I2905">
        <v>87.62</v>
      </c>
      <c r="J2905">
        <v>0.54</v>
      </c>
      <c r="K2905" t="str" cm="1">
        <f t="array" ref="K2905">_xlfn.IFS(Table4_2[[#This Row],[Growth Days]]&lt;=14,"Seedling",Table4_2[[#This Row],[Growth Days]]&lt;=35, "Vegetative",Table4_2[[#This Row],[Growth Days]]&lt;=50, "Maturity")</f>
        <v>Vegetative</v>
      </c>
      <c r="L2905" t="str">
        <f>IF(Table4_2[[#This Row],[TDS Value (ppm)]]&lt;560, "Low", IF(Table4_2[[#This Row],[TDS Value (ppm)]]&lt;=800,"Optimal","High"))</f>
        <v>Low</v>
      </c>
    </row>
    <row r="2906" spans="1:12" x14ac:dyDescent="0.25">
      <c r="A2906">
        <v>27</v>
      </c>
      <c r="B2906" s="1">
        <v>45165</v>
      </c>
      <c r="C2906" s="1" t="str">
        <f>TEXT(Table4_2[[#This Row],[Date]],"dddd")</f>
        <v>Sunday</v>
      </c>
      <c r="D2906" s="21">
        <v>30.1</v>
      </c>
      <c r="E2906" s="21">
        <v>55</v>
      </c>
      <c r="F2906" s="21">
        <v>651</v>
      </c>
      <c r="G2906" s="21">
        <v>6.6</v>
      </c>
      <c r="H2906">
        <v>25</v>
      </c>
      <c r="I2906">
        <v>86.18</v>
      </c>
      <c r="J2906">
        <v>0.55000000000000004</v>
      </c>
      <c r="K2906" t="str" cm="1">
        <f t="array" ref="K2906">_xlfn.IFS(Table4_2[[#This Row],[Growth Days]]&lt;=14,"Seedling",Table4_2[[#This Row],[Growth Days]]&lt;=35, "Vegetative",Table4_2[[#This Row],[Growth Days]]&lt;=50, "Maturity")</f>
        <v>Vegetative</v>
      </c>
      <c r="L2906" t="str">
        <f>IF(Table4_2[[#This Row],[TDS Value (ppm)]]&lt;560, "Low", IF(Table4_2[[#This Row],[TDS Value (ppm)]]&lt;=800,"Optimal","High"))</f>
        <v>Optimal</v>
      </c>
    </row>
    <row r="2907" spans="1:12" x14ac:dyDescent="0.25">
      <c r="A2907">
        <v>27</v>
      </c>
      <c r="B2907" s="1">
        <v>45172</v>
      </c>
      <c r="C2907" s="1" t="str">
        <f>TEXT(Table4_2[[#This Row],[Date]],"dddd")</f>
        <v>Sunday</v>
      </c>
      <c r="D2907" s="21">
        <v>31.7</v>
      </c>
      <c r="E2907" s="21">
        <v>60</v>
      </c>
      <c r="F2907" s="21">
        <v>749</v>
      </c>
      <c r="G2907" s="21">
        <v>6.6</v>
      </c>
      <c r="H2907">
        <v>32</v>
      </c>
      <c r="I2907">
        <v>89.06</v>
      </c>
      <c r="J2907">
        <v>0.6</v>
      </c>
      <c r="K2907" t="str" cm="1">
        <f t="array" ref="K2907">_xlfn.IFS(Table4_2[[#This Row],[Growth Days]]&lt;=14,"Seedling",Table4_2[[#This Row],[Growth Days]]&lt;=35, "Vegetative",Table4_2[[#This Row],[Growth Days]]&lt;=50, "Maturity")</f>
        <v>Vegetative</v>
      </c>
      <c r="L2907" t="str">
        <f>IF(Table4_2[[#This Row],[TDS Value (ppm)]]&lt;560, "Low", IF(Table4_2[[#This Row],[TDS Value (ppm)]]&lt;=800,"Optimal","High"))</f>
        <v>Optimal</v>
      </c>
    </row>
    <row r="2908" spans="1:12" x14ac:dyDescent="0.25">
      <c r="A2908">
        <v>27</v>
      </c>
      <c r="B2908" s="1">
        <v>45179</v>
      </c>
      <c r="C2908" s="1" t="str">
        <f>TEXT(Table4_2[[#This Row],[Date]],"dddd")</f>
        <v>Sunday</v>
      </c>
      <c r="D2908" s="21">
        <v>31.1</v>
      </c>
      <c r="E2908" s="21">
        <v>56</v>
      </c>
      <c r="F2908" s="21">
        <v>502</v>
      </c>
      <c r="G2908" s="21">
        <v>6.6</v>
      </c>
      <c r="H2908">
        <v>39</v>
      </c>
      <c r="I2908">
        <v>87.98</v>
      </c>
      <c r="J2908">
        <v>0.56000000000000005</v>
      </c>
      <c r="K2908" t="str" cm="1">
        <f t="array" ref="K2908">_xlfn.IFS(Table4_2[[#This Row],[Growth Days]]&lt;=14,"Seedling",Table4_2[[#This Row],[Growth Days]]&lt;=35, "Vegetative",Table4_2[[#This Row],[Growth Days]]&lt;=50, "Maturity")</f>
        <v>Maturity</v>
      </c>
      <c r="L2908" t="str">
        <f>IF(Table4_2[[#This Row],[TDS Value (ppm)]]&lt;560, "Low", IF(Table4_2[[#This Row],[TDS Value (ppm)]]&lt;=800,"Optimal","High"))</f>
        <v>Low</v>
      </c>
    </row>
    <row r="2909" spans="1:12" x14ac:dyDescent="0.25">
      <c r="A2909">
        <v>28</v>
      </c>
      <c r="B2909" s="1">
        <v>45144</v>
      </c>
      <c r="C2909" s="1" t="str">
        <f>TEXT(Table4_2[[#This Row],[Date]],"dddd")</f>
        <v>Sunday</v>
      </c>
      <c r="D2909" s="21">
        <v>33.4</v>
      </c>
      <c r="E2909" s="21">
        <v>75</v>
      </c>
      <c r="F2909" s="21">
        <v>607</v>
      </c>
      <c r="G2909" s="21">
        <v>6.5</v>
      </c>
      <c r="H2909">
        <v>4</v>
      </c>
      <c r="I2909">
        <v>92.12</v>
      </c>
      <c r="J2909">
        <v>0.75</v>
      </c>
      <c r="K2909" t="str" cm="1">
        <f t="array" ref="K2909">_xlfn.IFS(Table4_2[[#This Row],[Growth Days]]&lt;=14,"Seedling",Table4_2[[#This Row],[Growth Days]]&lt;=35, "Vegetative",Table4_2[[#This Row],[Growth Days]]&lt;=50, "Maturity")</f>
        <v>Seedling</v>
      </c>
      <c r="L2909" t="str">
        <f>IF(Table4_2[[#This Row],[TDS Value (ppm)]]&lt;560, "Low", IF(Table4_2[[#This Row],[TDS Value (ppm)]]&lt;=800,"Optimal","High"))</f>
        <v>Optimal</v>
      </c>
    </row>
    <row r="2910" spans="1:12" x14ac:dyDescent="0.25">
      <c r="A2910">
        <v>28</v>
      </c>
      <c r="B2910" s="1">
        <v>45151</v>
      </c>
      <c r="C2910" s="1" t="str">
        <f>TEXT(Table4_2[[#This Row],[Date]],"dddd")</f>
        <v>Sunday</v>
      </c>
      <c r="D2910" s="21">
        <v>30.1</v>
      </c>
      <c r="E2910" s="21">
        <v>64</v>
      </c>
      <c r="F2910" s="21">
        <v>669</v>
      </c>
      <c r="G2910" s="21">
        <v>6.2</v>
      </c>
      <c r="H2910">
        <v>11</v>
      </c>
      <c r="I2910">
        <v>86.18</v>
      </c>
      <c r="J2910">
        <v>0.64</v>
      </c>
      <c r="K2910" t="str" cm="1">
        <f t="array" ref="K2910">_xlfn.IFS(Table4_2[[#This Row],[Growth Days]]&lt;=14,"Seedling",Table4_2[[#This Row],[Growth Days]]&lt;=35, "Vegetative",Table4_2[[#This Row],[Growth Days]]&lt;=50, "Maturity")</f>
        <v>Seedling</v>
      </c>
      <c r="L2910" t="str">
        <f>IF(Table4_2[[#This Row],[TDS Value (ppm)]]&lt;560, "Low", IF(Table4_2[[#This Row],[TDS Value (ppm)]]&lt;=800,"Optimal","High"))</f>
        <v>Optimal</v>
      </c>
    </row>
    <row r="2911" spans="1:12" x14ac:dyDescent="0.25">
      <c r="A2911">
        <v>28</v>
      </c>
      <c r="B2911" s="1">
        <v>45158</v>
      </c>
      <c r="C2911" s="1" t="str">
        <f>TEXT(Table4_2[[#This Row],[Date]],"dddd")</f>
        <v>Sunday</v>
      </c>
      <c r="D2911" s="21">
        <v>30.9</v>
      </c>
      <c r="E2911" s="21">
        <v>78</v>
      </c>
      <c r="F2911" s="21">
        <v>403</v>
      </c>
      <c r="G2911" s="21">
        <v>6.6</v>
      </c>
      <c r="H2911">
        <v>18</v>
      </c>
      <c r="I2911">
        <v>87.62</v>
      </c>
      <c r="J2911">
        <v>0.78</v>
      </c>
      <c r="K2911" t="str" cm="1">
        <f t="array" ref="K2911">_xlfn.IFS(Table4_2[[#This Row],[Growth Days]]&lt;=14,"Seedling",Table4_2[[#This Row],[Growth Days]]&lt;=35, "Vegetative",Table4_2[[#This Row],[Growth Days]]&lt;=50, "Maturity")</f>
        <v>Vegetative</v>
      </c>
      <c r="L2911" t="str">
        <f>IF(Table4_2[[#This Row],[TDS Value (ppm)]]&lt;560, "Low", IF(Table4_2[[#This Row],[TDS Value (ppm)]]&lt;=800,"Optimal","High"))</f>
        <v>Low</v>
      </c>
    </row>
    <row r="2912" spans="1:12" x14ac:dyDescent="0.25">
      <c r="A2912">
        <v>28</v>
      </c>
      <c r="B2912" s="1">
        <v>45165</v>
      </c>
      <c r="C2912" s="1" t="str">
        <f>TEXT(Table4_2[[#This Row],[Date]],"dddd")</f>
        <v>Sunday</v>
      </c>
      <c r="D2912" s="21">
        <v>30.1</v>
      </c>
      <c r="E2912" s="21">
        <v>73</v>
      </c>
      <c r="F2912" s="21">
        <v>411</v>
      </c>
      <c r="G2912" s="21">
        <v>6.3</v>
      </c>
      <c r="H2912">
        <v>25</v>
      </c>
      <c r="I2912">
        <v>86.18</v>
      </c>
      <c r="J2912">
        <v>0.73</v>
      </c>
      <c r="K2912" t="str" cm="1">
        <f t="array" ref="K2912">_xlfn.IFS(Table4_2[[#This Row],[Growth Days]]&lt;=14,"Seedling",Table4_2[[#This Row],[Growth Days]]&lt;=35, "Vegetative",Table4_2[[#This Row],[Growth Days]]&lt;=50, "Maturity")</f>
        <v>Vegetative</v>
      </c>
      <c r="L2912" t="str">
        <f>IF(Table4_2[[#This Row],[TDS Value (ppm)]]&lt;560, "Low", IF(Table4_2[[#This Row],[TDS Value (ppm)]]&lt;=800,"Optimal","High"))</f>
        <v>Low</v>
      </c>
    </row>
    <row r="2913" spans="1:12" x14ac:dyDescent="0.25">
      <c r="A2913">
        <v>28</v>
      </c>
      <c r="B2913" s="1">
        <v>45172</v>
      </c>
      <c r="C2913" s="1" t="str">
        <f>TEXT(Table4_2[[#This Row],[Date]],"dddd")</f>
        <v>Sunday</v>
      </c>
      <c r="D2913" s="21">
        <v>31.7</v>
      </c>
      <c r="E2913" s="21">
        <v>60</v>
      </c>
      <c r="F2913" s="21">
        <v>480</v>
      </c>
      <c r="G2913" s="21">
        <v>6.7</v>
      </c>
      <c r="H2913">
        <v>32</v>
      </c>
      <c r="I2913">
        <v>89.06</v>
      </c>
      <c r="J2913">
        <v>0.6</v>
      </c>
      <c r="K2913" t="str" cm="1">
        <f t="array" ref="K2913">_xlfn.IFS(Table4_2[[#This Row],[Growth Days]]&lt;=14,"Seedling",Table4_2[[#This Row],[Growth Days]]&lt;=35, "Vegetative",Table4_2[[#This Row],[Growth Days]]&lt;=50, "Maturity")</f>
        <v>Vegetative</v>
      </c>
      <c r="L2913" t="str">
        <f>IF(Table4_2[[#This Row],[TDS Value (ppm)]]&lt;560, "Low", IF(Table4_2[[#This Row],[TDS Value (ppm)]]&lt;=800,"Optimal","High"))</f>
        <v>Low</v>
      </c>
    </row>
    <row r="2914" spans="1:12" x14ac:dyDescent="0.25">
      <c r="A2914">
        <v>28</v>
      </c>
      <c r="B2914" s="1">
        <v>45179</v>
      </c>
      <c r="C2914" s="1" t="str">
        <f>TEXT(Table4_2[[#This Row],[Date]],"dddd")</f>
        <v>Sunday</v>
      </c>
      <c r="D2914" s="21">
        <v>31.1</v>
      </c>
      <c r="E2914" s="21">
        <v>50</v>
      </c>
      <c r="F2914" s="21">
        <v>534</v>
      </c>
      <c r="G2914" s="21">
        <v>6.3</v>
      </c>
      <c r="H2914">
        <v>39</v>
      </c>
      <c r="I2914">
        <v>87.98</v>
      </c>
      <c r="J2914">
        <v>0.5</v>
      </c>
      <c r="K2914" t="str" cm="1">
        <f t="array" ref="K2914">_xlfn.IFS(Table4_2[[#This Row],[Growth Days]]&lt;=14,"Seedling",Table4_2[[#This Row],[Growth Days]]&lt;=35, "Vegetative",Table4_2[[#This Row],[Growth Days]]&lt;=50, "Maturity")</f>
        <v>Maturity</v>
      </c>
      <c r="L2914" t="str">
        <f>IF(Table4_2[[#This Row],[TDS Value (ppm)]]&lt;560, "Low", IF(Table4_2[[#This Row],[TDS Value (ppm)]]&lt;=800,"Optimal","High"))</f>
        <v>Low</v>
      </c>
    </row>
    <row r="2915" spans="1:12" x14ac:dyDescent="0.25">
      <c r="A2915">
        <v>29</v>
      </c>
      <c r="B2915" s="1">
        <v>45144</v>
      </c>
      <c r="C2915" s="1" t="str">
        <f>TEXT(Table4_2[[#This Row],[Date]],"dddd")</f>
        <v>Sunday</v>
      </c>
      <c r="D2915" s="21">
        <v>33.4</v>
      </c>
      <c r="E2915" s="21">
        <v>71</v>
      </c>
      <c r="F2915" s="21">
        <v>707</v>
      </c>
      <c r="G2915" s="21">
        <v>6.6</v>
      </c>
      <c r="H2915">
        <v>4</v>
      </c>
      <c r="I2915">
        <v>92.12</v>
      </c>
      <c r="J2915">
        <v>0.71</v>
      </c>
      <c r="K2915" t="str" cm="1">
        <f t="array" ref="K2915">_xlfn.IFS(Table4_2[[#This Row],[Growth Days]]&lt;=14,"Seedling",Table4_2[[#This Row],[Growth Days]]&lt;=35, "Vegetative",Table4_2[[#This Row],[Growth Days]]&lt;=50, "Maturity")</f>
        <v>Seedling</v>
      </c>
      <c r="L2915" t="str">
        <f>IF(Table4_2[[#This Row],[TDS Value (ppm)]]&lt;560, "Low", IF(Table4_2[[#This Row],[TDS Value (ppm)]]&lt;=800,"Optimal","High"))</f>
        <v>Optimal</v>
      </c>
    </row>
    <row r="2916" spans="1:12" x14ac:dyDescent="0.25">
      <c r="A2916">
        <v>29</v>
      </c>
      <c r="B2916" s="1">
        <v>45151</v>
      </c>
      <c r="C2916" s="1" t="str">
        <f>TEXT(Table4_2[[#This Row],[Date]],"dddd")</f>
        <v>Sunday</v>
      </c>
      <c r="D2916" s="21">
        <v>30.1</v>
      </c>
      <c r="E2916" s="21">
        <v>71</v>
      </c>
      <c r="F2916" s="21">
        <v>464</v>
      </c>
      <c r="G2916" s="21">
        <v>6.7</v>
      </c>
      <c r="H2916">
        <v>11</v>
      </c>
      <c r="I2916">
        <v>86.18</v>
      </c>
      <c r="J2916">
        <v>0.71</v>
      </c>
      <c r="K2916" t="str" cm="1">
        <f t="array" ref="K2916">_xlfn.IFS(Table4_2[[#This Row],[Growth Days]]&lt;=14,"Seedling",Table4_2[[#This Row],[Growth Days]]&lt;=35, "Vegetative",Table4_2[[#This Row],[Growth Days]]&lt;=50, "Maturity")</f>
        <v>Seedling</v>
      </c>
      <c r="L2916" t="str">
        <f>IF(Table4_2[[#This Row],[TDS Value (ppm)]]&lt;560, "Low", IF(Table4_2[[#This Row],[TDS Value (ppm)]]&lt;=800,"Optimal","High"))</f>
        <v>Low</v>
      </c>
    </row>
    <row r="2917" spans="1:12" x14ac:dyDescent="0.25">
      <c r="A2917">
        <v>29</v>
      </c>
      <c r="B2917" s="1">
        <v>45158</v>
      </c>
      <c r="C2917" s="1" t="str">
        <f>TEXT(Table4_2[[#This Row],[Date]],"dddd")</f>
        <v>Sunday</v>
      </c>
      <c r="D2917" s="21">
        <v>30.9</v>
      </c>
      <c r="E2917" s="21">
        <v>75</v>
      </c>
      <c r="F2917" s="21">
        <v>478</v>
      </c>
      <c r="G2917" s="21">
        <v>6.5</v>
      </c>
      <c r="H2917">
        <v>18</v>
      </c>
      <c r="I2917">
        <v>87.62</v>
      </c>
      <c r="J2917">
        <v>0.75</v>
      </c>
      <c r="K2917" t="str" cm="1">
        <f t="array" ref="K2917">_xlfn.IFS(Table4_2[[#This Row],[Growth Days]]&lt;=14,"Seedling",Table4_2[[#This Row],[Growth Days]]&lt;=35, "Vegetative",Table4_2[[#This Row],[Growth Days]]&lt;=50, "Maturity")</f>
        <v>Vegetative</v>
      </c>
      <c r="L2917" t="str">
        <f>IF(Table4_2[[#This Row],[TDS Value (ppm)]]&lt;560, "Low", IF(Table4_2[[#This Row],[TDS Value (ppm)]]&lt;=800,"Optimal","High"))</f>
        <v>Low</v>
      </c>
    </row>
    <row r="2918" spans="1:12" x14ac:dyDescent="0.25">
      <c r="A2918">
        <v>29</v>
      </c>
      <c r="B2918" s="1">
        <v>45165</v>
      </c>
      <c r="C2918" s="1" t="str">
        <f>TEXT(Table4_2[[#This Row],[Date]],"dddd")</f>
        <v>Sunday</v>
      </c>
      <c r="D2918" s="21">
        <v>30.1</v>
      </c>
      <c r="E2918" s="21">
        <v>79</v>
      </c>
      <c r="F2918" s="21">
        <v>414</v>
      </c>
      <c r="G2918" s="21">
        <v>6.3</v>
      </c>
      <c r="H2918">
        <v>25</v>
      </c>
      <c r="I2918">
        <v>86.18</v>
      </c>
      <c r="J2918">
        <v>0.79</v>
      </c>
      <c r="K2918" t="str" cm="1">
        <f t="array" ref="K2918">_xlfn.IFS(Table4_2[[#This Row],[Growth Days]]&lt;=14,"Seedling",Table4_2[[#This Row],[Growth Days]]&lt;=35, "Vegetative",Table4_2[[#This Row],[Growth Days]]&lt;=50, "Maturity")</f>
        <v>Vegetative</v>
      </c>
      <c r="L2918" t="str">
        <f>IF(Table4_2[[#This Row],[TDS Value (ppm)]]&lt;560, "Low", IF(Table4_2[[#This Row],[TDS Value (ppm)]]&lt;=800,"Optimal","High"))</f>
        <v>Low</v>
      </c>
    </row>
    <row r="2919" spans="1:12" x14ac:dyDescent="0.25">
      <c r="A2919">
        <v>29</v>
      </c>
      <c r="B2919" s="1">
        <v>45172</v>
      </c>
      <c r="C2919" s="1" t="str">
        <f>TEXT(Table4_2[[#This Row],[Date]],"dddd")</f>
        <v>Sunday</v>
      </c>
      <c r="D2919" s="21">
        <v>31.7</v>
      </c>
      <c r="E2919" s="21">
        <v>79</v>
      </c>
      <c r="F2919" s="21">
        <v>507</v>
      </c>
      <c r="G2919" s="21">
        <v>6.7</v>
      </c>
      <c r="H2919">
        <v>32</v>
      </c>
      <c r="I2919">
        <v>89.06</v>
      </c>
      <c r="J2919">
        <v>0.79</v>
      </c>
      <c r="K2919" t="str" cm="1">
        <f t="array" ref="K2919">_xlfn.IFS(Table4_2[[#This Row],[Growth Days]]&lt;=14,"Seedling",Table4_2[[#This Row],[Growth Days]]&lt;=35, "Vegetative",Table4_2[[#This Row],[Growth Days]]&lt;=50, "Maturity")</f>
        <v>Vegetative</v>
      </c>
      <c r="L2919" t="str">
        <f>IF(Table4_2[[#This Row],[TDS Value (ppm)]]&lt;560, "Low", IF(Table4_2[[#This Row],[TDS Value (ppm)]]&lt;=800,"Optimal","High"))</f>
        <v>Low</v>
      </c>
    </row>
    <row r="2920" spans="1:12" x14ac:dyDescent="0.25">
      <c r="A2920">
        <v>29</v>
      </c>
      <c r="B2920" s="1">
        <v>45179</v>
      </c>
      <c r="C2920" s="1" t="str">
        <f>TEXT(Table4_2[[#This Row],[Date]],"dddd")</f>
        <v>Sunday</v>
      </c>
      <c r="D2920" s="21">
        <v>31.1</v>
      </c>
      <c r="E2920" s="21">
        <v>55</v>
      </c>
      <c r="F2920" s="21">
        <v>556</v>
      </c>
      <c r="G2920" s="21">
        <v>6</v>
      </c>
      <c r="H2920">
        <v>39</v>
      </c>
      <c r="I2920">
        <v>87.98</v>
      </c>
      <c r="J2920">
        <v>0.55000000000000004</v>
      </c>
      <c r="K2920" t="str" cm="1">
        <f t="array" ref="K2920">_xlfn.IFS(Table4_2[[#This Row],[Growth Days]]&lt;=14,"Seedling",Table4_2[[#This Row],[Growth Days]]&lt;=35, "Vegetative",Table4_2[[#This Row],[Growth Days]]&lt;=50, "Maturity")</f>
        <v>Maturity</v>
      </c>
      <c r="L2920" t="str">
        <f>IF(Table4_2[[#This Row],[TDS Value (ppm)]]&lt;560, "Low", IF(Table4_2[[#This Row],[TDS Value (ppm)]]&lt;=800,"Optimal","High"))</f>
        <v>Low</v>
      </c>
    </row>
    <row r="2921" spans="1:12" x14ac:dyDescent="0.25">
      <c r="A2921">
        <v>30</v>
      </c>
      <c r="B2921" s="1">
        <v>45144</v>
      </c>
      <c r="C2921" s="1" t="str">
        <f>TEXT(Table4_2[[#This Row],[Date]],"dddd")</f>
        <v>Sunday</v>
      </c>
      <c r="D2921" s="21">
        <v>33.4</v>
      </c>
      <c r="E2921" s="21">
        <v>68</v>
      </c>
      <c r="F2921" s="21">
        <v>727</v>
      </c>
      <c r="G2921" s="21">
        <v>6.7</v>
      </c>
      <c r="H2921">
        <v>4</v>
      </c>
      <c r="I2921">
        <v>92.12</v>
      </c>
      <c r="J2921">
        <v>0.68</v>
      </c>
      <c r="K2921" t="str" cm="1">
        <f t="array" ref="K2921">_xlfn.IFS(Table4_2[[#This Row],[Growth Days]]&lt;=14,"Seedling",Table4_2[[#This Row],[Growth Days]]&lt;=35, "Vegetative",Table4_2[[#This Row],[Growth Days]]&lt;=50, "Maturity")</f>
        <v>Seedling</v>
      </c>
      <c r="L2921" t="str">
        <f>IF(Table4_2[[#This Row],[TDS Value (ppm)]]&lt;560, "Low", IF(Table4_2[[#This Row],[TDS Value (ppm)]]&lt;=800,"Optimal","High"))</f>
        <v>Optimal</v>
      </c>
    </row>
    <row r="2922" spans="1:12" x14ac:dyDescent="0.25">
      <c r="A2922">
        <v>30</v>
      </c>
      <c r="B2922" s="1">
        <v>45151</v>
      </c>
      <c r="C2922" s="1" t="str">
        <f>TEXT(Table4_2[[#This Row],[Date]],"dddd")</f>
        <v>Sunday</v>
      </c>
      <c r="D2922" s="21">
        <v>30.1</v>
      </c>
      <c r="E2922" s="21">
        <v>69</v>
      </c>
      <c r="F2922" s="21">
        <v>783</v>
      </c>
      <c r="G2922" s="21">
        <v>6.7</v>
      </c>
      <c r="H2922">
        <v>11</v>
      </c>
      <c r="I2922">
        <v>86.18</v>
      </c>
      <c r="J2922">
        <v>0.69</v>
      </c>
      <c r="K2922" t="str" cm="1">
        <f t="array" ref="K2922">_xlfn.IFS(Table4_2[[#This Row],[Growth Days]]&lt;=14,"Seedling",Table4_2[[#This Row],[Growth Days]]&lt;=35, "Vegetative",Table4_2[[#This Row],[Growth Days]]&lt;=50, "Maturity")</f>
        <v>Seedling</v>
      </c>
      <c r="L2922" t="str">
        <f>IF(Table4_2[[#This Row],[TDS Value (ppm)]]&lt;560, "Low", IF(Table4_2[[#This Row],[TDS Value (ppm)]]&lt;=800,"Optimal","High"))</f>
        <v>Optimal</v>
      </c>
    </row>
    <row r="2923" spans="1:12" x14ac:dyDescent="0.25">
      <c r="A2923">
        <v>30</v>
      </c>
      <c r="B2923" s="1">
        <v>45158</v>
      </c>
      <c r="C2923" s="1" t="str">
        <f>TEXT(Table4_2[[#This Row],[Date]],"dddd")</f>
        <v>Sunday</v>
      </c>
      <c r="D2923" s="21">
        <v>30.9</v>
      </c>
      <c r="E2923" s="21">
        <v>61</v>
      </c>
      <c r="F2923" s="21">
        <v>781</v>
      </c>
      <c r="G2923" s="21">
        <v>6.8</v>
      </c>
      <c r="H2923">
        <v>18</v>
      </c>
      <c r="I2923">
        <v>87.62</v>
      </c>
      <c r="J2923">
        <v>0.61</v>
      </c>
      <c r="K2923" t="str" cm="1">
        <f t="array" ref="K2923">_xlfn.IFS(Table4_2[[#This Row],[Growth Days]]&lt;=14,"Seedling",Table4_2[[#This Row],[Growth Days]]&lt;=35, "Vegetative",Table4_2[[#This Row],[Growth Days]]&lt;=50, "Maturity")</f>
        <v>Vegetative</v>
      </c>
      <c r="L2923" t="str">
        <f>IF(Table4_2[[#This Row],[TDS Value (ppm)]]&lt;560, "Low", IF(Table4_2[[#This Row],[TDS Value (ppm)]]&lt;=800,"Optimal","High"))</f>
        <v>Optimal</v>
      </c>
    </row>
    <row r="2924" spans="1:12" x14ac:dyDescent="0.25">
      <c r="A2924">
        <v>30</v>
      </c>
      <c r="B2924" s="1">
        <v>45165</v>
      </c>
      <c r="C2924" s="1" t="str">
        <f>TEXT(Table4_2[[#This Row],[Date]],"dddd")</f>
        <v>Sunday</v>
      </c>
      <c r="D2924" s="21">
        <v>30.1</v>
      </c>
      <c r="E2924" s="21">
        <v>75</v>
      </c>
      <c r="F2924" s="21">
        <v>574</v>
      </c>
      <c r="G2924" s="21">
        <v>6.3</v>
      </c>
      <c r="H2924">
        <v>25</v>
      </c>
      <c r="I2924">
        <v>86.18</v>
      </c>
      <c r="J2924">
        <v>0.75</v>
      </c>
      <c r="K2924" t="str" cm="1">
        <f t="array" ref="K2924">_xlfn.IFS(Table4_2[[#This Row],[Growth Days]]&lt;=14,"Seedling",Table4_2[[#This Row],[Growth Days]]&lt;=35, "Vegetative",Table4_2[[#This Row],[Growth Days]]&lt;=50, "Maturity")</f>
        <v>Vegetative</v>
      </c>
      <c r="L2924" t="str">
        <f>IF(Table4_2[[#This Row],[TDS Value (ppm)]]&lt;560, "Low", IF(Table4_2[[#This Row],[TDS Value (ppm)]]&lt;=800,"Optimal","High"))</f>
        <v>Optimal</v>
      </c>
    </row>
    <row r="2925" spans="1:12" x14ac:dyDescent="0.25">
      <c r="A2925">
        <v>30</v>
      </c>
      <c r="B2925" s="1">
        <v>45172</v>
      </c>
      <c r="C2925" s="1" t="str">
        <f>TEXT(Table4_2[[#This Row],[Date]],"dddd")</f>
        <v>Sunday</v>
      </c>
      <c r="D2925" s="21">
        <v>31.7</v>
      </c>
      <c r="E2925" s="21">
        <v>77</v>
      </c>
      <c r="F2925" s="21">
        <v>777</v>
      </c>
      <c r="G2925" s="21">
        <v>6.5</v>
      </c>
      <c r="H2925">
        <v>32</v>
      </c>
      <c r="I2925">
        <v>89.06</v>
      </c>
      <c r="J2925">
        <v>0.77</v>
      </c>
      <c r="K2925" t="str" cm="1">
        <f t="array" ref="K2925">_xlfn.IFS(Table4_2[[#This Row],[Growth Days]]&lt;=14,"Seedling",Table4_2[[#This Row],[Growth Days]]&lt;=35, "Vegetative",Table4_2[[#This Row],[Growth Days]]&lt;=50, "Maturity")</f>
        <v>Vegetative</v>
      </c>
      <c r="L2925" t="str">
        <f>IF(Table4_2[[#This Row],[TDS Value (ppm)]]&lt;560, "Low", IF(Table4_2[[#This Row],[TDS Value (ppm)]]&lt;=800,"Optimal","High"))</f>
        <v>Optimal</v>
      </c>
    </row>
    <row r="2926" spans="1:12" x14ac:dyDescent="0.25">
      <c r="A2926">
        <v>30</v>
      </c>
      <c r="B2926" s="1">
        <v>45179</v>
      </c>
      <c r="C2926" s="1" t="str">
        <f>TEXT(Table4_2[[#This Row],[Date]],"dddd")</f>
        <v>Sunday</v>
      </c>
      <c r="D2926" s="21">
        <v>31.1</v>
      </c>
      <c r="E2926" s="21">
        <v>78</v>
      </c>
      <c r="F2926" s="21">
        <v>458</v>
      </c>
      <c r="G2926" s="21">
        <v>6.5</v>
      </c>
      <c r="H2926">
        <v>39</v>
      </c>
      <c r="I2926">
        <v>87.98</v>
      </c>
      <c r="J2926">
        <v>0.78</v>
      </c>
      <c r="K2926" t="str" cm="1">
        <f t="array" ref="K2926">_xlfn.IFS(Table4_2[[#This Row],[Growth Days]]&lt;=14,"Seedling",Table4_2[[#This Row],[Growth Days]]&lt;=35, "Vegetative",Table4_2[[#This Row],[Growth Days]]&lt;=50, "Maturity")</f>
        <v>Maturity</v>
      </c>
      <c r="L2926" t="str">
        <f>IF(Table4_2[[#This Row],[TDS Value (ppm)]]&lt;560, "Low", IF(Table4_2[[#This Row],[TDS Value (ppm)]]&lt;=800,"Optimal","High"))</f>
        <v>Low</v>
      </c>
    </row>
    <row r="2927" spans="1:12" x14ac:dyDescent="0.25">
      <c r="A2927">
        <v>31</v>
      </c>
      <c r="B2927" s="1">
        <v>45144</v>
      </c>
      <c r="C2927" s="1" t="str">
        <f>TEXT(Table4_2[[#This Row],[Date]],"dddd")</f>
        <v>Sunday</v>
      </c>
      <c r="D2927" s="21">
        <v>33.4</v>
      </c>
      <c r="E2927" s="21">
        <v>65</v>
      </c>
      <c r="F2927" s="21">
        <v>506</v>
      </c>
      <c r="G2927" s="21">
        <v>6.8</v>
      </c>
      <c r="H2927">
        <v>4</v>
      </c>
      <c r="I2927">
        <v>92.12</v>
      </c>
      <c r="J2927">
        <v>0.65</v>
      </c>
      <c r="K2927" t="str" cm="1">
        <f t="array" ref="K2927">_xlfn.IFS(Table4_2[[#This Row],[Growth Days]]&lt;=14,"Seedling",Table4_2[[#This Row],[Growth Days]]&lt;=35, "Vegetative",Table4_2[[#This Row],[Growth Days]]&lt;=50, "Maturity")</f>
        <v>Seedling</v>
      </c>
      <c r="L2927" t="str">
        <f>IF(Table4_2[[#This Row],[TDS Value (ppm)]]&lt;560, "Low", IF(Table4_2[[#This Row],[TDS Value (ppm)]]&lt;=800,"Optimal","High"))</f>
        <v>Low</v>
      </c>
    </row>
    <row r="2928" spans="1:12" x14ac:dyDescent="0.25">
      <c r="A2928">
        <v>31</v>
      </c>
      <c r="B2928" s="1">
        <v>45151</v>
      </c>
      <c r="C2928" s="1" t="str">
        <f>TEXT(Table4_2[[#This Row],[Date]],"dddd")</f>
        <v>Sunday</v>
      </c>
      <c r="D2928" s="21">
        <v>30.1</v>
      </c>
      <c r="E2928" s="21">
        <v>73</v>
      </c>
      <c r="F2928" s="21">
        <v>485</v>
      </c>
      <c r="G2928" s="21">
        <v>6.1</v>
      </c>
      <c r="H2928">
        <v>11</v>
      </c>
      <c r="I2928">
        <v>86.18</v>
      </c>
      <c r="J2928">
        <v>0.73</v>
      </c>
      <c r="K2928" t="str" cm="1">
        <f t="array" ref="K2928">_xlfn.IFS(Table4_2[[#This Row],[Growth Days]]&lt;=14,"Seedling",Table4_2[[#This Row],[Growth Days]]&lt;=35, "Vegetative",Table4_2[[#This Row],[Growth Days]]&lt;=50, "Maturity")</f>
        <v>Seedling</v>
      </c>
      <c r="L2928" t="str">
        <f>IF(Table4_2[[#This Row],[TDS Value (ppm)]]&lt;560, "Low", IF(Table4_2[[#This Row],[TDS Value (ppm)]]&lt;=800,"Optimal","High"))</f>
        <v>Low</v>
      </c>
    </row>
    <row r="2929" spans="1:12" x14ac:dyDescent="0.25">
      <c r="A2929">
        <v>31</v>
      </c>
      <c r="B2929" s="1">
        <v>45158</v>
      </c>
      <c r="C2929" s="1" t="str">
        <f>TEXT(Table4_2[[#This Row],[Date]],"dddd")</f>
        <v>Sunday</v>
      </c>
      <c r="D2929" s="21">
        <v>30.9</v>
      </c>
      <c r="E2929" s="21">
        <v>59</v>
      </c>
      <c r="F2929" s="21">
        <v>488</v>
      </c>
      <c r="G2929" s="21">
        <v>6.8</v>
      </c>
      <c r="H2929">
        <v>18</v>
      </c>
      <c r="I2929">
        <v>87.62</v>
      </c>
      <c r="J2929">
        <v>0.59</v>
      </c>
      <c r="K2929" t="str" cm="1">
        <f t="array" ref="K2929">_xlfn.IFS(Table4_2[[#This Row],[Growth Days]]&lt;=14,"Seedling",Table4_2[[#This Row],[Growth Days]]&lt;=35, "Vegetative",Table4_2[[#This Row],[Growth Days]]&lt;=50, "Maturity")</f>
        <v>Vegetative</v>
      </c>
      <c r="L2929" t="str">
        <f>IF(Table4_2[[#This Row],[TDS Value (ppm)]]&lt;560, "Low", IF(Table4_2[[#This Row],[TDS Value (ppm)]]&lt;=800,"Optimal","High"))</f>
        <v>Low</v>
      </c>
    </row>
    <row r="2930" spans="1:12" x14ac:dyDescent="0.25">
      <c r="A2930">
        <v>31</v>
      </c>
      <c r="B2930" s="1">
        <v>45165</v>
      </c>
      <c r="C2930" s="1" t="str">
        <f>TEXT(Table4_2[[#This Row],[Date]],"dddd")</f>
        <v>Sunday</v>
      </c>
      <c r="D2930" s="21">
        <v>30.1</v>
      </c>
      <c r="E2930" s="21">
        <v>50</v>
      </c>
      <c r="F2930" s="21">
        <v>688</v>
      </c>
      <c r="G2930" s="21">
        <v>6.8</v>
      </c>
      <c r="H2930">
        <v>25</v>
      </c>
      <c r="I2930">
        <v>86.18</v>
      </c>
      <c r="J2930">
        <v>0.5</v>
      </c>
      <c r="K2930" t="str" cm="1">
        <f t="array" ref="K2930">_xlfn.IFS(Table4_2[[#This Row],[Growth Days]]&lt;=14,"Seedling",Table4_2[[#This Row],[Growth Days]]&lt;=35, "Vegetative",Table4_2[[#This Row],[Growth Days]]&lt;=50, "Maturity")</f>
        <v>Vegetative</v>
      </c>
      <c r="L2930" t="str">
        <f>IF(Table4_2[[#This Row],[TDS Value (ppm)]]&lt;560, "Low", IF(Table4_2[[#This Row],[TDS Value (ppm)]]&lt;=800,"Optimal","High"))</f>
        <v>Optimal</v>
      </c>
    </row>
    <row r="2931" spans="1:12" x14ac:dyDescent="0.25">
      <c r="A2931">
        <v>31</v>
      </c>
      <c r="B2931" s="1">
        <v>45172</v>
      </c>
      <c r="C2931" s="1" t="str">
        <f>TEXT(Table4_2[[#This Row],[Date]],"dddd")</f>
        <v>Sunday</v>
      </c>
      <c r="D2931" s="21">
        <v>31.7</v>
      </c>
      <c r="E2931" s="21">
        <v>60</v>
      </c>
      <c r="F2931" s="21">
        <v>628</v>
      </c>
      <c r="G2931" s="21">
        <v>6.1</v>
      </c>
      <c r="H2931">
        <v>32</v>
      </c>
      <c r="I2931">
        <v>89.06</v>
      </c>
      <c r="J2931">
        <v>0.6</v>
      </c>
      <c r="K2931" t="str" cm="1">
        <f t="array" ref="K2931">_xlfn.IFS(Table4_2[[#This Row],[Growth Days]]&lt;=14,"Seedling",Table4_2[[#This Row],[Growth Days]]&lt;=35, "Vegetative",Table4_2[[#This Row],[Growth Days]]&lt;=50, "Maturity")</f>
        <v>Vegetative</v>
      </c>
      <c r="L2931" t="str">
        <f>IF(Table4_2[[#This Row],[TDS Value (ppm)]]&lt;560, "Low", IF(Table4_2[[#This Row],[TDS Value (ppm)]]&lt;=800,"Optimal","High"))</f>
        <v>Optimal</v>
      </c>
    </row>
    <row r="2932" spans="1:12" x14ac:dyDescent="0.25">
      <c r="A2932">
        <v>31</v>
      </c>
      <c r="B2932" s="1">
        <v>45179</v>
      </c>
      <c r="C2932" s="1" t="str">
        <f>TEXT(Table4_2[[#This Row],[Date]],"dddd")</f>
        <v>Sunday</v>
      </c>
      <c r="D2932" s="21">
        <v>31.1</v>
      </c>
      <c r="E2932" s="21">
        <v>59</v>
      </c>
      <c r="F2932" s="21">
        <v>526</v>
      </c>
      <c r="G2932" s="21">
        <v>6.4</v>
      </c>
      <c r="H2932">
        <v>39</v>
      </c>
      <c r="I2932">
        <v>87.98</v>
      </c>
      <c r="J2932">
        <v>0.59</v>
      </c>
      <c r="K2932" t="str" cm="1">
        <f t="array" ref="K2932">_xlfn.IFS(Table4_2[[#This Row],[Growth Days]]&lt;=14,"Seedling",Table4_2[[#This Row],[Growth Days]]&lt;=35, "Vegetative",Table4_2[[#This Row],[Growth Days]]&lt;=50, "Maturity")</f>
        <v>Maturity</v>
      </c>
      <c r="L2932" t="str">
        <f>IF(Table4_2[[#This Row],[TDS Value (ppm)]]&lt;560, "Low", IF(Table4_2[[#This Row],[TDS Value (ppm)]]&lt;=800,"Optimal","High"))</f>
        <v>Low</v>
      </c>
    </row>
    <row r="2933" spans="1:12" x14ac:dyDescent="0.25">
      <c r="A2933">
        <v>32</v>
      </c>
      <c r="B2933" s="1">
        <v>45144</v>
      </c>
      <c r="C2933" s="1" t="str">
        <f>TEXT(Table4_2[[#This Row],[Date]],"dddd")</f>
        <v>Sunday</v>
      </c>
      <c r="D2933" s="21">
        <v>33.4</v>
      </c>
      <c r="E2933" s="21">
        <v>72</v>
      </c>
      <c r="F2933" s="21">
        <v>779</v>
      </c>
      <c r="G2933" s="21">
        <v>6.2</v>
      </c>
      <c r="H2933">
        <v>4</v>
      </c>
      <c r="I2933">
        <v>92.12</v>
      </c>
      <c r="J2933">
        <v>0.72</v>
      </c>
      <c r="K2933" t="str" cm="1">
        <f t="array" ref="K2933">_xlfn.IFS(Table4_2[[#This Row],[Growth Days]]&lt;=14,"Seedling",Table4_2[[#This Row],[Growth Days]]&lt;=35, "Vegetative",Table4_2[[#This Row],[Growth Days]]&lt;=50, "Maturity")</f>
        <v>Seedling</v>
      </c>
      <c r="L2933" t="str">
        <f>IF(Table4_2[[#This Row],[TDS Value (ppm)]]&lt;560, "Low", IF(Table4_2[[#This Row],[TDS Value (ppm)]]&lt;=800,"Optimal","High"))</f>
        <v>Optimal</v>
      </c>
    </row>
    <row r="2934" spans="1:12" x14ac:dyDescent="0.25">
      <c r="A2934">
        <v>32</v>
      </c>
      <c r="B2934" s="1">
        <v>45151</v>
      </c>
      <c r="C2934" s="1" t="str">
        <f>TEXT(Table4_2[[#This Row],[Date]],"dddd")</f>
        <v>Sunday</v>
      </c>
      <c r="D2934" s="21">
        <v>30.1</v>
      </c>
      <c r="E2934" s="21">
        <v>69</v>
      </c>
      <c r="F2934" s="21">
        <v>441</v>
      </c>
      <c r="G2934" s="21">
        <v>6.7</v>
      </c>
      <c r="H2934">
        <v>11</v>
      </c>
      <c r="I2934">
        <v>86.18</v>
      </c>
      <c r="J2934">
        <v>0.69</v>
      </c>
      <c r="K2934" t="str" cm="1">
        <f t="array" ref="K2934">_xlfn.IFS(Table4_2[[#This Row],[Growth Days]]&lt;=14,"Seedling",Table4_2[[#This Row],[Growth Days]]&lt;=35, "Vegetative",Table4_2[[#This Row],[Growth Days]]&lt;=50, "Maturity")</f>
        <v>Seedling</v>
      </c>
      <c r="L2934" t="str">
        <f>IF(Table4_2[[#This Row],[TDS Value (ppm)]]&lt;560, "Low", IF(Table4_2[[#This Row],[TDS Value (ppm)]]&lt;=800,"Optimal","High"))</f>
        <v>Low</v>
      </c>
    </row>
    <row r="2935" spans="1:12" x14ac:dyDescent="0.25">
      <c r="A2935">
        <v>32</v>
      </c>
      <c r="B2935" s="1">
        <v>45158</v>
      </c>
      <c r="C2935" s="1" t="str">
        <f>TEXT(Table4_2[[#This Row],[Date]],"dddd")</f>
        <v>Sunday</v>
      </c>
      <c r="D2935" s="21">
        <v>30.9</v>
      </c>
      <c r="E2935" s="21">
        <v>65</v>
      </c>
      <c r="F2935" s="21">
        <v>447</v>
      </c>
      <c r="G2935" s="21">
        <v>6.4</v>
      </c>
      <c r="H2935">
        <v>18</v>
      </c>
      <c r="I2935">
        <v>87.62</v>
      </c>
      <c r="J2935">
        <v>0.65</v>
      </c>
      <c r="K2935" t="str" cm="1">
        <f t="array" ref="K2935">_xlfn.IFS(Table4_2[[#This Row],[Growth Days]]&lt;=14,"Seedling",Table4_2[[#This Row],[Growth Days]]&lt;=35, "Vegetative",Table4_2[[#This Row],[Growth Days]]&lt;=50, "Maturity")</f>
        <v>Vegetative</v>
      </c>
      <c r="L2935" t="str">
        <f>IF(Table4_2[[#This Row],[TDS Value (ppm)]]&lt;560, "Low", IF(Table4_2[[#This Row],[TDS Value (ppm)]]&lt;=800,"Optimal","High"))</f>
        <v>Low</v>
      </c>
    </row>
    <row r="2936" spans="1:12" x14ac:dyDescent="0.25">
      <c r="A2936">
        <v>32</v>
      </c>
      <c r="B2936" s="1">
        <v>45165</v>
      </c>
      <c r="C2936" s="1" t="str">
        <f>TEXT(Table4_2[[#This Row],[Date]],"dddd")</f>
        <v>Sunday</v>
      </c>
      <c r="D2936" s="21">
        <v>30.1</v>
      </c>
      <c r="E2936" s="21">
        <v>69</v>
      </c>
      <c r="F2936" s="21">
        <v>750</v>
      </c>
      <c r="G2936" s="21">
        <v>6.4</v>
      </c>
      <c r="H2936">
        <v>25</v>
      </c>
      <c r="I2936">
        <v>86.18</v>
      </c>
      <c r="J2936">
        <v>0.69</v>
      </c>
      <c r="K2936" t="str" cm="1">
        <f t="array" ref="K2936">_xlfn.IFS(Table4_2[[#This Row],[Growth Days]]&lt;=14,"Seedling",Table4_2[[#This Row],[Growth Days]]&lt;=35, "Vegetative",Table4_2[[#This Row],[Growth Days]]&lt;=50, "Maturity")</f>
        <v>Vegetative</v>
      </c>
      <c r="L2936" t="str">
        <f>IF(Table4_2[[#This Row],[TDS Value (ppm)]]&lt;560, "Low", IF(Table4_2[[#This Row],[TDS Value (ppm)]]&lt;=800,"Optimal","High"))</f>
        <v>Optimal</v>
      </c>
    </row>
    <row r="2937" spans="1:12" x14ac:dyDescent="0.25">
      <c r="A2937">
        <v>32</v>
      </c>
      <c r="B2937" s="1">
        <v>45172</v>
      </c>
      <c r="C2937" s="1" t="str">
        <f>TEXT(Table4_2[[#This Row],[Date]],"dddd")</f>
        <v>Sunday</v>
      </c>
      <c r="D2937" s="21">
        <v>31.7</v>
      </c>
      <c r="E2937" s="21">
        <v>68</v>
      </c>
      <c r="F2937" s="21">
        <v>558</v>
      </c>
      <c r="G2937" s="21">
        <v>6.7</v>
      </c>
      <c r="H2937">
        <v>32</v>
      </c>
      <c r="I2937">
        <v>89.06</v>
      </c>
      <c r="J2937">
        <v>0.68</v>
      </c>
      <c r="K2937" t="str" cm="1">
        <f t="array" ref="K2937">_xlfn.IFS(Table4_2[[#This Row],[Growth Days]]&lt;=14,"Seedling",Table4_2[[#This Row],[Growth Days]]&lt;=35, "Vegetative",Table4_2[[#This Row],[Growth Days]]&lt;=50, "Maturity")</f>
        <v>Vegetative</v>
      </c>
      <c r="L2937" t="str">
        <f>IF(Table4_2[[#This Row],[TDS Value (ppm)]]&lt;560, "Low", IF(Table4_2[[#This Row],[TDS Value (ppm)]]&lt;=800,"Optimal","High"))</f>
        <v>Low</v>
      </c>
    </row>
    <row r="2938" spans="1:12" x14ac:dyDescent="0.25">
      <c r="A2938">
        <v>32</v>
      </c>
      <c r="B2938" s="1">
        <v>45179</v>
      </c>
      <c r="C2938" s="1" t="str">
        <f>TEXT(Table4_2[[#This Row],[Date]],"dddd")</f>
        <v>Sunday</v>
      </c>
      <c r="D2938" s="21">
        <v>31.1</v>
      </c>
      <c r="E2938" s="21">
        <v>80</v>
      </c>
      <c r="F2938" s="21">
        <v>458</v>
      </c>
      <c r="G2938" s="21">
        <v>6.1</v>
      </c>
      <c r="H2938">
        <v>39</v>
      </c>
      <c r="I2938">
        <v>87.98</v>
      </c>
      <c r="J2938">
        <v>0.8</v>
      </c>
      <c r="K2938" t="str" cm="1">
        <f t="array" ref="K2938">_xlfn.IFS(Table4_2[[#This Row],[Growth Days]]&lt;=14,"Seedling",Table4_2[[#This Row],[Growth Days]]&lt;=35, "Vegetative",Table4_2[[#This Row],[Growth Days]]&lt;=50, "Maturity")</f>
        <v>Maturity</v>
      </c>
      <c r="L2938" t="str">
        <f>IF(Table4_2[[#This Row],[TDS Value (ppm)]]&lt;560, "Low", IF(Table4_2[[#This Row],[TDS Value (ppm)]]&lt;=800,"Optimal","High"))</f>
        <v>Low</v>
      </c>
    </row>
    <row r="2939" spans="1:12" x14ac:dyDescent="0.25">
      <c r="A2939">
        <v>33</v>
      </c>
      <c r="B2939" s="1">
        <v>45144</v>
      </c>
      <c r="C2939" s="1" t="str">
        <f>TEXT(Table4_2[[#This Row],[Date]],"dddd")</f>
        <v>Sunday</v>
      </c>
      <c r="D2939" s="21">
        <v>33.4</v>
      </c>
      <c r="E2939" s="21">
        <v>75</v>
      </c>
      <c r="F2939" s="21">
        <v>604</v>
      </c>
      <c r="G2939" s="21">
        <v>6.4</v>
      </c>
      <c r="H2939">
        <v>4</v>
      </c>
      <c r="I2939">
        <v>92.12</v>
      </c>
      <c r="J2939">
        <v>0.75</v>
      </c>
      <c r="K2939" t="str" cm="1">
        <f t="array" ref="K2939">_xlfn.IFS(Table4_2[[#This Row],[Growth Days]]&lt;=14,"Seedling",Table4_2[[#This Row],[Growth Days]]&lt;=35, "Vegetative",Table4_2[[#This Row],[Growth Days]]&lt;=50, "Maturity")</f>
        <v>Seedling</v>
      </c>
      <c r="L2939" t="str">
        <f>IF(Table4_2[[#This Row],[TDS Value (ppm)]]&lt;560, "Low", IF(Table4_2[[#This Row],[TDS Value (ppm)]]&lt;=800,"Optimal","High"))</f>
        <v>Optimal</v>
      </c>
    </row>
    <row r="2940" spans="1:12" x14ac:dyDescent="0.25">
      <c r="A2940">
        <v>33</v>
      </c>
      <c r="B2940" s="1">
        <v>45151</v>
      </c>
      <c r="C2940" s="1" t="str">
        <f>TEXT(Table4_2[[#This Row],[Date]],"dddd")</f>
        <v>Sunday</v>
      </c>
      <c r="D2940" s="21">
        <v>30.1</v>
      </c>
      <c r="E2940" s="21">
        <v>70</v>
      </c>
      <c r="F2940" s="21">
        <v>424</v>
      </c>
      <c r="G2940" s="21">
        <v>6.8</v>
      </c>
      <c r="H2940">
        <v>11</v>
      </c>
      <c r="I2940">
        <v>86.18</v>
      </c>
      <c r="J2940">
        <v>0.7</v>
      </c>
      <c r="K2940" t="str" cm="1">
        <f t="array" ref="K2940">_xlfn.IFS(Table4_2[[#This Row],[Growth Days]]&lt;=14,"Seedling",Table4_2[[#This Row],[Growth Days]]&lt;=35, "Vegetative",Table4_2[[#This Row],[Growth Days]]&lt;=50, "Maturity")</f>
        <v>Seedling</v>
      </c>
      <c r="L2940" t="str">
        <f>IF(Table4_2[[#This Row],[TDS Value (ppm)]]&lt;560, "Low", IF(Table4_2[[#This Row],[TDS Value (ppm)]]&lt;=800,"Optimal","High"))</f>
        <v>Low</v>
      </c>
    </row>
    <row r="2941" spans="1:12" x14ac:dyDescent="0.25">
      <c r="A2941">
        <v>33</v>
      </c>
      <c r="B2941" s="1">
        <v>45158</v>
      </c>
      <c r="C2941" s="1" t="str">
        <f>TEXT(Table4_2[[#This Row],[Date]],"dddd")</f>
        <v>Sunday</v>
      </c>
      <c r="D2941" s="21">
        <v>30.9</v>
      </c>
      <c r="E2941" s="21">
        <v>62</v>
      </c>
      <c r="F2941" s="21">
        <v>609</v>
      </c>
      <c r="G2941" s="21">
        <v>6.3</v>
      </c>
      <c r="H2941">
        <v>18</v>
      </c>
      <c r="I2941">
        <v>87.62</v>
      </c>
      <c r="J2941">
        <v>0.62</v>
      </c>
      <c r="K2941" t="str" cm="1">
        <f t="array" ref="K2941">_xlfn.IFS(Table4_2[[#This Row],[Growth Days]]&lt;=14,"Seedling",Table4_2[[#This Row],[Growth Days]]&lt;=35, "Vegetative",Table4_2[[#This Row],[Growth Days]]&lt;=50, "Maturity")</f>
        <v>Vegetative</v>
      </c>
      <c r="L2941" t="str">
        <f>IF(Table4_2[[#This Row],[TDS Value (ppm)]]&lt;560, "Low", IF(Table4_2[[#This Row],[TDS Value (ppm)]]&lt;=800,"Optimal","High"))</f>
        <v>Optimal</v>
      </c>
    </row>
    <row r="2942" spans="1:12" x14ac:dyDescent="0.25">
      <c r="A2942">
        <v>33</v>
      </c>
      <c r="B2942" s="1">
        <v>45165</v>
      </c>
      <c r="C2942" s="1" t="str">
        <f>TEXT(Table4_2[[#This Row],[Date]],"dddd")</f>
        <v>Sunday</v>
      </c>
      <c r="D2942" s="21">
        <v>30.1</v>
      </c>
      <c r="E2942" s="21">
        <v>66</v>
      </c>
      <c r="F2942" s="21">
        <v>665</v>
      </c>
      <c r="G2942" s="21">
        <v>6.2</v>
      </c>
      <c r="H2942">
        <v>25</v>
      </c>
      <c r="I2942">
        <v>86.18</v>
      </c>
      <c r="J2942">
        <v>0.66</v>
      </c>
      <c r="K2942" t="str" cm="1">
        <f t="array" ref="K2942">_xlfn.IFS(Table4_2[[#This Row],[Growth Days]]&lt;=14,"Seedling",Table4_2[[#This Row],[Growth Days]]&lt;=35, "Vegetative",Table4_2[[#This Row],[Growth Days]]&lt;=50, "Maturity")</f>
        <v>Vegetative</v>
      </c>
      <c r="L2942" t="str">
        <f>IF(Table4_2[[#This Row],[TDS Value (ppm)]]&lt;560, "Low", IF(Table4_2[[#This Row],[TDS Value (ppm)]]&lt;=800,"Optimal","High"))</f>
        <v>Optimal</v>
      </c>
    </row>
    <row r="2943" spans="1:12" x14ac:dyDescent="0.25">
      <c r="A2943">
        <v>33</v>
      </c>
      <c r="B2943" s="1">
        <v>45172</v>
      </c>
      <c r="C2943" s="1" t="str">
        <f>TEXT(Table4_2[[#This Row],[Date]],"dddd")</f>
        <v>Sunday</v>
      </c>
      <c r="D2943" s="21">
        <v>31.7</v>
      </c>
      <c r="E2943" s="21">
        <v>65</v>
      </c>
      <c r="F2943" s="21">
        <v>459</v>
      </c>
      <c r="G2943" s="21">
        <v>6</v>
      </c>
      <c r="H2943">
        <v>32</v>
      </c>
      <c r="I2943">
        <v>89.06</v>
      </c>
      <c r="J2943">
        <v>0.65</v>
      </c>
      <c r="K2943" t="str" cm="1">
        <f t="array" ref="K2943">_xlfn.IFS(Table4_2[[#This Row],[Growth Days]]&lt;=14,"Seedling",Table4_2[[#This Row],[Growth Days]]&lt;=35, "Vegetative",Table4_2[[#This Row],[Growth Days]]&lt;=50, "Maturity")</f>
        <v>Vegetative</v>
      </c>
      <c r="L2943" t="str">
        <f>IF(Table4_2[[#This Row],[TDS Value (ppm)]]&lt;560, "Low", IF(Table4_2[[#This Row],[TDS Value (ppm)]]&lt;=800,"Optimal","High"))</f>
        <v>Low</v>
      </c>
    </row>
    <row r="2944" spans="1:12" x14ac:dyDescent="0.25">
      <c r="A2944">
        <v>33</v>
      </c>
      <c r="B2944" s="1">
        <v>45179</v>
      </c>
      <c r="C2944" s="1" t="str">
        <f>TEXT(Table4_2[[#This Row],[Date]],"dddd")</f>
        <v>Sunday</v>
      </c>
      <c r="D2944" s="21">
        <v>31.1</v>
      </c>
      <c r="E2944" s="21">
        <v>74</v>
      </c>
      <c r="F2944" s="21">
        <v>436</v>
      </c>
      <c r="G2944" s="21">
        <v>6.6</v>
      </c>
      <c r="H2944">
        <v>39</v>
      </c>
      <c r="I2944">
        <v>87.98</v>
      </c>
      <c r="J2944">
        <v>0.74</v>
      </c>
      <c r="K2944" t="str" cm="1">
        <f t="array" ref="K2944">_xlfn.IFS(Table4_2[[#This Row],[Growth Days]]&lt;=14,"Seedling",Table4_2[[#This Row],[Growth Days]]&lt;=35, "Vegetative",Table4_2[[#This Row],[Growth Days]]&lt;=50, "Maturity")</f>
        <v>Maturity</v>
      </c>
      <c r="L2944" t="str">
        <f>IF(Table4_2[[#This Row],[TDS Value (ppm)]]&lt;560, "Low", IF(Table4_2[[#This Row],[TDS Value (ppm)]]&lt;=800,"Optimal","High"))</f>
        <v>Low</v>
      </c>
    </row>
    <row r="2945" spans="1:12" x14ac:dyDescent="0.25">
      <c r="A2945">
        <v>34</v>
      </c>
      <c r="B2945" s="1">
        <v>45144</v>
      </c>
      <c r="C2945" s="1" t="str">
        <f>TEXT(Table4_2[[#This Row],[Date]],"dddd")</f>
        <v>Sunday</v>
      </c>
      <c r="D2945" s="21">
        <v>33.4</v>
      </c>
      <c r="E2945" s="21">
        <v>71</v>
      </c>
      <c r="F2945" s="21">
        <v>418</v>
      </c>
      <c r="G2945" s="21">
        <v>6.1</v>
      </c>
      <c r="H2945">
        <v>4</v>
      </c>
      <c r="I2945">
        <v>92.12</v>
      </c>
      <c r="J2945">
        <v>0.71</v>
      </c>
      <c r="K2945" t="str" cm="1">
        <f t="array" ref="K2945">_xlfn.IFS(Table4_2[[#This Row],[Growth Days]]&lt;=14,"Seedling",Table4_2[[#This Row],[Growth Days]]&lt;=35, "Vegetative",Table4_2[[#This Row],[Growth Days]]&lt;=50, "Maturity")</f>
        <v>Seedling</v>
      </c>
      <c r="L2945" t="str">
        <f>IF(Table4_2[[#This Row],[TDS Value (ppm)]]&lt;560, "Low", IF(Table4_2[[#This Row],[TDS Value (ppm)]]&lt;=800,"Optimal","High"))</f>
        <v>Low</v>
      </c>
    </row>
    <row r="2946" spans="1:12" x14ac:dyDescent="0.25">
      <c r="A2946">
        <v>34</v>
      </c>
      <c r="B2946" s="1">
        <v>45151</v>
      </c>
      <c r="C2946" s="1" t="str">
        <f>TEXT(Table4_2[[#This Row],[Date]],"dddd")</f>
        <v>Sunday</v>
      </c>
      <c r="D2946" s="21">
        <v>30.1</v>
      </c>
      <c r="E2946" s="21">
        <v>67</v>
      </c>
      <c r="F2946" s="21">
        <v>734</v>
      </c>
      <c r="G2946" s="21">
        <v>6.5</v>
      </c>
      <c r="H2946">
        <v>11</v>
      </c>
      <c r="I2946">
        <v>86.18</v>
      </c>
      <c r="J2946">
        <v>0.67</v>
      </c>
      <c r="K2946" t="str" cm="1">
        <f t="array" ref="K2946">_xlfn.IFS(Table4_2[[#This Row],[Growth Days]]&lt;=14,"Seedling",Table4_2[[#This Row],[Growth Days]]&lt;=35, "Vegetative",Table4_2[[#This Row],[Growth Days]]&lt;=50, "Maturity")</f>
        <v>Seedling</v>
      </c>
      <c r="L2946" t="str">
        <f>IF(Table4_2[[#This Row],[TDS Value (ppm)]]&lt;560, "Low", IF(Table4_2[[#This Row],[TDS Value (ppm)]]&lt;=800,"Optimal","High"))</f>
        <v>Optimal</v>
      </c>
    </row>
    <row r="2947" spans="1:12" x14ac:dyDescent="0.25">
      <c r="A2947">
        <v>34</v>
      </c>
      <c r="B2947" s="1">
        <v>45158</v>
      </c>
      <c r="C2947" s="1" t="str">
        <f>TEXT(Table4_2[[#This Row],[Date]],"dddd")</f>
        <v>Sunday</v>
      </c>
      <c r="D2947" s="21">
        <v>30.9</v>
      </c>
      <c r="E2947" s="21">
        <v>55</v>
      </c>
      <c r="F2947" s="21">
        <v>719</v>
      </c>
      <c r="G2947" s="21">
        <v>6.2</v>
      </c>
      <c r="H2947">
        <v>18</v>
      </c>
      <c r="I2947">
        <v>87.62</v>
      </c>
      <c r="J2947">
        <v>0.55000000000000004</v>
      </c>
      <c r="K2947" t="str" cm="1">
        <f t="array" ref="K2947">_xlfn.IFS(Table4_2[[#This Row],[Growth Days]]&lt;=14,"Seedling",Table4_2[[#This Row],[Growth Days]]&lt;=35, "Vegetative",Table4_2[[#This Row],[Growth Days]]&lt;=50, "Maturity")</f>
        <v>Vegetative</v>
      </c>
      <c r="L2947" t="str">
        <f>IF(Table4_2[[#This Row],[TDS Value (ppm)]]&lt;560, "Low", IF(Table4_2[[#This Row],[TDS Value (ppm)]]&lt;=800,"Optimal","High"))</f>
        <v>Optimal</v>
      </c>
    </row>
    <row r="2948" spans="1:12" x14ac:dyDescent="0.25">
      <c r="A2948">
        <v>34</v>
      </c>
      <c r="B2948" s="1">
        <v>45165</v>
      </c>
      <c r="C2948" s="1" t="str">
        <f>TEXT(Table4_2[[#This Row],[Date]],"dddd")</f>
        <v>Sunday</v>
      </c>
      <c r="D2948" s="21">
        <v>30.1</v>
      </c>
      <c r="E2948" s="21">
        <v>57</v>
      </c>
      <c r="F2948" s="21">
        <v>643</v>
      </c>
      <c r="G2948" s="21">
        <v>6.4</v>
      </c>
      <c r="H2948">
        <v>25</v>
      </c>
      <c r="I2948">
        <v>86.18</v>
      </c>
      <c r="J2948">
        <v>0.56999999999999995</v>
      </c>
      <c r="K2948" t="str" cm="1">
        <f t="array" ref="K2948">_xlfn.IFS(Table4_2[[#This Row],[Growth Days]]&lt;=14,"Seedling",Table4_2[[#This Row],[Growth Days]]&lt;=35, "Vegetative",Table4_2[[#This Row],[Growth Days]]&lt;=50, "Maturity")</f>
        <v>Vegetative</v>
      </c>
      <c r="L2948" t="str">
        <f>IF(Table4_2[[#This Row],[TDS Value (ppm)]]&lt;560, "Low", IF(Table4_2[[#This Row],[TDS Value (ppm)]]&lt;=800,"Optimal","High"))</f>
        <v>Optimal</v>
      </c>
    </row>
    <row r="2949" spans="1:12" x14ac:dyDescent="0.25">
      <c r="A2949">
        <v>34</v>
      </c>
      <c r="B2949" s="1">
        <v>45172</v>
      </c>
      <c r="C2949" s="1" t="str">
        <f>TEXT(Table4_2[[#This Row],[Date]],"dddd")</f>
        <v>Sunday</v>
      </c>
      <c r="D2949" s="21">
        <v>31.7</v>
      </c>
      <c r="E2949" s="21">
        <v>64</v>
      </c>
      <c r="F2949" s="21">
        <v>764</v>
      </c>
      <c r="G2949" s="21">
        <v>6.3</v>
      </c>
      <c r="H2949">
        <v>32</v>
      </c>
      <c r="I2949">
        <v>89.06</v>
      </c>
      <c r="J2949">
        <v>0.64</v>
      </c>
      <c r="K2949" t="str" cm="1">
        <f t="array" ref="K2949">_xlfn.IFS(Table4_2[[#This Row],[Growth Days]]&lt;=14,"Seedling",Table4_2[[#This Row],[Growth Days]]&lt;=35, "Vegetative",Table4_2[[#This Row],[Growth Days]]&lt;=50, "Maturity")</f>
        <v>Vegetative</v>
      </c>
      <c r="L2949" t="str">
        <f>IF(Table4_2[[#This Row],[TDS Value (ppm)]]&lt;560, "Low", IF(Table4_2[[#This Row],[TDS Value (ppm)]]&lt;=800,"Optimal","High"))</f>
        <v>Optimal</v>
      </c>
    </row>
    <row r="2950" spans="1:12" x14ac:dyDescent="0.25">
      <c r="A2950">
        <v>34</v>
      </c>
      <c r="B2950" s="1">
        <v>45179</v>
      </c>
      <c r="C2950" s="1" t="str">
        <f>TEXT(Table4_2[[#This Row],[Date]],"dddd")</f>
        <v>Sunday</v>
      </c>
      <c r="D2950" s="21">
        <v>31.1</v>
      </c>
      <c r="E2950" s="21">
        <v>66</v>
      </c>
      <c r="F2950" s="21">
        <v>789</v>
      </c>
      <c r="G2950" s="21">
        <v>6.6</v>
      </c>
      <c r="H2950">
        <v>39</v>
      </c>
      <c r="I2950">
        <v>87.98</v>
      </c>
      <c r="J2950">
        <v>0.66</v>
      </c>
      <c r="K2950" t="str" cm="1">
        <f t="array" ref="K2950">_xlfn.IFS(Table4_2[[#This Row],[Growth Days]]&lt;=14,"Seedling",Table4_2[[#This Row],[Growth Days]]&lt;=35, "Vegetative",Table4_2[[#This Row],[Growth Days]]&lt;=50, "Maturity")</f>
        <v>Maturity</v>
      </c>
      <c r="L2950" t="str">
        <f>IF(Table4_2[[#This Row],[TDS Value (ppm)]]&lt;560, "Low", IF(Table4_2[[#This Row],[TDS Value (ppm)]]&lt;=800,"Optimal","High"))</f>
        <v>Optimal</v>
      </c>
    </row>
    <row r="2951" spans="1:12" x14ac:dyDescent="0.25">
      <c r="A2951">
        <v>35</v>
      </c>
      <c r="B2951" s="1">
        <v>45144</v>
      </c>
      <c r="C2951" s="1" t="str">
        <f>TEXT(Table4_2[[#This Row],[Date]],"dddd")</f>
        <v>Sunday</v>
      </c>
      <c r="D2951" s="21">
        <v>33.4</v>
      </c>
      <c r="E2951" s="21">
        <v>51</v>
      </c>
      <c r="F2951" s="21">
        <v>754</v>
      </c>
      <c r="G2951" s="21">
        <v>6.5</v>
      </c>
      <c r="H2951">
        <v>4</v>
      </c>
      <c r="I2951">
        <v>92.12</v>
      </c>
      <c r="J2951">
        <v>0.51</v>
      </c>
      <c r="K2951" t="str" cm="1">
        <f t="array" ref="K2951">_xlfn.IFS(Table4_2[[#This Row],[Growth Days]]&lt;=14,"Seedling",Table4_2[[#This Row],[Growth Days]]&lt;=35, "Vegetative",Table4_2[[#This Row],[Growth Days]]&lt;=50, "Maturity")</f>
        <v>Seedling</v>
      </c>
      <c r="L2951" t="str">
        <f>IF(Table4_2[[#This Row],[TDS Value (ppm)]]&lt;560, "Low", IF(Table4_2[[#This Row],[TDS Value (ppm)]]&lt;=800,"Optimal","High"))</f>
        <v>Optimal</v>
      </c>
    </row>
    <row r="2952" spans="1:12" x14ac:dyDescent="0.25">
      <c r="A2952">
        <v>35</v>
      </c>
      <c r="B2952" s="1">
        <v>45151</v>
      </c>
      <c r="C2952" s="1" t="str">
        <f>TEXT(Table4_2[[#This Row],[Date]],"dddd")</f>
        <v>Sunday</v>
      </c>
      <c r="D2952" s="21">
        <v>30.1</v>
      </c>
      <c r="E2952" s="21">
        <v>72</v>
      </c>
      <c r="F2952" s="21">
        <v>752</v>
      </c>
      <c r="G2952" s="21">
        <v>6.4</v>
      </c>
      <c r="H2952">
        <v>11</v>
      </c>
      <c r="I2952">
        <v>86.18</v>
      </c>
      <c r="J2952">
        <v>0.72</v>
      </c>
      <c r="K2952" t="str" cm="1">
        <f t="array" ref="K2952">_xlfn.IFS(Table4_2[[#This Row],[Growth Days]]&lt;=14,"Seedling",Table4_2[[#This Row],[Growth Days]]&lt;=35, "Vegetative",Table4_2[[#This Row],[Growth Days]]&lt;=50, "Maturity")</f>
        <v>Seedling</v>
      </c>
      <c r="L2952" t="str">
        <f>IF(Table4_2[[#This Row],[TDS Value (ppm)]]&lt;560, "Low", IF(Table4_2[[#This Row],[TDS Value (ppm)]]&lt;=800,"Optimal","High"))</f>
        <v>Optimal</v>
      </c>
    </row>
    <row r="2953" spans="1:12" x14ac:dyDescent="0.25">
      <c r="A2953">
        <v>35</v>
      </c>
      <c r="B2953" s="1">
        <v>45158</v>
      </c>
      <c r="C2953" s="1" t="str">
        <f>TEXT(Table4_2[[#This Row],[Date]],"dddd")</f>
        <v>Sunday</v>
      </c>
      <c r="D2953" s="21">
        <v>30.9</v>
      </c>
      <c r="E2953" s="21">
        <v>69</v>
      </c>
      <c r="F2953" s="21">
        <v>604</v>
      </c>
      <c r="G2953" s="21">
        <v>6.1</v>
      </c>
      <c r="H2953">
        <v>18</v>
      </c>
      <c r="I2953">
        <v>87.62</v>
      </c>
      <c r="J2953">
        <v>0.69</v>
      </c>
      <c r="K2953" t="str" cm="1">
        <f t="array" ref="K2953">_xlfn.IFS(Table4_2[[#This Row],[Growth Days]]&lt;=14,"Seedling",Table4_2[[#This Row],[Growth Days]]&lt;=35, "Vegetative",Table4_2[[#This Row],[Growth Days]]&lt;=50, "Maturity")</f>
        <v>Vegetative</v>
      </c>
      <c r="L2953" t="str">
        <f>IF(Table4_2[[#This Row],[TDS Value (ppm)]]&lt;560, "Low", IF(Table4_2[[#This Row],[TDS Value (ppm)]]&lt;=800,"Optimal","High"))</f>
        <v>Optimal</v>
      </c>
    </row>
    <row r="2954" spans="1:12" x14ac:dyDescent="0.25">
      <c r="A2954">
        <v>35</v>
      </c>
      <c r="B2954" s="1">
        <v>45165</v>
      </c>
      <c r="C2954" s="1" t="str">
        <f>TEXT(Table4_2[[#This Row],[Date]],"dddd")</f>
        <v>Sunday</v>
      </c>
      <c r="D2954" s="21">
        <v>30.1</v>
      </c>
      <c r="E2954" s="21">
        <v>73</v>
      </c>
      <c r="F2954" s="21">
        <v>800</v>
      </c>
      <c r="G2954" s="21">
        <v>6.3</v>
      </c>
      <c r="H2954">
        <v>25</v>
      </c>
      <c r="I2954">
        <v>86.18</v>
      </c>
      <c r="J2954">
        <v>0.73</v>
      </c>
      <c r="K2954" t="str" cm="1">
        <f t="array" ref="K2954">_xlfn.IFS(Table4_2[[#This Row],[Growth Days]]&lt;=14,"Seedling",Table4_2[[#This Row],[Growth Days]]&lt;=35, "Vegetative",Table4_2[[#This Row],[Growth Days]]&lt;=50, "Maturity")</f>
        <v>Vegetative</v>
      </c>
      <c r="L2954" t="str">
        <f>IF(Table4_2[[#This Row],[TDS Value (ppm)]]&lt;560, "Low", IF(Table4_2[[#This Row],[TDS Value (ppm)]]&lt;=800,"Optimal","High"))</f>
        <v>Optimal</v>
      </c>
    </row>
    <row r="2955" spans="1:12" x14ac:dyDescent="0.25">
      <c r="A2955">
        <v>35</v>
      </c>
      <c r="B2955" s="1">
        <v>45172</v>
      </c>
      <c r="C2955" s="1" t="str">
        <f>TEXT(Table4_2[[#This Row],[Date]],"dddd")</f>
        <v>Sunday</v>
      </c>
      <c r="D2955" s="21">
        <v>31.7</v>
      </c>
      <c r="E2955" s="21">
        <v>60</v>
      </c>
      <c r="F2955" s="21">
        <v>703</v>
      </c>
      <c r="G2955" s="21">
        <v>6.4</v>
      </c>
      <c r="H2955">
        <v>32</v>
      </c>
      <c r="I2955">
        <v>89.06</v>
      </c>
      <c r="J2955">
        <v>0.6</v>
      </c>
      <c r="K2955" t="str" cm="1">
        <f t="array" ref="K2955">_xlfn.IFS(Table4_2[[#This Row],[Growth Days]]&lt;=14,"Seedling",Table4_2[[#This Row],[Growth Days]]&lt;=35, "Vegetative",Table4_2[[#This Row],[Growth Days]]&lt;=50, "Maturity")</f>
        <v>Vegetative</v>
      </c>
      <c r="L2955" t="str">
        <f>IF(Table4_2[[#This Row],[TDS Value (ppm)]]&lt;560, "Low", IF(Table4_2[[#This Row],[TDS Value (ppm)]]&lt;=800,"Optimal","High"))</f>
        <v>Optimal</v>
      </c>
    </row>
    <row r="2956" spans="1:12" x14ac:dyDescent="0.25">
      <c r="A2956">
        <v>35</v>
      </c>
      <c r="B2956" s="1">
        <v>45179</v>
      </c>
      <c r="C2956" s="1" t="str">
        <f>TEXT(Table4_2[[#This Row],[Date]],"dddd")</f>
        <v>Sunday</v>
      </c>
      <c r="D2956" s="21">
        <v>31.1</v>
      </c>
      <c r="E2956" s="21">
        <v>79</v>
      </c>
      <c r="F2956" s="21">
        <v>642</v>
      </c>
      <c r="G2956" s="21">
        <v>6</v>
      </c>
      <c r="H2956">
        <v>39</v>
      </c>
      <c r="I2956">
        <v>87.98</v>
      </c>
      <c r="J2956">
        <v>0.79</v>
      </c>
      <c r="K2956" t="str" cm="1">
        <f t="array" ref="K2956">_xlfn.IFS(Table4_2[[#This Row],[Growth Days]]&lt;=14,"Seedling",Table4_2[[#This Row],[Growth Days]]&lt;=35, "Vegetative",Table4_2[[#This Row],[Growth Days]]&lt;=50, "Maturity")</f>
        <v>Maturity</v>
      </c>
      <c r="L2956" t="str">
        <f>IF(Table4_2[[#This Row],[TDS Value (ppm)]]&lt;560, "Low", IF(Table4_2[[#This Row],[TDS Value (ppm)]]&lt;=800,"Optimal","High"))</f>
        <v>Optimal</v>
      </c>
    </row>
    <row r="2957" spans="1:12" x14ac:dyDescent="0.25">
      <c r="A2957">
        <v>36</v>
      </c>
      <c r="B2957" s="1">
        <v>45144</v>
      </c>
      <c r="C2957" s="1" t="str">
        <f>TEXT(Table4_2[[#This Row],[Date]],"dddd")</f>
        <v>Sunday</v>
      </c>
      <c r="D2957" s="21">
        <v>33.4</v>
      </c>
      <c r="E2957" s="21">
        <v>65</v>
      </c>
      <c r="F2957" s="21">
        <v>665</v>
      </c>
      <c r="G2957" s="21">
        <v>6</v>
      </c>
      <c r="H2957">
        <v>4</v>
      </c>
      <c r="I2957">
        <v>92.12</v>
      </c>
      <c r="J2957">
        <v>0.65</v>
      </c>
      <c r="K2957" t="str" cm="1">
        <f t="array" ref="K2957">_xlfn.IFS(Table4_2[[#This Row],[Growth Days]]&lt;=14,"Seedling",Table4_2[[#This Row],[Growth Days]]&lt;=35, "Vegetative",Table4_2[[#This Row],[Growth Days]]&lt;=50, "Maturity")</f>
        <v>Seedling</v>
      </c>
      <c r="L2957" t="str">
        <f>IF(Table4_2[[#This Row],[TDS Value (ppm)]]&lt;560, "Low", IF(Table4_2[[#This Row],[TDS Value (ppm)]]&lt;=800,"Optimal","High"))</f>
        <v>Optimal</v>
      </c>
    </row>
    <row r="2958" spans="1:12" x14ac:dyDescent="0.25">
      <c r="A2958">
        <v>36</v>
      </c>
      <c r="B2958" s="1">
        <v>45151</v>
      </c>
      <c r="C2958" s="1" t="str">
        <f>TEXT(Table4_2[[#This Row],[Date]],"dddd")</f>
        <v>Sunday</v>
      </c>
      <c r="D2958" s="21">
        <v>30.1</v>
      </c>
      <c r="E2958" s="21">
        <v>64</v>
      </c>
      <c r="F2958" s="21">
        <v>442</v>
      </c>
      <c r="G2958" s="21">
        <v>6.2</v>
      </c>
      <c r="H2958">
        <v>11</v>
      </c>
      <c r="I2958">
        <v>86.18</v>
      </c>
      <c r="J2958">
        <v>0.64</v>
      </c>
      <c r="K2958" t="str" cm="1">
        <f t="array" ref="K2958">_xlfn.IFS(Table4_2[[#This Row],[Growth Days]]&lt;=14,"Seedling",Table4_2[[#This Row],[Growth Days]]&lt;=35, "Vegetative",Table4_2[[#This Row],[Growth Days]]&lt;=50, "Maturity")</f>
        <v>Seedling</v>
      </c>
      <c r="L2958" t="str">
        <f>IF(Table4_2[[#This Row],[TDS Value (ppm)]]&lt;560, "Low", IF(Table4_2[[#This Row],[TDS Value (ppm)]]&lt;=800,"Optimal","High"))</f>
        <v>Low</v>
      </c>
    </row>
    <row r="2959" spans="1:12" x14ac:dyDescent="0.25">
      <c r="A2959">
        <v>36</v>
      </c>
      <c r="B2959" s="1">
        <v>45158</v>
      </c>
      <c r="C2959" s="1" t="str">
        <f>TEXT(Table4_2[[#This Row],[Date]],"dddd")</f>
        <v>Sunday</v>
      </c>
      <c r="D2959" s="21">
        <v>30.9</v>
      </c>
      <c r="E2959" s="21">
        <v>50</v>
      </c>
      <c r="F2959" s="21">
        <v>409</v>
      </c>
      <c r="G2959" s="21">
        <v>6.2</v>
      </c>
      <c r="H2959">
        <v>18</v>
      </c>
      <c r="I2959">
        <v>87.62</v>
      </c>
      <c r="J2959">
        <v>0.5</v>
      </c>
      <c r="K2959" t="str" cm="1">
        <f t="array" ref="K2959">_xlfn.IFS(Table4_2[[#This Row],[Growth Days]]&lt;=14,"Seedling",Table4_2[[#This Row],[Growth Days]]&lt;=35, "Vegetative",Table4_2[[#This Row],[Growth Days]]&lt;=50, "Maturity")</f>
        <v>Vegetative</v>
      </c>
      <c r="L2959" t="str">
        <f>IF(Table4_2[[#This Row],[TDS Value (ppm)]]&lt;560, "Low", IF(Table4_2[[#This Row],[TDS Value (ppm)]]&lt;=800,"Optimal","High"))</f>
        <v>Low</v>
      </c>
    </row>
    <row r="2960" spans="1:12" x14ac:dyDescent="0.25">
      <c r="A2960">
        <v>36</v>
      </c>
      <c r="B2960" s="1">
        <v>45165</v>
      </c>
      <c r="C2960" s="1" t="str">
        <f>TEXT(Table4_2[[#This Row],[Date]],"dddd")</f>
        <v>Sunday</v>
      </c>
      <c r="D2960" s="21">
        <v>30.1</v>
      </c>
      <c r="E2960" s="21">
        <v>55</v>
      </c>
      <c r="F2960" s="21">
        <v>408</v>
      </c>
      <c r="G2960" s="21">
        <v>6.1</v>
      </c>
      <c r="H2960">
        <v>25</v>
      </c>
      <c r="I2960">
        <v>86.18</v>
      </c>
      <c r="J2960">
        <v>0.55000000000000004</v>
      </c>
      <c r="K2960" t="str" cm="1">
        <f t="array" ref="K2960">_xlfn.IFS(Table4_2[[#This Row],[Growth Days]]&lt;=14,"Seedling",Table4_2[[#This Row],[Growth Days]]&lt;=35, "Vegetative",Table4_2[[#This Row],[Growth Days]]&lt;=50, "Maturity")</f>
        <v>Vegetative</v>
      </c>
      <c r="L2960" t="str">
        <f>IF(Table4_2[[#This Row],[TDS Value (ppm)]]&lt;560, "Low", IF(Table4_2[[#This Row],[TDS Value (ppm)]]&lt;=800,"Optimal","High"))</f>
        <v>Low</v>
      </c>
    </row>
    <row r="2961" spans="1:12" x14ac:dyDescent="0.25">
      <c r="A2961">
        <v>36</v>
      </c>
      <c r="B2961" s="1">
        <v>45172</v>
      </c>
      <c r="C2961" s="1" t="str">
        <f>TEXT(Table4_2[[#This Row],[Date]],"dddd")</f>
        <v>Sunday</v>
      </c>
      <c r="D2961" s="21">
        <v>31.7</v>
      </c>
      <c r="E2961" s="21">
        <v>57</v>
      </c>
      <c r="F2961" s="21">
        <v>522</v>
      </c>
      <c r="G2961" s="21">
        <v>6.6</v>
      </c>
      <c r="H2961">
        <v>32</v>
      </c>
      <c r="I2961">
        <v>89.06</v>
      </c>
      <c r="J2961">
        <v>0.56999999999999995</v>
      </c>
      <c r="K2961" t="str" cm="1">
        <f t="array" ref="K2961">_xlfn.IFS(Table4_2[[#This Row],[Growth Days]]&lt;=14,"Seedling",Table4_2[[#This Row],[Growth Days]]&lt;=35, "Vegetative",Table4_2[[#This Row],[Growth Days]]&lt;=50, "Maturity")</f>
        <v>Vegetative</v>
      </c>
      <c r="L2961" t="str">
        <f>IF(Table4_2[[#This Row],[TDS Value (ppm)]]&lt;560, "Low", IF(Table4_2[[#This Row],[TDS Value (ppm)]]&lt;=800,"Optimal","High"))</f>
        <v>Low</v>
      </c>
    </row>
    <row r="2962" spans="1:12" x14ac:dyDescent="0.25">
      <c r="A2962">
        <v>36</v>
      </c>
      <c r="B2962" s="1">
        <v>45179</v>
      </c>
      <c r="C2962" s="1" t="str">
        <f>TEXT(Table4_2[[#This Row],[Date]],"dddd")</f>
        <v>Sunday</v>
      </c>
      <c r="D2962" s="21">
        <v>31.1</v>
      </c>
      <c r="E2962" s="21">
        <v>75</v>
      </c>
      <c r="F2962" s="21">
        <v>453</v>
      </c>
      <c r="G2962" s="21">
        <v>6.4</v>
      </c>
      <c r="H2962">
        <v>39</v>
      </c>
      <c r="I2962">
        <v>87.98</v>
      </c>
      <c r="J2962">
        <v>0.75</v>
      </c>
      <c r="K2962" t="str" cm="1">
        <f t="array" ref="K2962">_xlfn.IFS(Table4_2[[#This Row],[Growth Days]]&lt;=14,"Seedling",Table4_2[[#This Row],[Growth Days]]&lt;=35, "Vegetative",Table4_2[[#This Row],[Growth Days]]&lt;=50, "Maturity")</f>
        <v>Maturity</v>
      </c>
      <c r="L2962" t="str">
        <f>IF(Table4_2[[#This Row],[TDS Value (ppm)]]&lt;560, "Low", IF(Table4_2[[#This Row],[TDS Value (ppm)]]&lt;=800,"Optimal","High"))</f>
        <v>Low</v>
      </c>
    </row>
    <row r="2963" spans="1:12" x14ac:dyDescent="0.25">
      <c r="A2963">
        <v>37</v>
      </c>
      <c r="B2963" s="1">
        <v>45144</v>
      </c>
      <c r="C2963" s="1" t="str">
        <f>TEXT(Table4_2[[#This Row],[Date]],"dddd")</f>
        <v>Sunday</v>
      </c>
      <c r="D2963" s="21">
        <v>33.4</v>
      </c>
      <c r="E2963" s="21">
        <v>62</v>
      </c>
      <c r="F2963" s="21">
        <v>661</v>
      </c>
      <c r="G2963" s="21">
        <v>6.2</v>
      </c>
      <c r="H2963">
        <v>4</v>
      </c>
      <c r="I2963">
        <v>92.12</v>
      </c>
      <c r="J2963">
        <v>0.62</v>
      </c>
      <c r="K2963" t="str" cm="1">
        <f t="array" ref="K2963">_xlfn.IFS(Table4_2[[#This Row],[Growth Days]]&lt;=14,"Seedling",Table4_2[[#This Row],[Growth Days]]&lt;=35, "Vegetative",Table4_2[[#This Row],[Growth Days]]&lt;=50, "Maturity")</f>
        <v>Seedling</v>
      </c>
      <c r="L2963" t="str">
        <f>IF(Table4_2[[#This Row],[TDS Value (ppm)]]&lt;560, "Low", IF(Table4_2[[#This Row],[TDS Value (ppm)]]&lt;=800,"Optimal","High"))</f>
        <v>Optimal</v>
      </c>
    </row>
    <row r="2964" spans="1:12" x14ac:dyDescent="0.25">
      <c r="A2964">
        <v>37</v>
      </c>
      <c r="B2964" s="1">
        <v>45151</v>
      </c>
      <c r="C2964" s="1" t="str">
        <f>TEXT(Table4_2[[#This Row],[Date]],"dddd")</f>
        <v>Sunday</v>
      </c>
      <c r="D2964" s="21">
        <v>30.1</v>
      </c>
      <c r="E2964" s="21">
        <v>80</v>
      </c>
      <c r="F2964" s="21">
        <v>543</v>
      </c>
      <c r="G2964" s="21">
        <v>6.5</v>
      </c>
      <c r="H2964">
        <v>11</v>
      </c>
      <c r="I2964">
        <v>86.18</v>
      </c>
      <c r="J2964">
        <v>0.8</v>
      </c>
      <c r="K2964" t="str" cm="1">
        <f t="array" ref="K2964">_xlfn.IFS(Table4_2[[#This Row],[Growth Days]]&lt;=14,"Seedling",Table4_2[[#This Row],[Growth Days]]&lt;=35, "Vegetative",Table4_2[[#This Row],[Growth Days]]&lt;=50, "Maturity")</f>
        <v>Seedling</v>
      </c>
      <c r="L2964" t="str">
        <f>IF(Table4_2[[#This Row],[TDS Value (ppm)]]&lt;560, "Low", IF(Table4_2[[#This Row],[TDS Value (ppm)]]&lt;=800,"Optimal","High"))</f>
        <v>Low</v>
      </c>
    </row>
    <row r="2965" spans="1:12" x14ac:dyDescent="0.25">
      <c r="A2965">
        <v>37</v>
      </c>
      <c r="B2965" s="1">
        <v>45158</v>
      </c>
      <c r="C2965" s="1" t="str">
        <f>TEXT(Table4_2[[#This Row],[Date]],"dddd")</f>
        <v>Sunday</v>
      </c>
      <c r="D2965" s="21">
        <v>30.9</v>
      </c>
      <c r="E2965" s="21">
        <v>75</v>
      </c>
      <c r="F2965" s="21">
        <v>798</v>
      </c>
      <c r="G2965" s="21">
        <v>6.6</v>
      </c>
      <c r="H2965">
        <v>18</v>
      </c>
      <c r="I2965">
        <v>87.62</v>
      </c>
      <c r="J2965">
        <v>0.75</v>
      </c>
      <c r="K2965" t="str" cm="1">
        <f t="array" ref="K2965">_xlfn.IFS(Table4_2[[#This Row],[Growth Days]]&lt;=14,"Seedling",Table4_2[[#This Row],[Growth Days]]&lt;=35, "Vegetative",Table4_2[[#This Row],[Growth Days]]&lt;=50, "Maturity")</f>
        <v>Vegetative</v>
      </c>
      <c r="L2965" t="str">
        <f>IF(Table4_2[[#This Row],[TDS Value (ppm)]]&lt;560, "Low", IF(Table4_2[[#This Row],[TDS Value (ppm)]]&lt;=800,"Optimal","High"))</f>
        <v>Optimal</v>
      </c>
    </row>
    <row r="2966" spans="1:12" x14ac:dyDescent="0.25">
      <c r="A2966">
        <v>37</v>
      </c>
      <c r="B2966" s="1">
        <v>45165</v>
      </c>
      <c r="C2966" s="1" t="str">
        <f>TEXT(Table4_2[[#This Row],[Date]],"dddd")</f>
        <v>Sunday</v>
      </c>
      <c r="D2966" s="21">
        <v>30.1</v>
      </c>
      <c r="E2966" s="21">
        <v>71</v>
      </c>
      <c r="F2966" s="21">
        <v>743</v>
      </c>
      <c r="G2966" s="21">
        <v>6.6</v>
      </c>
      <c r="H2966">
        <v>25</v>
      </c>
      <c r="I2966">
        <v>86.18</v>
      </c>
      <c r="J2966">
        <v>0.71</v>
      </c>
      <c r="K2966" t="str" cm="1">
        <f t="array" ref="K2966">_xlfn.IFS(Table4_2[[#This Row],[Growth Days]]&lt;=14,"Seedling",Table4_2[[#This Row],[Growth Days]]&lt;=35, "Vegetative",Table4_2[[#This Row],[Growth Days]]&lt;=50, "Maturity")</f>
        <v>Vegetative</v>
      </c>
      <c r="L2966" t="str">
        <f>IF(Table4_2[[#This Row],[TDS Value (ppm)]]&lt;560, "Low", IF(Table4_2[[#This Row],[TDS Value (ppm)]]&lt;=800,"Optimal","High"))</f>
        <v>Optimal</v>
      </c>
    </row>
    <row r="2967" spans="1:12" x14ac:dyDescent="0.25">
      <c r="A2967">
        <v>37</v>
      </c>
      <c r="B2967" s="1">
        <v>45172</v>
      </c>
      <c r="C2967" s="1" t="str">
        <f>TEXT(Table4_2[[#This Row],[Date]],"dddd")</f>
        <v>Sunday</v>
      </c>
      <c r="D2967" s="21">
        <v>31.7</v>
      </c>
      <c r="E2967" s="21">
        <v>79</v>
      </c>
      <c r="F2967" s="21">
        <v>412</v>
      </c>
      <c r="G2967" s="21">
        <v>6.7</v>
      </c>
      <c r="H2967">
        <v>32</v>
      </c>
      <c r="I2967">
        <v>89.06</v>
      </c>
      <c r="J2967">
        <v>0.79</v>
      </c>
      <c r="K2967" t="str" cm="1">
        <f t="array" ref="K2967">_xlfn.IFS(Table4_2[[#This Row],[Growth Days]]&lt;=14,"Seedling",Table4_2[[#This Row],[Growth Days]]&lt;=35, "Vegetative",Table4_2[[#This Row],[Growth Days]]&lt;=50, "Maturity")</f>
        <v>Vegetative</v>
      </c>
      <c r="L2967" t="str">
        <f>IF(Table4_2[[#This Row],[TDS Value (ppm)]]&lt;560, "Low", IF(Table4_2[[#This Row],[TDS Value (ppm)]]&lt;=800,"Optimal","High"))</f>
        <v>Low</v>
      </c>
    </row>
    <row r="2968" spans="1:12" x14ac:dyDescent="0.25">
      <c r="A2968">
        <v>37</v>
      </c>
      <c r="B2968" s="1">
        <v>45179</v>
      </c>
      <c r="C2968" s="1" t="str">
        <f>TEXT(Table4_2[[#This Row],[Date]],"dddd")</f>
        <v>Sunday</v>
      </c>
      <c r="D2968" s="21">
        <v>31.1</v>
      </c>
      <c r="E2968" s="21">
        <v>60</v>
      </c>
      <c r="F2968" s="21">
        <v>773</v>
      </c>
      <c r="G2968" s="21">
        <v>6.2</v>
      </c>
      <c r="H2968">
        <v>39</v>
      </c>
      <c r="I2968">
        <v>87.98</v>
      </c>
      <c r="J2968">
        <v>0.6</v>
      </c>
      <c r="K2968" t="str" cm="1">
        <f t="array" ref="K2968">_xlfn.IFS(Table4_2[[#This Row],[Growth Days]]&lt;=14,"Seedling",Table4_2[[#This Row],[Growth Days]]&lt;=35, "Vegetative",Table4_2[[#This Row],[Growth Days]]&lt;=50, "Maturity")</f>
        <v>Maturity</v>
      </c>
      <c r="L2968" t="str">
        <f>IF(Table4_2[[#This Row],[TDS Value (ppm)]]&lt;560, "Low", IF(Table4_2[[#This Row],[TDS Value (ppm)]]&lt;=800,"Optimal","High"))</f>
        <v>Optimal</v>
      </c>
    </row>
    <row r="2969" spans="1:12" x14ac:dyDescent="0.25">
      <c r="A2969">
        <v>38</v>
      </c>
      <c r="B2969" s="1">
        <v>45144</v>
      </c>
      <c r="C2969" s="1" t="str">
        <f>TEXT(Table4_2[[#This Row],[Date]],"dddd")</f>
        <v>Sunday</v>
      </c>
      <c r="D2969" s="21">
        <v>33.4</v>
      </c>
      <c r="E2969" s="21">
        <v>77</v>
      </c>
      <c r="F2969" s="21">
        <v>557</v>
      </c>
      <c r="G2969" s="21">
        <v>6</v>
      </c>
      <c r="H2969">
        <v>4</v>
      </c>
      <c r="I2969">
        <v>92.12</v>
      </c>
      <c r="J2969">
        <v>0.77</v>
      </c>
      <c r="K2969" t="str" cm="1">
        <f t="array" ref="K2969">_xlfn.IFS(Table4_2[[#This Row],[Growth Days]]&lt;=14,"Seedling",Table4_2[[#This Row],[Growth Days]]&lt;=35, "Vegetative",Table4_2[[#This Row],[Growth Days]]&lt;=50, "Maturity")</f>
        <v>Seedling</v>
      </c>
      <c r="L2969" t="str">
        <f>IF(Table4_2[[#This Row],[TDS Value (ppm)]]&lt;560, "Low", IF(Table4_2[[#This Row],[TDS Value (ppm)]]&lt;=800,"Optimal","High"))</f>
        <v>Low</v>
      </c>
    </row>
    <row r="2970" spans="1:12" x14ac:dyDescent="0.25">
      <c r="A2970">
        <v>38</v>
      </c>
      <c r="B2970" s="1">
        <v>45151</v>
      </c>
      <c r="C2970" s="1" t="str">
        <f>TEXT(Table4_2[[#This Row],[Date]],"dddd")</f>
        <v>Sunday</v>
      </c>
      <c r="D2970" s="21">
        <v>30.1</v>
      </c>
      <c r="E2970" s="21">
        <v>55</v>
      </c>
      <c r="F2970" s="21">
        <v>577</v>
      </c>
      <c r="G2970" s="21">
        <v>6.6</v>
      </c>
      <c r="H2970">
        <v>11</v>
      </c>
      <c r="I2970">
        <v>86.18</v>
      </c>
      <c r="J2970">
        <v>0.55000000000000004</v>
      </c>
      <c r="K2970" t="str" cm="1">
        <f t="array" ref="K2970">_xlfn.IFS(Table4_2[[#This Row],[Growth Days]]&lt;=14,"Seedling",Table4_2[[#This Row],[Growth Days]]&lt;=35, "Vegetative",Table4_2[[#This Row],[Growth Days]]&lt;=50, "Maturity")</f>
        <v>Seedling</v>
      </c>
      <c r="L2970" t="str">
        <f>IF(Table4_2[[#This Row],[TDS Value (ppm)]]&lt;560, "Low", IF(Table4_2[[#This Row],[TDS Value (ppm)]]&lt;=800,"Optimal","High"))</f>
        <v>Optimal</v>
      </c>
    </row>
    <row r="2971" spans="1:12" x14ac:dyDescent="0.25">
      <c r="A2971">
        <v>38</v>
      </c>
      <c r="B2971" s="1">
        <v>45158</v>
      </c>
      <c r="C2971" s="1" t="str">
        <f>TEXT(Table4_2[[#This Row],[Date]],"dddd")</f>
        <v>Sunday</v>
      </c>
      <c r="D2971" s="21">
        <v>30.9</v>
      </c>
      <c r="E2971" s="21">
        <v>73</v>
      </c>
      <c r="F2971" s="21">
        <v>600</v>
      </c>
      <c r="G2971" s="21">
        <v>6.3</v>
      </c>
      <c r="H2971">
        <v>18</v>
      </c>
      <c r="I2971">
        <v>87.62</v>
      </c>
      <c r="J2971">
        <v>0.73</v>
      </c>
      <c r="K2971" t="str" cm="1">
        <f t="array" ref="K2971">_xlfn.IFS(Table4_2[[#This Row],[Growth Days]]&lt;=14,"Seedling",Table4_2[[#This Row],[Growth Days]]&lt;=35, "Vegetative",Table4_2[[#This Row],[Growth Days]]&lt;=50, "Maturity")</f>
        <v>Vegetative</v>
      </c>
      <c r="L2971" t="str">
        <f>IF(Table4_2[[#This Row],[TDS Value (ppm)]]&lt;560, "Low", IF(Table4_2[[#This Row],[TDS Value (ppm)]]&lt;=800,"Optimal","High"))</f>
        <v>Optimal</v>
      </c>
    </row>
    <row r="2972" spans="1:12" x14ac:dyDescent="0.25">
      <c r="A2972">
        <v>38</v>
      </c>
      <c r="B2972" s="1">
        <v>45165</v>
      </c>
      <c r="C2972" s="1" t="str">
        <f>TEXT(Table4_2[[#This Row],[Date]],"dddd")</f>
        <v>Sunday</v>
      </c>
      <c r="D2972" s="21">
        <v>30.1</v>
      </c>
      <c r="E2972" s="21">
        <v>79</v>
      </c>
      <c r="F2972" s="21">
        <v>548</v>
      </c>
      <c r="G2972" s="21">
        <v>6.3</v>
      </c>
      <c r="H2972">
        <v>25</v>
      </c>
      <c r="I2972">
        <v>86.18</v>
      </c>
      <c r="J2972">
        <v>0.79</v>
      </c>
      <c r="K2972" t="str" cm="1">
        <f t="array" ref="K2972">_xlfn.IFS(Table4_2[[#This Row],[Growth Days]]&lt;=14,"Seedling",Table4_2[[#This Row],[Growth Days]]&lt;=35, "Vegetative",Table4_2[[#This Row],[Growth Days]]&lt;=50, "Maturity")</f>
        <v>Vegetative</v>
      </c>
      <c r="L2972" t="str">
        <f>IF(Table4_2[[#This Row],[TDS Value (ppm)]]&lt;560, "Low", IF(Table4_2[[#This Row],[TDS Value (ppm)]]&lt;=800,"Optimal","High"))</f>
        <v>Low</v>
      </c>
    </row>
    <row r="2973" spans="1:12" x14ac:dyDescent="0.25">
      <c r="A2973">
        <v>38</v>
      </c>
      <c r="B2973" s="1">
        <v>45172</v>
      </c>
      <c r="C2973" s="1" t="str">
        <f>TEXT(Table4_2[[#This Row],[Date]],"dddd")</f>
        <v>Sunday</v>
      </c>
      <c r="D2973" s="21">
        <v>31.7</v>
      </c>
      <c r="E2973" s="21">
        <v>74</v>
      </c>
      <c r="F2973" s="21">
        <v>615</v>
      </c>
      <c r="G2973" s="21">
        <v>6.7</v>
      </c>
      <c r="H2973">
        <v>32</v>
      </c>
      <c r="I2973">
        <v>89.06</v>
      </c>
      <c r="J2973">
        <v>0.74</v>
      </c>
      <c r="K2973" t="str" cm="1">
        <f t="array" ref="K2973">_xlfn.IFS(Table4_2[[#This Row],[Growth Days]]&lt;=14,"Seedling",Table4_2[[#This Row],[Growth Days]]&lt;=35, "Vegetative",Table4_2[[#This Row],[Growth Days]]&lt;=50, "Maturity")</f>
        <v>Vegetative</v>
      </c>
      <c r="L2973" t="str">
        <f>IF(Table4_2[[#This Row],[TDS Value (ppm)]]&lt;560, "Low", IF(Table4_2[[#This Row],[TDS Value (ppm)]]&lt;=800,"Optimal","High"))</f>
        <v>Optimal</v>
      </c>
    </row>
    <row r="2974" spans="1:12" x14ac:dyDescent="0.25">
      <c r="A2974">
        <v>38</v>
      </c>
      <c r="B2974" s="1">
        <v>45179</v>
      </c>
      <c r="C2974" s="1" t="str">
        <f>TEXT(Table4_2[[#This Row],[Date]],"dddd")</f>
        <v>Sunday</v>
      </c>
      <c r="D2974" s="21">
        <v>31.1</v>
      </c>
      <c r="E2974" s="21">
        <v>52</v>
      </c>
      <c r="F2974" s="21">
        <v>548</v>
      </c>
      <c r="G2974" s="21">
        <v>6.6</v>
      </c>
      <c r="H2974">
        <v>39</v>
      </c>
      <c r="I2974">
        <v>87.98</v>
      </c>
      <c r="J2974">
        <v>0.52</v>
      </c>
      <c r="K2974" t="str" cm="1">
        <f t="array" ref="K2974">_xlfn.IFS(Table4_2[[#This Row],[Growth Days]]&lt;=14,"Seedling",Table4_2[[#This Row],[Growth Days]]&lt;=35, "Vegetative",Table4_2[[#This Row],[Growth Days]]&lt;=50, "Maturity")</f>
        <v>Maturity</v>
      </c>
      <c r="L2974" t="str">
        <f>IF(Table4_2[[#This Row],[TDS Value (ppm)]]&lt;560, "Low", IF(Table4_2[[#This Row],[TDS Value (ppm)]]&lt;=800,"Optimal","High"))</f>
        <v>Low</v>
      </c>
    </row>
    <row r="2975" spans="1:12" x14ac:dyDescent="0.25">
      <c r="A2975">
        <v>39</v>
      </c>
      <c r="B2975" s="1">
        <v>45144</v>
      </c>
      <c r="C2975" s="1" t="str">
        <f>TEXT(Table4_2[[#This Row],[Date]],"dddd")</f>
        <v>Sunday</v>
      </c>
      <c r="D2975" s="21">
        <v>33.4</v>
      </c>
      <c r="E2975" s="21">
        <v>74</v>
      </c>
      <c r="F2975" s="21">
        <v>564</v>
      </c>
      <c r="G2975" s="21">
        <v>6.4</v>
      </c>
      <c r="H2975">
        <v>4</v>
      </c>
      <c r="I2975">
        <v>92.12</v>
      </c>
      <c r="J2975">
        <v>0.74</v>
      </c>
      <c r="K2975" t="str" cm="1">
        <f t="array" ref="K2975">_xlfn.IFS(Table4_2[[#This Row],[Growth Days]]&lt;=14,"Seedling",Table4_2[[#This Row],[Growth Days]]&lt;=35, "Vegetative",Table4_2[[#This Row],[Growth Days]]&lt;=50, "Maturity")</f>
        <v>Seedling</v>
      </c>
      <c r="L2975" t="str">
        <f>IF(Table4_2[[#This Row],[TDS Value (ppm)]]&lt;560, "Low", IF(Table4_2[[#This Row],[TDS Value (ppm)]]&lt;=800,"Optimal","High"))</f>
        <v>Optimal</v>
      </c>
    </row>
    <row r="2976" spans="1:12" x14ac:dyDescent="0.25">
      <c r="A2976">
        <v>39</v>
      </c>
      <c r="B2976" s="1">
        <v>45151</v>
      </c>
      <c r="C2976" s="1" t="str">
        <f>TEXT(Table4_2[[#This Row],[Date]],"dddd")</f>
        <v>Sunday</v>
      </c>
      <c r="D2976" s="21">
        <v>30.1</v>
      </c>
      <c r="E2976" s="21">
        <v>74</v>
      </c>
      <c r="F2976" s="21">
        <v>646</v>
      </c>
      <c r="G2976" s="21">
        <v>6.7</v>
      </c>
      <c r="H2976">
        <v>11</v>
      </c>
      <c r="I2976">
        <v>86.18</v>
      </c>
      <c r="J2976">
        <v>0.74</v>
      </c>
      <c r="K2976" t="str" cm="1">
        <f t="array" ref="K2976">_xlfn.IFS(Table4_2[[#This Row],[Growth Days]]&lt;=14,"Seedling",Table4_2[[#This Row],[Growth Days]]&lt;=35, "Vegetative",Table4_2[[#This Row],[Growth Days]]&lt;=50, "Maturity")</f>
        <v>Seedling</v>
      </c>
      <c r="L2976" t="str">
        <f>IF(Table4_2[[#This Row],[TDS Value (ppm)]]&lt;560, "Low", IF(Table4_2[[#This Row],[TDS Value (ppm)]]&lt;=800,"Optimal","High"))</f>
        <v>Optimal</v>
      </c>
    </row>
    <row r="2977" spans="1:12" x14ac:dyDescent="0.25">
      <c r="A2977">
        <v>39</v>
      </c>
      <c r="B2977" s="1">
        <v>45158</v>
      </c>
      <c r="C2977" s="1" t="str">
        <f>TEXT(Table4_2[[#This Row],[Date]],"dddd")</f>
        <v>Sunday</v>
      </c>
      <c r="D2977" s="21">
        <v>30.9</v>
      </c>
      <c r="E2977" s="21">
        <v>66</v>
      </c>
      <c r="F2977" s="21">
        <v>708</v>
      </c>
      <c r="G2977" s="21">
        <v>6.2</v>
      </c>
      <c r="H2977">
        <v>18</v>
      </c>
      <c r="I2977">
        <v>87.62</v>
      </c>
      <c r="J2977">
        <v>0.66</v>
      </c>
      <c r="K2977" t="str" cm="1">
        <f t="array" ref="K2977">_xlfn.IFS(Table4_2[[#This Row],[Growth Days]]&lt;=14,"Seedling",Table4_2[[#This Row],[Growth Days]]&lt;=35, "Vegetative",Table4_2[[#This Row],[Growth Days]]&lt;=50, "Maturity")</f>
        <v>Vegetative</v>
      </c>
      <c r="L2977" t="str">
        <f>IF(Table4_2[[#This Row],[TDS Value (ppm)]]&lt;560, "Low", IF(Table4_2[[#This Row],[TDS Value (ppm)]]&lt;=800,"Optimal","High"))</f>
        <v>Optimal</v>
      </c>
    </row>
    <row r="2978" spans="1:12" x14ac:dyDescent="0.25">
      <c r="A2978">
        <v>39</v>
      </c>
      <c r="B2978" s="1">
        <v>45165</v>
      </c>
      <c r="C2978" s="1" t="str">
        <f>TEXT(Table4_2[[#This Row],[Date]],"dddd")</f>
        <v>Sunday</v>
      </c>
      <c r="D2978" s="21">
        <v>30.1</v>
      </c>
      <c r="E2978" s="21">
        <v>74</v>
      </c>
      <c r="F2978" s="21">
        <v>463</v>
      </c>
      <c r="G2978" s="21">
        <v>6</v>
      </c>
      <c r="H2978">
        <v>25</v>
      </c>
      <c r="I2978">
        <v>86.18</v>
      </c>
      <c r="J2978">
        <v>0.74</v>
      </c>
      <c r="K2978" t="str" cm="1">
        <f t="array" ref="K2978">_xlfn.IFS(Table4_2[[#This Row],[Growth Days]]&lt;=14,"Seedling",Table4_2[[#This Row],[Growth Days]]&lt;=35, "Vegetative",Table4_2[[#This Row],[Growth Days]]&lt;=50, "Maturity")</f>
        <v>Vegetative</v>
      </c>
      <c r="L2978" t="str">
        <f>IF(Table4_2[[#This Row],[TDS Value (ppm)]]&lt;560, "Low", IF(Table4_2[[#This Row],[TDS Value (ppm)]]&lt;=800,"Optimal","High"))</f>
        <v>Low</v>
      </c>
    </row>
    <row r="2979" spans="1:12" x14ac:dyDescent="0.25">
      <c r="A2979">
        <v>39</v>
      </c>
      <c r="B2979" s="1">
        <v>45172</v>
      </c>
      <c r="C2979" s="1" t="str">
        <f>TEXT(Table4_2[[#This Row],[Date]],"dddd")</f>
        <v>Sunday</v>
      </c>
      <c r="D2979" s="21">
        <v>31.7</v>
      </c>
      <c r="E2979" s="21">
        <v>57</v>
      </c>
      <c r="F2979" s="21">
        <v>486</v>
      </c>
      <c r="G2979" s="21">
        <v>6.1</v>
      </c>
      <c r="H2979">
        <v>32</v>
      </c>
      <c r="I2979">
        <v>89.06</v>
      </c>
      <c r="J2979">
        <v>0.56999999999999995</v>
      </c>
      <c r="K2979" t="str" cm="1">
        <f t="array" ref="K2979">_xlfn.IFS(Table4_2[[#This Row],[Growth Days]]&lt;=14,"Seedling",Table4_2[[#This Row],[Growth Days]]&lt;=35, "Vegetative",Table4_2[[#This Row],[Growth Days]]&lt;=50, "Maturity")</f>
        <v>Vegetative</v>
      </c>
      <c r="L2979" t="str">
        <f>IF(Table4_2[[#This Row],[TDS Value (ppm)]]&lt;560, "Low", IF(Table4_2[[#This Row],[TDS Value (ppm)]]&lt;=800,"Optimal","High"))</f>
        <v>Low</v>
      </c>
    </row>
    <row r="2980" spans="1:12" x14ac:dyDescent="0.25">
      <c r="A2980">
        <v>39</v>
      </c>
      <c r="B2980" s="1">
        <v>45179</v>
      </c>
      <c r="C2980" s="1" t="str">
        <f>TEXT(Table4_2[[#This Row],[Date]],"dddd")</f>
        <v>Sunday</v>
      </c>
      <c r="D2980" s="21">
        <v>31.1</v>
      </c>
      <c r="E2980" s="21">
        <v>53</v>
      </c>
      <c r="F2980" s="21">
        <v>697</v>
      </c>
      <c r="G2980" s="21">
        <v>6.2</v>
      </c>
      <c r="H2980">
        <v>39</v>
      </c>
      <c r="I2980">
        <v>87.98</v>
      </c>
      <c r="J2980">
        <v>0.53</v>
      </c>
      <c r="K2980" t="str" cm="1">
        <f t="array" ref="K2980">_xlfn.IFS(Table4_2[[#This Row],[Growth Days]]&lt;=14,"Seedling",Table4_2[[#This Row],[Growth Days]]&lt;=35, "Vegetative",Table4_2[[#This Row],[Growth Days]]&lt;=50, "Maturity")</f>
        <v>Maturity</v>
      </c>
      <c r="L2980" t="str">
        <f>IF(Table4_2[[#This Row],[TDS Value (ppm)]]&lt;560, "Low", IF(Table4_2[[#This Row],[TDS Value (ppm)]]&lt;=800,"Optimal","High"))</f>
        <v>Optimal</v>
      </c>
    </row>
    <row r="2981" spans="1:12" x14ac:dyDescent="0.25">
      <c r="A2981">
        <v>40</v>
      </c>
      <c r="B2981" s="1">
        <v>45144</v>
      </c>
      <c r="C2981" s="1" t="str">
        <f>TEXT(Table4_2[[#This Row],[Date]],"dddd")</f>
        <v>Sunday</v>
      </c>
      <c r="D2981" s="21">
        <v>33.4</v>
      </c>
      <c r="E2981" s="21">
        <v>77</v>
      </c>
      <c r="F2981" s="21">
        <v>449</v>
      </c>
      <c r="G2981" s="21">
        <v>6.1</v>
      </c>
      <c r="H2981">
        <v>4</v>
      </c>
      <c r="I2981">
        <v>92.12</v>
      </c>
      <c r="J2981">
        <v>0.77</v>
      </c>
      <c r="K2981" t="str" cm="1">
        <f t="array" ref="K2981">_xlfn.IFS(Table4_2[[#This Row],[Growth Days]]&lt;=14,"Seedling",Table4_2[[#This Row],[Growth Days]]&lt;=35, "Vegetative",Table4_2[[#This Row],[Growth Days]]&lt;=50, "Maturity")</f>
        <v>Seedling</v>
      </c>
      <c r="L2981" t="str">
        <f>IF(Table4_2[[#This Row],[TDS Value (ppm)]]&lt;560, "Low", IF(Table4_2[[#This Row],[TDS Value (ppm)]]&lt;=800,"Optimal","High"))</f>
        <v>Low</v>
      </c>
    </row>
    <row r="2982" spans="1:12" x14ac:dyDescent="0.25">
      <c r="A2982">
        <v>40</v>
      </c>
      <c r="B2982" s="1">
        <v>45151</v>
      </c>
      <c r="C2982" s="1" t="str">
        <f>TEXT(Table4_2[[#This Row],[Date]],"dddd")</f>
        <v>Sunday</v>
      </c>
      <c r="D2982" s="21">
        <v>30.1</v>
      </c>
      <c r="E2982" s="21">
        <v>72</v>
      </c>
      <c r="F2982" s="21">
        <v>504</v>
      </c>
      <c r="G2982" s="21">
        <v>6.3</v>
      </c>
      <c r="H2982">
        <v>11</v>
      </c>
      <c r="I2982">
        <v>86.18</v>
      </c>
      <c r="J2982">
        <v>0.72</v>
      </c>
      <c r="K2982" t="str" cm="1">
        <f t="array" ref="K2982">_xlfn.IFS(Table4_2[[#This Row],[Growth Days]]&lt;=14,"Seedling",Table4_2[[#This Row],[Growth Days]]&lt;=35, "Vegetative",Table4_2[[#This Row],[Growth Days]]&lt;=50, "Maturity")</f>
        <v>Seedling</v>
      </c>
      <c r="L2982" t="str">
        <f>IF(Table4_2[[#This Row],[TDS Value (ppm)]]&lt;560, "Low", IF(Table4_2[[#This Row],[TDS Value (ppm)]]&lt;=800,"Optimal","High"))</f>
        <v>Low</v>
      </c>
    </row>
    <row r="2983" spans="1:12" x14ac:dyDescent="0.25">
      <c r="A2983">
        <v>40</v>
      </c>
      <c r="B2983" s="1">
        <v>45158</v>
      </c>
      <c r="C2983" s="1" t="str">
        <f>TEXT(Table4_2[[#This Row],[Date]],"dddd")</f>
        <v>Sunday</v>
      </c>
      <c r="D2983" s="21">
        <v>30.9</v>
      </c>
      <c r="E2983" s="21">
        <v>57</v>
      </c>
      <c r="F2983" s="21">
        <v>769</v>
      </c>
      <c r="G2983" s="21">
        <v>6.6</v>
      </c>
      <c r="H2983">
        <v>18</v>
      </c>
      <c r="I2983">
        <v>87.62</v>
      </c>
      <c r="J2983">
        <v>0.56999999999999995</v>
      </c>
      <c r="K2983" t="str" cm="1">
        <f t="array" ref="K2983">_xlfn.IFS(Table4_2[[#This Row],[Growth Days]]&lt;=14,"Seedling",Table4_2[[#This Row],[Growth Days]]&lt;=35, "Vegetative",Table4_2[[#This Row],[Growth Days]]&lt;=50, "Maturity")</f>
        <v>Vegetative</v>
      </c>
      <c r="L2983" t="str">
        <f>IF(Table4_2[[#This Row],[TDS Value (ppm)]]&lt;560, "Low", IF(Table4_2[[#This Row],[TDS Value (ppm)]]&lt;=800,"Optimal","High"))</f>
        <v>Optimal</v>
      </c>
    </row>
    <row r="2984" spans="1:12" x14ac:dyDescent="0.25">
      <c r="A2984">
        <v>40</v>
      </c>
      <c r="B2984" s="1">
        <v>45165</v>
      </c>
      <c r="C2984" s="1" t="str">
        <f>TEXT(Table4_2[[#This Row],[Date]],"dddd")</f>
        <v>Sunday</v>
      </c>
      <c r="D2984" s="21">
        <v>30.1</v>
      </c>
      <c r="E2984" s="21">
        <v>67</v>
      </c>
      <c r="F2984" s="21">
        <v>467</v>
      </c>
      <c r="G2984" s="21">
        <v>6.3</v>
      </c>
      <c r="H2984">
        <v>25</v>
      </c>
      <c r="I2984">
        <v>86.18</v>
      </c>
      <c r="J2984">
        <v>0.67</v>
      </c>
      <c r="K2984" t="str" cm="1">
        <f t="array" ref="K2984">_xlfn.IFS(Table4_2[[#This Row],[Growth Days]]&lt;=14,"Seedling",Table4_2[[#This Row],[Growth Days]]&lt;=35, "Vegetative",Table4_2[[#This Row],[Growth Days]]&lt;=50, "Maturity")</f>
        <v>Vegetative</v>
      </c>
      <c r="L2984" t="str">
        <f>IF(Table4_2[[#This Row],[TDS Value (ppm)]]&lt;560, "Low", IF(Table4_2[[#This Row],[TDS Value (ppm)]]&lt;=800,"Optimal","High"))</f>
        <v>Low</v>
      </c>
    </row>
    <row r="2985" spans="1:12" x14ac:dyDescent="0.25">
      <c r="A2985">
        <v>40</v>
      </c>
      <c r="B2985" s="1">
        <v>45172</v>
      </c>
      <c r="C2985" s="1" t="str">
        <f>TEXT(Table4_2[[#This Row],[Date]],"dddd")</f>
        <v>Sunday</v>
      </c>
      <c r="D2985" s="21">
        <v>31.7</v>
      </c>
      <c r="E2985" s="21">
        <v>51</v>
      </c>
      <c r="F2985" s="21">
        <v>631</v>
      </c>
      <c r="G2985" s="21">
        <v>6.8</v>
      </c>
      <c r="H2985">
        <v>32</v>
      </c>
      <c r="I2985">
        <v>89.06</v>
      </c>
      <c r="J2985">
        <v>0.51</v>
      </c>
      <c r="K2985" t="str" cm="1">
        <f t="array" ref="K2985">_xlfn.IFS(Table4_2[[#This Row],[Growth Days]]&lt;=14,"Seedling",Table4_2[[#This Row],[Growth Days]]&lt;=35, "Vegetative",Table4_2[[#This Row],[Growth Days]]&lt;=50, "Maturity")</f>
        <v>Vegetative</v>
      </c>
      <c r="L2985" t="str">
        <f>IF(Table4_2[[#This Row],[TDS Value (ppm)]]&lt;560, "Low", IF(Table4_2[[#This Row],[TDS Value (ppm)]]&lt;=800,"Optimal","High"))</f>
        <v>Optimal</v>
      </c>
    </row>
    <row r="2986" spans="1:12" x14ac:dyDescent="0.25">
      <c r="A2986">
        <v>40</v>
      </c>
      <c r="B2986" s="1">
        <v>45179</v>
      </c>
      <c r="C2986" s="1" t="str">
        <f>TEXT(Table4_2[[#This Row],[Date]],"dddd")</f>
        <v>Sunday</v>
      </c>
      <c r="D2986" s="21">
        <v>31.1</v>
      </c>
      <c r="E2986" s="21">
        <v>51</v>
      </c>
      <c r="F2986" s="21">
        <v>768</v>
      </c>
      <c r="G2986" s="21">
        <v>6.4</v>
      </c>
      <c r="H2986">
        <v>39</v>
      </c>
      <c r="I2986">
        <v>87.98</v>
      </c>
      <c r="J2986">
        <v>0.51</v>
      </c>
      <c r="K2986" t="str" cm="1">
        <f t="array" ref="K2986">_xlfn.IFS(Table4_2[[#This Row],[Growth Days]]&lt;=14,"Seedling",Table4_2[[#This Row],[Growth Days]]&lt;=35, "Vegetative",Table4_2[[#This Row],[Growth Days]]&lt;=50, "Maturity")</f>
        <v>Maturity</v>
      </c>
      <c r="L2986" t="str">
        <f>IF(Table4_2[[#This Row],[TDS Value (ppm)]]&lt;560, "Low", IF(Table4_2[[#This Row],[TDS Value (ppm)]]&lt;=800,"Optimal","High"))</f>
        <v>Optimal</v>
      </c>
    </row>
    <row r="2987" spans="1:12" x14ac:dyDescent="0.25">
      <c r="A2987">
        <v>41</v>
      </c>
      <c r="B2987" s="1">
        <v>45144</v>
      </c>
      <c r="C2987" s="1" t="str">
        <f>TEXT(Table4_2[[#This Row],[Date]],"dddd")</f>
        <v>Sunday</v>
      </c>
      <c r="D2987" s="21">
        <v>33.4</v>
      </c>
      <c r="E2987" s="21">
        <v>71</v>
      </c>
      <c r="F2987" s="21">
        <v>794</v>
      </c>
      <c r="G2987" s="21">
        <v>6.4</v>
      </c>
      <c r="H2987">
        <v>4</v>
      </c>
      <c r="I2987">
        <v>92.12</v>
      </c>
      <c r="J2987">
        <v>0.71</v>
      </c>
      <c r="K2987" t="str" cm="1">
        <f t="array" ref="K2987">_xlfn.IFS(Table4_2[[#This Row],[Growth Days]]&lt;=14,"Seedling",Table4_2[[#This Row],[Growth Days]]&lt;=35, "Vegetative",Table4_2[[#This Row],[Growth Days]]&lt;=50, "Maturity")</f>
        <v>Seedling</v>
      </c>
      <c r="L2987" t="str">
        <f>IF(Table4_2[[#This Row],[TDS Value (ppm)]]&lt;560, "Low", IF(Table4_2[[#This Row],[TDS Value (ppm)]]&lt;=800,"Optimal","High"))</f>
        <v>Optimal</v>
      </c>
    </row>
    <row r="2988" spans="1:12" x14ac:dyDescent="0.25">
      <c r="A2988">
        <v>41</v>
      </c>
      <c r="B2988" s="1">
        <v>45151</v>
      </c>
      <c r="C2988" s="1" t="str">
        <f>TEXT(Table4_2[[#This Row],[Date]],"dddd")</f>
        <v>Sunday</v>
      </c>
      <c r="D2988" s="21">
        <v>30.1</v>
      </c>
      <c r="E2988" s="21">
        <v>80</v>
      </c>
      <c r="F2988" s="21">
        <v>640</v>
      </c>
      <c r="G2988" s="21">
        <v>6.2</v>
      </c>
      <c r="H2988">
        <v>11</v>
      </c>
      <c r="I2988">
        <v>86.18</v>
      </c>
      <c r="J2988">
        <v>0.8</v>
      </c>
      <c r="K2988" t="str" cm="1">
        <f t="array" ref="K2988">_xlfn.IFS(Table4_2[[#This Row],[Growth Days]]&lt;=14,"Seedling",Table4_2[[#This Row],[Growth Days]]&lt;=35, "Vegetative",Table4_2[[#This Row],[Growth Days]]&lt;=50, "Maturity")</f>
        <v>Seedling</v>
      </c>
      <c r="L2988" t="str">
        <f>IF(Table4_2[[#This Row],[TDS Value (ppm)]]&lt;560, "Low", IF(Table4_2[[#This Row],[TDS Value (ppm)]]&lt;=800,"Optimal","High"))</f>
        <v>Optimal</v>
      </c>
    </row>
    <row r="2989" spans="1:12" x14ac:dyDescent="0.25">
      <c r="A2989">
        <v>41</v>
      </c>
      <c r="B2989" s="1">
        <v>45158</v>
      </c>
      <c r="C2989" s="1" t="str">
        <f>TEXT(Table4_2[[#This Row],[Date]],"dddd")</f>
        <v>Sunday</v>
      </c>
      <c r="D2989" s="21">
        <v>30.9</v>
      </c>
      <c r="E2989" s="21">
        <v>50</v>
      </c>
      <c r="F2989" s="21">
        <v>792</v>
      </c>
      <c r="G2989" s="21">
        <v>6.7</v>
      </c>
      <c r="H2989">
        <v>18</v>
      </c>
      <c r="I2989">
        <v>87.62</v>
      </c>
      <c r="J2989">
        <v>0.5</v>
      </c>
      <c r="K2989" t="str" cm="1">
        <f t="array" ref="K2989">_xlfn.IFS(Table4_2[[#This Row],[Growth Days]]&lt;=14,"Seedling",Table4_2[[#This Row],[Growth Days]]&lt;=35, "Vegetative",Table4_2[[#This Row],[Growth Days]]&lt;=50, "Maturity")</f>
        <v>Vegetative</v>
      </c>
      <c r="L2989" t="str">
        <f>IF(Table4_2[[#This Row],[TDS Value (ppm)]]&lt;560, "Low", IF(Table4_2[[#This Row],[TDS Value (ppm)]]&lt;=800,"Optimal","High"))</f>
        <v>Optimal</v>
      </c>
    </row>
    <row r="2990" spans="1:12" x14ac:dyDescent="0.25">
      <c r="A2990">
        <v>41</v>
      </c>
      <c r="B2990" s="1">
        <v>45165</v>
      </c>
      <c r="C2990" s="1" t="str">
        <f>TEXT(Table4_2[[#This Row],[Date]],"dddd")</f>
        <v>Sunday</v>
      </c>
      <c r="D2990" s="21">
        <v>30.1</v>
      </c>
      <c r="E2990" s="21">
        <v>64</v>
      </c>
      <c r="F2990" s="21">
        <v>437</v>
      </c>
      <c r="G2990" s="21">
        <v>6.7</v>
      </c>
      <c r="H2990">
        <v>25</v>
      </c>
      <c r="I2990">
        <v>86.18</v>
      </c>
      <c r="J2990">
        <v>0.64</v>
      </c>
      <c r="K2990" t="str" cm="1">
        <f t="array" ref="K2990">_xlfn.IFS(Table4_2[[#This Row],[Growth Days]]&lt;=14,"Seedling",Table4_2[[#This Row],[Growth Days]]&lt;=35, "Vegetative",Table4_2[[#This Row],[Growth Days]]&lt;=50, "Maturity")</f>
        <v>Vegetative</v>
      </c>
      <c r="L2990" t="str">
        <f>IF(Table4_2[[#This Row],[TDS Value (ppm)]]&lt;560, "Low", IF(Table4_2[[#This Row],[TDS Value (ppm)]]&lt;=800,"Optimal","High"))</f>
        <v>Low</v>
      </c>
    </row>
    <row r="2991" spans="1:12" x14ac:dyDescent="0.25">
      <c r="A2991">
        <v>41</v>
      </c>
      <c r="B2991" s="1">
        <v>45172</v>
      </c>
      <c r="C2991" s="1" t="str">
        <f>TEXT(Table4_2[[#This Row],[Date]],"dddd")</f>
        <v>Sunday</v>
      </c>
      <c r="D2991" s="21">
        <v>31.7</v>
      </c>
      <c r="E2991" s="21">
        <v>61</v>
      </c>
      <c r="F2991" s="21">
        <v>558</v>
      </c>
      <c r="G2991" s="21">
        <v>6.6</v>
      </c>
      <c r="H2991">
        <v>32</v>
      </c>
      <c r="I2991">
        <v>89.06</v>
      </c>
      <c r="J2991">
        <v>0.61</v>
      </c>
      <c r="K2991" t="str" cm="1">
        <f t="array" ref="K2991">_xlfn.IFS(Table4_2[[#This Row],[Growth Days]]&lt;=14,"Seedling",Table4_2[[#This Row],[Growth Days]]&lt;=35, "Vegetative",Table4_2[[#This Row],[Growth Days]]&lt;=50, "Maturity")</f>
        <v>Vegetative</v>
      </c>
      <c r="L2991" t="str">
        <f>IF(Table4_2[[#This Row],[TDS Value (ppm)]]&lt;560, "Low", IF(Table4_2[[#This Row],[TDS Value (ppm)]]&lt;=800,"Optimal","High"))</f>
        <v>Low</v>
      </c>
    </row>
    <row r="2992" spans="1:12" x14ac:dyDescent="0.25">
      <c r="A2992">
        <v>41</v>
      </c>
      <c r="B2992" s="1">
        <v>45179</v>
      </c>
      <c r="C2992" s="1" t="str">
        <f>TEXT(Table4_2[[#This Row],[Date]],"dddd")</f>
        <v>Sunday</v>
      </c>
      <c r="D2992" s="21">
        <v>31.1</v>
      </c>
      <c r="E2992" s="21">
        <v>78</v>
      </c>
      <c r="F2992" s="21">
        <v>488</v>
      </c>
      <c r="G2992" s="21">
        <v>6.6</v>
      </c>
      <c r="H2992">
        <v>39</v>
      </c>
      <c r="I2992">
        <v>87.98</v>
      </c>
      <c r="J2992">
        <v>0.78</v>
      </c>
      <c r="K2992" t="str" cm="1">
        <f t="array" ref="K2992">_xlfn.IFS(Table4_2[[#This Row],[Growth Days]]&lt;=14,"Seedling",Table4_2[[#This Row],[Growth Days]]&lt;=35, "Vegetative",Table4_2[[#This Row],[Growth Days]]&lt;=50, "Maturity")</f>
        <v>Maturity</v>
      </c>
      <c r="L2992" t="str">
        <f>IF(Table4_2[[#This Row],[TDS Value (ppm)]]&lt;560, "Low", IF(Table4_2[[#This Row],[TDS Value (ppm)]]&lt;=800,"Optimal","High"))</f>
        <v>Low</v>
      </c>
    </row>
    <row r="2993" spans="1:12" x14ac:dyDescent="0.25">
      <c r="A2993">
        <v>42</v>
      </c>
      <c r="B2993" s="1">
        <v>45144</v>
      </c>
      <c r="C2993" s="1" t="str">
        <f>TEXT(Table4_2[[#This Row],[Date]],"dddd")</f>
        <v>Sunday</v>
      </c>
      <c r="D2993" s="21">
        <v>33.4</v>
      </c>
      <c r="E2993" s="21">
        <v>54</v>
      </c>
      <c r="F2993" s="21">
        <v>692</v>
      </c>
      <c r="G2993" s="21">
        <v>6.4</v>
      </c>
      <c r="H2993">
        <v>4</v>
      </c>
      <c r="I2993">
        <v>92.12</v>
      </c>
      <c r="J2993">
        <v>0.54</v>
      </c>
      <c r="K2993" t="str" cm="1">
        <f t="array" ref="K2993">_xlfn.IFS(Table4_2[[#This Row],[Growth Days]]&lt;=14,"Seedling",Table4_2[[#This Row],[Growth Days]]&lt;=35, "Vegetative",Table4_2[[#This Row],[Growth Days]]&lt;=50, "Maturity")</f>
        <v>Seedling</v>
      </c>
      <c r="L2993" t="str">
        <f>IF(Table4_2[[#This Row],[TDS Value (ppm)]]&lt;560, "Low", IF(Table4_2[[#This Row],[TDS Value (ppm)]]&lt;=800,"Optimal","High"))</f>
        <v>Optimal</v>
      </c>
    </row>
    <row r="2994" spans="1:12" x14ac:dyDescent="0.25">
      <c r="A2994">
        <v>42</v>
      </c>
      <c r="B2994" s="1">
        <v>45151</v>
      </c>
      <c r="C2994" s="1" t="str">
        <f>TEXT(Table4_2[[#This Row],[Date]],"dddd")</f>
        <v>Sunday</v>
      </c>
      <c r="D2994" s="21">
        <v>30.1</v>
      </c>
      <c r="E2994" s="21">
        <v>66</v>
      </c>
      <c r="F2994" s="21">
        <v>507</v>
      </c>
      <c r="G2994" s="21">
        <v>6.2</v>
      </c>
      <c r="H2994">
        <v>11</v>
      </c>
      <c r="I2994">
        <v>86.18</v>
      </c>
      <c r="J2994">
        <v>0.66</v>
      </c>
      <c r="K2994" t="str" cm="1">
        <f t="array" ref="K2994">_xlfn.IFS(Table4_2[[#This Row],[Growth Days]]&lt;=14,"Seedling",Table4_2[[#This Row],[Growth Days]]&lt;=35, "Vegetative",Table4_2[[#This Row],[Growth Days]]&lt;=50, "Maturity")</f>
        <v>Seedling</v>
      </c>
      <c r="L2994" t="str">
        <f>IF(Table4_2[[#This Row],[TDS Value (ppm)]]&lt;560, "Low", IF(Table4_2[[#This Row],[TDS Value (ppm)]]&lt;=800,"Optimal","High"))</f>
        <v>Low</v>
      </c>
    </row>
    <row r="2995" spans="1:12" x14ac:dyDescent="0.25">
      <c r="A2995">
        <v>42</v>
      </c>
      <c r="B2995" s="1">
        <v>45158</v>
      </c>
      <c r="C2995" s="1" t="str">
        <f>TEXT(Table4_2[[#This Row],[Date]],"dddd")</f>
        <v>Sunday</v>
      </c>
      <c r="D2995" s="21">
        <v>30.9</v>
      </c>
      <c r="E2995" s="21">
        <v>60</v>
      </c>
      <c r="F2995" s="21">
        <v>542</v>
      </c>
      <c r="G2995" s="21">
        <v>6.4</v>
      </c>
      <c r="H2995">
        <v>18</v>
      </c>
      <c r="I2995">
        <v>87.62</v>
      </c>
      <c r="J2995">
        <v>0.6</v>
      </c>
      <c r="K2995" t="str" cm="1">
        <f t="array" ref="K2995">_xlfn.IFS(Table4_2[[#This Row],[Growth Days]]&lt;=14,"Seedling",Table4_2[[#This Row],[Growth Days]]&lt;=35, "Vegetative",Table4_2[[#This Row],[Growth Days]]&lt;=50, "Maturity")</f>
        <v>Vegetative</v>
      </c>
      <c r="L2995" t="str">
        <f>IF(Table4_2[[#This Row],[TDS Value (ppm)]]&lt;560, "Low", IF(Table4_2[[#This Row],[TDS Value (ppm)]]&lt;=800,"Optimal","High"))</f>
        <v>Low</v>
      </c>
    </row>
    <row r="2996" spans="1:12" x14ac:dyDescent="0.25">
      <c r="A2996">
        <v>42</v>
      </c>
      <c r="B2996" s="1">
        <v>45165</v>
      </c>
      <c r="C2996" s="1" t="str">
        <f>TEXT(Table4_2[[#This Row],[Date]],"dddd")</f>
        <v>Sunday</v>
      </c>
      <c r="D2996" s="21">
        <v>30.1</v>
      </c>
      <c r="E2996" s="21">
        <v>64</v>
      </c>
      <c r="F2996" s="21">
        <v>545</v>
      </c>
      <c r="G2996" s="21">
        <v>6.2</v>
      </c>
      <c r="H2996">
        <v>25</v>
      </c>
      <c r="I2996">
        <v>86.18</v>
      </c>
      <c r="J2996">
        <v>0.64</v>
      </c>
      <c r="K2996" t="str" cm="1">
        <f t="array" ref="K2996">_xlfn.IFS(Table4_2[[#This Row],[Growth Days]]&lt;=14,"Seedling",Table4_2[[#This Row],[Growth Days]]&lt;=35, "Vegetative",Table4_2[[#This Row],[Growth Days]]&lt;=50, "Maturity")</f>
        <v>Vegetative</v>
      </c>
      <c r="L2996" t="str">
        <f>IF(Table4_2[[#This Row],[TDS Value (ppm)]]&lt;560, "Low", IF(Table4_2[[#This Row],[TDS Value (ppm)]]&lt;=800,"Optimal","High"))</f>
        <v>Low</v>
      </c>
    </row>
    <row r="2997" spans="1:12" x14ac:dyDescent="0.25">
      <c r="A2997">
        <v>42</v>
      </c>
      <c r="B2997" s="1">
        <v>45172</v>
      </c>
      <c r="C2997" s="1" t="str">
        <f>TEXT(Table4_2[[#This Row],[Date]],"dddd")</f>
        <v>Sunday</v>
      </c>
      <c r="D2997" s="21">
        <v>31.7</v>
      </c>
      <c r="E2997" s="21">
        <v>61</v>
      </c>
      <c r="F2997" s="21">
        <v>448</v>
      </c>
      <c r="G2997" s="21">
        <v>6.7</v>
      </c>
      <c r="H2997">
        <v>32</v>
      </c>
      <c r="I2997">
        <v>89.06</v>
      </c>
      <c r="J2997">
        <v>0.61</v>
      </c>
      <c r="K2997" t="str" cm="1">
        <f t="array" ref="K2997">_xlfn.IFS(Table4_2[[#This Row],[Growth Days]]&lt;=14,"Seedling",Table4_2[[#This Row],[Growth Days]]&lt;=35, "Vegetative",Table4_2[[#This Row],[Growth Days]]&lt;=50, "Maturity")</f>
        <v>Vegetative</v>
      </c>
      <c r="L2997" t="str">
        <f>IF(Table4_2[[#This Row],[TDS Value (ppm)]]&lt;560, "Low", IF(Table4_2[[#This Row],[TDS Value (ppm)]]&lt;=800,"Optimal","High"))</f>
        <v>Low</v>
      </c>
    </row>
    <row r="2998" spans="1:12" x14ac:dyDescent="0.25">
      <c r="A2998">
        <v>42</v>
      </c>
      <c r="B2998" s="1">
        <v>45179</v>
      </c>
      <c r="C2998" s="1" t="str">
        <f>TEXT(Table4_2[[#This Row],[Date]],"dddd")</f>
        <v>Sunday</v>
      </c>
      <c r="D2998" s="21">
        <v>31.1</v>
      </c>
      <c r="E2998" s="21">
        <v>62</v>
      </c>
      <c r="F2998" s="21">
        <v>687</v>
      </c>
      <c r="G2998" s="21">
        <v>6.1</v>
      </c>
      <c r="H2998">
        <v>39</v>
      </c>
      <c r="I2998">
        <v>87.98</v>
      </c>
      <c r="J2998">
        <v>0.62</v>
      </c>
      <c r="K2998" t="str" cm="1">
        <f t="array" ref="K2998">_xlfn.IFS(Table4_2[[#This Row],[Growth Days]]&lt;=14,"Seedling",Table4_2[[#This Row],[Growth Days]]&lt;=35, "Vegetative",Table4_2[[#This Row],[Growth Days]]&lt;=50, "Maturity")</f>
        <v>Maturity</v>
      </c>
      <c r="L2998" t="str">
        <f>IF(Table4_2[[#This Row],[TDS Value (ppm)]]&lt;560, "Low", IF(Table4_2[[#This Row],[TDS Value (ppm)]]&lt;=800,"Optimal","High"))</f>
        <v>Optimal</v>
      </c>
    </row>
    <row r="2999" spans="1:12" x14ac:dyDescent="0.25">
      <c r="A2999">
        <v>43</v>
      </c>
      <c r="B2999" s="1">
        <v>45144</v>
      </c>
      <c r="C2999" s="1" t="str">
        <f>TEXT(Table4_2[[#This Row],[Date]],"dddd")</f>
        <v>Sunday</v>
      </c>
      <c r="D2999" s="21">
        <v>33.4</v>
      </c>
      <c r="E2999" s="21">
        <v>52</v>
      </c>
      <c r="F2999" s="21">
        <v>423</v>
      </c>
      <c r="G2999" s="21">
        <v>6.4</v>
      </c>
      <c r="H2999">
        <v>4</v>
      </c>
      <c r="I2999">
        <v>92.12</v>
      </c>
      <c r="J2999">
        <v>0.52</v>
      </c>
      <c r="K2999" t="str" cm="1">
        <f t="array" ref="K2999">_xlfn.IFS(Table4_2[[#This Row],[Growth Days]]&lt;=14,"Seedling",Table4_2[[#This Row],[Growth Days]]&lt;=35, "Vegetative",Table4_2[[#This Row],[Growth Days]]&lt;=50, "Maturity")</f>
        <v>Seedling</v>
      </c>
      <c r="L2999" t="str">
        <f>IF(Table4_2[[#This Row],[TDS Value (ppm)]]&lt;560, "Low", IF(Table4_2[[#This Row],[TDS Value (ppm)]]&lt;=800,"Optimal","High"))</f>
        <v>Low</v>
      </c>
    </row>
    <row r="3000" spans="1:12" x14ac:dyDescent="0.25">
      <c r="A3000">
        <v>43</v>
      </c>
      <c r="B3000" s="1">
        <v>45151</v>
      </c>
      <c r="C3000" s="1" t="str">
        <f>TEXT(Table4_2[[#This Row],[Date]],"dddd")</f>
        <v>Sunday</v>
      </c>
      <c r="D3000" s="21">
        <v>30.1</v>
      </c>
      <c r="E3000" s="21">
        <v>68</v>
      </c>
      <c r="F3000" s="21">
        <v>579</v>
      </c>
      <c r="G3000" s="21">
        <v>6.2</v>
      </c>
      <c r="H3000">
        <v>11</v>
      </c>
      <c r="I3000">
        <v>86.18</v>
      </c>
      <c r="J3000">
        <v>0.68</v>
      </c>
      <c r="K3000" t="str" cm="1">
        <f t="array" ref="K3000">_xlfn.IFS(Table4_2[[#This Row],[Growth Days]]&lt;=14,"Seedling",Table4_2[[#This Row],[Growth Days]]&lt;=35, "Vegetative",Table4_2[[#This Row],[Growth Days]]&lt;=50, "Maturity")</f>
        <v>Seedling</v>
      </c>
      <c r="L3000" t="str">
        <f>IF(Table4_2[[#This Row],[TDS Value (ppm)]]&lt;560, "Low", IF(Table4_2[[#This Row],[TDS Value (ppm)]]&lt;=800,"Optimal","High"))</f>
        <v>Optimal</v>
      </c>
    </row>
    <row r="3001" spans="1:12" x14ac:dyDescent="0.25">
      <c r="A3001">
        <v>43</v>
      </c>
      <c r="B3001" s="1">
        <v>45158</v>
      </c>
      <c r="C3001" s="1" t="str">
        <f>TEXT(Table4_2[[#This Row],[Date]],"dddd")</f>
        <v>Sunday</v>
      </c>
      <c r="D3001" s="21">
        <v>30.9</v>
      </c>
      <c r="E3001" s="21">
        <v>80</v>
      </c>
      <c r="F3001" s="21">
        <v>688</v>
      </c>
      <c r="G3001" s="21">
        <v>6.7</v>
      </c>
      <c r="H3001">
        <v>18</v>
      </c>
      <c r="I3001">
        <v>87.62</v>
      </c>
      <c r="J3001">
        <v>0.8</v>
      </c>
      <c r="K3001" t="str" cm="1">
        <f t="array" ref="K3001">_xlfn.IFS(Table4_2[[#This Row],[Growth Days]]&lt;=14,"Seedling",Table4_2[[#This Row],[Growth Days]]&lt;=35, "Vegetative",Table4_2[[#This Row],[Growth Days]]&lt;=50, "Maturity")</f>
        <v>Vegetative</v>
      </c>
      <c r="L3001" t="str">
        <f>IF(Table4_2[[#This Row],[TDS Value (ppm)]]&lt;560, "Low", IF(Table4_2[[#This Row],[TDS Value (ppm)]]&lt;=800,"Optimal","High"))</f>
        <v>Optimal</v>
      </c>
    </row>
    <row r="3002" spans="1:12" x14ac:dyDescent="0.25">
      <c r="A3002">
        <v>43</v>
      </c>
      <c r="B3002" s="1">
        <v>45165</v>
      </c>
      <c r="C3002" s="1" t="str">
        <f>TEXT(Table4_2[[#This Row],[Date]],"dddd")</f>
        <v>Sunday</v>
      </c>
      <c r="D3002" s="21">
        <v>30.1</v>
      </c>
      <c r="E3002" s="21">
        <v>75</v>
      </c>
      <c r="F3002" s="21">
        <v>751</v>
      </c>
      <c r="G3002" s="21">
        <v>6.4</v>
      </c>
      <c r="H3002">
        <v>25</v>
      </c>
      <c r="I3002">
        <v>86.18</v>
      </c>
      <c r="J3002">
        <v>0.75</v>
      </c>
      <c r="K3002" t="str" cm="1">
        <f t="array" ref="K3002">_xlfn.IFS(Table4_2[[#This Row],[Growth Days]]&lt;=14,"Seedling",Table4_2[[#This Row],[Growth Days]]&lt;=35, "Vegetative",Table4_2[[#This Row],[Growth Days]]&lt;=50, "Maturity")</f>
        <v>Vegetative</v>
      </c>
      <c r="L3002" t="str">
        <f>IF(Table4_2[[#This Row],[TDS Value (ppm)]]&lt;560, "Low", IF(Table4_2[[#This Row],[TDS Value (ppm)]]&lt;=800,"Optimal","High"))</f>
        <v>Optimal</v>
      </c>
    </row>
    <row r="3003" spans="1:12" x14ac:dyDescent="0.25">
      <c r="A3003">
        <v>43</v>
      </c>
      <c r="B3003" s="1">
        <v>45172</v>
      </c>
      <c r="C3003" s="1" t="str">
        <f>TEXT(Table4_2[[#This Row],[Date]],"dddd")</f>
        <v>Sunday</v>
      </c>
      <c r="D3003" s="21">
        <v>31.7</v>
      </c>
      <c r="E3003" s="21">
        <v>68</v>
      </c>
      <c r="F3003" s="21">
        <v>476</v>
      </c>
      <c r="G3003" s="21">
        <v>6.6</v>
      </c>
      <c r="H3003">
        <v>32</v>
      </c>
      <c r="I3003">
        <v>89.06</v>
      </c>
      <c r="J3003">
        <v>0.68</v>
      </c>
      <c r="K3003" t="str" cm="1">
        <f t="array" ref="K3003">_xlfn.IFS(Table4_2[[#This Row],[Growth Days]]&lt;=14,"Seedling",Table4_2[[#This Row],[Growth Days]]&lt;=35, "Vegetative",Table4_2[[#This Row],[Growth Days]]&lt;=50, "Maturity")</f>
        <v>Vegetative</v>
      </c>
      <c r="L3003" t="str">
        <f>IF(Table4_2[[#This Row],[TDS Value (ppm)]]&lt;560, "Low", IF(Table4_2[[#This Row],[TDS Value (ppm)]]&lt;=800,"Optimal","High"))</f>
        <v>Low</v>
      </c>
    </row>
    <row r="3004" spans="1:12" x14ac:dyDescent="0.25">
      <c r="A3004">
        <v>43</v>
      </c>
      <c r="B3004" s="1">
        <v>45179</v>
      </c>
      <c r="C3004" s="1" t="str">
        <f>TEXT(Table4_2[[#This Row],[Date]],"dddd")</f>
        <v>Sunday</v>
      </c>
      <c r="D3004" s="21">
        <v>31.1</v>
      </c>
      <c r="E3004" s="21">
        <v>55</v>
      </c>
      <c r="F3004" s="21">
        <v>403</v>
      </c>
      <c r="G3004" s="21">
        <v>6.4</v>
      </c>
      <c r="H3004">
        <v>39</v>
      </c>
      <c r="I3004">
        <v>87.98</v>
      </c>
      <c r="J3004">
        <v>0.55000000000000004</v>
      </c>
      <c r="K3004" t="str" cm="1">
        <f t="array" ref="K3004">_xlfn.IFS(Table4_2[[#This Row],[Growth Days]]&lt;=14,"Seedling",Table4_2[[#This Row],[Growth Days]]&lt;=35, "Vegetative",Table4_2[[#This Row],[Growth Days]]&lt;=50, "Maturity")</f>
        <v>Maturity</v>
      </c>
      <c r="L3004" t="str">
        <f>IF(Table4_2[[#This Row],[TDS Value (ppm)]]&lt;560, "Low", IF(Table4_2[[#This Row],[TDS Value (ppm)]]&lt;=800,"Optimal","High"))</f>
        <v>Low</v>
      </c>
    </row>
    <row r="3005" spans="1:12" x14ac:dyDescent="0.25">
      <c r="A3005">
        <v>44</v>
      </c>
      <c r="B3005" s="1">
        <v>45144</v>
      </c>
      <c r="C3005" s="1" t="str">
        <f>TEXT(Table4_2[[#This Row],[Date]],"dddd")</f>
        <v>Sunday</v>
      </c>
      <c r="D3005" s="21">
        <v>33.4</v>
      </c>
      <c r="E3005" s="21">
        <v>51</v>
      </c>
      <c r="F3005" s="21">
        <v>681</v>
      </c>
      <c r="G3005" s="21">
        <v>6.5</v>
      </c>
      <c r="H3005">
        <v>4</v>
      </c>
      <c r="I3005">
        <v>92.12</v>
      </c>
      <c r="J3005">
        <v>0.51</v>
      </c>
      <c r="K3005" t="str" cm="1">
        <f t="array" ref="K3005">_xlfn.IFS(Table4_2[[#This Row],[Growth Days]]&lt;=14,"Seedling",Table4_2[[#This Row],[Growth Days]]&lt;=35, "Vegetative",Table4_2[[#This Row],[Growth Days]]&lt;=50, "Maturity")</f>
        <v>Seedling</v>
      </c>
      <c r="L3005" t="str">
        <f>IF(Table4_2[[#This Row],[TDS Value (ppm)]]&lt;560, "Low", IF(Table4_2[[#This Row],[TDS Value (ppm)]]&lt;=800,"Optimal","High"))</f>
        <v>Optimal</v>
      </c>
    </row>
    <row r="3006" spans="1:12" x14ac:dyDescent="0.25">
      <c r="A3006">
        <v>44</v>
      </c>
      <c r="B3006" s="1">
        <v>45151</v>
      </c>
      <c r="C3006" s="1" t="str">
        <f>TEXT(Table4_2[[#This Row],[Date]],"dddd")</f>
        <v>Sunday</v>
      </c>
      <c r="D3006" s="21">
        <v>30.1</v>
      </c>
      <c r="E3006" s="21">
        <v>61</v>
      </c>
      <c r="F3006" s="21">
        <v>799</v>
      </c>
      <c r="G3006" s="21">
        <v>6.1</v>
      </c>
      <c r="H3006">
        <v>11</v>
      </c>
      <c r="I3006">
        <v>86.18</v>
      </c>
      <c r="J3006">
        <v>0.61</v>
      </c>
      <c r="K3006" t="str" cm="1">
        <f t="array" ref="K3006">_xlfn.IFS(Table4_2[[#This Row],[Growth Days]]&lt;=14,"Seedling",Table4_2[[#This Row],[Growth Days]]&lt;=35, "Vegetative",Table4_2[[#This Row],[Growth Days]]&lt;=50, "Maturity")</f>
        <v>Seedling</v>
      </c>
      <c r="L3006" t="str">
        <f>IF(Table4_2[[#This Row],[TDS Value (ppm)]]&lt;560, "Low", IF(Table4_2[[#This Row],[TDS Value (ppm)]]&lt;=800,"Optimal","High"))</f>
        <v>Optimal</v>
      </c>
    </row>
    <row r="3007" spans="1:12" x14ac:dyDescent="0.25">
      <c r="A3007">
        <v>44</v>
      </c>
      <c r="B3007" s="1">
        <v>45158</v>
      </c>
      <c r="C3007" s="1" t="str">
        <f>TEXT(Table4_2[[#This Row],[Date]],"dddd")</f>
        <v>Sunday</v>
      </c>
      <c r="D3007" s="21">
        <v>30.9</v>
      </c>
      <c r="E3007" s="21">
        <v>73</v>
      </c>
      <c r="F3007" s="21">
        <v>445</v>
      </c>
      <c r="G3007" s="21">
        <v>6.1</v>
      </c>
      <c r="H3007">
        <v>18</v>
      </c>
      <c r="I3007">
        <v>87.62</v>
      </c>
      <c r="J3007">
        <v>0.73</v>
      </c>
      <c r="K3007" t="str" cm="1">
        <f t="array" ref="K3007">_xlfn.IFS(Table4_2[[#This Row],[Growth Days]]&lt;=14,"Seedling",Table4_2[[#This Row],[Growth Days]]&lt;=35, "Vegetative",Table4_2[[#This Row],[Growth Days]]&lt;=50, "Maturity")</f>
        <v>Vegetative</v>
      </c>
      <c r="L3007" t="str">
        <f>IF(Table4_2[[#This Row],[TDS Value (ppm)]]&lt;560, "Low", IF(Table4_2[[#This Row],[TDS Value (ppm)]]&lt;=800,"Optimal","High"))</f>
        <v>Low</v>
      </c>
    </row>
    <row r="3008" spans="1:12" x14ac:dyDescent="0.25">
      <c r="A3008">
        <v>44</v>
      </c>
      <c r="B3008" s="1">
        <v>45165</v>
      </c>
      <c r="C3008" s="1" t="str">
        <f>TEXT(Table4_2[[#This Row],[Date]],"dddd")</f>
        <v>Sunday</v>
      </c>
      <c r="D3008" s="21">
        <v>30.1</v>
      </c>
      <c r="E3008" s="21">
        <v>61</v>
      </c>
      <c r="F3008" s="21">
        <v>507</v>
      </c>
      <c r="G3008" s="21">
        <v>6.5</v>
      </c>
      <c r="H3008">
        <v>25</v>
      </c>
      <c r="I3008">
        <v>86.18</v>
      </c>
      <c r="J3008">
        <v>0.61</v>
      </c>
      <c r="K3008" t="str" cm="1">
        <f t="array" ref="K3008">_xlfn.IFS(Table4_2[[#This Row],[Growth Days]]&lt;=14,"Seedling",Table4_2[[#This Row],[Growth Days]]&lt;=35, "Vegetative",Table4_2[[#This Row],[Growth Days]]&lt;=50, "Maturity")</f>
        <v>Vegetative</v>
      </c>
      <c r="L3008" t="str">
        <f>IF(Table4_2[[#This Row],[TDS Value (ppm)]]&lt;560, "Low", IF(Table4_2[[#This Row],[TDS Value (ppm)]]&lt;=800,"Optimal","High"))</f>
        <v>Low</v>
      </c>
    </row>
    <row r="3009" spans="1:12" x14ac:dyDescent="0.25">
      <c r="A3009">
        <v>44</v>
      </c>
      <c r="B3009" s="1">
        <v>45172</v>
      </c>
      <c r="C3009" s="1" t="str">
        <f>TEXT(Table4_2[[#This Row],[Date]],"dddd")</f>
        <v>Sunday</v>
      </c>
      <c r="D3009" s="21">
        <v>31.7</v>
      </c>
      <c r="E3009" s="21">
        <v>60</v>
      </c>
      <c r="F3009" s="21">
        <v>713</v>
      </c>
      <c r="G3009" s="21">
        <v>6.7</v>
      </c>
      <c r="H3009">
        <v>32</v>
      </c>
      <c r="I3009">
        <v>89.06</v>
      </c>
      <c r="J3009">
        <v>0.6</v>
      </c>
      <c r="K3009" t="str" cm="1">
        <f t="array" ref="K3009">_xlfn.IFS(Table4_2[[#This Row],[Growth Days]]&lt;=14,"Seedling",Table4_2[[#This Row],[Growth Days]]&lt;=35, "Vegetative",Table4_2[[#This Row],[Growth Days]]&lt;=50, "Maturity")</f>
        <v>Vegetative</v>
      </c>
      <c r="L3009" t="str">
        <f>IF(Table4_2[[#This Row],[TDS Value (ppm)]]&lt;560, "Low", IF(Table4_2[[#This Row],[TDS Value (ppm)]]&lt;=800,"Optimal","High"))</f>
        <v>Optimal</v>
      </c>
    </row>
    <row r="3010" spans="1:12" x14ac:dyDescent="0.25">
      <c r="A3010">
        <v>44</v>
      </c>
      <c r="B3010" s="1">
        <v>45179</v>
      </c>
      <c r="C3010" s="1" t="str">
        <f>TEXT(Table4_2[[#This Row],[Date]],"dddd")</f>
        <v>Sunday</v>
      </c>
      <c r="D3010" s="21">
        <v>31.1</v>
      </c>
      <c r="E3010" s="21">
        <v>53</v>
      </c>
      <c r="F3010" s="21">
        <v>474</v>
      </c>
      <c r="G3010" s="21">
        <v>6.1</v>
      </c>
      <c r="H3010">
        <v>39</v>
      </c>
      <c r="I3010">
        <v>87.98</v>
      </c>
      <c r="J3010">
        <v>0.53</v>
      </c>
      <c r="K3010" t="str" cm="1">
        <f t="array" ref="K3010">_xlfn.IFS(Table4_2[[#This Row],[Growth Days]]&lt;=14,"Seedling",Table4_2[[#This Row],[Growth Days]]&lt;=35, "Vegetative",Table4_2[[#This Row],[Growth Days]]&lt;=50, "Maturity")</f>
        <v>Maturity</v>
      </c>
      <c r="L3010" t="str">
        <f>IF(Table4_2[[#This Row],[TDS Value (ppm)]]&lt;560, "Low", IF(Table4_2[[#This Row],[TDS Value (ppm)]]&lt;=800,"Optimal","High"))</f>
        <v>Low</v>
      </c>
    </row>
    <row r="3011" spans="1:12" x14ac:dyDescent="0.25">
      <c r="A3011">
        <v>45</v>
      </c>
      <c r="B3011" s="1">
        <v>45144</v>
      </c>
      <c r="C3011" s="1" t="str">
        <f>TEXT(Table4_2[[#This Row],[Date]],"dddd")</f>
        <v>Sunday</v>
      </c>
      <c r="D3011" s="21">
        <v>33.4</v>
      </c>
      <c r="E3011" s="21">
        <v>79</v>
      </c>
      <c r="F3011" s="21">
        <v>512</v>
      </c>
      <c r="G3011" s="21">
        <v>6.4</v>
      </c>
      <c r="H3011">
        <v>4</v>
      </c>
      <c r="I3011">
        <v>92.12</v>
      </c>
      <c r="J3011">
        <v>0.79</v>
      </c>
      <c r="K3011" t="str" cm="1">
        <f t="array" ref="K3011">_xlfn.IFS(Table4_2[[#This Row],[Growth Days]]&lt;=14,"Seedling",Table4_2[[#This Row],[Growth Days]]&lt;=35, "Vegetative",Table4_2[[#This Row],[Growth Days]]&lt;=50, "Maturity")</f>
        <v>Seedling</v>
      </c>
      <c r="L3011" t="str">
        <f>IF(Table4_2[[#This Row],[TDS Value (ppm)]]&lt;560, "Low", IF(Table4_2[[#This Row],[TDS Value (ppm)]]&lt;=800,"Optimal","High"))</f>
        <v>Low</v>
      </c>
    </row>
    <row r="3012" spans="1:12" x14ac:dyDescent="0.25">
      <c r="A3012">
        <v>45</v>
      </c>
      <c r="B3012" s="1">
        <v>45151</v>
      </c>
      <c r="C3012" s="1" t="str">
        <f>TEXT(Table4_2[[#This Row],[Date]],"dddd")</f>
        <v>Sunday</v>
      </c>
      <c r="D3012" s="21">
        <v>30.1</v>
      </c>
      <c r="E3012" s="21">
        <v>59</v>
      </c>
      <c r="F3012" s="21">
        <v>515</v>
      </c>
      <c r="G3012" s="21">
        <v>6.3</v>
      </c>
      <c r="H3012">
        <v>11</v>
      </c>
      <c r="I3012">
        <v>86.18</v>
      </c>
      <c r="J3012">
        <v>0.59</v>
      </c>
      <c r="K3012" t="str" cm="1">
        <f t="array" ref="K3012">_xlfn.IFS(Table4_2[[#This Row],[Growth Days]]&lt;=14,"Seedling",Table4_2[[#This Row],[Growth Days]]&lt;=35, "Vegetative",Table4_2[[#This Row],[Growth Days]]&lt;=50, "Maturity")</f>
        <v>Seedling</v>
      </c>
      <c r="L3012" t="str">
        <f>IF(Table4_2[[#This Row],[TDS Value (ppm)]]&lt;560, "Low", IF(Table4_2[[#This Row],[TDS Value (ppm)]]&lt;=800,"Optimal","High"))</f>
        <v>Low</v>
      </c>
    </row>
    <row r="3013" spans="1:12" x14ac:dyDescent="0.25">
      <c r="A3013">
        <v>45</v>
      </c>
      <c r="B3013" s="1">
        <v>45158</v>
      </c>
      <c r="C3013" s="1" t="str">
        <f>TEXT(Table4_2[[#This Row],[Date]],"dddd")</f>
        <v>Sunday</v>
      </c>
      <c r="D3013" s="21">
        <v>30.9</v>
      </c>
      <c r="E3013" s="21">
        <v>73</v>
      </c>
      <c r="F3013" s="21">
        <v>675</v>
      </c>
      <c r="G3013" s="21">
        <v>6.5</v>
      </c>
      <c r="H3013">
        <v>18</v>
      </c>
      <c r="I3013">
        <v>87.62</v>
      </c>
      <c r="J3013">
        <v>0.73</v>
      </c>
      <c r="K3013" t="str" cm="1">
        <f t="array" ref="K3013">_xlfn.IFS(Table4_2[[#This Row],[Growth Days]]&lt;=14,"Seedling",Table4_2[[#This Row],[Growth Days]]&lt;=35, "Vegetative",Table4_2[[#This Row],[Growth Days]]&lt;=50, "Maturity")</f>
        <v>Vegetative</v>
      </c>
      <c r="L3013" t="str">
        <f>IF(Table4_2[[#This Row],[TDS Value (ppm)]]&lt;560, "Low", IF(Table4_2[[#This Row],[TDS Value (ppm)]]&lt;=800,"Optimal","High"))</f>
        <v>Optimal</v>
      </c>
    </row>
    <row r="3014" spans="1:12" x14ac:dyDescent="0.25">
      <c r="A3014">
        <v>45</v>
      </c>
      <c r="B3014" s="1">
        <v>45165</v>
      </c>
      <c r="C3014" s="1" t="str">
        <f>TEXT(Table4_2[[#This Row],[Date]],"dddd")</f>
        <v>Sunday</v>
      </c>
      <c r="D3014" s="21">
        <v>30.1</v>
      </c>
      <c r="E3014" s="21">
        <v>64</v>
      </c>
      <c r="F3014" s="21">
        <v>587</v>
      </c>
      <c r="G3014" s="21">
        <v>6.5</v>
      </c>
      <c r="H3014">
        <v>25</v>
      </c>
      <c r="I3014">
        <v>86.18</v>
      </c>
      <c r="J3014">
        <v>0.64</v>
      </c>
      <c r="K3014" t="str" cm="1">
        <f t="array" ref="K3014">_xlfn.IFS(Table4_2[[#This Row],[Growth Days]]&lt;=14,"Seedling",Table4_2[[#This Row],[Growth Days]]&lt;=35, "Vegetative",Table4_2[[#This Row],[Growth Days]]&lt;=50, "Maturity")</f>
        <v>Vegetative</v>
      </c>
      <c r="L3014" t="str">
        <f>IF(Table4_2[[#This Row],[TDS Value (ppm)]]&lt;560, "Low", IF(Table4_2[[#This Row],[TDS Value (ppm)]]&lt;=800,"Optimal","High"))</f>
        <v>Optimal</v>
      </c>
    </row>
    <row r="3015" spans="1:12" x14ac:dyDescent="0.25">
      <c r="A3015">
        <v>45</v>
      </c>
      <c r="B3015" s="1">
        <v>45172</v>
      </c>
      <c r="C3015" s="1" t="str">
        <f>TEXT(Table4_2[[#This Row],[Date]],"dddd")</f>
        <v>Sunday</v>
      </c>
      <c r="D3015" s="21">
        <v>31.7</v>
      </c>
      <c r="E3015" s="21">
        <v>71</v>
      </c>
      <c r="F3015" s="21">
        <v>539</v>
      </c>
      <c r="G3015" s="21">
        <v>6.6</v>
      </c>
      <c r="H3015">
        <v>32</v>
      </c>
      <c r="I3015">
        <v>89.06</v>
      </c>
      <c r="J3015">
        <v>0.71</v>
      </c>
      <c r="K3015" t="str" cm="1">
        <f t="array" ref="K3015">_xlfn.IFS(Table4_2[[#This Row],[Growth Days]]&lt;=14,"Seedling",Table4_2[[#This Row],[Growth Days]]&lt;=35, "Vegetative",Table4_2[[#This Row],[Growth Days]]&lt;=50, "Maturity")</f>
        <v>Vegetative</v>
      </c>
      <c r="L3015" t="str">
        <f>IF(Table4_2[[#This Row],[TDS Value (ppm)]]&lt;560, "Low", IF(Table4_2[[#This Row],[TDS Value (ppm)]]&lt;=800,"Optimal","High"))</f>
        <v>Low</v>
      </c>
    </row>
    <row r="3016" spans="1:12" x14ac:dyDescent="0.25">
      <c r="A3016">
        <v>45</v>
      </c>
      <c r="B3016" s="1">
        <v>45179</v>
      </c>
      <c r="C3016" s="1" t="str">
        <f>TEXT(Table4_2[[#This Row],[Date]],"dddd")</f>
        <v>Sunday</v>
      </c>
      <c r="D3016" s="21">
        <v>31.1</v>
      </c>
      <c r="E3016" s="21">
        <v>64</v>
      </c>
      <c r="F3016" s="21">
        <v>578</v>
      </c>
      <c r="G3016" s="21">
        <v>6</v>
      </c>
      <c r="H3016">
        <v>39</v>
      </c>
      <c r="I3016">
        <v>87.98</v>
      </c>
      <c r="J3016">
        <v>0.64</v>
      </c>
      <c r="K3016" t="str" cm="1">
        <f t="array" ref="K3016">_xlfn.IFS(Table4_2[[#This Row],[Growth Days]]&lt;=14,"Seedling",Table4_2[[#This Row],[Growth Days]]&lt;=35, "Vegetative",Table4_2[[#This Row],[Growth Days]]&lt;=50, "Maturity")</f>
        <v>Maturity</v>
      </c>
      <c r="L3016" t="str">
        <f>IF(Table4_2[[#This Row],[TDS Value (ppm)]]&lt;560, "Low", IF(Table4_2[[#This Row],[TDS Value (ppm)]]&lt;=800,"Optimal","High"))</f>
        <v>Optimal</v>
      </c>
    </row>
    <row r="3017" spans="1:12" x14ac:dyDescent="0.25">
      <c r="A3017">
        <v>46</v>
      </c>
      <c r="B3017" s="1">
        <v>45144</v>
      </c>
      <c r="C3017" s="1" t="str">
        <f>TEXT(Table4_2[[#This Row],[Date]],"dddd")</f>
        <v>Sunday</v>
      </c>
      <c r="D3017" s="21">
        <v>33.4</v>
      </c>
      <c r="E3017" s="21">
        <v>51</v>
      </c>
      <c r="F3017" s="21">
        <v>472</v>
      </c>
      <c r="G3017" s="21">
        <v>6.8</v>
      </c>
      <c r="H3017">
        <v>4</v>
      </c>
      <c r="I3017">
        <v>92.12</v>
      </c>
      <c r="J3017">
        <v>0.51</v>
      </c>
      <c r="K3017" t="str" cm="1">
        <f t="array" ref="K3017">_xlfn.IFS(Table4_2[[#This Row],[Growth Days]]&lt;=14,"Seedling",Table4_2[[#This Row],[Growth Days]]&lt;=35, "Vegetative",Table4_2[[#This Row],[Growth Days]]&lt;=50, "Maturity")</f>
        <v>Seedling</v>
      </c>
      <c r="L3017" t="str">
        <f>IF(Table4_2[[#This Row],[TDS Value (ppm)]]&lt;560, "Low", IF(Table4_2[[#This Row],[TDS Value (ppm)]]&lt;=800,"Optimal","High"))</f>
        <v>Low</v>
      </c>
    </row>
    <row r="3018" spans="1:12" x14ac:dyDescent="0.25">
      <c r="A3018">
        <v>46</v>
      </c>
      <c r="B3018" s="1">
        <v>45151</v>
      </c>
      <c r="C3018" s="1" t="str">
        <f>TEXT(Table4_2[[#This Row],[Date]],"dddd")</f>
        <v>Sunday</v>
      </c>
      <c r="D3018" s="21">
        <v>30.1</v>
      </c>
      <c r="E3018" s="21">
        <v>51</v>
      </c>
      <c r="F3018" s="21">
        <v>634</v>
      </c>
      <c r="G3018" s="21">
        <v>6.7</v>
      </c>
      <c r="H3018">
        <v>11</v>
      </c>
      <c r="I3018">
        <v>86.18</v>
      </c>
      <c r="J3018">
        <v>0.51</v>
      </c>
      <c r="K3018" t="str" cm="1">
        <f t="array" ref="K3018">_xlfn.IFS(Table4_2[[#This Row],[Growth Days]]&lt;=14,"Seedling",Table4_2[[#This Row],[Growth Days]]&lt;=35, "Vegetative",Table4_2[[#This Row],[Growth Days]]&lt;=50, "Maturity")</f>
        <v>Seedling</v>
      </c>
      <c r="L3018" t="str">
        <f>IF(Table4_2[[#This Row],[TDS Value (ppm)]]&lt;560, "Low", IF(Table4_2[[#This Row],[TDS Value (ppm)]]&lt;=800,"Optimal","High"))</f>
        <v>Optimal</v>
      </c>
    </row>
    <row r="3019" spans="1:12" x14ac:dyDescent="0.25">
      <c r="A3019">
        <v>46</v>
      </c>
      <c r="B3019" s="1">
        <v>45158</v>
      </c>
      <c r="C3019" s="1" t="str">
        <f>TEXT(Table4_2[[#This Row],[Date]],"dddd")</f>
        <v>Sunday</v>
      </c>
      <c r="D3019" s="21">
        <v>30.9</v>
      </c>
      <c r="E3019" s="21">
        <v>72</v>
      </c>
      <c r="F3019" s="21">
        <v>531</v>
      </c>
      <c r="G3019" s="21">
        <v>6.1</v>
      </c>
      <c r="H3019">
        <v>18</v>
      </c>
      <c r="I3019">
        <v>87.62</v>
      </c>
      <c r="J3019">
        <v>0.72</v>
      </c>
      <c r="K3019" t="str" cm="1">
        <f t="array" ref="K3019">_xlfn.IFS(Table4_2[[#This Row],[Growth Days]]&lt;=14,"Seedling",Table4_2[[#This Row],[Growth Days]]&lt;=35, "Vegetative",Table4_2[[#This Row],[Growth Days]]&lt;=50, "Maturity")</f>
        <v>Vegetative</v>
      </c>
      <c r="L3019" t="str">
        <f>IF(Table4_2[[#This Row],[TDS Value (ppm)]]&lt;560, "Low", IF(Table4_2[[#This Row],[TDS Value (ppm)]]&lt;=800,"Optimal","High"))</f>
        <v>Low</v>
      </c>
    </row>
    <row r="3020" spans="1:12" x14ac:dyDescent="0.25">
      <c r="A3020">
        <v>46</v>
      </c>
      <c r="B3020" s="1">
        <v>45165</v>
      </c>
      <c r="C3020" s="1" t="str">
        <f>TEXT(Table4_2[[#This Row],[Date]],"dddd")</f>
        <v>Sunday</v>
      </c>
      <c r="D3020" s="21">
        <v>30.1</v>
      </c>
      <c r="E3020" s="21">
        <v>58</v>
      </c>
      <c r="F3020" s="21">
        <v>534</v>
      </c>
      <c r="G3020" s="21">
        <v>6.8</v>
      </c>
      <c r="H3020">
        <v>25</v>
      </c>
      <c r="I3020">
        <v>86.18</v>
      </c>
      <c r="J3020">
        <v>0.57999999999999996</v>
      </c>
      <c r="K3020" t="str" cm="1">
        <f t="array" ref="K3020">_xlfn.IFS(Table4_2[[#This Row],[Growth Days]]&lt;=14,"Seedling",Table4_2[[#This Row],[Growth Days]]&lt;=35, "Vegetative",Table4_2[[#This Row],[Growth Days]]&lt;=50, "Maturity")</f>
        <v>Vegetative</v>
      </c>
      <c r="L3020" t="str">
        <f>IF(Table4_2[[#This Row],[TDS Value (ppm)]]&lt;560, "Low", IF(Table4_2[[#This Row],[TDS Value (ppm)]]&lt;=800,"Optimal","High"))</f>
        <v>Low</v>
      </c>
    </row>
    <row r="3021" spans="1:12" x14ac:dyDescent="0.25">
      <c r="A3021">
        <v>46</v>
      </c>
      <c r="B3021" s="1">
        <v>45172</v>
      </c>
      <c r="C3021" s="1" t="str">
        <f>TEXT(Table4_2[[#This Row],[Date]],"dddd")</f>
        <v>Sunday</v>
      </c>
      <c r="D3021" s="21">
        <v>31.7</v>
      </c>
      <c r="E3021" s="21">
        <v>80</v>
      </c>
      <c r="F3021" s="21">
        <v>507</v>
      </c>
      <c r="G3021" s="21">
        <v>6.5</v>
      </c>
      <c r="H3021">
        <v>32</v>
      </c>
      <c r="I3021">
        <v>89.06</v>
      </c>
      <c r="J3021">
        <v>0.8</v>
      </c>
      <c r="K3021" t="str" cm="1">
        <f t="array" ref="K3021">_xlfn.IFS(Table4_2[[#This Row],[Growth Days]]&lt;=14,"Seedling",Table4_2[[#This Row],[Growth Days]]&lt;=35, "Vegetative",Table4_2[[#This Row],[Growth Days]]&lt;=50, "Maturity")</f>
        <v>Vegetative</v>
      </c>
      <c r="L3021" t="str">
        <f>IF(Table4_2[[#This Row],[TDS Value (ppm)]]&lt;560, "Low", IF(Table4_2[[#This Row],[TDS Value (ppm)]]&lt;=800,"Optimal","High"))</f>
        <v>Low</v>
      </c>
    </row>
    <row r="3022" spans="1:12" x14ac:dyDescent="0.25">
      <c r="A3022">
        <v>46</v>
      </c>
      <c r="B3022" s="1">
        <v>45179</v>
      </c>
      <c r="C3022" s="1" t="str">
        <f>TEXT(Table4_2[[#This Row],[Date]],"dddd")</f>
        <v>Sunday</v>
      </c>
      <c r="D3022" s="21">
        <v>31.1</v>
      </c>
      <c r="E3022" s="21">
        <v>52</v>
      </c>
      <c r="F3022" s="21">
        <v>630</v>
      </c>
      <c r="G3022" s="21">
        <v>6.8</v>
      </c>
      <c r="H3022">
        <v>39</v>
      </c>
      <c r="I3022">
        <v>87.98</v>
      </c>
      <c r="J3022">
        <v>0.52</v>
      </c>
      <c r="K3022" t="str" cm="1">
        <f t="array" ref="K3022">_xlfn.IFS(Table4_2[[#This Row],[Growth Days]]&lt;=14,"Seedling",Table4_2[[#This Row],[Growth Days]]&lt;=35, "Vegetative",Table4_2[[#This Row],[Growth Days]]&lt;=50, "Maturity")</f>
        <v>Maturity</v>
      </c>
      <c r="L3022" t="str">
        <f>IF(Table4_2[[#This Row],[TDS Value (ppm)]]&lt;560, "Low", IF(Table4_2[[#This Row],[TDS Value (ppm)]]&lt;=800,"Optimal","High"))</f>
        <v>Optimal</v>
      </c>
    </row>
    <row r="3023" spans="1:12" x14ac:dyDescent="0.25">
      <c r="A3023">
        <v>47</v>
      </c>
      <c r="B3023" s="1">
        <v>45144</v>
      </c>
      <c r="C3023" s="1" t="str">
        <f>TEXT(Table4_2[[#This Row],[Date]],"dddd")</f>
        <v>Sunday</v>
      </c>
      <c r="D3023" s="21">
        <v>33.4</v>
      </c>
      <c r="E3023" s="21">
        <v>70</v>
      </c>
      <c r="F3023" s="21">
        <v>522</v>
      </c>
      <c r="G3023" s="21">
        <v>6.2</v>
      </c>
      <c r="H3023">
        <v>4</v>
      </c>
      <c r="I3023">
        <v>92.12</v>
      </c>
      <c r="J3023">
        <v>0.7</v>
      </c>
      <c r="K3023" t="str" cm="1">
        <f t="array" ref="K3023">_xlfn.IFS(Table4_2[[#This Row],[Growth Days]]&lt;=14,"Seedling",Table4_2[[#This Row],[Growth Days]]&lt;=35, "Vegetative",Table4_2[[#This Row],[Growth Days]]&lt;=50, "Maturity")</f>
        <v>Seedling</v>
      </c>
      <c r="L3023" t="str">
        <f>IF(Table4_2[[#This Row],[TDS Value (ppm)]]&lt;560, "Low", IF(Table4_2[[#This Row],[TDS Value (ppm)]]&lt;=800,"Optimal","High"))</f>
        <v>Low</v>
      </c>
    </row>
    <row r="3024" spans="1:12" x14ac:dyDescent="0.25">
      <c r="A3024">
        <v>47</v>
      </c>
      <c r="B3024" s="1">
        <v>45151</v>
      </c>
      <c r="C3024" s="1" t="str">
        <f>TEXT(Table4_2[[#This Row],[Date]],"dddd")</f>
        <v>Sunday</v>
      </c>
      <c r="D3024" s="21">
        <v>30.1</v>
      </c>
      <c r="E3024" s="21">
        <v>60</v>
      </c>
      <c r="F3024" s="21">
        <v>421</v>
      </c>
      <c r="G3024" s="21">
        <v>6.5</v>
      </c>
      <c r="H3024">
        <v>11</v>
      </c>
      <c r="I3024">
        <v>86.18</v>
      </c>
      <c r="J3024">
        <v>0.6</v>
      </c>
      <c r="K3024" t="str" cm="1">
        <f t="array" ref="K3024">_xlfn.IFS(Table4_2[[#This Row],[Growth Days]]&lt;=14,"Seedling",Table4_2[[#This Row],[Growth Days]]&lt;=35, "Vegetative",Table4_2[[#This Row],[Growth Days]]&lt;=50, "Maturity")</f>
        <v>Seedling</v>
      </c>
      <c r="L3024" t="str">
        <f>IF(Table4_2[[#This Row],[TDS Value (ppm)]]&lt;560, "Low", IF(Table4_2[[#This Row],[TDS Value (ppm)]]&lt;=800,"Optimal","High"))</f>
        <v>Low</v>
      </c>
    </row>
    <row r="3025" spans="1:12" x14ac:dyDescent="0.25">
      <c r="A3025">
        <v>47</v>
      </c>
      <c r="B3025" s="1">
        <v>45158</v>
      </c>
      <c r="C3025" s="1" t="str">
        <f>TEXT(Table4_2[[#This Row],[Date]],"dddd")</f>
        <v>Sunday</v>
      </c>
      <c r="D3025" s="21">
        <v>30.9</v>
      </c>
      <c r="E3025" s="21">
        <v>70</v>
      </c>
      <c r="F3025" s="21">
        <v>651</v>
      </c>
      <c r="G3025" s="21">
        <v>6</v>
      </c>
      <c r="H3025">
        <v>18</v>
      </c>
      <c r="I3025">
        <v>87.62</v>
      </c>
      <c r="J3025">
        <v>0.7</v>
      </c>
      <c r="K3025" t="str" cm="1">
        <f t="array" ref="K3025">_xlfn.IFS(Table4_2[[#This Row],[Growth Days]]&lt;=14,"Seedling",Table4_2[[#This Row],[Growth Days]]&lt;=35, "Vegetative",Table4_2[[#This Row],[Growth Days]]&lt;=50, "Maturity")</f>
        <v>Vegetative</v>
      </c>
      <c r="L3025" t="str">
        <f>IF(Table4_2[[#This Row],[TDS Value (ppm)]]&lt;560, "Low", IF(Table4_2[[#This Row],[TDS Value (ppm)]]&lt;=800,"Optimal","High"))</f>
        <v>Optimal</v>
      </c>
    </row>
    <row r="3026" spans="1:12" x14ac:dyDescent="0.25">
      <c r="A3026">
        <v>47</v>
      </c>
      <c r="B3026" s="1">
        <v>45165</v>
      </c>
      <c r="C3026" s="1" t="str">
        <f>TEXT(Table4_2[[#This Row],[Date]],"dddd")</f>
        <v>Sunday</v>
      </c>
      <c r="D3026" s="21">
        <v>30.1</v>
      </c>
      <c r="E3026" s="21">
        <v>75</v>
      </c>
      <c r="F3026" s="21">
        <v>461</v>
      </c>
      <c r="G3026" s="21">
        <v>6.5</v>
      </c>
      <c r="H3026">
        <v>25</v>
      </c>
      <c r="I3026">
        <v>86.18</v>
      </c>
      <c r="J3026">
        <v>0.75</v>
      </c>
      <c r="K3026" t="str" cm="1">
        <f t="array" ref="K3026">_xlfn.IFS(Table4_2[[#This Row],[Growth Days]]&lt;=14,"Seedling",Table4_2[[#This Row],[Growth Days]]&lt;=35, "Vegetative",Table4_2[[#This Row],[Growth Days]]&lt;=50, "Maturity")</f>
        <v>Vegetative</v>
      </c>
      <c r="L3026" t="str">
        <f>IF(Table4_2[[#This Row],[TDS Value (ppm)]]&lt;560, "Low", IF(Table4_2[[#This Row],[TDS Value (ppm)]]&lt;=800,"Optimal","High"))</f>
        <v>Low</v>
      </c>
    </row>
    <row r="3027" spans="1:12" x14ac:dyDescent="0.25">
      <c r="A3027">
        <v>47</v>
      </c>
      <c r="B3027" s="1">
        <v>45172</v>
      </c>
      <c r="C3027" s="1" t="str">
        <f>TEXT(Table4_2[[#This Row],[Date]],"dddd")</f>
        <v>Sunday</v>
      </c>
      <c r="D3027" s="21">
        <v>31.7</v>
      </c>
      <c r="E3027" s="21">
        <v>75</v>
      </c>
      <c r="F3027" s="21">
        <v>409</v>
      </c>
      <c r="G3027" s="21">
        <v>6.2</v>
      </c>
      <c r="H3027">
        <v>32</v>
      </c>
      <c r="I3027">
        <v>89.06</v>
      </c>
      <c r="J3027">
        <v>0.75</v>
      </c>
      <c r="K3027" t="str" cm="1">
        <f t="array" ref="K3027">_xlfn.IFS(Table4_2[[#This Row],[Growth Days]]&lt;=14,"Seedling",Table4_2[[#This Row],[Growth Days]]&lt;=35, "Vegetative",Table4_2[[#This Row],[Growth Days]]&lt;=50, "Maturity")</f>
        <v>Vegetative</v>
      </c>
      <c r="L3027" t="str">
        <f>IF(Table4_2[[#This Row],[TDS Value (ppm)]]&lt;560, "Low", IF(Table4_2[[#This Row],[TDS Value (ppm)]]&lt;=800,"Optimal","High"))</f>
        <v>Low</v>
      </c>
    </row>
    <row r="3028" spans="1:12" x14ac:dyDescent="0.25">
      <c r="A3028">
        <v>47</v>
      </c>
      <c r="B3028" s="1">
        <v>45179</v>
      </c>
      <c r="C3028" s="1" t="str">
        <f>TEXT(Table4_2[[#This Row],[Date]],"dddd")</f>
        <v>Sunday</v>
      </c>
      <c r="D3028" s="21">
        <v>31.1</v>
      </c>
      <c r="E3028" s="21">
        <v>57</v>
      </c>
      <c r="F3028" s="21">
        <v>716</v>
      </c>
      <c r="G3028" s="21">
        <v>6.2</v>
      </c>
      <c r="H3028">
        <v>39</v>
      </c>
      <c r="I3028">
        <v>87.98</v>
      </c>
      <c r="J3028">
        <v>0.56999999999999995</v>
      </c>
      <c r="K3028" t="str" cm="1">
        <f t="array" ref="K3028">_xlfn.IFS(Table4_2[[#This Row],[Growth Days]]&lt;=14,"Seedling",Table4_2[[#This Row],[Growth Days]]&lt;=35, "Vegetative",Table4_2[[#This Row],[Growth Days]]&lt;=50, "Maturity")</f>
        <v>Maturity</v>
      </c>
      <c r="L3028" t="str">
        <f>IF(Table4_2[[#This Row],[TDS Value (ppm)]]&lt;560, "Low", IF(Table4_2[[#This Row],[TDS Value (ppm)]]&lt;=800,"Optimal","High"))</f>
        <v>Optimal</v>
      </c>
    </row>
    <row r="3029" spans="1:12" x14ac:dyDescent="0.25">
      <c r="A3029">
        <v>48</v>
      </c>
      <c r="B3029" s="1">
        <v>45144</v>
      </c>
      <c r="C3029" s="1" t="str">
        <f>TEXT(Table4_2[[#This Row],[Date]],"dddd")</f>
        <v>Sunday</v>
      </c>
      <c r="D3029" s="21">
        <v>33.4</v>
      </c>
      <c r="E3029" s="21">
        <v>70</v>
      </c>
      <c r="F3029" s="21">
        <v>571</v>
      </c>
      <c r="G3029" s="21">
        <v>6</v>
      </c>
      <c r="H3029">
        <v>4</v>
      </c>
      <c r="I3029">
        <v>92.12</v>
      </c>
      <c r="J3029">
        <v>0.7</v>
      </c>
      <c r="K3029" t="str" cm="1">
        <f t="array" ref="K3029">_xlfn.IFS(Table4_2[[#This Row],[Growth Days]]&lt;=14,"Seedling",Table4_2[[#This Row],[Growth Days]]&lt;=35, "Vegetative",Table4_2[[#This Row],[Growth Days]]&lt;=50, "Maturity")</f>
        <v>Seedling</v>
      </c>
      <c r="L3029" t="str">
        <f>IF(Table4_2[[#This Row],[TDS Value (ppm)]]&lt;560, "Low", IF(Table4_2[[#This Row],[TDS Value (ppm)]]&lt;=800,"Optimal","High"))</f>
        <v>Optimal</v>
      </c>
    </row>
    <row r="3030" spans="1:12" x14ac:dyDescent="0.25">
      <c r="A3030">
        <v>48</v>
      </c>
      <c r="B3030" s="1">
        <v>45151</v>
      </c>
      <c r="C3030" s="1" t="str">
        <f>TEXT(Table4_2[[#This Row],[Date]],"dddd")</f>
        <v>Sunday</v>
      </c>
      <c r="D3030" s="21">
        <v>30.1</v>
      </c>
      <c r="E3030" s="21">
        <v>52</v>
      </c>
      <c r="F3030" s="21">
        <v>597</v>
      </c>
      <c r="G3030" s="21">
        <v>6.3</v>
      </c>
      <c r="H3030">
        <v>11</v>
      </c>
      <c r="I3030">
        <v>86.18</v>
      </c>
      <c r="J3030">
        <v>0.52</v>
      </c>
      <c r="K3030" t="str" cm="1">
        <f t="array" ref="K3030">_xlfn.IFS(Table4_2[[#This Row],[Growth Days]]&lt;=14,"Seedling",Table4_2[[#This Row],[Growth Days]]&lt;=35, "Vegetative",Table4_2[[#This Row],[Growth Days]]&lt;=50, "Maturity")</f>
        <v>Seedling</v>
      </c>
      <c r="L3030" t="str">
        <f>IF(Table4_2[[#This Row],[TDS Value (ppm)]]&lt;560, "Low", IF(Table4_2[[#This Row],[TDS Value (ppm)]]&lt;=800,"Optimal","High"))</f>
        <v>Optimal</v>
      </c>
    </row>
    <row r="3031" spans="1:12" x14ac:dyDescent="0.25">
      <c r="A3031">
        <v>48</v>
      </c>
      <c r="B3031" s="1">
        <v>45158</v>
      </c>
      <c r="C3031" s="1" t="str">
        <f>TEXT(Table4_2[[#This Row],[Date]],"dddd")</f>
        <v>Sunday</v>
      </c>
      <c r="D3031" s="21">
        <v>30.9</v>
      </c>
      <c r="E3031" s="21">
        <v>71</v>
      </c>
      <c r="F3031" s="21">
        <v>481</v>
      </c>
      <c r="G3031" s="21">
        <v>6.2</v>
      </c>
      <c r="H3031">
        <v>18</v>
      </c>
      <c r="I3031">
        <v>87.62</v>
      </c>
      <c r="J3031">
        <v>0.71</v>
      </c>
      <c r="K3031" t="str" cm="1">
        <f t="array" ref="K3031">_xlfn.IFS(Table4_2[[#This Row],[Growth Days]]&lt;=14,"Seedling",Table4_2[[#This Row],[Growth Days]]&lt;=35, "Vegetative",Table4_2[[#This Row],[Growth Days]]&lt;=50, "Maturity")</f>
        <v>Vegetative</v>
      </c>
      <c r="L3031" t="str">
        <f>IF(Table4_2[[#This Row],[TDS Value (ppm)]]&lt;560, "Low", IF(Table4_2[[#This Row],[TDS Value (ppm)]]&lt;=800,"Optimal","High"))</f>
        <v>Low</v>
      </c>
    </row>
    <row r="3032" spans="1:12" x14ac:dyDescent="0.25">
      <c r="A3032">
        <v>48</v>
      </c>
      <c r="B3032" s="1">
        <v>45165</v>
      </c>
      <c r="C3032" s="1" t="str">
        <f>TEXT(Table4_2[[#This Row],[Date]],"dddd")</f>
        <v>Sunday</v>
      </c>
      <c r="D3032" s="21">
        <v>30.1</v>
      </c>
      <c r="E3032" s="21">
        <v>59</v>
      </c>
      <c r="F3032" s="21">
        <v>682</v>
      </c>
      <c r="G3032" s="21">
        <v>6.3</v>
      </c>
      <c r="H3032">
        <v>25</v>
      </c>
      <c r="I3032">
        <v>86.18</v>
      </c>
      <c r="J3032">
        <v>0.59</v>
      </c>
      <c r="K3032" t="str" cm="1">
        <f t="array" ref="K3032">_xlfn.IFS(Table4_2[[#This Row],[Growth Days]]&lt;=14,"Seedling",Table4_2[[#This Row],[Growth Days]]&lt;=35, "Vegetative",Table4_2[[#This Row],[Growth Days]]&lt;=50, "Maturity")</f>
        <v>Vegetative</v>
      </c>
      <c r="L3032" t="str">
        <f>IF(Table4_2[[#This Row],[TDS Value (ppm)]]&lt;560, "Low", IF(Table4_2[[#This Row],[TDS Value (ppm)]]&lt;=800,"Optimal","High"))</f>
        <v>Optimal</v>
      </c>
    </row>
    <row r="3033" spans="1:12" x14ac:dyDescent="0.25">
      <c r="A3033">
        <v>48</v>
      </c>
      <c r="B3033" s="1">
        <v>45172</v>
      </c>
      <c r="C3033" s="1" t="str">
        <f>TEXT(Table4_2[[#This Row],[Date]],"dddd")</f>
        <v>Sunday</v>
      </c>
      <c r="D3033" s="21">
        <v>31.7</v>
      </c>
      <c r="E3033" s="21">
        <v>77</v>
      </c>
      <c r="F3033" s="21">
        <v>473</v>
      </c>
      <c r="G3033" s="21">
        <v>6.8</v>
      </c>
      <c r="H3033">
        <v>32</v>
      </c>
      <c r="I3033">
        <v>89.06</v>
      </c>
      <c r="J3033">
        <v>0.77</v>
      </c>
      <c r="K3033" t="str" cm="1">
        <f t="array" ref="K3033">_xlfn.IFS(Table4_2[[#This Row],[Growth Days]]&lt;=14,"Seedling",Table4_2[[#This Row],[Growth Days]]&lt;=35, "Vegetative",Table4_2[[#This Row],[Growth Days]]&lt;=50, "Maturity")</f>
        <v>Vegetative</v>
      </c>
      <c r="L3033" t="str">
        <f>IF(Table4_2[[#This Row],[TDS Value (ppm)]]&lt;560, "Low", IF(Table4_2[[#This Row],[TDS Value (ppm)]]&lt;=800,"Optimal","High"))</f>
        <v>Low</v>
      </c>
    </row>
    <row r="3034" spans="1:12" x14ac:dyDescent="0.25">
      <c r="A3034">
        <v>48</v>
      </c>
      <c r="B3034" s="1">
        <v>45179</v>
      </c>
      <c r="C3034" s="1" t="str">
        <f>TEXT(Table4_2[[#This Row],[Date]],"dddd")</f>
        <v>Sunday</v>
      </c>
      <c r="D3034" s="21">
        <v>31.1</v>
      </c>
      <c r="E3034" s="21">
        <v>74</v>
      </c>
      <c r="F3034" s="21">
        <v>455</v>
      </c>
      <c r="G3034" s="21">
        <v>6.3</v>
      </c>
      <c r="H3034">
        <v>39</v>
      </c>
      <c r="I3034">
        <v>87.98</v>
      </c>
      <c r="J3034">
        <v>0.74</v>
      </c>
      <c r="K3034" t="str" cm="1">
        <f t="array" ref="K3034">_xlfn.IFS(Table4_2[[#This Row],[Growth Days]]&lt;=14,"Seedling",Table4_2[[#This Row],[Growth Days]]&lt;=35, "Vegetative",Table4_2[[#This Row],[Growth Days]]&lt;=50, "Maturity")</f>
        <v>Maturity</v>
      </c>
      <c r="L3034" t="str">
        <f>IF(Table4_2[[#This Row],[TDS Value (ppm)]]&lt;560, "Low", IF(Table4_2[[#This Row],[TDS Value (ppm)]]&lt;=800,"Optimal","High"))</f>
        <v>Low</v>
      </c>
    </row>
    <row r="3035" spans="1:12" x14ac:dyDescent="0.25">
      <c r="A3035">
        <v>48</v>
      </c>
      <c r="B3035" s="1">
        <v>45186</v>
      </c>
      <c r="C3035" s="1" t="str">
        <f>TEXT(Table4_2[[#This Row],[Date]],"dddd")</f>
        <v>Sunday</v>
      </c>
      <c r="D3035" s="21">
        <v>29.4</v>
      </c>
      <c r="E3035" s="21">
        <v>55</v>
      </c>
      <c r="F3035" s="21">
        <v>554</v>
      </c>
      <c r="G3035" s="21">
        <v>6.6</v>
      </c>
      <c r="H3035">
        <v>46</v>
      </c>
      <c r="I3035">
        <v>84.92</v>
      </c>
      <c r="J3035">
        <v>0.55000000000000004</v>
      </c>
      <c r="K3035" t="str" cm="1">
        <f t="array" ref="K3035">_xlfn.IFS(Table4_2[[#This Row],[Growth Days]]&lt;=14,"Seedling",Table4_2[[#This Row],[Growth Days]]&lt;=35, "Vegetative",Table4_2[[#This Row],[Growth Days]]&lt;=50, "Maturity")</f>
        <v>Maturity</v>
      </c>
      <c r="L3035" t="str">
        <f>IF(Table4_2[[#This Row],[TDS Value (ppm)]]&lt;560, "Low", IF(Table4_2[[#This Row],[TDS Value (ppm)]]&lt;=800,"Optimal","High"))</f>
        <v>Low</v>
      </c>
    </row>
    <row r="3036" spans="1:12" x14ac:dyDescent="0.25">
      <c r="A3036">
        <v>49</v>
      </c>
      <c r="B3036" s="1">
        <v>45144</v>
      </c>
      <c r="C3036" s="1" t="str">
        <f>TEXT(Table4_2[[#This Row],[Date]],"dddd")</f>
        <v>Sunday</v>
      </c>
      <c r="D3036" s="21">
        <v>33.4</v>
      </c>
      <c r="E3036" s="21">
        <v>65</v>
      </c>
      <c r="F3036" s="21">
        <v>664</v>
      </c>
      <c r="G3036" s="21">
        <v>6.4</v>
      </c>
      <c r="H3036">
        <v>4</v>
      </c>
      <c r="I3036">
        <v>92.12</v>
      </c>
      <c r="J3036">
        <v>0.65</v>
      </c>
      <c r="K3036" t="str" cm="1">
        <f t="array" ref="K3036">_xlfn.IFS(Table4_2[[#This Row],[Growth Days]]&lt;=14,"Seedling",Table4_2[[#This Row],[Growth Days]]&lt;=35, "Vegetative",Table4_2[[#This Row],[Growth Days]]&lt;=50, "Maturity")</f>
        <v>Seedling</v>
      </c>
      <c r="L3036" t="str">
        <f>IF(Table4_2[[#This Row],[TDS Value (ppm)]]&lt;560, "Low", IF(Table4_2[[#This Row],[TDS Value (ppm)]]&lt;=800,"Optimal","High"))</f>
        <v>Optimal</v>
      </c>
    </row>
    <row r="3037" spans="1:12" x14ac:dyDescent="0.25">
      <c r="A3037">
        <v>49</v>
      </c>
      <c r="B3037" s="1">
        <v>45151</v>
      </c>
      <c r="C3037" s="1" t="str">
        <f>TEXT(Table4_2[[#This Row],[Date]],"dddd")</f>
        <v>Sunday</v>
      </c>
      <c r="D3037" s="21">
        <v>30.1</v>
      </c>
      <c r="E3037" s="21">
        <v>60</v>
      </c>
      <c r="F3037" s="21">
        <v>604</v>
      </c>
      <c r="G3037" s="21">
        <v>6.2</v>
      </c>
      <c r="H3037">
        <v>11</v>
      </c>
      <c r="I3037">
        <v>86.18</v>
      </c>
      <c r="J3037">
        <v>0.6</v>
      </c>
      <c r="K3037" t="str" cm="1">
        <f t="array" ref="K3037">_xlfn.IFS(Table4_2[[#This Row],[Growth Days]]&lt;=14,"Seedling",Table4_2[[#This Row],[Growth Days]]&lt;=35, "Vegetative",Table4_2[[#This Row],[Growth Days]]&lt;=50, "Maturity")</f>
        <v>Seedling</v>
      </c>
      <c r="L3037" t="str">
        <f>IF(Table4_2[[#This Row],[TDS Value (ppm)]]&lt;560, "Low", IF(Table4_2[[#This Row],[TDS Value (ppm)]]&lt;=800,"Optimal","High"))</f>
        <v>Optimal</v>
      </c>
    </row>
    <row r="3038" spans="1:12" x14ac:dyDescent="0.25">
      <c r="A3038">
        <v>49</v>
      </c>
      <c r="B3038" s="1">
        <v>45158</v>
      </c>
      <c r="C3038" s="1" t="str">
        <f>TEXT(Table4_2[[#This Row],[Date]],"dddd")</f>
        <v>Sunday</v>
      </c>
      <c r="D3038" s="21">
        <v>30.9</v>
      </c>
      <c r="E3038" s="21">
        <v>62</v>
      </c>
      <c r="F3038" s="21">
        <v>456</v>
      </c>
      <c r="G3038" s="21">
        <v>6.6</v>
      </c>
      <c r="H3038">
        <v>18</v>
      </c>
      <c r="I3038">
        <v>87.62</v>
      </c>
      <c r="J3038">
        <v>0.62</v>
      </c>
      <c r="K3038" t="str" cm="1">
        <f t="array" ref="K3038">_xlfn.IFS(Table4_2[[#This Row],[Growth Days]]&lt;=14,"Seedling",Table4_2[[#This Row],[Growth Days]]&lt;=35, "Vegetative",Table4_2[[#This Row],[Growth Days]]&lt;=50, "Maturity")</f>
        <v>Vegetative</v>
      </c>
      <c r="L3038" t="str">
        <f>IF(Table4_2[[#This Row],[TDS Value (ppm)]]&lt;560, "Low", IF(Table4_2[[#This Row],[TDS Value (ppm)]]&lt;=800,"Optimal","High"))</f>
        <v>Low</v>
      </c>
    </row>
    <row r="3039" spans="1:12" x14ac:dyDescent="0.25">
      <c r="A3039">
        <v>49</v>
      </c>
      <c r="B3039" s="1">
        <v>45165</v>
      </c>
      <c r="C3039" s="1" t="str">
        <f>TEXT(Table4_2[[#This Row],[Date]],"dddd")</f>
        <v>Sunday</v>
      </c>
      <c r="D3039" s="21">
        <v>30.1</v>
      </c>
      <c r="E3039" s="21">
        <v>78</v>
      </c>
      <c r="F3039" s="21">
        <v>586</v>
      </c>
      <c r="G3039" s="21">
        <v>6.3</v>
      </c>
      <c r="H3039">
        <v>25</v>
      </c>
      <c r="I3039">
        <v>86.18</v>
      </c>
      <c r="J3039">
        <v>0.78</v>
      </c>
      <c r="K3039" t="str" cm="1">
        <f t="array" ref="K3039">_xlfn.IFS(Table4_2[[#This Row],[Growth Days]]&lt;=14,"Seedling",Table4_2[[#This Row],[Growth Days]]&lt;=35, "Vegetative",Table4_2[[#This Row],[Growth Days]]&lt;=50, "Maturity")</f>
        <v>Vegetative</v>
      </c>
      <c r="L3039" t="str">
        <f>IF(Table4_2[[#This Row],[TDS Value (ppm)]]&lt;560, "Low", IF(Table4_2[[#This Row],[TDS Value (ppm)]]&lt;=800,"Optimal","High"))</f>
        <v>Optimal</v>
      </c>
    </row>
    <row r="3040" spans="1:12" x14ac:dyDescent="0.25">
      <c r="A3040">
        <v>49</v>
      </c>
      <c r="B3040" s="1">
        <v>45172</v>
      </c>
      <c r="C3040" s="1" t="str">
        <f>TEXT(Table4_2[[#This Row],[Date]],"dddd")</f>
        <v>Sunday</v>
      </c>
      <c r="D3040" s="21">
        <v>31.7</v>
      </c>
      <c r="E3040" s="21">
        <v>68</v>
      </c>
      <c r="F3040" s="21">
        <v>566</v>
      </c>
      <c r="G3040" s="21">
        <v>6.4</v>
      </c>
      <c r="H3040">
        <v>32</v>
      </c>
      <c r="I3040">
        <v>89.06</v>
      </c>
      <c r="J3040">
        <v>0.68</v>
      </c>
      <c r="K3040" t="str" cm="1">
        <f t="array" ref="K3040">_xlfn.IFS(Table4_2[[#This Row],[Growth Days]]&lt;=14,"Seedling",Table4_2[[#This Row],[Growth Days]]&lt;=35, "Vegetative",Table4_2[[#This Row],[Growth Days]]&lt;=50, "Maturity")</f>
        <v>Vegetative</v>
      </c>
      <c r="L3040" t="str">
        <f>IF(Table4_2[[#This Row],[TDS Value (ppm)]]&lt;560, "Low", IF(Table4_2[[#This Row],[TDS Value (ppm)]]&lt;=800,"Optimal","High"))</f>
        <v>Optimal</v>
      </c>
    </row>
    <row r="3041" spans="1:12" x14ac:dyDescent="0.25">
      <c r="A3041">
        <v>49</v>
      </c>
      <c r="B3041" s="1">
        <v>45179</v>
      </c>
      <c r="C3041" s="1" t="str">
        <f>TEXT(Table4_2[[#This Row],[Date]],"dddd")</f>
        <v>Sunday</v>
      </c>
      <c r="D3041" s="21">
        <v>31.1</v>
      </c>
      <c r="E3041" s="21">
        <v>77</v>
      </c>
      <c r="F3041" s="21">
        <v>714</v>
      </c>
      <c r="G3041" s="21">
        <v>6</v>
      </c>
      <c r="H3041">
        <v>39</v>
      </c>
      <c r="I3041">
        <v>87.98</v>
      </c>
      <c r="J3041">
        <v>0.77</v>
      </c>
      <c r="K3041" t="str" cm="1">
        <f t="array" ref="K3041">_xlfn.IFS(Table4_2[[#This Row],[Growth Days]]&lt;=14,"Seedling",Table4_2[[#This Row],[Growth Days]]&lt;=35, "Vegetative",Table4_2[[#This Row],[Growth Days]]&lt;=50, "Maturity")</f>
        <v>Maturity</v>
      </c>
      <c r="L3041" t="str">
        <f>IF(Table4_2[[#This Row],[TDS Value (ppm)]]&lt;560, "Low", IF(Table4_2[[#This Row],[TDS Value (ppm)]]&lt;=800,"Optimal","High"))</f>
        <v>Optimal</v>
      </c>
    </row>
    <row r="3042" spans="1:12" x14ac:dyDescent="0.25">
      <c r="A3042">
        <v>50</v>
      </c>
      <c r="B3042" s="1">
        <v>45144</v>
      </c>
      <c r="C3042" s="1" t="str">
        <f>TEXT(Table4_2[[#This Row],[Date]],"dddd")</f>
        <v>Sunday</v>
      </c>
      <c r="D3042" s="21">
        <v>33.4</v>
      </c>
      <c r="E3042" s="21">
        <v>61</v>
      </c>
      <c r="F3042" s="21">
        <v>578</v>
      </c>
      <c r="G3042" s="21">
        <v>6.1</v>
      </c>
      <c r="H3042">
        <v>4</v>
      </c>
      <c r="I3042">
        <v>92.12</v>
      </c>
      <c r="J3042">
        <v>0.61</v>
      </c>
      <c r="K3042" t="str" cm="1">
        <f t="array" ref="K3042">_xlfn.IFS(Table4_2[[#This Row],[Growth Days]]&lt;=14,"Seedling",Table4_2[[#This Row],[Growth Days]]&lt;=35, "Vegetative",Table4_2[[#This Row],[Growth Days]]&lt;=50, "Maturity")</f>
        <v>Seedling</v>
      </c>
      <c r="L3042" t="str">
        <f>IF(Table4_2[[#This Row],[TDS Value (ppm)]]&lt;560, "Low", IF(Table4_2[[#This Row],[TDS Value (ppm)]]&lt;=800,"Optimal","High"))</f>
        <v>Optimal</v>
      </c>
    </row>
    <row r="3043" spans="1:12" x14ac:dyDescent="0.25">
      <c r="A3043">
        <v>50</v>
      </c>
      <c r="B3043" s="1">
        <v>45151</v>
      </c>
      <c r="C3043" s="1" t="str">
        <f>TEXT(Table4_2[[#This Row],[Date]],"dddd")</f>
        <v>Sunday</v>
      </c>
      <c r="D3043" s="21">
        <v>30.1</v>
      </c>
      <c r="E3043" s="21">
        <v>77</v>
      </c>
      <c r="F3043" s="21">
        <v>798</v>
      </c>
      <c r="G3043" s="21">
        <v>6.7</v>
      </c>
      <c r="H3043">
        <v>11</v>
      </c>
      <c r="I3043">
        <v>86.18</v>
      </c>
      <c r="J3043">
        <v>0.77</v>
      </c>
      <c r="K3043" t="str" cm="1">
        <f t="array" ref="K3043">_xlfn.IFS(Table4_2[[#This Row],[Growth Days]]&lt;=14,"Seedling",Table4_2[[#This Row],[Growth Days]]&lt;=35, "Vegetative",Table4_2[[#This Row],[Growth Days]]&lt;=50, "Maturity")</f>
        <v>Seedling</v>
      </c>
      <c r="L3043" t="str">
        <f>IF(Table4_2[[#This Row],[TDS Value (ppm)]]&lt;560, "Low", IF(Table4_2[[#This Row],[TDS Value (ppm)]]&lt;=800,"Optimal","High"))</f>
        <v>Optimal</v>
      </c>
    </row>
    <row r="3044" spans="1:12" x14ac:dyDescent="0.25">
      <c r="A3044">
        <v>50</v>
      </c>
      <c r="B3044" s="1">
        <v>45158</v>
      </c>
      <c r="C3044" s="1" t="str">
        <f>TEXT(Table4_2[[#This Row],[Date]],"dddd")</f>
        <v>Sunday</v>
      </c>
      <c r="D3044" s="21">
        <v>30.9</v>
      </c>
      <c r="E3044" s="21">
        <v>54</v>
      </c>
      <c r="F3044" s="21">
        <v>568</v>
      </c>
      <c r="G3044" s="21">
        <v>6.4</v>
      </c>
      <c r="H3044">
        <v>18</v>
      </c>
      <c r="I3044">
        <v>87.62</v>
      </c>
      <c r="J3044">
        <v>0.54</v>
      </c>
      <c r="K3044" t="str" cm="1">
        <f t="array" ref="K3044">_xlfn.IFS(Table4_2[[#This Row],[Growth Days]]&lt;=14,"Seedling",Table4_2[[#This Row],[Growth Days]]&lt;=35, "Vegetative",Table4_2[[#This Row],[Growth Days]]&lt;=50, "Maturity")</f>
        <v>Vegetative</v>
      </c>
      <c r="L3044" t="str">
        <f>IF(Table4_2[[#This Row],[TDS Value (ppm)]]&lt;560, "Low", IF(Table4_2[[#This Row],[TDS Value (ppm)]]&lt;=800,"Optimal","High"))</f>
        <v>Optimal</v>
      </c>
    </row>
    <row r="3045" spans="1:12" x14ac:dyDescent="0.25">
      <c r="A3045">
        <v>50</v>
      </c>
      <c r="B3045" s="1">
        <v>45165</v>
      </c>
      <c r="C3045" s="1" t="str">
        <f>TEXT(Table4_2[[#This Row],[Date]],"dddd")</f>
        <v>Sunday</v>
      </c>
      <c r="D3045" s="21">
        <v>30.1</v>
      </c>
      <c r="E3045" s="21">
        <v>63</v>
      </c>
      <c r="F3045" s="21">
        <v>702</v>
      </c>
      <c r="G3045" s="21">
        <v>6.2</v>
      </c>
      <c r="H3045">
        <v>25</v>
      </c>
      <c r="I3045">
        <v>86.18</v>
      </c>
      <c r="J3045">
        <v>0.63</v>
      </c>
      <c r="K3045" t="str" cm="1">
        <f t="array" ref="K3045">_xlfn.IFS(Table4_2[[#This Row],[Growth Days]]&lt;=14,"Seedling",Table4_2[[#This Row],[Growth Days]]&lt;=35, "Vegetative",Table4_2[[#This Row],[Growth Days]]&lt;=50, "Maturity")</f>
        <v>Vegetative</v>
      </c>
      <c r="L3045" t="str">
        <f>IF(Table4_2[[#This Row],[TDS Value (ppm)]]&lt;560, "Low", IF(Table4_2[[#This Row],[TDS Value (ppm)]]&lt;=800,"Optimal","High"))</f>
        <v>Optimal</v>
      </c>
    </row>
    <row r="3046" spans="1:12" x14ac:dyDescent="0.25">
      <c r="A3046">
        <v>50</v>
      </c>
      <c r="B3046" s="1">
        <v>45172</v>
      </c>
      <c r="C3046" s="1" t="str">
        <f>TEXT(Table4_2[[#This Row],[Date]],"dddd")</f>
        <v>Sunday</v>
      </c>
      <c r="D3046" s="21">
        <v>31.7</v>
      </c>
      <c r="E3046" s="21">
        <v>54</v>
      </c>
      <c r="F3046" s="21">
        <v>450</v>
      </c>
      <c r="G3046" s="21">
        <v>6</v>
      </c>
      <c r="H3046">
        <v>32</v>
      </c>
      <c r="I3046">
        <v>89.06</v>
      </c>
      <c r="J3046">
        <v>0.54</v>
      </c>
      <c r="K3046" t="str" cm="1">
        <f t="array" ref="K3046">_xlfn.IFS(Table4_2[[#This Row],[Growth Days]]&lt;=14,"Seedling",Table4_2[[#This Row],[Growth Days]]&lt;=35, "Vegetative",Table4_2[[#This Row],[Growth Days]]&lt;=50, "Maturity")</f>
        <v>Vegetative</v>
      </c>
      <c r="L3046" t="str">
        <f>IF(Table4_2[[#This Row],[TDS Value (ppm)]]&lt;560, "Low", IF(Table4_2[[#This Row],[TDS Value (ppm)]]&lt;=800,"Optimal","High"))</f>
        <v>Low</v>
      </c>
    </row>
    <row r="3047" spans="1:12" x14ac:dyDescent="0.25">
      <c r="A3047">
        <v>50</v>
      </c>
      <c r="B3047" s="1">
        <v>45179</v>
      </c>
      <c r="C3047" s="1" t="str">
        <f>TEXT(Table4_2[[#This Row],[Date]],"dddd")</f>
        <v>Sunday</v>
      </c>
      <c r="D3047" s="21">
        <v>31.1</v>
      </c>
      <c r="E3047" s="21">
        <v>51</v>
      </c>
      <c r="F3047" s="21">
        <v>462</v>
      </c>
      <c r="G3047" s="21">
        <v>6.1</v>
      </c>
      <c r="H3047">
        <v>39</v>
      </c>
      <c r="I3047">
        <v>87.98</v>
      </c>
      <c r="J3047">
        <v>0.51</v>
      </c>
      <c r="K3047" t="str" cm="1">
        <f t="array" ref="K3047">_xlfn.IFS(Table4_2[[#This Row],[Growth Days]]&lt;=14,"Seedling",Table4_2[[#This Row],[Growth Days]]&lt;=35, "Vegetative",Table4_2[[#This Row],[Growth Days]]&lt;=50, "Maturity")</f>
        <v>Maturity</v>
      </c>
      <c r="L3047" t="str">
        <f>IF(Table4_2[[#This Row],[TDS Value (ppm)]]&lt;560, "Low", IF(Table4_2[[#This Row],[TDS Value (ppm)]]&lt;=800,"Optimal","High"))</f>
        <v>Low</v>
      </c>
    </row>
    <row r="3048" spans="1:12" x14ac:dyDescent="0.25">
      <c r="A3048">
        <v>51</v>
      </c>
      <c r="B3048" s="1">
        <v>45144</v>
      </c>
      <c r="C3048" s="1" t="str">
        <f>TEXT(Table4_2[[#This Row],[Date]],"dddd")</f>
        <v>Sunday</v>
      </c>
      <c r="D3048" s="21">
        <v>33.4</v>
      </c>
      <c r="E3048" s="21">
        <v>59</v>
      </c>
      <c r="F3048" s="21">
        <v>619</v>
      </c>
      <c r="G3048" s="21">
        <v>6.4</v>
      </c>
      <c r="H3048">
        <v>4</v>
      </c>
      <c r="I3048">
        <v>92.12</v>
      </c>
      <c r="J3048">
        <v>0.59</v>
      </c>
      <c r="K3048" t="str" cm="1">
        <f t="array" ref="K3048">_xlfn.IFS(Table4_2[[#This Row],[Growth Days]]&lt;=14,"Seedling",Table4_2[[#This Row],[Growth Days]]&lt;=35, "Vegetative",Table4_2[[#This Row],[Growth Days]]&lt;=50, "Maturity")</f>
        <v>Seedling</v>
      </c>
      <c r="L3048" t="str">
        <f>IF(Table4_2[[#This Row],[TDS Value (ppm)]]&lt;560, "Low", IF(Table4_2[[#This Row],[TDS Value (ppm)]]&lt;=800,"Optimal","High"))</f>
        <v>Optimal</v>
      </c>
    </row>
    <row r="3049" spans="1:12" x14ac:dyDescent="0.25">
      <c r="A3049">
        <v>51</v>
      </c>
      <c r="B3049" s="1">
        <v>45151</v>
      </c>
      <c r="C3049" s="1" t="str">
        <f>TEXT(Table4_2[[#This Row],[Date]],"dddd")</f>
        <v>Sunday</v>
      </c>
      <c r="D3049" s="21">
        <v>30.1</v>
      </c>
      <c r="E3049" s="21">
        <v>76</v>
      </c>
      <c r="F3049" s="21">
        <v>739</v>
      </c>
      <c r="G3049" s="21">
        <v>6.6</v>
      </c>
      <c r="H3049">
        <v>11</v>
      </c>
      <c r="I3049">
        <v>86.18</v>
      </c>
      <c r="J3049">
        <v>0.76</v>
      </c>
      <c r="K3049" t="str" cm="1">
        <f t="array" ref="K3049">_xlfn.IFS(Table4_2[[#This Row],[Growth Days]]&lt;=14,"Seedling",Table4_2[[#This Row],[Growth Days]]&lt;=35, "Vegetative",Table4_2[[#This Row],[Growth Days]]&lt;=50, "Maturity")</f>
        <v>Seedling</v>
      </c>
      <c r="L3049" t="str">
        <f>IF(Table4_2[[#This Row],[TDS Value (ppm)]]&lt;560, "Low", IF(Table4_2[[#This Row],[TDS Value (ppm)]]&lt;=800,"Optimal","High"))</f>
        <v>Optimal</v>
      </c>
    </row>
    <row r="3050" spans="1:12" x14ac:dyDescent="0.25">
      <c r="A3050">
        <v>51</v>
      </c>
      <c r="B3050" s="1">
        <v>45158</v>
      </c>
      <c r="C3050" s="1" t="str">
        <f>TEXT(Table4_2[[#This Row],[Date]],"dddd")</f>
        <v>Sunday</v>
      </c>
      <c r="D3050" s="21">
        <v>30.9</v>
      </c>
      <c r="E3050" s="21">
        <v>66</v>
      </c>
      <c r="F3050" s="21">
        <v>717</v>
      </c>
      <c r="G3050" s="21">
        <v>6.5</v>
      </c>
      <c r="H3050">
        <v>18</v>
      </c>
      <c r="I3050">
        <v>87.62</v>
      </c>
      <c r="J3050">
        <v>0.66</v>
      </c>
      <c r="K3050" t="str" cm="1">
        <f t="array" ref="K3050">_xlfn.IFS(Table4_2[[#This Row],[Growth Days]]&lt;=14,"Seedling",Table4_2[[#This Row],[Growth Days]]&lt;=35, "Vegetative",Table4_2[[#This Row],[Growth Days]]&lt;=50, "Maturity")</f>
        <v>Vegetative</v>
      </c>
      <c r="L3050" t="str">
        <f>IF(Table4_2[[#This Row],[TDS Value (ppm)]]&lt;560, "Low", IF(Table4_2[[#This Row],[TDS Value (ppm)]]&lt;=800,"Optimal","High"))</f>
        <v>Optimal</v>
      </c>
    </row>
    <row r="3051" spans="1:12" x14ac:dyDescent="0.25">
      <c r="A3051">
        <v>51</v>
      </c>
      <c r="B3051" s="1">
        <v>45165</v>
      </c>
      <c r="C3051" s="1" t="str">
        <f>TEXT(Table4_2[[#This Row],[Date]],"dddd")</f>
        <v>Sunday</v>
      </c>
      <c r="D3051" s="21">
        <v>30.1</v>
      </c>
      <c r="E3051" s="21">
        <v>65</v>
      </c>
      <c r="F3051" s="21">
        <v>762</v>
      </c>
      <c r="G3051" s="21">
        <v>6.6</v>
      </c>
      <c r="H3051">
        <v>25</v>
      </c>
      <c r="I3051">
        <v>86.18</v>
      </c>
      <c r="J3051">
        <v>0.65</v>
      </c>
      <c r="K3051" t="str" cm="1">
        <f t="array" ref="K3051">_xlfn.IFS(Table4_2[[#This Row],[Growth Days]]&lt;=14,"Seedling",Table4_2[[#This Row],[Growth Days]]&lt;=35, "Vegetative",Table4_2[[#This Row],[Growth Days]]&lt;=50, "Maturity")</f>
        <v>Vegetative</v>
      </c>
      <c r="L3051" t="str">
        <f>IF(Table4_2[[#This Row],[TDS Value (ppm)]]&lt;560, "Low", IF(Table4_2[[#This Row],[TDS Value (ppm)]]&lt;=800,"Optimal","High"))</f>
        <v>Optimal</v>
      </c>
    </row>
    <row r="3052" spans="1:12" x14ac:dyDescent="0.25">
      <c r="A3052">
        <v>51</v>
      </c>
      <c r="B3052" s="1">
        <v>45172</v>
      </c>
      <c r="C3052" s="1" t="str">
        <f>TEXT(Table4_2[[#This Row],[Date]],"dddd")</f>
        <v>Sunday</v>
      </c>
      <c r="D3052" s="21">
        <v>31.7</v>
      </c>
      <c r="E3052" s="21">
        <v>62</v>
      </c>
      <c r="F3052" s="21">
        <v>633</v>
      </c>
      <c r="G3052" s="21">
        <v>6.7</v>
      </c>
      <c r="H3052">
        <v>32</v>
      </c>
      <c r="I3052">
        <v>89.06</v>
      </c>
      <c r="J3052">
        <v>0.62</v>
      </c>
      <c r="K3052" t="str" cm="1">
        <f t="array" ref="K3052">_xlfn.IFS(Table4_2[[#This Row],[Growth Days]]&lt;=14,"Seedling",Table4_2[[#This Row],[Growth Days]]&lt;=35, "Vegetative",Table4_2[[#This Row],[Growth Days]]&lt;=50, "Maturity")</f>
        <v>Vegetative</v>
      </c>
      <c r="L3052" t="str">
        <f>IF(Table4_2[[#This Row],[TDS Value (ppm)]]&lt;560, "Low", IF(Table4_2[[#This Row],[TDS Value (ppm)]]&lt;=800,"Optimal","High"))</f>
        <v>Optimal</v>
      </c>
    </row>
    <row r="3053" spans="1:12" x14ac:dyDescent="0.25">
      <c r="A3053">
        <v>51</v>
      </c>
      <c r="B3053" s="1">
        <v>45179</v>
      </c>
      <c r="C3053" s="1" t="str">
        <f>TEXT(Table4_2[[#This Row],[Date]],"dddd")</f>
        <v>Sunday</v>
      </c>
      <c r="D3053" s="21">
        <v>31.1</v>
      </c>
      <c r="E3053" s="21">
        <v>68</v>
      </c>
      <c r="F3053" s="21">
        <v>535</v>
      </c>
      <c r="G3053" s="21">
        <v>6.6</v>
      </c>
      <c r="H3053">
        <v>39</v>
      </c>
      <c r="I3053">
        <v>87.98</v>
      </c>
      <c r="J3053">
        <v>0.68</v>
      </c>
      <c r="K3053" t="str" cm="1">
        <f t="array" ref="K3053">_xlfn.IFS(Table4_2[[#This Row],[Growth Days]]&lt;=14,"Seedling",Table4_2[[#This Row],[Growth Days]]&lt;=35, "Vegetative",Table4_2[[#This Row],[Growth Days]]&lt;=50, "Maturity")</f>
        <v>Maturity</v>
      </c>
      <c r="L3053" t="str">
        <f>IF(Table4_2[[#This Row],[TDS Value (ppm)]]&lt;560, "Low", IF(Table4_2[[#This Row],[TDS Value (ppm)]]&lt;=800,"Optimal","High"))</f>
        <v>Low</v>
      </c>
    </row>
    <row r="3054" spans="1:12" x14ac:dyDescent="0.25">
      <c r="A3054">
        <v>52</v>
      </c>
      <c r="B3054" s="1">
        <v>45144</v>
      </c>
      <c r="C3054" s="1" t="str">
        <f>TEXT(Table4_2[[#This Row],[Date]],"dddd")</f>
        <v>Sunday</v>
      </c>
      <c r="D3054" s="21">
        <v>18.7</v>
      </c>
      <c r="E3054" s="21">
        <v>74</v>
      </c>
      <c r="F3054" s="21">
        <v>556</v>
      </c>
      <c r="G3054" s="21">
        <v>6.1</v>
      </c>
      <c r="H3054">
        <v>4</v>
      </c>
      <c r="I3054">
        <v>65.66</v>
      </c>
      <c r="J3054">
        <v>0.74</v>
      </c>
      <c r="K3054" t="str" cm="1">
        <f t="array" ref="K3054">_xlfn.IFS(Table4_2[[#This Row],[Growth Days]]&lt;=14,"Seedling",Table4_2[[#This Row],[Growth Days]]&lt;=35, "Vegetative",Table4_2[[#This Row],[Growth Days]]&lt;=50, "Maturity")</f>
        <v>Seedling</v>
      </c>
      <c r="L3054" t="str">
        <f>IF(Table4_2[[#This Row],[TDS Value (ppm)]]&lt;560, "Low", IF(Table4_2[[#This Row],[TDS Value (ppm)]]&lt;=800,"Optimal","High"))</f>
        <v>Low</v>
      </c>
    </row>
    <row r="3055" spans="1:12" x14ac:dyDescent="0.25">
      <c r="A3055">
        <v>52</v>
      </c>
      <c r="B3055" s="1">
        <v>45151</v>
      </c>
      <c r="C3055" s="1" t="str">
        <f>TEXT(Table4_2[[#This Row],[Date]],"dddd")</f>
        <v>Sunday</v>
      </c>
      <c r="D3055" s="21">
        <v>21.2</v>
      </c>
      <c r="E3055" s="21">
        <v>51</v>
      </c>
      <c r="F3055" s="21">
        <v>520</v>
      </c>
      <c r="G3055" s="21">
        <v>6.4</v>
      </c>
      <c r="H3055">
        <v>11</v>
      </c>
      <c r="I3055">
        <v>70.16</v>
      </c>
      <c r="J3055">
        <v>0.51</v>
      </c>
      <c r="K3055" t="str" cm="1">
        <f t="array" ref="K3055">_xlfn.IFS(Table4_2[[#This Row],[Growth Days]]&lt;=14,"Seedling",Table4_2[[#This Row],[Growth Days]]&lt;=35, "Vegetative",Table4_2[[#This Row],[Growth Days]]&lt;=50, "Maturity")</f>
        <v>Seedling</v>
      </c>
      <c r="L3055" t="str">
        <f>IF(Table4_2[[#This Row],[TDS Value (ppm)]]&lt;560, "Low", IF(Table4_2[[#This Row],[TDS Value (ppm)]]&lt;=800,"Optimal","High"))</f>
        <v>Low</v>
      </c>
    </row>
    <row r="3056" spans="1:12" x14ac:dyDescent="0.25">
      <c r="A3056">
        <v>52</v>
      </c>
      <c r="B3056" s="1">
        <v>45158</v>
      </c>
      <c r="C3056" s="1" t="str">
        <f>TEXT(Table4_2[[#This Row],[Date]],"dddd")</f>
        <v>Sunday</v>
      </c>
      <c r="D3056" s="21">
        <v>18.7</v>
      </c>
      <c r="E3056" s="21">
        <v>68</v>
      </c>
      <c r="F3056" s="21">
        <v>529</v>
      </c>
      <c r="G3056" s="21">
        <v>6.4</v>
      </c>
      <c r="H3056">
        <v>18</v>
      </c>
      <c r="I3056">
        <v>65.66</v>
      </c>
      <c r="J3056">
        <v>0.68</v>
      </c>
      <c r="K3056" t="str" cm="1">
        <f t="array" ref="K3056">_xlfn.IFS(Table4_2[[#This Row],[Growth Days]]&lt;=14,"Seedling",Table4_2[[#This Row],[Growth Days]]&lt;=35, "Vegetative",Table4_2[[#This Row],[Growth Days]]&lt;=50, "Maturity")</f>
        <v>Vegetative</v>
      </c>
      <c r="L3056" t="str">
        <f>IF(Table4_2[[#This Row],[TDS Value (ppm)]]&lt;560, "Low", IF(Table4_2[[#This Row],[TDS Value (ppm)]]&lt;=800,"Optimal","High"))</f>
        <v>Low</v>
      </c>
    </row>
    <row r="3057" spans="1:12" x14ac:dyDescent="0.25">
      <c r="A3057">
        <v>52</v>
      </c>
      <c r="B3057" s="1">
        <v>45165</v>
      </c>
      <c r="C3057" s="1" t="str">
        <f>TEXT(Table4_2[[#This Row],[Date]],"dddd")</f>
        <v>Sunday</v>
      </c>
      <c r="D3057" s="21">
        <v>19.3</v>
      </c>
      <c r="E3057" s="21">
        <v>69</v>
      </c>
      <c r="F3057" s="21">
        <v>652</v>
      </c>
      <c r="G3057" s="21">
        <v>6.7</v>
      </c>
      <c r="H3057">
        <v>25</v>
      </c>
      <c r="I3057">
        <v>66.739999999999995</v>
      </c>
      <c r="J3057">
        <v>0.69</v>
      </c>
      <c r="K3057" t="str" cm="1">
        <f t="array" ref="K3057">_xlfn.IFS(Table4_2[[#This Row],[Growth Days]]&lt;=14,"Seedling",Table4_2[[#This Row],[Growth Days]]&lt;=35, "Vegetative",Table4_2[[#This Row],[Growth Days]]&lt;=50, "Maturity")</f>
        <v>Vegetative</v>
      </c>
      <c r="L3057" t="str">
        <f>IF(Table4_2[[#This Row],[TDS Value (ppm)]]&lt;560, "Low", IF(Table4_2[[#This Row],[TDS Value (ppm)]]&lt;=800,"Optimal","High"))</f>
        <v>Optimal</v>
      </c>
    </row>
    <row r="3058" spans="1:12" x14ac:dyDescent="0.25">
      <c r="A3058">
        <v>52</v>
      </c>
      <c r="B3058" s="1">
        <v>45172</v>
      </c>
      <c r="C3058" s="1" t="str">
        <f>TEXT(Table4_2[[#This Row],[Date]],"dddd")</f>
        <v>Sunday</v>
      </c>
      <c r="D3058" s="21">
        <v>18</v>
      </c>
      <c r="E3058" s="21">
        <v>54</v>
      </c>
      <c r="F3058" s="21">
        <v>736</v>
      </c>
      <c r="G3058" s="21">
        <v>6.4</v>
      </c>
      <c r="H3058">
        <v>32</v>
      </c>
      <c r="I3058">
        <v>64.400000000000006</v>
      </c>
      <c r="J3058">
        <v>0.54</v>
      </c>
      <c r="K3058" t="str" cm="1">
        <f t="array" ref="K3058">_xlfn.IFS(Table4_2[[#This Row],[Growth Days]]&lt;=14,"Seedling",Table4_2[[#This Row],[Growth Days]]&lt;=35, "Vegetative",Table4_2[[#This Row],[Growth Days]]&lt;=50, "Maturity")</f>
        <v>Vegetative</v>
      </c>
      <c r="L3058" t="str">
        <f>IF(Table4_2[[#This Row],[TDS Value (ppm)]]&lt;560, "Low", IF(Table4_2[[#This Row],[TDS Value (ppm)]]&lt;=800,"Optimal","High"))</f>
        <v>Optimal</v>
      </c>
    </row>
    <row r="3059" spans="1:12" x14ac:dyDescent="0.25">
      <c r="A3059">
        <v>52</v>
      </c>
      <c r="B3059" s="1">
        <v>45179</v>
      </c>
      <c r="C3059" s="1" t="str">
        <f>TEXT(Table4_2[[#This Row],[Date]],"dddd")</f>
        <v>Sunday</v>
      </c>
      <c r="D3059" s="21">
        <v>18.600000000000001</v>
      </c>
      <c r="E3059" s="21">
        <v>73</v>
      </c>
      <c r="F3059" s="21">
        <v>739</v>
      </c>
      <c r="G3059" s="21">
        <v>6.6</v>
      </c>
      <c r="H3059">
        <v>39</v>
      </c>
      <c r="I3059">
        <v>65.48</v>
      </c>
      <c r="J3059">
        <v>0.73</v>
      </c>
      <c r="K3059" t="str" cm="1">
        <f t="array" ref="K3059">_xlfn.IFS(Table4_2[[#This Row],[Growth Days]]&lt;=14,"Seedling",Table4_2[[#This Row],[Growth Days]]&lt;=35, "Vegetative",Table4_2[[#This Row],[Growth Days]]&lt;=50, "Maturity")</f>
        <v>Maturity</v>
      </c>
      <c r="L3059" t="str">
        <f>IF(Table4_2[[#This Row],[TDS Value (ppm)]]&lt;560, "Low", IF(Table4_2[[#This Row],[TDS Value (ppm)]]&lt;=800,"Optimal","High"))</f>
        <v>Optimal</v>
      </c>
    </row>
    <row r="3060" spans="1:12" x14ac:dyDescent="0.25">
      <c r="A3060">
        <v>53</v>
      </c>
      <c r="B3060" s="1">
        <v>45144</v>
      </c>
      <c r="C3060" s="1" t="str">
        <f>TEXT(Table4_2[[#This Row],[Date]],"dddd")</f>
        <v>Sunday</v>
      </c>
      <c r="D3060" s="21">
        <v>18.2</v>
      </c>
      <c r="E3060" s="21">
        <v>70</v>
      </c>
      <c r="F3060" s="21">
        <v>561</v>
      </c>
      <c r="G3060" s="21">
        <v>6.4</v>
      </c>
      <c r="H3060">
        <v>4</v>
      </c>
      <c r="I3060">
        <v>64.760000000000005</v>
      </c>
      <c r="J3060">
        <v>0.7</v>
      </c>
      <c r="K3060" t="str" cm="1">
        <f t="array" ref="K3060">_xlfn.IFS(Table4_2[[#This Row],[Growth Days]]&lt;=14,"Seedling",Table4_2[[#This Row],[Growth Days]]&lt;=35, "Vegetative",Table4_2[[#This Row],[Growth Days]]&lt;=50, "Maturity")</f>
        <v>Seedling</v>
      </c>
      <c r="L3060" t="str">
        <f>IF(Table4_2[[#This Row],[TDS Value (ppm)]]&lt;560, "Low", IF(Table4_2[[#This Row],[TDS Value (ppm)]]&lt;=800,"Optimal","High"))</f>
        <v>Optimal</v>
      </c>
    </row>
    <row r="3061" spans="1:12" x14ac:dyDescent="0.25">
      <c r="A3061">
        <v>53</v>
      </c>
      <c r="B3061" s="1">
        <v>45151</v>
      </c>
      <c r="C3061" s="1" t="str">
        <f>TEXT(Table4_2[[#This Row],[Date]],"dddd")</f>
        <v>Sunday</v>
      </c>
      <c r="D3061" s="21">
        <v>19.399999999999999</v>
      </c>
      <c r="E3061" s="21">
        <v>57</v>
      </c>
      <c r="F3061" s="21">
        <v>583</v>
      </c>
      <c r="G3061" s="21">
        <v>6.3</v>
      </c>
      <c r="H3061">
        <v>11</v>
      </c>
      <c r="I3061">
        <v>66.92</v>
      </c>
      <c r="J3061">
        <v>0.56999999999999995</v>
      </c>
      <c r="K3061" t="str" cm="1">
        <f t="array" ref="K3061">_xlfn.IFS(Table4_2[[#This Row],[Growth Days]]&lt;=14,"Seedling",Table4_2[[#This Row],[Growth Days]]&lt;=35, "Vegetative",Table4_2[[#This Row],[Growth Days]]&lt;=50, "Maturity")</f>
        <v>Seedling</v>
      </c>
      <c r="L3061" t="str">
        <f>IF(Table4_2[[#This Row],[TDS Value (ppm)]]&lt;560, "Low", IF(Table4_2[[#This Row],[TDS Value (ppm)]]&lt;=800,"Optimal","High"))</f>
        <v>Optimal</v>
      </c>
    </row>
    <row r="3062" spans="1:12" x14ac:dyDescent="0.25">
      <c r="A3062">
        <v>53</v>
      </c>
      <c r="B3062" s="1">
        <v>45158</v>
      </c>
      <c r="C3062" s="1" t="str">
        <f>TEXT(Table4_2[[#This Row],[Date]],"dddd")</f>
        <v>Sunday</v>
      </c>
      <c r="D3062" s="21">
        <v>20.3</v>
      </c>
      <c r="E3062" s="21">
        <v>72</v>
      </c>
      <c r="F3062" s="21">
        <v>660</v>
      </c>
      <c r="G3062" s="21">
        <v>6.8</v>
      </c>
      <c r="H3062">
        <v>18</v>
      </c>
      <c r="I3062">
        <v>68.540000000000006</v>
      </c>
      <c r="J3062">
        <v>0.72</v>
      </c>
      <c r="K3062" t="str" cm="1">
        <f t="array" ref="K3062">_xlfn.IFS(Table4_2[[#This Row],[Growth Days]]&lt;=14,"Seedling",Table4_2[[#This Row],[Growth Days]]&lt;=35, "Vegetative",Table4_2[[#This Row],[Growth Days]]&lt;=50, "Maturity")</f>
        <v>Vegetative</v>
      </c>
      <c r="L3062" t="str">
        <f>IF(Table4_2[[#This Row],[TDS Value (ppm)]]&lt;560, "Low", IF(Table4_2[[#This Row],[TDS Value (ppm)]]&lt;=800,"Optimal","High"))</f>
        <v>Optimal</v>
      </c>
    </row>
    <row r="3063" spans="1:12" x14ac:dyDescent="0.25">
      <c r="A3063">
        <v>53</v>
      </c>
      <c r="B3063" s="1">
        <v>45165</v>
      </c>
      <c r="C3063" s="1" t="str">
        <f>TEXT(Table4_2[[#This Row],[Date]],"dddd")</f>
        <v>Sunday</v>
      </c>
      <c r="D3063" s="21">
        <v>22.3</v>
      </c>
      <c r="E3063" s="21">
        <v>79</v>
      </c>
      <c r="F3063" s="21">
        <v>445</v>
      </c>
      <c r="G3063" s="21">
        <v>6.8</v>
      </c>
      <c r="H3063">
        <v>25</v>
      </c>
      <c r="I3063">
        <v>72.14</v>
      </c>
      <c r="J3063">
        <v>0.79</v>
      </c>
      <c r="K3063" t="str" cm="1">
        <f t="array" ref="K3063">_xlfn.IFS(Table4_2[[#This Row],[Growth Days]]&lt;=14,"Seedling",Table4_2[[#This Row],[Growth Days]]&lt;=35, "Vegetative",Table4_2[[#This Row],[Growth Days]]&lt;=50, "Maturity")</f>
        <v>Vegetative</v>
      </c>
      <c r="L3063" t="str">
        <f>IF(Table4_2[[#This Row],[TDS Value (ppm)]]&lt;560, "Low", IF(Table4_2[[#This Row],[TDS Value (ppm)]]&lt;=800,"Optimal","High"))</f>
        <v>Low</v>
      </c>
    </row>
    <row r="3064" spans="1:12" x14ac:dyDescent="0.25">
      <c r="A3064">
        <v>53</v>
      </c>
      <c r="B3064" s="1">
        <v>45172</v>
      </c>
      <c r="C3064" s="1" t="str">
        <f>TEXT(Table4_2[[#This Row],[Date]],"dddd")</f>
        <v>Sunday</v>
      </c>
      <c r="D3064" s="21">
        <v>23.8</v>
      </c>
      <c r="E3064" s="21">
        <v>50</v>
      </c>
      <c r="F3064" s="21">
        <v>565</v>
      </c>
      <c r="G3064" s="21">
        <v>6.2</v>
      </c>
      <c r="H3064">
        <v>32</v>
      </c>
      <c r="I3064">
        <v>74.84</v>
      </c>
      <c r="J3064">
        <v>0.5</v>
      </c>
      <c r="K3064" t="str" cm="1">
        <f t="array" ref="K3064">_xlfn.IFS(Table4_2[[#This Row],[Growth Days]]&lt;=14,"Seedling",Table4_2[[#This Row],[Growth Days]]&lt;=35, "Vegetative",Table4_2[[#This Row],[Growth Days]]&lt;=50, "Maturity")</f>
        <v>Vegetative</v>
      </c>
      <c r="L3064" t="str">
        <f>IF(Table4_2[[#This Row],[TDS Value (ppm)]]&lt;560, "Low", IF(Table4_2[[#This Row],[TDS Value (ppm)]]&lt;=800,"Optimal","High"))</f>
        <v>Optimal</v>
      </c>
    </row>
    <row r="3065" spans="1:12" x14ac:dyDescent="0.25">
      <c r="A3065">
        <v>53</v>
      </c>
      <c r="B3065" s="1">
        <v>45179</v>
      </c>
      <c r="C3065" s="1" t="str">
        <f>TEXT(Table4_2[[#This Row],[Date]],"dddd")</f>
        <v>Sunday</v>
      </c>
      <c r="D3065" s="21">
        <v>20.9</v>
      </c>
      <c r="E3065" s="21">
        <v>53</v>
      </c>
      <c r="F3065" s="21">
        <v>587</v>
      </c>
      <c r="G3065" s="21">
        <v>6.4</v>
      </c>
      <c r="H3065">
        <v>39</v>
      </c>
      <c r="I3065">
        <v>69.62</v>
      </c>
      <c r="J3065">
        <v>0.53</v>
      </c>
      <c r="K3065" t="str" cm="1">
        <f t="array" ref="K3065">_xlfn.IFS(Table4_2[[#This Row],[Growth Days]]&lt;=14,"Seedling",Table4_2[[#This Row],[Growth Days]]&lt;=35, "Vegetative",Table4_2[[#This Row],[Growth Days]]&lt;=50, "Maturity")</f>
        <v>Maturity</v>
      </c>
      <c r="L3065" t="str">
        <f>IF(Table4_2[[#This Row],[TDS Value (ppm)]]&lt;560, "Low", IF(Table4_2[[#This Row],[TDS Value (ppm)]]&lt;=800,"Optimal","High"))</f>
        <v>Optimal</v>
      </c>
    </row>
    <row r="3066" spans="1:12" x14ac:dyDescent="0.25">
      <c r="A3066">
        <v>54</v>
      </c>
      <c r="B3066" s="1">
        <v>45144</v>
      </c>
      <c r="C3066" s="1" t="str">
        <f>TEXT(Table4_2[[#This Row],[Date]],"dddd")</f>
        <v>Sunday</v>
      </c>
      <c r="D3066" s="21">
        <v>18</v>
      </c>
      <c r="E3066" s="21">
        <v>58</v>
      </c>
      <c r="F3066" s="21">
        <v>717</v>
      </c>
      <c r="G3066" s="21">
        <v>6</v>
      </c>
      <c r="H3066">
        <v>4</v>
      </c>
      <c r="I3066">
        <v>64.400000000000006</v>
      </c>
      <c r="J3066">
        <v>0.57999999999999996</v>
      </c>
      <c r="K3066" t="str" cm="1">
        <f t="array" ref="K3066">_xlfn.IFS(Table4_2[[#This Row],[Growth Days]]&lt;=14,"Seedling",Table4_2[[#This Row],[Growth Days]]&lt;=35, "Vegetative",Table4_2[[#This Row],[Growth Days]]&lt;=50, "Maturity")</f>
        <v>Seedling</v>
      </c>
      <c r="L3066" t="str">
        <f>IF(Table4_2[[#This Row],[TDS Value (ppm)]]&lt;560, "Low", IF(Table4_2[[#This Row],[TDS Value (ppm)]]&lt;=800,"Optimal","High"))</f>
        <v>Optimal</v>
      </c>
    </row>
    <row r="3067" spans="1:12" x14ac:dyDescent="0.25">
      <c r="A3067">
        <v>54</v>
      </c>
      <c r="B3067" s="1">
        <v>45151</v>
      </c>
      <c r="C3067" s="1" t="str">
        <f>TEXT(Table4_2[[#This Row],[Date]],"dddd")</f>
        <v>Sunday</v>
      </c>
      <c r="D3067" s="21">
        <v>21.4</v>
      </c>
      <c r="E3067" s="21">
        <v>54</v>
      </c>
      <c r="F3067" s="21">
        <v>780</v>
      </c>
      <c r="G3067" s="21">
        <v>6.6</v>
      </c>
      <c r="H3067">
        <v>11</v>
      </c>
      <c r="I3067">
        <v>70.52</v>
      </c>
      <c r="J3067">
        <v>0.54</v>
      </c>
      <c r="K3067" t="str" cm="1">
        <f t="array" ref="K3067">_xlfn.IFS(Table4_2[[#This Row],[Growth Days]]&lt;=14,"Seedling",Table4_2[[#This Row],[Growth Days]]&lt;=35, "Vegetative",Table4_2[[#This Row],[Growth Days]]&lt;=50, "Maturity")</f>
        <v>Seedling</v>
      </c>
      <c r="L3067" t="str">
        <f>IF(Table4_2[[#This Row],[TDS Value (ppm)]]&lt;560, "Low", IF(Table4_2[[#This Row],[TDS Value (ppm)]]&lt;=800,"Optimal","High"))</f>
        <v>Optimal</v>
      </c>
    </row>
    <row r="3068" spans="1:12" x14ac:dyDescent="0.25">
      <c r="A3068">
        <v>54</v>
      </c>
      <c r="B3068" s="1">
        <v>45158</v>
      </c>
      <c r="C3068" s="1" t="str">
        <f>TEXT(Table4_2[[#This Row],[Date]],"dddd")</f>
        <v>Sunday</v>
      </c>
      <c r="D3068" s="21">
        <v>22.5</v>
      </c>
      <c r="E3068" s="21">
        <v>60</v>
      </c>
      <c r="F3068" s="21">
        <v>401</v>
      </c>
      <c r="G3068" s="21">
        <v>6.5</v>
      </c>
      <c r="H3068">
        <v>18</v>
      </c>
      <c r="I3068">
        <v>72.5</v>
      </c>
      <c r="J3068">
        <v>0.6</v>
      </c>
      <c r="K3068" t="str" cm="1">
        <f t="array" ref="K3068">_xlfn.IFS(Table4_2[[#This Row],[Growth Days]]&lt;=14,"Seedling",Table4_2[[#This Row],[Growth Days]]&lt;=35, "Vegetative",Table4_2[[#This Row],[Growth Days]]&lt;=50, "Maturity")</f>
        <v>Vegetative</v>
      </c>
      <c r="L3068" t="str">
        <f>IF(Table4_2[[#This Row],[TDS Value (ppm)]]&lt;560, "Low", IF(Table4_2[[#This Row],[TDS Value (ppm)]]&lt;=800,"Optimal","High"))</f>
        <v>Low</v>
      </c>
    </row>
    <row r="3069" spans="1:12" x14ac:dyDescent="0.25">
      <c r="A3069">
        <v>54</v>
      </c>
      <c r="B3069" s="1">
        <v>45165</v>
      </c>
      <c r="C3069" s="1" t="str">
        <f>TEXT(Table4_2[[#This Row],[Date]],"dddd")</f>
        <v>Sunday</v>
      </c>
      <c r="D3069" s="21">
        <v>19.600000000000001</v>
      </c>
      <c r="E3069" s="21">
        <v>75</v>
      </c>
      <c r="F3069" s="21">
        <v>651</v>
      </c>
      <c r="G3069" s="21">
        <v>6.7</v>
      </c>
      <c r="H3069">
        <v>25</v>
      </c>
      <c r="I3069">
        <v>67.28</v>
      </c>
      <c r="J3069">
        <v>0.75</v>
      </c>
      <c r="K3069" t="str" cm="1">
        <f t="array" ref="K3069">_xlfn.IFS(Table4_2[[#This Row],[Growth Days]]&lt;=14,"Seedling",Table4_2[[#This Row],[Growth Days]]&lt;=35, "Vegetative",Table4_2[[#This Row],[Growth Days]]&lt;=50, "Maturity")</f>
        <v>Vegetative</v>
      </c>
      <c r="L3069" t="str">
        <f>IF(Table4_2[[#This Row],[TDS Value (ppm)]]&lt;560, "Low", IF(Table4_2[[#This Row],[TDS Value (ppm)]]&lt;=800,"Optimal","High"))</f>
        <v>Optimal</v>
      </c>
    </row>
    <row r="3070" spans="1:12" x14ac:dyDescent="0.25">
      <c r="A3070">
        <v>54</v>
      </c>
      <c r="B3070" s="1">
        <v>45172</v>
      </c>
      <c r="C3070" s="1" t="str">
        <f>TEXT(Table4_2[[#This Row],[Date]],"dddd")</f>
        <v>Sunday</v>
      </c>
      <c r="D3070" s="21">
        <v>24.3</v>
      </c>
      <c r="E3070" s="21">
        <v>61</v>
      </c>
      <c r="F3070" s="21">
        <v>557</v>
      </c>
      <c r="G3070" s="21">
        <v>6.5</v>
      </c>
      <c r="H3070">
        <v>32</v>
      </c>
      <c r="I3070">
        <v>75.739999999999995</v>
      </c>
      <c r="J3070">
        <v>0.61</v>
      </c>
      <c r="K3070" t="str" cm="1">
        <f t="array" ref="K3070">_xlfn.IFS(Table4_2[[#This Row],[Growth Days]]&lt;=14,"Seedling",Table4_2[[#This Row],[Growth Days]]&lt;=35, "Vegetative",Table4_2[[#This Row],[Growth Days]]&lt;=50, "Maturity")</f>
        <v>Vegetative</v>
      </c>
      <c r="L3070" t="str">
        <f>IF(Table4_2[[#This Row],[TDS Value (ppm)]]&lt;560, "Low", IF(Table4_2[[#This Row],[TDS Value (ppm)]]&lt;=800,"Optimal","High"))</f>
        <v>Low</v>
      </c>
    </row>
    <row r="3071" spans="1:12" x14ac:dyDescent="0.25">
      <c r="A3071">
        <v>54</v>
      </c>
      <c r="B3071" s="1">
        <v>45179</v>
      </c>
      <c r="C3071" s="1" t="str">
        <f>TEXT(Table4_2[[#This Row],[Date]],"dddd")</f>
        <v>Sunday</v>
      </c>
      <c r="D3071" s="21">
        <v>21.9</v>
      </c>
      <c r="E3071" s="21">
        <v>75</v>
      </c>
      <c r="F3071" s="21">
        <v>745</v>
      </c>
      <c r="G3071" s="21">
        <v>6.1</v>
      </c>
      <c r="H3071">
        <v>39</v>
      </c>
      <c r="I3071">
        <v>71.42</v>
      </c>
      <c r="J3071">
        <v>0.75</v>
      </c>
      <c r="K3071" t="str" cm="1">
        <f t="array" ref="K3071">_xlfn.IFS(Table4_2[[#This Row],[Growth Days]]&lt;=14,"Seedling",Table4_2[[#This Row],[Growth Days]]&lt;=35, "Vegetative",Table4_2[[#This Row],[Growth Days]]&lt;=50, "Maturity")</f>
        <v>Maturity</v>
      </c>
      <c r="L3071" t="str">
        <f>IF(Table4_2[[#This Row],[TDS Value (ppm)]]&lt;560, "Low", IF(Table4_2[[#This Row],[TDS Value (ppm)]]&lt;=800,"Optimal","High"))</f>
        <v>Optimal</v>
      </c>
    </row>
    <row r="3072" spans="1:12" x14ac:dyDescent="0.25">
      <c r="A3072">
        <v>55</v>
      </c>
      <c r="B3072" s="1">
        <v>45144</v>
      </c>
      <c r="C3072" s="1" t="str">
        <f>TEXT(Table4_2[[#This Row],[Date]],"dddd")</f>
        <v>Sunday</v>
      </c>
      <c r="D3072" s="21">
        <v>24.5</v>
      </c>
      <c r="E3072" s="21">
        <v>50</v>
      </c>
      <c r="F3072" s="21">
        <v>674</v>
      </c>
      <c r="G3072" s="21">
        <v>6.4</v>
      </c>
      <c r="H3072">
        <v>4</v>
      </c>
      <c r="I3072">
        <v>76.099999999999994</v>
      </c>
      <c r="J3072">
        <v>0.5</v>
      </c>
      <c r="K3072" t="str" cm="1">
        <f t="array" ref="K3072">_xlfn.IFS(Table4_2[[#This Row],[Growth Days]]&lt;=14,"Seedling",Table4_2[[#This Row],[Growth Days]]&lt;=35, "Vegetative",Table4_2[[#This Row],[Growth Days]]&lt;=50, "Maturity")</f>
        <v>Seedling</v>
      </c>
      <c r="L3072" t="str">
        <f>IF(Table4_2[[#This Row],[TDS Value (ppm)]]&lt;560, "Low", IF(Table4_2[[#This Row],[TDS Value (ppm)]]&lt;=800,"Optimal","High"))</f>
        <v>Optimal</v>
      </c>
    </row>
    <row r="3073" spans="1:12" x14ac:dyDescent="0.25">
      <c r="A3073">
        <v>55</v>
      </c>
      <c r="B3073" s="1">
        <v>45151</v>
      </c>
      <c r="C3073" s="1" t="str">
        <f>TEXT(Table4_2[[#This Row],[Date]],"dddd")</f>
        <v>Sunday</v>
      </c>
      <c r="D3073" s="21">
        <v>22.2</v>
      </c>
      <c r="E3073" s="21">
        <v>63</v>
      </c>
      <c r="F3073" s="21">
        <v>697</v>
      </c>
      <c r="G3073" s="21">
        <v>6.1</v>
      </c>
      <c r="H3073">
        <v>11</v>
      </c>
      <c r="I3073">
        <v>71.959999999999994</v>
      </c>
      <c r="J3073">
        <v>0.63</v>
      </c>
      <c r="K3073" t="str" cm="1">
        <f t="array" ref="K3073">_xlfn.IFS(Table4_2[[#This Row],[Growth Days]]&lt;=14,"Seedling",Table4_2[[#This Row],[Growth Days]]&lt;=35, "Vegetative",Table4_2[[#This Row],[Growth Days]]&lt;=50, "Maturity")</f>
        <v>Seedling</v>
      </c>
      <c r="L3073" t="str">
        <f>IF(Table4_2[[#This Row],[TDS Value (ppm)]]&lt;560, "Low", IF(Table4_2[[#This Row],[TDS Value (ppm)]]&lt;=800,"Optimal","High"))</f>
        <v>Optimal</v>
      </c>
    </row>
    <row r="3074" spans="1:12" x14ac:dyDescent="0.25">
      <c r="A3074">
        <v>55</v>
      </c>
      <c r="B3074" s="1">
        <v>45158</v>
      </c>
      <c r="C3074" s="1" t="str">
        <f>TEXT(Table4_2[[#This Row],[Date]],"dddd")</f>
        <v>Sunday</v>
      </c>
      <c r="D3074" s="21">
        <v>24.9</v>
      </c>
      <c r="E3074" s="21">
        <v>63</v>
      </c>
      <c r="F3074" s="21">
        <v>474</v>
      </c>
      <c r="G3074" s="21">
        <v>6.6</v>
      </c>
      <c r="H3074">
        <v>18</v>
      </c>
      <c r="I3074">
        <v>76.819999999999993</v>
      </c>
      <c r="J3074">
        <v>0.63</v>
      </c>
      <c r="K3074" t="str" cm="1">
        <f t="array" ref="K3074">_xlfn.IFS(Table4_2[[#This Row],[Growth Days]]&lt;=14,"Seedling",Table4_2[[#This Row],[Growth Days]]&lt;=35, "Vegetative",Table4_2[[#This Row],[Growth Days]]&lt;=50, "Maturity")</f>
        <v>Vegetative</v>
      </c>
      <c r="L3074" t="str">
        <f>IF(Table4_2[[#This Row],[TDS Value (ppm)]]&lt;560, "Low", IF(Table4_2[[#This Row],[TDS Value (ppm)]]&lt;=800,"Optimal","High"))</f>
        <v>Low</v>
      </c>
    </row>
    <row r="3075" spans="1:12" x14ac:dyDescent="0.25">
      <c r="A3075">
        <v>55</v>
      </c>
      <c r="B3075" s="1">
        <v>45165</v>
      </c>
      <c r="C3075" s="1" t="str">
        <f>TEXT(Table4_2[[#This Row],[Date]],"dddd")</f>
        <v>Sunday</v>
      </c>
      <c r="D3075" s="21">
        <v>22.3</v>
      </c>
      <c r="E3075" s="21">
        <v>58</v>
      </c>
      <c r="F3075" s="21">
        <v>520</v>
      </c>
      <c r="G3075" s="21">
        <v>6.4</v>
      </c>
      <c r="H3075">
        <v>25</v>
      </c>
      <c r="I3075">
        <v>72.14</v>
      </c>
      <c r="J3075">
        <v>0.57999999999999996</v>
      </c>
      <c r="K3075" t="str" cm="1">
        <f t="array" ref="K3075">_xlfn.IFS(Table4_2[[#This Row],[Growth Days]]&lt;=14,"Seedling",Table4_2[[#This Row],[Growth Days]]&lt;=35, "Vegetative",Table4_2[[#This Row],[Growth Days]]&lt;=50, "Maturity")</f>
        <v>Vegetative</v>
      </c>
      <c r="L3075" t="str">
        <f>IF(Table4_2[[#This Row],[TDS Value (ppm)]]&lt;560, "Low", IF(Table4_2[[#This Row],[TDS Value (ppm)]]&lt;=800,"Optimal","High"))</f>
        <v>Low</v>
      </c>
    </row>
    <row r="3076" spans="1:12" x14ac:dyDescent="0.25">
      <c r="A3076">
        <v>55</v>
      </c>
      <c r="B3076" s="1">
        <v>45172</v>
      </c>
      <c r="C3076" s="1" t="str">
        <f>TEXT(Table4_2[[#This Row],[Date]],"dddd")</f>
        <v>Sunday</v>
      </c>
      <c r="D3076" s="21">
        <v>20.6</v>
      </c>
      <c r="E3076" s="21">
        <v>55</v>
      </c>
      <c r="F3076" s="21">
        <v>766</v>
      </c>
      <c r="G3076" s="21">
        <v>6.3</v>
      </c>
      <c r="H3076">
        <v>32</v>
      </c>
      <c r="I3076">
        <v>69.08</v>
      </c>
      <c r="J3076">
        <v>0.55000000000000004</v>
      </c>
      <c r="K3076" t="str" cm="1">
        <f t="array" ref="K3076">_xlfn.IFS(Table4_2[[#This Row],[Growth Days]]&lt;=14,"Seedling",Table4_2[[#This Row],[Growth Days]]&lt;=35, "Vegetative",Table4_2[[#This Row],[Growth Days]]&lt;=50, "Maturity")</f>
        <v>Vegetative</v>
      </c>
      <c r="L3076" t="str">
        <f>IF(Table4_2[[#This Row],[TDS Value (ppm)]]&lt;560, "Low", IF(Table4_2[[#This Row],[TDS Value (ppm)]]&lt;=800,"Optimal","High"))</f>
        <v>Optimal</v>
      </c>
    </row>
    <row r="3077" spans="1:12" x14ac:dyDescent="0.25">
      <c r="A3077">
        <v>55</v>
      </c>
      <c r="B3077" s="1">
        <v>45179</v>
      </c>
      <c r="C3077" s="1" t="str">
        <f>TEXT(Table4_2[[#This Row],[Date]],"dddd")</f>
        <v>Sunday</v>
      </c>
      <c r="D3077" s="21">
        <v>19.399999999999999</v>
      </c>
      <c r="E3077" s="21">
        <v>72</v>
      </c>
      <c r="F3077" s="21">
        <v>422</v>
      </c>
      <c r="G3077" s="21">
        <v>6.1</v>
      </c>
      <c r="H3077">
        <v>39</v>
      </c>
      <c r="I3077">
        <v>66.92</v>
      </c>
      <c r="J3077">
        <v>0.72</v>
      </c>
      <c r="K3077" t="str" cm="1">
        <f t="array" ref="K3077">_xlfn.IFS(Table4_2[[#This Row],[Growth Days]]&lt;=14,"Seedling",Table4_2[[#This Row],[Growth Days]]&lt;=35, "Vegetative",Table4_2[[#This Row],[Growth Days]]&lt;=50, "Maturity")</f>
        <v>Maturity</v>
      </c>
      <c r="L3077" t="str">
        <f>IF(Table4_2[[#This Row],[TDS Value (ppm)]]&lt;560, "Low", IF(Table4_2[[#This Row],[TDS Value (ppm)]]&lt;=800,"Optimal","High"))</f>
        <v>Low</v>
      </c>
    </row>
    <row r="3078" spans="1:12" x14ac:dyDescent="0.25">
      <c r="A3078">
        <v>55</v>
      </c>
      <c r="B3078" s="1">
        <v>45186</v>
      </c>
      <c r="C3078" s="1" t="str">
        <f>TEXT(Table4_2[[#This Row],[Date]],"dddd")</f>
        <v>Sunday</v>
      </c>
      <c r="D3078" s="21">
        <v>31.6</v>
      </c>
      <c r="E3078" s="21">
        <v>69</v>
      </c>
      <c r="F3078" s="21">
        <v>539</v>
      </c>
      <c r="G3078" s="21">
        <v>6.6</v>
      </c>
      <c r="H3078">
        <v>46</v>
      </c>
      <c r="I3078">
        <v>88.88</v>
      </c>
      <c r="J3078">
        <v>0.69</v>
      </c>
      <c r="K3078" t="str" cm="1">
        <f t="array" ref="K3078">_xlfn.IFS(Table4_2[[#This Row],[Growth Days]]&lt;=14,"Seedling",Table4_2[[#This Row],[Growth Days]]&lt;=35, "Vegetative",Table4_2[[#This Row],[Growth Days]]&lt;=50, "Maturity")</f>
        <v>Maturity</v>
      </c>
      <c r="L3078" t="str">
        <f>IF(Table4_2[[#This Row],[TDS Value (ppm)]]&lt;560, "Low", IF(Table4_2[[#This Row],[TDS Value (ppm)]]&lt;=800,"Optimal","High"))</f>
        <v>Low</v>
      </c>
    </row>
    <row r="3079" spans="1:12" x14ac:dyDescent="0.25">
      <c r="A3079">
        <v>56</v>
      </c>
      <c r="B3079" s="1">
        <v>45144</v>
      </c>
      <c r="C3079" s="1" t="str">
        <f>TEXT(Table4_2[[#This Row],[Date]],"dddd")</f>
        <v>Sunday</v>
      </c>
      <c r="D3079" s="21">
        <v>19</v>
      </c>
      <c r="E3079" s="21">
        <v>60</v>
      </c>
      <c r="F3079" s="21">
        <v>576</v>
      </c>
      <c r="G3079" s="21">
        <v>6.6</v>
      </c>
      <c r="H3079">
        <v>4</v>
      </c>
      <c r="I3079">
        <v>66.2</v>
      </c>
      <c r="J3079">
        <v>0.6</v>
      </c>
      <c r="K3079" t="str" cm="1">
        <f t="array" ref="K3079">_xlfn.IFS(Table4_2[[#This Row],[Growth Days]]&lt;=14,"Seedling",Table4_2[[#This Row],[Growth Days]]&lt;=35, "Vegetative",Table4_2[[#This Row],[Growth Days]]&lt;=50, "Maturity")</f>
        <v>Seedling</v>
      </c>
      <c r="L3079" t="str">
        <f>IF(Table4_2[[#This Row],[TDS Value (ppm)]]&lt;560, "Low", IF(Table4_2[[#This Row],[TDS Value (ppm)]]&lt;=800,"Optimal","High"))</f>
        <v>Optimal</v>
      </c>
    </row>
    <row r="3080" spans="1:12" x14ac:dyDescent="0.25">
      <c r="A3080">
        <v>56</v>
      </c>
      <c r="B3080" s="1">
        <v>45151</v>
      </c>
      <c r="C3080" s="1" t="str">
        <f>TEXT(Table4_2[[#This Row],[Date]],"dddd")</f>
        <v>Sunday</v>
      </c>
      <c r="D3080" s="21">
        <v>23.7</v>
      </c>
      <c r="E3080" s="21">
        <v>54</v>
      </c>
      <c r="F3080" s="21">
        <v>428</v>
      </c>
      <c r="G3080" s="21">
        <v>6.4</v>
      </c>
      <c r="H3080">
        <v>11</v>
      </c>
      <c r="I3080">
        <v>74.66</v>
      </c>
      <c r="J3080">
        <v>0.54</v>
      </c>
      <c r="K3080" t="str" cm="1">
        <f t="array" ref="K3080">_xlfn.IFS(Table4_2[[#This Row],[Growth Days]]&lt;=14,"Seedling",Table4_2[[#This Row],[Growth Days]]&lt;=35, "Vegetative",Table4_2[[#This Row],[Growth Days]]&lt;=50, "Maturity")</f>
        <v>Seedling</v>
      </c>
      <c r="L3080" t="str">
        <f>IF(Table4_2[[#This Row],[TDS Value (ppm)]]&lt;560, "Low", IF(Table4_2[[#This Row],[TDS Value (ppm)]]&lt;=800,"Optimal","High"))</f>
        <v>Low</v>
      </c>
    </row>
    <row r="3081" spans="1:12" x14ac:dyDescent="0.25">
      <c r="A3081">
        <v>56</v>
      </c>
      <c r="B3081" s="1">
        <v>45158</v>
      </c>
      <c r="C3081" s="1" t="str">
        <f>TEXT(Table4_2[[#This Row],[Date]],"dddd")</f>
        <v>Sunday</v>
      </c>
      <c r="D3081" s="21">
        <v>23.2</v>
      </c>
      <c r="E3081" s="21">
        <v>64</v>
      </c>
      <c r="F3081" s="21">
        <v>585</v>
      </c>
      <c r="G3081" s="21">
        <v>6.5</v>
      </c>
      <c r="H3081">
        <v>18</v>
      </c>
      <c r="I3081">
        <v>73.760000000000005</v>
      </c>
      <c r="J3081">
        <v>0.64</v>
      </c>
      <c r="K3081" t="str" cm="1">
        <f t="array" ref="K3081">_xlfn.IFS(Table4_2[[#This Row],[Growth Days]]&lt;=14,"Seedling",Table4_2[[#This Row],[Growth Days]]&lt;=35, "Vegetative",Table4_2[[#This Row],[Growth Days]]&lt;=50, "Maturity")</f>
        <v>Vegetative</v>
      </c>
      <c r="L3081" t="str">
        <f>IF(Table4_2[[#This Row],[TDS Value (ppm)]]&lt;560, "Low", IF(Table4_2[[#This Row],[TDS Value (ppm)]]&lt;=800,"Optimal","High"))</f>
        <v>Optimal</v>
      </c>
    </row>
    <row r="3082" spans="1:12" x14ac:dyDescent="0.25">
      <c r="A3082">
        <v>56</v>
      </c>
      <c r="B3082" s="1">
        <v>45165</v>
      </c>
      <c r="C3082" s="1" t="str">
        <f>TEXT(Table4_2[[#This Row],[Date]],"dddd")</f>
        <v>Sunday</v>
      </c>
      <c r="D3082" s="21">
        <v>20.399999999999999</v>
      </c>
      <c r="E3082" s="21">
        <v>57</v>
      </c>
      <c r="F3082" s="21">
        <v>767</v>
      </c>
      <c r="G3082" s="21">
        <v>6.2</v>
      </c>
      <c r="H3082">
        <v>25</v>
      </c>
      <c r="I3082">
        <v>68.72</v>
      </c>
      <c r="J3082">
        <v>0.56999999999999995</v>
      </c>
      <c r="K3082" t="str" cm="1">
        <f t="array" ref="K3082">_xlfn.IFS(Table4_2[[#This Row],[Growth Days]]&lt;=14,"Seedling",Table4_2[[#This Row],[Growth Days]]&lt;=35, "Vegetative",Table4_2[[#This Row],[Growth Days]]&lt;=50, "Maturity")</f>
        <v>Vegetative</v>
      </c>
      <c r="L3082" t="str">
        <f>IF(Table4_2[[#This Row],[TDS Value (ppm)]]&lt;560, "Low", IF(Table4_2[[#This Row],[TDS Value (ppm)]]&lt;=800,"Optimal","High"))</f>
        <v>Optimal</v>
      </c>
    </row>
    <row r="3083" spans="1:12" x14ac:dyDescent="0.25">
      <c r="A3083">
        <v>56</v>
      </c>
      <c r="B3083" s="1">
        <v>45172</v>
      </c>
      <c r="C3083" s="1" t="str">
        <f>TEXT(Table4_2[[#This Row],[Date]],"dddd")</f>
        <v>Sunday</v>
      </c>
      <c r="D3083" s="21">
        <v>21.5</v>
      </c>
      <c r="E3083" s="21">
        <v>63</v>
      </c>
      <c r="F3083" s="21">
        <v>671</v>
      </c>
      <c r="G3083" s="21">
        <v>6.8</v>
      </c>
      <c r="H3083">
        <v>32</v>
      </c>
      <c r="I3083">
        <v>70.7</v>
      </c>
      <c r="J3083">
        <v>0.63</v>
      </c>
      <c r="K3083" t="str" cm="1">
        <f t="array" ref="K3083">_xlfn.IFS(Table4_2[[#This Row],[Growth Days]]&lt;=14,"Seedling",Table4_2[[#This Row],[Growth Days]]&lt;=35, "Vegetative",Table4_2[[#This Row],[Growth Days]]&lt;=50, "Maturity")</f>
        <v>Vegetative</v>
      </c>
      <c r="L3083" t="str">
        <f>IF(Table4_2[[#This Row],[TDS Value (ppm)]]&lt;560, "Low", IF(Table4_2[[#This Row],[TDS Value (ppm)]]&lt;=800,"Optimal","High"))</f>
        <v>Optimal</v>
      </c>
    </row>
    <row r="3084" spans="1:12" x14ac:dyDescent="0.25">
      <c r="A3084">
        <v>56</v>
      </c>
      <c r="B3084" s="1">
        <v>45179</v>
      </c>
      <c r="C3084" s="1" t="str">
        <f>TEXT(Table4_2[[#This Row],[Date]],"dddd")</f>
        <v>Sunday</v>
      </c>
      <c r="D3084" s="21">
        <v>23.6</v>
      </c>
      <c r="E3084" s="21">
        <v>71</v>
      </c>
      <c r="F3084" s="21">
        <v>569</v>
      </c>
      <c r="G3084" s="21">
        <v>6.2</v>
      </c>
      <c r="H3084">
        <v>39</v>
      </c>
      <c r="I3084">
        <v>74.48</v>
      </c>
      <c r="J3084">
        <v>0.71</v>
      </c>
      <c r="K3084" t="str" cm="1">
        <f t="array" ref="K3084">_xlfn.IFS(Table4_2[[#This Row],[Growth Days]]&lt;=14,"Seedling",Table4_2[[#This Row],[Growth Days]]&lt;=35, "Vegetative",Table4_2[[#This Row],[Growth Days]]&lt;=50, "Maturity")</f>
        <v>Maturity</v>
      </c>
      <c r="L3084" t="str">
        <f>IF(Table4_2[[#This Row],[TDS Value (ppm)]]&lt;560, "Low", IF(Table4_2[[#This Row],[TDS Value (ppm)]]&lt;=800,"Optimal","High"))</f>
        <v>Optimal</v>
      </c>
    </row>
    <row r="3085" spans="1:12" x14ac:dyDescent="0.25">
      <c r="A3085">
        <v>57</v>
      </c>
      <c r="B3085" s="1">
        <v>45144</v>
      </c>
      <c r="C3085" s="1" t="str">
        <f>TEXT(Table4_2[[#This Row],[Date]],"dddd")</f>
        <v>Sunday</v>
      </c>
      <c r="D3085" s="21">
        <v>20.6</v>
      </c>
      <c r="E3085" s="21">
        <v>59</v>
      </c>
      <c r="F3085" s="21">
        <v>429</v>
      </c>
      <c r="G3085" s="21">
        <v>6.3</v>
      </c>
      <c r="H3085">
        <v>4</v>
      </c>
      <c r="I3085">
        <v>69.08</v>
      </c>
      <c r="J3085">
        <v>0.59</v>
      </c>
      <c r="K3085" t="str" cm="1">
        <f t="array" ref="K3085">_xlfn.IFS(Table4_2[[#This Row],[Growth Days]]&lt;=14,"Seedling",Table4_2[[#This Row],[Growth Days]]&lt;=35, "Vegetative",Table4_2[[#This Row],[Growth Days]]&lt;=50, "Maturity")</f>
        <v>Seedling</v>
      </c>
      <c r="L3085" t="str">
        <f>IF(Table4_2[[#This Row],[TDS Value (ppm)]]&lt;560, "Low", IF(Table4_2[[#This Row],[TDS Value (ppm)]]&lt;=800,"Optimal","High"))</f>
        <v>Low</v>
      </c>
    </row>
    <row r="3086" spans="1:12" x14ac:dyDescent="0.25">
      <c r="A3086">
        <v>57</v>
      </c>
      <c r="B3086" s="1">
        <v>45151</v>
      </c>
      <c r="C3086" s="1" t="str">
        <f>TEXT(Table4_2[[#This Row],[Date]],"dddd")</f>
        <v>Sunday</v>
      </c>
      <c r="D3086" s="21">
        <v>19.100000000000001</v>
      </c>
      <c r="E3086" s="21">
        <v>50</v>
      </c>
      <c r="F3086" s="21">
        <v>686</v>
      </c>
      <c r="G3086" s="21">
        <v>6.2</v>
      </c>
      <c r="H3086">
        <v>11</v>
      </c>
      <c r="I3086">
        <v>66.38</v>
      </c>
      <c r="J3086">
        <v>0.5</v>
      </c>
      <c r="K3086" t="str" cm="1">
        <f t="array" ref="K3086">_xlfn.IFS(Table4_2[[#This Row],[Growth Days]]&lt;=14,"Seedling",Table4_2[[#This Row],[Growth Days]]&lt;=35, "Vegetative",Table4_2[[#This Row],[Growth Days]]&lt;=50, "Maturity")</f>
        <v>Seedling</v>
      </c>
      <c r="L3086" t="str">
        <f>IF(Table4_2[[#This Row],[TDS Value (ppm)]]&lt;560, "Low", IF(Table4_2[[#This Row],[TDS Value (ppm)]]&lt;=800,"Optimal","High"))</f>
        <v>Optimal</v>
      </c>
    </row>
    <row r="3087" spans="1:12" x14ac:dyDescent="0.25">
      <c r="A3087">
        <v>57</v>
      </c>
      <c r="B3087" s="1">
        <v>45158</v>
      </c>
      <c r="C3087" s="1" t="str">
        <f>TEXT(Table4_2[[#This Row],[Date]],"dddd")</f>
        <v>Sunday</v>
      </c>
      <c r="D3087" s="21">
        <v>24.5</v>
      </c>
      <c r="E3087" s="21">
        <v>72</v>
      </c>
      <c r="F3087" s="21">
        <v>627</v>
      </c>
      <c r="G3087" s="21">
        <v>6.1</v>
      </c>
      <c r="H3087">
        <v>18</v>
      </c>
      <c r="I3087">
        <v>76.099999999999994</v>
      </c>
      <c r="J3087">
        <v>0.72</v>
      </c>
      <c r="K3087" t="str" cm="1">
        <f t="array" ref="K3087">_xlfn.IFS(Table4_2[[#This Row],[Growth Days]]&lt;=14,"Seedling",Table4_2[[#This Row],[Growth Days]]&lt;=35, "Vegetative",Table4_2[[#This Row],[Growth Days]]&lt;=50, "Maturity")</f>
        <v>Vegetative</v>
      </c>
      <c r="L3087" t="str">
        <f>IF(Table4_2[[#This Row],[TDS Value (ppm)]]&lt;560, "Low", IF(Table4_2[[#This Row],[TDS Value (ppm)]]&lt;=800,"Optimal","High"))</f>
        <v>Optimal</v>
      </c>
    </row>
    <row r="3088" spans="1:12" x14ac:dyDescent="0.25">
      <c r="A3088">
        <v>57</v>
      </c>
      <c r="B3088" s="1">
        <v>45165</v>
      </c>
      <c r="C3088" s="1" t="str">
        <f>TEXT(Table4_2[[#This Row],[Date]],"dddd")</f>
        <v>Sunday</v>
      </c>
      <c r="D3088" s="21">
        <v>22</v>
      </c>
      <c r="E3088" s="21">
        <v>78</v>
      </c>
      <c r="F3088" s="21">
        <v>702</v>
      </c>
      <c r="G3088" s="21">
        <v>6.1</v>
      </c>
      <c r="H3088">
        <v>25</v>
      </c>
      <c r="I3088">
        <v>71.599999999999994</v>
      </c>
      <c r="J3088">
        <v>0.78</v>
      </c>
      <c r="K3088" t="str" cm="1">
        <f t="array" ref="K3088">_xlfn.IFS(Table4_2[[#This Row],[Growth Days]]&lt;=14,"Seedling",Table4_2[[#This Row],[Growth Days]]&lt;=35, "Vegetative",Table4_2[[#This Row],[Growth Days]]&lt;=50, "Maturity")</f>
        <v>Vegetative</v>
      </c>
      <c r="L3088" t="str">
        <f>IF(Table4_2[[#This Row],[TDS Value (ppm)]]&lt;560, "Low", IF(Table4_2[[#This Row],[TDS Value (ppm)]]&lt;=800,"Optimal","High"))</f>
        <v>Optimal</v>
      </c>
    </row>
    <row r="3089" spans="1:12" x14ac:dyDescent="0.25">
      <c r="A3089">
        <v>57</v>
      </c>
      <c r="B3089" s="1">
        <v>45172</v>
      </c>
      <c r="C3089" s="1" t="str">
        <f>TEXT(Table4_2[[#This Row],[Date]],"dddd")</f>
        <v>Sunday</v>
      </c>
      <c r="D3089" s="21">
        <v>21.1</v>
      </c>
      <c r="E3089" s="21">
        <v>71</v>
      </c>
      <c r="F3089" s="21">
        <v>596</v>
      </c>
      <c r="G3089" s="21">
        <v>6.1</v>
      </c>
      <c r="H3089">
        <v>32</v>
      </c>
      <c r="I3089">
        <v>69.98</v>
      </c>
      <c r="J3089">
        <v>0.71</v>
      </c>
      <c r="K3089" t="str" cm="1">
        <f t="array" ref="K3089">_xlfn.IFS(Table4_2[[#This Row],[Growth Days]]&lt;=14,"Seedling",Table4_2[[#This Row],[Growth Days]]&lt;=35, "Vegetative",Table4_2[[#This Row],[Growth Days]]&lt;=50, "Maturity")</f>
        <v>Vegetative</v>
      </c>
      <c r="L3089" t="str">
        <f>IF(Table4_2[[#This Row],[TDS Value (ppm)]]&lt;560, "Low", IF(Table4_2[[#This Row],[TDS Value (ppm)]]&lt;=800,"Optimal","High"))</f>
        <v>Optimal</v>
      </c>
    </row>
    <row r="3090" spans="1:12" x14ac:dyDescent="0.25">
      <c r="A3090">
        <v>57</v>
      </c>
      <c r="B3090" s="1">
        <v>45179</v>
      </c>
      <c r="C3090" s="1" t="str">
        <f>TEXT(Table4_2[[#This Row],[Date]],"dddd")</f>
        <v>Sunday</v>
      </c>
      <c r="D3090" s="21">
        <v>23.6</v>
      </c>
      <c r="E3090" s="21">
        <v>50</v>
      </c>
      <c r="F3090" s="21">
        <v>672</v>
      </c>
      <c r="G3090" s="21">
        <v>6.8</v>
      </c>
      <c r="H3090">
        <v>39</v>
      </c>
      <c r="I3090">
        <v>74.48</v>
      </c>
      <c r="J3090">
        <v>0.5</v>
      </c>
      <c r="K3090" t="str" cm="1">
        <f t="array" ref="K3090">_xlfn.IFS(Table4_2[[#This Row],[Growth Days]]&lt;=14,"Seedling",Table4_2[[#This Row],[Growth Days]]&lt;=35, "Vegetative",Table4_2[[#This Row],[Growth Days]]&lt;=50, "Maturity")</f>
        <v>Maturity</v>
      </c>
      <c r="L3090" t="str">
        <f>IF(Table4_2[[#This Row],[TDS Value (ppm)]]&lt;560, "Low", IF(Table4_2[[#This Row],[TDS Value (ppm)]]&lt;=800,"Optimal","High"))</f>
        <v>Optimal</v>
      </c>
    </row>
    <row r="3091" spans="1:12" x14ac:dyDescent="0.25">
      <c r="A3091">
        <v>57</v>
      </c>
      <c r="B3091" s="1">
        <v>45186</v>
      </c>
      <c r="C3091" s="1" t="str">
        <f>TEXT(Table4_2[[#This Row],[Date]],"dddd")</f>
        <v>Sunday</v>
      </c>
      <c r="D3091" s="21">
        <v>22.9</v>
      </c>
      <c r="E3091" s="21">
        <v>75</v>
      </c>
      <c r="F3091" s="21">
        <v>547</v>
      </c>
      <c r="G3091" s="21">
        <v>6.7</v>
      </c>
      <c r="H3091">
        <v>46</v>
      </c>
      <c r="I3091">
        <v>73.22</v>
      </c>
      <c r="J3091">
        <v>0.75</v>
      </c>
      <c r="K3091" t="str" cm="1">
        <f t="array" ref="K3091">_xlfn.IFS(Table4_2[[#This Row],[Growth Days]]&lt;=14,"Seedling",Table4_2[[#This Row],[Growth Days]]&lt;=35, "Vegetative",Table4_2[[#This Row],[Growth Days]]&lt;=50, "Maturity")</f>
        <v>Maturity</v>
      </c>
      <c r="L3091" t="str">
        <f>IF(Table4_2[[#This Row],[TDS Value (ppm)]]&lt;560, "Low", IF(Table4_2[[#This Row],[TDS Value (ppm)]]&lt;=800,"Optimal","High"))</f>
        <v>Low</v>
      </c>
    </row>
    <row r="3092" spans="1:12" x14ac:dyDescent="0.25">
      <c r="A3092">
        <v>58</v>
      </c>
      <c r="B3092" s="1">
        <v>45144</v>
      </c>
      <c r="C3092" s="1" t="str">
        <f>TEXT(Table4_2[[#This Row],[Date]],"dddd")</f>
        <v>Sunday</v>
      </c>
      <c r="D3092" s="21">
        <v>24.2</v>
      </c>
      <c r="E3092" s="21">
        <v>52</v>
      </c>
      <c r="F3092" s="21">
        <v>647</v>
      </c>
      <c r="G3092" s="21">
        <v>6.4</v>
      </c>
      <c r="H3092">
        <v>4</v>
      </c>
      <c r="I3092">
        <v>75.56</v>
      </c>
      <c r="J3092">
        <v>0.52</v>
      </c>
      <c r="K3092" t="str" cm="1">
        <f t="array" ref="K3092">_xlfn.IFS(Table4_2[[#This Row],[Growth Days]]&lt;=14,"Seedling",Table4_2[[#This Row],[Growth Days]]&lt;=35, "Vegetative",Table4_2[[#This Row],[Growth Days]]&lt;=50, "Maturity")</f>
        <v>Seedling</v>
      </c>
      <c r="L3092" t="str">
        <f>IF(Table4_2[[#This Row],[TDS Value (ppm)]]&lt;560, "Low", IF(Table4_2[[#This Row],[TDS Value (ppm)]]&lt;=800,"Optimal","High"))</f>
        <v>Optimal</v>
      </c>
    </row>
    <row r="3093" spans="1:12" x14ac:dyDescent="0.25">
      <c r="A3093">
        <v>58</v>
      </c>
      <c r="B3093" s="1">
        <v>45151</v>
      </c>
      <c r="C3093" s="1" t="str">
        <f>TEXT(Table4_2[[#This Row],[Date]],"dddd")</f>
        <v>Sunday</v>
      </c>
      <c r="D3093" s="21">
        <v>19.3</v>
      </c>
      <c r="E3093" s="21">
        <v>61</v>
      </c>
      <c r="F3093" s="21">
        <v>408</v>
      </c>
      <c r="G3093" s="21">
        <v>6.7</v>
      </c>
      <c r="H3093">
        <v>11</v>
      </c>
      <c r="I3093">
        <v>66.739999999999995</v>
      </c>
      <c r="J3093">
        <v>0.61</v>
      </c>
      <c r="K3093" t="str" cm="1">
        <f t="array" ref="K3093">_xlfn.IFS(Table4_2[[#This Row],[Growth Days]]&lt;=14,"Seedling",Table4_2[[#This Row],[Growth Days]]&lt;=35, "Vegetative",Table4_2[[#This Row],[Growth Days]]&lt;=50, "Maturity")</f>
        <v>Seedling</v>
      </c>
      <c r="L3093" t="str">
        <f>IF(Table4_2[[#This Row],[TDS Value (ppm)]]&lt;560, "Low", IF(Table4_2[[#This Row],[TDS Value (ppm)]]&lt;=800,"Optimal","High"))</f>
        <v>Low</v>
      </c>
    </row>
    <row r="3094" spans="1:12" x14ac:dyDescent="0.25">
      <c r="A3094">
        <v>58</v>
      </c>
      <c r="B3094" s="1">
        <v>45158</v>
      </c>
      <c r="C3094" s="1" t="str">
        <f>TEXT(Table4_2[[#This Row],[Date]],"dddd")</f>
        <v>Sunday</v>
      </c>
      <c r="D3094" s="21">
        <v>22.8</v>
      </c>
      <c r="E3094" s="21">
        <v>57</v>
      </c>
      <c r="F3094" s="21">
        <v>671</v>
      </c>
      <c r="G3094" s="21">
        <v>6.4</v>
      </c>
      <c r="H3094">
        <v>18</v>
      </c>
      <c r="I3094">
        <v>73.040000000000006</v>
      </c>
      <c r="J3094">
        <v>0.56999999999999995</v>
      </c>
      <c r="K3094" t="str" cm="1">
        <f t="array" ref="K3094">_xlfn.IFS(Table4_2[[#This Row],[Growth Days]]&lt;=14,"Seedling",Table4_2[[#This Row],[Growth Days]]&lt;=35, "Vegetative",Table4_2[[#This Row],[Growth Days]]&lt;=50, "Maturity")</f>
        <v>Vegetative</v>
      </c>
      <c r="L3094" t="str">
        <f>IF(Table4_2[[#This Row],[TDS Value (ppm)]]&lt;560, "Low", IF(Table4_2[[#This Row],[TDS Value (ppm)]]&lt;=800,"Optimal","High"))</f>
        <v>Optimal</v>
      </c>
    </row>
    <row r="3095" spans="1:12" x14ac:dyDescent="0.25">
      <c r="A3095">
        <v>58</v>
      </c>
      <c r="B3095" s="1">
        <v>45165</v>
      </c>
      <c r="C3095" s="1" t="str">
        <f>TEXT(Table4_2[[#This Row],[Date]],"dddd")</f>
        <v>Sunday</v>
      </c>
      <c r="D3095" s="21">
        <v>23.7</v>
      </c>
      <c r="E3095" s="21">
        <v>56</v>
      </c>
      <c r="F3095" s="21">
        <v>575</v>
      </c>
      <c r="G3095" s="21">
        <v>6.7</v>
      </c>
      <c r="H3095">
        <v>25</v>
      </c>
      <c r="I3095">
        <v>74.66</v>
      </c>
      <c r="J3095">
        <v>0.56000000000000005</v>
      </c>
      <c r="K3095" t="str" cm="1">
        <f t="array" ref="K3095">_xlfn.IFS(Table4_2[[#This Row],[Growth Days]]&lt;=14,"Seedling",Table4_2[[#This Row],[Growth Days]]&lt;=35, "Vegetative",Table4_2[[#This Row],[Growth Days]]&lt;=50, "Maturity")</f>
        <v>Vegetative</v>
      </c>
      <c r="L3095" t="str">
        <f>IF(Table4_2[[#This Row],[TDS Value (ppm)]]&lt;560, "Low", IF(Table4_2[[#This Row],[TDS Value (ppm)]]&lt;=800,"Optimal","High"))</f>
        <v>Optimal</v>
      </c>
    </row>
    <row r="3096" spans="1:12" x14ac:dyDescent="0.25">
      <c r="A3096">
        <v>58</v>
      </c>
      <c r="B3096" s="1">
        <v>45172</v>
      </c>
      <c r="C3096" s="1" t="str">
        <f>TEXT(Table4_2[[#This Row],[Date]],"dddd")</f>
        <v>Sunday</v>
      </c>
      <c r="D3096" s="21">
        <v>21</v>
      </c>
      <c r="E3096" s="21">
        <v>58</v>
      </c>
      <c r="F3096" s="21">
        <v>641</v>
      </c>
      <c r="G3096" s="21">
        <v>6.6</v>
      </c>
      <c r="H3096">
        <v>32</v>
      </c>
      <c r="I3096">
        <v>69.8</v>
      </c>
      <c r="J3096">
        <v>0.57999999999999996</v>
      </c>
      <c r="K3096" t="str" cm="1">
        <f t="array" ref="K3096">_xlfn.IFS(Table4_2[[#This Row],[Growth Days]]&lt;=14,"Seedling",Table4_2[[#This Row],[Growth Days]]&lt;=35, "Vegetative",Table4_2[[#This Row],[Growth Days]]&lt;=50, "Maturity")</f>
        <v>Vegetative</v>
      </c>
      <c r="L3096" t="str">
        <f>IF(Table4_2[[#This Row],[TDS Value (ppm)]]&lt;560, "Low", IF(Table4_2[[#This Row],[TDS Value (ppm)]]&lt;=800,"Optimal","High"))</f>
        <v>Optimal</v>
      </c>
    </row>
    <row r="3097" spans="1:12" x14ac:dyDescent="0.25">
      <c r="A3097">
        <v>58</v>
      </c>
      <c r="B3097" s="1">
        <v>45179</v>
      </c>
      <c r="C3097" s="1" t="str">
        <f>TEXT(Table4_2[[#This Row],[Date]],"dddd")</f>
        <v>Sunday</v>
      </c>
      <c r="D3097" s="21">
        <v>20</v>
      </c>
      <c r="E3097" s="21">
        <v>55</v>
      </c>
      <c r="F3097" s="21">
        <v>416</v>
      </c>
      <c r="G3097" s="21">
        <v>6.8</v>
      </c>
      <c r="H3097">
        <v>39</v>
      </c>
      <c r="I3097">
        <v>68</v>
      </c>
      <c r="J3097">
        <v>0.55000000000000004</v>
      </c>
      <c r="K3097" t="str" cm="1">
        <f t="array" ref="K3097">_xlfn.IFS(Table4_2[[#This Row],[Growth Days]]&lt;=14,"Seedling",Table4_2[[#This Row],[Growth Days]]&lt;=35, "Vegetative",Table4_2[[#This Row],[Growth Days]]&lt;=50, "Maturity")</f>
        <v>Maturity</v>
      </c>
      <c r="L3097" t="str">
        <f>IF(Table4_2[[#This Row],[TDS Value (ppm)]]&lt;560, "Low", IF(Table4_2[[#This Row],[TDS Value (ppm)]]&lt;=800,"Optimal","High"))</f>
        <v>Low</v>
      </c>
    </row>
    <row r="3098" spans="1:12" x14ac:dyDescent="0.25">
      <c r="A3098">
        <v>59</v>
      </c>
      <c r="B3098" s="1">
        <v>45144</v>
      </c>
      <c r="C3098" s="1" t="str">
        <f>TEXT(Table4_2[[#This Row],[Date]],"dddd")</f>
        <v>Sunday</v>
      </c>
      <c r="D3098" s="21">
        <v>19.5</v>
      </c>
      <c r="E3098" s="21">
        <v>74</v>
      </c>
      <c r="F3098" s="21">
        <v>571</v>
      </c>
      <c r="G3098" s="21">
        <v>6.1</v>
      </c>
      <c r="H3098">
        <v>4</v>
      </c>
      <c r="I3098">
        <v>67.099999999999994</v>
      </c>
      <c r="J3098">
        <v>0.74</v>
      </c>
      <c r="K3098" t="str" cm="1">
        <f t="array" ref="K3098">_xlfn.IFS(Table4_2[[#This Row],[Growth Days]]&lt;=14,"Seedling",Table4_2[[#This Row],[Growth Days]]&lt;=35, "Vegetative",Table4_2[[#This Row],[Growth Days]]&lt;=50, "Maturity")</f>
        <v>Seedling</v>
      </c>
      <c r="L3098" t="str">
        <f>IF(Table4_2[[#This Row],[TDS Value (ppm)]]&lt;560, "Low", IF(Table4_2[[#This Row],[TDS Value (ppm)]]&lt;=800,"Optimal","High"))</f>
        <v>Optimal</v>
      </c>
    </row>
    <row r="3099" spans="1:12" x14ac:dyDescent="0.25">
      <c r="A3099">
        <v>59</v>
      </c>
      <c r="B3099" s="1">
        <v>45151</v>
      </c>
      <c r="C3099" s="1" t="str">
        <f>TEXT(Table4_2[[#This Row],[Date]],"dddd")</f>
        <v>Sunday</v>
      </c>
      <c r="D3099" s="21">
        <v>24.1</v>
      </c>
      <c r="E3099" s="21">
        <v>76</v>
      </c>
      <c r="F3099" s="21">
        <v>612</v>
      </c>
      <c r="G3099" s="21">
        <v>6.7</v>
      </c>
      <c r="H3099">
        <v>11</v>
      </c>
      <c r="I3099">
        <v>75.38</v>
      </c>
      <c r="J3099">
        <v>0.76</v>
      </c>
      <c r="K3099" t="str" cm="1">
        <f t="array" ref="K3099">_xlfn.IFS(Table4_2[[#This Row],[Growth Days]]&lt;=14,"Seedling",Table4_2[[#This Row],[Growth Days]]&lt;=35, "Vegetative",Table4_2[[#This Row],[Growth Days]]&lt;=50, "Maturity")</f>
        <v>Seedling</v>
      </c>
      <c r="L3099" t="str">
        <f>IF(Table4_2[[#This Row],[TDS Value (ppm)]]&lt;560, "Low", IF(Table4_2[[#This Row],[TDS Value (ppm)]]&lt;=800,"Optimal","High"))</f>
        <v>Optimal</v>
      </c>
    </row>
    <row r="3100" spans="1:12" x14ac:dyDescent="0.25">
      <c r="A3100">
        <v>59</v>
      </c>
      <c r="B3100" s="1">
        <v>45158</v>
      </c>
      <c r="C3100" s="1" t="str">
        <f>TEXT(Table4_2[[#This Row],[Date]],"dddd")</f>
        <v>Sunday</v>
      </c>
      <c r="D3100" s="21">
        <v>20.100000000000001</v>
      </c>
      <c r="E3100" s="21">
        <v>66</v>
      </c>
      <c r="F3100" s="21">
        <v>629</v>
      </c>
      <c r="G3100" s="21">
        <v>6.2</v>
      </c>
      <c r="H3100">
        <v>18</v>
      </c>
      <c r="I3100">
        <v>68.180000000000007</v>
      </c>
      <c r="J3100">
        <v>0.66</v>
      </c>
      <c r="K3100" t="str" cm="1">
        <f t="array" ref="K3100">_xlfn.IFS(Table4_2[[#This Row],[Growth Days]]&lt;=14,"Seedling",Table4_2[[#This Row],[Growth Days]]&lt;=35, "Vegetative",Table4_2[[#This Row],[Growth Days]]&lt;=50, "Maturity")</f>
        <v>Vegetative</v>
      </c>
      <c r="L3100" t="str">
        <f>IF(Table4_2[[#This Row],[TDS Value (ppm)]]&lt;560, "Low", IF(Table4_2[[#This Row],[TDS Value (ppm)]]&lt;=800,"Optimal","High"))</f>
        <v>Optimal</v>
      </c>
    </row>
    <row r="3101" spans="1:12" x14ac:dyDescent="0.25">
      <c r="A3101">
        <v>59</v>
      </c>
      <c r="B3101" s="1">
        <v>45165</v>
      </c>
      <c r="C3101" s="1" t="str">
        <f>TEXT(Table4_2[[#This Row],[Date]],"dddd")</f>
        <v>Sunday</v>
      </c>
      <c r="D3101" s="21">
        <v>20.8</v>
      </c>
      <c r="E3101" s="21">
        <v>65</v>
      </c>
      <c r="F3101" s="21">
        <v>437</v>
      </c>
      <c r="G3101" s="21">
        <v>6.1</v>
      </c>
      <c r="H3101">
        <v>25</v>
      </c>
      <c r="I3101">
        <v>69.44</v>
      </c>
      <c r="J3101">
        <v>0.65</v>
      </c>
      <c r="K3101" t="str" cm="1">
        <f t="array" ref="K3101">_xlfn.IFS(Table4_2[[#This Row],[Growth Days]]&lt;=14,"Seedling",Table4_2[[#This Row],[Growth Days]]&lt;=35, "Vegetative",Table4_2[[#This Row],[Growth Days]]&lt;=50, "Maturity")</f>
        <v>Vegetative</v>
      </c>
      <c r="L3101" t="str">
        <f>IF(Table4_2[[#This Row],[TDS Value (ppm)]]&lt;560, "Low", IF(Table4_2[[#This Row],[TDS Value (ppm)]]&lt;=800,"Optimal","High"))</f>
        <v>Low</v>
      </c>
    </row>
    <row r="3102" spans="1:12" x14ac:dyDescent="0.25">
      <c r="A3102">
        <v>59</v>
      </c>
      <c r="B3102" s="1">
        <v>45172</v>
      </c>
      <c r="C3102" s="1" t="str">
        <f>TEXT(Table4_2[[#This Row],[Date]],"dddd")</f>
        <v>Sunday</v>
      </c>
      <c r="D3102" s="21">
        <v>24.8</v>
      </c>
      <c r="E3102" s="21">
        <v>69</v>
      </c>
      <c r="F3102" s="21">
        <v>611</v>
      </c>
      <c r="G3102" s="21">
        <v>6</v>
      </c>
      <c r="H3102">
        <v>32</v>
      </c>
      <c r="I3102">
        <v>76.64</v>
      </c>
      <c r="J3102">
        <v>0.69</v>
      </c>
      <c r="K3102" t="str" cm="1">
        <f t="array" ref="K3102">_xlfn.IFS(Table4_2[[#This Row],[Growth Days]]&lt;=14,"Seedling",Table4_2[[#This Row],[Growth Days]]&lt;=35, "Vegetative",Table4_2[[#This Row],[Growth Days]]&lt;=50, "Maturity")</f>
        <v>Vegetative</v>
      </c>
      <c r="L3102" t="str">
        <f>IF(Table4_2[[#This Row],[TDS Value (ppm)]]&lt;560, "Low", IF(Table4_2[[#This Row],[TDS Value (ppm)]]&lt;=800,"Optimal","High"))</f>
        <v>Optimal</v>
      </c>
    </row>
    <row r="3103" spans="1:12" x14ac:dyDescent="0.25">
      <c r="A3103">
        <v>59</v>
      </c>
      <c r="B3103" s="1">
        <v>45179</v>
      </c>
      <c r="C3103" s="1" t="str">
        <f>TEXT(Table4_2[[#This Row],[Date]],"dddd")</f>
        <v>Sunday</v>
      </c>
      <c r="D3103" s="21">
        <v>18.899999999999999</v>
      </c>
      <c r="E3103" s="21">
        <v>61</v>
      </c>
      <c r="F3103" s="21">
        <v>460</v>
      </c>
      <c r="G3103" s="21">
        <v>6.6</v>
      </c>
      <c r="H3103">
        <v>39</v>
      </c>
      <c r="I3103">
        <v>66.02</v>
      </c>
      <c r="J3103">
        <v>0.61</v>
      </c>
      <c r="K3103" t="str" cm="1">
        <f t="array" ref="K3103">_xlfn.IFS(Table4_2[[#This Row],[Growth Days]]&lt;=14,"Seedling",Table4_2[[#This Row],[Growth Days]]&lt;=35, "Vegetative",Table4_2[[#This Row],[Growth Days]]&lt;=50, "Maturity")</f>
        <v>Maturity</v>
      </c>
      <c r="L3103" t="str">
        <f>IF(Table4_2[[#This Row],[TDS Value (ppm)]]&lt;560, "Low", IF(Table4_2[[#This Row],[TDS Value (ppm)]]&lt;=800,"Optimal","High"))</f>
        <v>Low</v>
      </c>
    </row>
    <row r="3104" spans="1:12" x14ac:dyDescent="0.25">
      <c r="A3104">
        <v>60</v>
      </c>
      <c r="B3104" s="1">
        <v>45144</v>
      </c>
      <c r="C3104" s="1" t="str">
        <f>TEXT(Table4_2[[#This Row],[Date]],"dddd")</f>
        <v>Sunday</v>
      </c>
      <c r="D3104" s="21">
        <v>23.6</v>
      </c>
      <c r="E3104" s="21">
        <v>79</v>
      </c>
      <c r="F3104" s="21">
        <v>574</v>
      </c>
      <c r="G3104" s="21">
        <v>6.4</v>
      </c>
      <c r="H3104">
        <v>4</v>
      </c>
      <c r="I3104">
        <v>74.48</v>
      </c>
      <c r="J3104">
        <v>0.79</v>
      </c>
      <c r="K3104" t="str" cm="1">
        <f t="array" ref="K3104">_xlfn.IFS(Table4_2[[#This Row],[Growth Days]]&lt;=14,"Seedling",Table4_2[[#This Row],[Growth Days]]&lt;=35, "Vegetative",Table4_2[[#This Row],[Growth Days]]&lt;=50, "Maturity")</f>
        <v>Seedling</v>
      </c>
      <c r="L3104" t="str">
        <f>IF(Table4_2[[#This Row],[TDS Value (ppm)]]&lt;560, "Low", IF(Table4_2[[#This Row],[TDS Value (ppm)]]&lt;=800,"Optimal","High"))</f>
        <v>Optimal</v>
      </c>
    </row>
    <row r="3105" spans="1:12" x14ac:dyDescent="0.25">
      <c r="A3105">
        <v>60</v>
      </c>
      <c r="B3105" s="1">
        <v>45151</v>
      </c>
      <c r="C3105" s="1" t="str">
        <f>TEXT(Table4_2[[#This Row],[Date]],"dddd")</f>
        <v>Sunday</v>
      </c>
      <c r="D3105" s="21">
        <v>20.9</v>
      </c>
      <c r="E3105" s="21">
        <v>65</v>
      </c>
      <c r="F3105" s="21">
        <v>784</v>
      </c>
      <c r="G3105" s="21">
        <v>6.5</v>
      </c>
      <c r="H3105">
        <v>11</v>
      </c>
      <c r="I3105">
        <v>69.62</v>
      </c>
      <c r="J3105">
        <v>0.65</v>
      </c>
      <c r="K3105" t="str" cm="1">
        <f t="array" ref="K3105">_xlfn.IFS(Table4_2[[#This Row],[Growth Days]]&lt;=14,"Seedling",Table4_2[[#This Row],[Growth Days]]&lt;=35, "Vegetative",Table4_2[[#This Row],[Growth Days]]&lt;=50, "Maturity")</f>
        <v>Seedling</v>
      </c>
      <c r="L3105" t="str">
        <f>IF(Table4_2[[#This Row],[TDS Value (ppm)]]&lt;560, "Low", IF(Table4_2[[#This Row],[TDS Value (ppm)]]&lt;=800,"Optimal","High"))</f>
        <v>Optimal</v>
      </c>
    </row>
    <row r="3106" spans="1:12" x14ac:dyDescent="0.25">
      <c r="A3106">
        <v>60</v>
      </c>
      <c r="B3106" s="1">
        <v>45158</v>
      </c>
      <c r="C3106" s="1" t="str">
        <f>TEXT(Table4_2[[#This Row],[Date]],"dddd")</f>
        <v>Sunday</v>
      </c>
      <c r="D3106" s="21">
        <v>23.6</v>
      </c>
      <c r="E3106" s="21">
        <v>71</v>
      </c>
      <c r="F3106" s="21">
        <v>471</v>
      </c>
      <c r="G3106" s="21">
        <v>6.6</v>
      </c>
      <c r="H3106">
        <v>18</v>
      </c>
      <c r="I3106">
        <v>74.48</v>
      </c>
      <c r="J3106">
        <v>0.71</v>
      </c>
      <c r="K3106" t="str" cm="1">
        <f t="array" ref="K3106">_xlfn.IFS(Table4_2[[#This Row],[Growth Days]]&lt;=14,"Seedling",Table4_2[[#This Row],[Growth Days]]&lt;=35, "Vegetative",Table4_2[[#This Row],[Growth Days]]&lt;=50, "Maturity")</f>
        <v>Vegetative</v>
      </c>
      <c r="L3106" t="str">
        <f>IF(Table4_2[[#This Row],[TDS Value (ppm)]]&lt;560, "Low", IF(Table4_2[[#This Row],[TDS Value (ppm)]]&lt;=800,"Optimal","High"))</f>
        <v>Low</v>
      </c>
    </row>
    <row r="3107" spans="1:12" x14ac:dyDescent="0.25">
      <c r="A3107">
        <v>60</v>
      </c>
      <c r="B3107" s="1">
        <v>45165</v>
      </c>
      <c r="C3107" s="1" t="str">
        <f>TEXT(Table4_2[[#This Row],[Date]],"dddd")</f>
        <v>Sunday</v>
      </c>
      <c r="D3107" s="21">
        <v>21.2</v>
      </c>
      <c r="E3107" s="21">
        <v>80</v>
      </c>
      <c r="F3107" s="21">
        <v>467</v>
      </c>
      <c r="G3107" s="21">
        <v>6.3</v>
      </c>
      <c r="H3107">
        <v>25</v>
      </c>
      <c r="I3107">
        <v>70.16</v>
      </c>
      <c r="J3107">
        <v>0.8</v>
      </c>
      <c r="K3107" t="str" cm="1">
        <f t="array" ref="K3107">_xlfn.IFS(Table4_2[[#This Row],[Growth Days]]&lt;=14,"Seedling",Table4_2[[#This Row],[Growth Days]]&lt;=35, "Vegetative",Table4_2[[#This Row],[Growth Days]]&lt;=50, "Maturity")</f>
        <v>Vegetative</v>
      </c>
      <c r="L3107" t="str">
        <f>IF(Table4_2[[#This Row],[TDS Value (ppm)]]&lt;560, "Low", IF(Table4_2[[#This Row],[TDS Value (ppm)]]&lt;=800,"Optimal","High"))</f>
        <v>Low</v>
      </c>
    </row>
    <row r="3108" spans="1:12" x14ac:dyDescent="0.25">
      <c r="A3108">
        <v>60</v>
      </c>
      <c r="B3108" s="1">
        <v>45172</v>
      </c>
      <c r="C3108" s="1" t="str">
        <f>TEXT(Table4_2[[#This Row],[Date]],"dddd")</f>
        <v>Sunday</v>
      </c>
      <c r="D3108" s="21">
        <v>21.8</v>
      </c>
      <c r="E3108" s="21">
        <v>55</v>
      </c>
      <c r="F3108" s="21">
        <v>754</v>
      </c>
      <c r="G3108" s="21">
        <v>6.2</v>
      </c>
      <c r="H3108">
        <v>32</v>
      </c>
      <c r="I3108">
        <v>71.239999999999995</v>
      </c>
      <c r="J3108">
        <v>0.55000000000000004</v>
      </c>
      <c r="K3108" t="str" cm="1">
        <f t="array" ref="K3108">_xlfn.IFS(Table4_2[[#This Row],[Growth Days]]&lt;=14,"Seedling",Table4_2[[#This Row],[Growth Days]]&lt;=35, "Vegetative",Table4_2[[#This Row],[Growth Days]]&lt;=50, "Maturity")</f>
        <v>Vegetative</v>
      </c>
      <c r="L3108" t="str">
        <f>IF(Table4_2[[#This Row],[TDS Value (ppm)]]&lt;560, "Low", IF(Table4_2[[#This Row],[TDS Value (ppm)]]&lt;=800,"Optimal","High"))</f>
        <v>Optimal</v>
      </c>
    </row>
    <row r="3109" spans="1:12" x14ac:dyDescent="0.25">
      <c r="A3109">
        <v>60</v>
      </c>
      <c r="B3109" s="1">
        <v>45179</v>
      </c>
      <c r="C3109" s="1" t="str">
        <f>TEXT(Table4_2[[#This Row],[Date]],"dddd")</f>
        <v>Sunday</v>
      </c>
      <c r="D3109" s="21">
        <v>20.5</v>
      </c>
      <c r="E3109" s="21">
        <v>62</v>
      </c>
      <c r="F3109" s="21">
        <v>660</v>
      </c>
      <c r="G3109" s="21">
        <v>6.6</v>
      </c>
      <c r="H3109">
        <v>39</v>
      </c>
      <c r="I3109">
        <v>68.900000000000006</v>
      </c>
      <c r="J3109">
        <v>0.62</v>
      </c>
      <c r="K3109" t="str" cm="1">
        <f t="array" ref="K3109">_xlfn.IFS(Table4_2[[#This Row],[Growth Days]]&lt;=14,"Seedling",Table4_2[[#This Row],[Growth Days]]&lt;=35, "Vegetative",Table4_2[[#This Row],[Growth Days]]&lt;=50, "Maturity")</f>
        <v>Maturity</v>
      </c>
      <c r="L3109" t="str">
        <f>IF(Table4_2[[#This Row],[TDS Value (ppm)]]&lt;560, "Low", IF(Table4_2[[#This Row],[TDS Value (ppm)]]&lt;=800,"Optimal","High"))</f>
        <v>Optimal</v>
      </c>
    </row>
    <row r="3110" spans="1:12" x14ac:dyDescent="0.25">
      <c r="A3110">
        <v>61</v>
      </c>
      <c r="B3110" s="1">
        <v>45144</v>
      </c>
      <c r="C3110" s="1" t="str">
        <f>TEXT(Table4_2[[#This Row],[Date]],"dddd")</f>
        <v>Sunday</v>
      </c>
      <c r="D3110" s="21">
        <v>18.2</v>
      </c>
      <c r="E3110" s="21">
        <v>69</v>
      </c>
      <c r="F3110" s="21">
        <v>530</v>
      </c>
      <c r="G3110" s="21">
        <v>6.5</v>
      </c>
      <c r="H3110">
        <v>4</v>
      </c>
      <c r="I3110">
        <v>64.760000000000005</v>
      </c>
      <c r="J3110">
        <v>0.69</v>
      </c>
      <c r="K3110" t="str" cm="1">
        <f t="array" ref="K3110">_xlfn.IFS(Table4_2[[#This Row],[Growth Days]]&lt;=14,"Seedling",Table4_2[[#This Row],[Growth Days]]&lt;=35, "Vegetative",Table4_2[[#This Row],[Growth Days]]&lt;=50, "Maturity")</f>
        <v>Seedling</v>
      </c>
      <c r="L3110" t="str">
        <f>IF(Table4_2[[#This Row],[TDS Value (ppm)]]&lt;560, "Low", IF(Table4_2[[#This Row],[TDS Value (ppm)]]&lt;=800,"Optimal","High"))</f>
        <v>Low</v>
      </c>
    </row>
    <row r="3111" spans="1:12" x14ac:dyDescent="0.25">
      <c r="A3111">
        <v>61</v>
      </c>
      <c r="B3111" s="1">
        <v>45151</v>
      </c>
      <c r="C3111" s="1" t="str">
        <f>TEXT(Table4_2[[#This Row],[Date]],"dddd")</f>
        <v>Sunday</v>
      </c>
      <c r="D3111" s="21">
        <v>18.8</v>
      </c>
      <c r="E3111" s="21">
        <v>67</v>
      </c>
      <c r="F3111" s="21">
        <v>423</v>
      </c>
      <c r="G3111" s="21">
        <v>6.8</v>
      </c>
      <c r="H3111">
        <v>11</v>
      </c>
      <c r="I3111">
        <v>65.84</v>
      </c>
      <c r="J3111">
        <v>0.67</v>
      </c>
      <c r="K3111" t="str" cm="1">
        <f t="array" ref="K3111">_xlfn.IFS(Table4_2[[#This Row],[Growth Days]]&lt;=14,"Seedling",Table4_2[[#This Row],[Growth Days]]&lt;=35, "Vegetative",Table4_2[[#This Row],[Growth Days]]&lt;=50, "Maturity")</f>
        <v>Seedling</v>
      </c>
      <c r="L3111" t="str">
        <f>IF(Table4_2[[#This Row],[TDS Value (ppm)]]&lt;560, "Low", IF(Table4_2[[#This Row],[TDS Value (ppm)]]&lt;=800,"Optimal","High"))</f>
        <v>Low</v>
      </c>
    </row>
    <row r="3112" spans="1:12" x14ac:dyDescent="0.25">
      <c r="A3112">
        <v>61</v>
      </c>
      <c r="B3112" s="1">
        <v>45158</v>
      </c>
      <c r="C3112" s="1" t="str">
        <f>TEXT(Table4_2[[#This Row],[Date]],"dddd")</f>
        <v>Sunday</v>
      </c>
      <c r="D3112" s="21">
        <v>24.4</v>
      </c>
      <c r="E3112" s="21">
        <v>51</v>
      </c>
      <c r="F3112" s="21">
        <v>679</v>
      </c>
      <c r="G3112" s="21">
        <v>6.6</v>
      </c>
      <c r="H3112">
        <v>18</v>
      </c>
      <c r="I3112">
        <v>75.92</v>
      </c>
      <c r="J3112">
        <v>0.51</v>
      </c>
      <c r="K3112" t="str" cm="1">
        <f t="array" ref="K3112">_xlfn.IFS(Table4_2[[#This Row],[Growth Days]]&lt;=14,"Seedling",Table4_2[[#This Row],[Growth Days]]&lt;=35, "Vegetative",Table4_2[[#This Row],[Growth Days]]&lt;=50, "Maturity")</f>
        <v>Vegetative</v>
      </c>
      <c r="L3112" t="str">
        <f>IF(Table4_2[[#This Row],[TDS Value (ppm)]]&lt;560, "Low", IF(Table4_2[[#This Row],[TDS Value (ppm)]]&lt;=800,"Optimal","High"))</f>
        <v>Optimal</v>
      </c>
    </row>
    <row r="3113" spans="1:12" x14ac:dyDescent="0.25">
      <c r="A3113">
        <v>61</v>
      </c>
      <c r="B3113" s="1">
        <v>45165</v>
      </c>
      <c r="C3113" s="1" t="str">
        <f>TEXT(Table4_2[[#This Row],[Date]],"dddd")</f>
        <v>Sunday</v>
      </c>
      <c r="D3113" s="21">
        <v>18.399999999999999</v>
      </c>
      <c r="E3113" s="21">
        <v>58</v>
      </c>
      <c r="F3113" s="21">
        <v>557</v>
      </c>
      <c r="G3113" s="21">
        <v>6.4</v>
      </c>
      <c r="H3113">
        <v>25</v>
      </c>
      <c r="I3113">
        <v>65.12</v>
      </c>
      <c r="J3113">
        <v>0.57999999999999996</v>
      </c>
      <c r="K3113" t="str" cm="1">
        <f t="array" ref="K3113">_xlfn.IFS(Table4_2[[#This Row],[Growth Days]]&lt;=14,"Seedling",Table4_2[[#This Row],[Growth Days]]&lt;=35, "Vegetative",Table4_2[[#This Row],[Growth Days]]&lt;=50, "Maturity")</f>
        <v>Vegetative</v>
      </c>
      <c r="L3113" t="str">
        <f>IF(Table4_2[[#This Row],[TDS Value (ppm)]]&lt;560, "Low", IF(Table4_2[[#This Row],[TDS Value (ppm)]]&lt;=800,"Optimal","High"))</f>
        <v>Low</v>
      </c>
    </row>
    <row r="3114" spans="1:12" x14ac:dyDescent="0.25">
      <c r="A3114">
        <v>61</v>
      </c>
      <c r="B3114" s="1">
        <v>45172</v>
      </c>
      <c r="C3114" s="1" t="str">
        <f>TEXT(Table4_2[[#This Row],[Date]],"dddd")</f>
        <v>Sunday</v>
      </c>
      <c r="D3114" s="21">
        <v>21</v>
      </c>
      <c r="E3114" s="21">
        <v>53</v>
      </c>
      <c r="F3114" s="21">
        <v>511</v>
      </c>
      <c r="G3114" s="21">
        <v>6.6</v>
      </c>
      <c r="H3114">
        <v>32</v>
      </c>
      <c r="I3114">
        <v>69.8</v>
      </c>
      <c r="J3114">
        <v>0.53</v>
      </c>
      <c r="K3114" t="str" cm="1">
        <f t="array" ref="K3114">_xlfn.IFS(Table4_2[[#This Row],[Growth Days]]&lt;=14,"Seedling",Table4_2[[#This Row],[Growth Days]]&lt;=35, "Vegetative",Table4_2[[#This Row],[Growth Days]]&lt;=50, "Maturity")</f>
        <v>Vegetative</v>
      </c>
      <c r="L3114" t="str">
        <f>IF(Table4_2[[#This Row],[TDS Value (ppm)]]&lt;560, "Low", IF(Table4_2[[#This Row],[TDS Value (ppm)]]&lt;=800,"Optimal","High"))</f>
        <v>Low</v>
      </c>
    </row>
    <row r="3115" spans="1:12" x14ac:dyDescent="0.25">
      <c r="A3115">
        <v>61</v>
      </c>
      <c r="B3115" s="1">
        <v>45179</v>
      </c>
      <c r="C3115" s="1" t="str">
        <f>TEXT(Table4_2[[#This Row],[Date]],"dddd")</f>
        <v>Sunday</v>
      </c>
      <c r="D3115" s="21">
        <v>19.7</v>
      </c>
      <c r="E3115" s="21">
        <v>68</v>
      </c>
      <c r="F3115" s="21">
        <v>437</v>
      </c>
      <c r="G3115" s="21">
        <v>6.5</v>
      </c>
      <c r="H3115">
        <v>39</v>
      </c>
      <c r="I3115">
        <v>67.459999999999994</v>
      </c>
      <c r="J3115">
        <v>0.68</v>
      </c>
      <c r="K3115" t="str" cm="1">
        <f t="array" ref="K3115">_xlfn.IFS(Table4_2[[#This Row],[Growth Days]]&lt;=14,"Seedling",Table4_2[[#This Row],[Growth Days]]&lt;=35, "Vegetative",Table4_2[[#This Row],[Growth Days]]&lt;=50, "Maturity")</f>
        <v>Maturity</v>
      </c>
      <c r="L3115" t="str">
        <f>IF(Table4_2[[#This Row],[TDS Value (ppm)]]&lt;560, "Low", IF(Table4_2[[#This Row],[TDS Value (ppm)]]&lt;=800,"Optimal","High"))</f>
        <v>Low</v>
      </c>
    </row>
    <row r="3116" spans="1:12" x14ac:dyDescent="0.25">
      <c r="A3116">
        <v>62</v>
      </c>
      <c r="B3116" s="1">
        <v>45144</v>
      </c>
      <c r="C3116" s="1" t="str">
        <f>TEXT(Table4_2[[#This Row],[Date]],"dddd")</f>
        <v>Sunday</v>
      </c>
      <c r="D3116" s="21">
        <v>18.5</v>
      </c>
      <c r="E3116" s="21">
        <v>67</v>
      </c>
      <c r="F3116" s="21">
        <v>666</v>
      </c>
      <c r="G3116" s="21">
        <v>6.8</v>
      </c>
      <c r="H3116">
        <v>4</v>
      </c>
      <c r="I3116">
        <v>65.3</v>
      </c>
      <c r="J3116">
        <v>0.67</v>
      </c>
      <c r="K3116" t="str" cm="1">
        <f t="array" ref="K3116">_xlfn.IFS(Table4_2[[#This Row],[Growth Days]]&lt;=14,"Seedling",Table4_2[[#This Row],[Growth Days]]&lt;=35, "Vegetative",Table4_2[[#This Row],[Growth Days]]&lt;=50, "Maturity")</f>
        <v>Seedling</v>
      </c>
      <c r="L3116" t="str">
        <f>IF(Table4_2[[#This Row],[TDS Value (ppm)]]&lt;560, "Low", IF(Table4_2[[#This Row],[TDS Value (ppm)]]&lt;=800,"Optimal","High"))</f>
        <v>Optimal</v>
      </c>
    </row>
    <row r="3117" spans="1:12" x14ac:dyDescent="0.25">
      <c r="A3117">
        <v>62</v>
      </c>
      <c r="B3117" s="1">
        <v>45151</v>
      </c>
      <c r="C3117" s="1" t="str">
        <f>TEXT(Table4_2[[#This Row],[Date]],"dddd")</f>
        <v>Sunday</v>
      </c>
      <c r="D3117" s="21">
        <v>18.3</v>
      </c>
      <c r="E3117" s="21">
        <v>61</v>
      </c>
      <c r="F3117" s="21">
        <v>739</v>
      </c>
      <c r="G3117" s="21">
        <v>6.7</v>
      </c>
      <c r="H3117">
        <v>11</v>
      </c>
      <c r="I3117">
        <v>64.94</v>
      </c>
      <c r="J3117">
        <v>0.61</v>
      </c>
      <c r="K3117" t="str" cm="1">
        <f t="array" ref="K3117">_xlfn.IFS(Table4_2[[#This Row],[Growth Days]]&lt;=14,"Seedling",Table4_2[[#This Row],[Growth Days]]&lt;=35, "Vegetative",Table4_2[[#This Row],[Growth Days]]&lt;=50, "Maturity")</f>
        <v>Seedling</v>
      </c>
      <c r="L3117" t="str">
        <f>IF(Table4_2[[#This Row],[TDS Value (ppm)]]&lt;560, "Low", IF(Table4_2[[#This Row],[TDS Value (ppm)]]&lt;=800,"Optimal","High"))</f>
        <v>Optimal</v>
      </c>
    </row>
    <row r="3118" spans="1:12" x14ac:dyDescent="0.25">
      <c r="A3118">
        <v>62</v>
      </c>
      <c r="B3118" s="1">
        <v>45158</v>
      </c>
      <c r="C3118" s="1" t="str">
        <f>TEXT(Table4_2[[#This Row],[Date]],"dddd")</f>
        <v>Sunday</v>
      </c>
      <c r="D3118" s="21">
        <v>21.8</v>
      </c>
      <c r="E3118" s="21">
        <v>55</v>
      </c>
      <c r="F3118" s="21">
        <v>470</v>
      </c>
      <c r="G3118" s="21">
        <v>6</v>
      </c>
      <c r="H3118">
        <v>18</v>
      </c>
      <c r="I3118">
        <v>71.239999999999995</v>
      </c>
      <c r="J3118">
        <v>0.55000000000000004</v>
      </c>
      <c r="K3118" t="str" cm="1">
        <f t="array" ref="K3118">_xlfn.IFS(Table4_2[[#This Row],[Growth Days]]&lt;=14,"Seedling",Table4_2[[#This Row],[Growth Days]]&lt;=35, "Vegetative",Table4_2[[#This Row],[Growth Days]]&lt;=50, "Maturity")</f>
        <v>Vegetative</v>
      </c>
      <c r="L3118" t="str">
        <f>IF(Table4_2[[#This Row],[TDS Value (ppm)]]&lt;560, "Low", IF(Table4_2[[#This Row],[TDS Value (ppm)]]&lt;=800,"Optimal","High"))</f>
        <v>Low</v>
      </c>
    </row>
    <row r="3119" spans="1:12" x14ac:dyDescent="0.25">
      <c r="A3119">
        <v>62</v>
      </c>
      <c r="B3119" s="1">
        <v>45165</v>
      </c>
      <c r="C3119" s="1" t="str">
        <f>TEXT(Table4_2[[#This Row],[Date]],"dddd")</f>
        <v>Sunday</v>
      </c>
      <c r="D3119" s="21">
        <v>19.2</v>
      </c>
      <c r="E3119" s="21">
        <v>69</v>
      </c>
      <c r="F3119" s="21">
        <v>562</v>
      </c>
      <c r="G3119" s="21">
        <v>6.5</v>
      </c>
      <c r="H3119">
        <v>25</v>
      </c>
      <c r="I3119">
        <v>66.56</v>
      </c>
      <c r="J3119">
        <v>0.69</v>
      </c>
      <c r="K3119" t="str" cm="1">
        <f t="array" ref="K3119">_xlfn.IFS(Table4_2[[#This Row],[Growth Days]]&lt;=14,"Seedling",Table4_2[[#This Row],[Growth Days]]&lt;=35, "Vegetative",Table4_2[[#This Row],[Growth Days]]&lt;=50, "Maturity")</f>
        <v>Vegetative</v>
      </c>
      <c r="L3119" t="str">
        <f>IF(Table4_2[[#This Row],[TDS Value (ppm)]]&lt;560, "Low", IF(Table4_2[[#This Row],[TDS Value (ppm)]]&lt;=800,"Optimal","High"))</f>
        <v>Optimal</v>
      </c>
    </row>
    <row r="3120" spans="1:12" x14ac:dyDescent="0.25">
      <c r="A3120">
        <v>62</v>
      </c>
      <c r="B3120" s="1">
        <v>45172</v>
      </c>
      <c r="C3120" s="1" t="str">
        <f>TEXT(Table4_2[[#This Row],[Date]],"dddd")</f>
        <v>Sunday</v>
      </c>
      <c r="D3120" s="21">
        <v>25</v>
      </c>
      <c r="E3120" s="21">
        <v>75</v>
      </c>
      <c r="F3120" s="21">
        <v>783</v>
      </c>
      <c r="G3120" s="21">
        <v>6.5</v>
      </c>
      <c r="H3120">
        <v>32</v>
      </c>
      <c r="I3120">
        <v>77</v>
      </c>
      <c r="J3120">
        <v>0.75</v>
      </c>
      <c r="K3120" t="str" cm="1">
        <f t="array" ref="K3120">_xlfn.IFS(Table4_2[[#This Row],[Growth Days]]&lt;=14,"Seedling",Table4_2[[#This Row],[Growth Days]]&lt;=35, "Vegetative",Table4_2[[#This Row],[Growth Days]]&lt;=50, "Maturity")</f>
        <v>Vegetative</v>
      </c>
      <c r="L3120" t="str">
        <f>IF(Table4_2[[#This Row],[TDS Value (ppm)]]&lt;560, "Low", IF(Table4_2[[#This Row],[TDS Value (ppm)]]&lt;=800,"Optimal","High"))</f>
        <v>Optimal</v>
      </c>
    </row>
    <row r="3121" spans="1:12" x14ac:dyDescent="0.25">
      <c r="A3121">
        <v>62</v>
      </c>
      <c r="B3121" s="1">
        <v>45179</v>
      </c>
      <c r="C3121" s="1" t="str">
        <f>TEXT(Table4_2[[#This Row],[Date]],"dddd")</f>
        <v>Sunday</v>
      </c>
      <c r="D3121" s="21">
        <v>18.2</v>
      </c>
      <c r="E3121" s="21">
        <v>54</v>
      </c>
      <c r="F3121" s="21">
        <v>507</v>
      </c>
      <c r="G3121" s="21">
        <v>6.4</v>
      </c>
      <c r="H3121">
        <v>39</v>
      </c>
      <c r="I3121">
        <v>64.760000000000005</v>
      </c>
      <c r="J3121">
        <v>0.54</v>
      </c>
      <c r="K3121" t="str" cm="1">
        <f t="array" ref="K3121">_xlfn.IFS(Table4_2[[#This Row],[Growth Days]]&lt;=14,"Seedling",Table4_2[[#This Row],[Growth Days]]&lt;=35, "Vegetative",Table4_2[[#This Row],[Growth Days]]&lt;=50, "Maturity")</f>
        <v>Maturity</v>
      </c>
      <c r="L3121" t="str">
        <f>IF(Table4_2[[#This Row],[TDS Value (ppm)]]&lt;560, "Low", IF(Table4_2[[#This Row],[TDS Value (ppm)]]&lt;=800,"Optimal","High"))</f>
        <v>Low</v>
      </c>
    </row>
    <row r="3122" spans="1:12" x14ac:dyDescent="0.25">
      <c r="A3122">
        <v>63</v>
      </c>
      <c r="B3122" s="1">
        <v>45144</v>
      </c>
      <c r="C3122" s="1" t="str">
        <f>TEXT(Table4_2[[#This Row],[Date]],"dddd")</f>
        <v>Sunday</v>
      </c>
      <c r="D3122" s="21">
        <v>23</v>
      </c>
      <c r="E3122" s="21">
        <v>50</v>
      </c>
      <c r="F3122" s="21">
        <v>577</v>
      </c>
      <c r="G3122" s="21">
        <v>6.1</v>
      </c>
      <c r="H3122">
        <v>4</v>
      </c>
      <c r="I3122">
        <v>73.400000000000006</v>
      </c>
      <c r="J3122">
        <v>0.5</v>
      </c>
      <c r="K3122" t="str" cm="1">
        <f t="array" ref="K3122">_xlfn.IFS(Table4_2[[#This Row],[Growth Days]]&lt;=14,"Seedling",Table4_2[[#This Row],[Growth Days]]&lt;=35, "Vegetative",Table4_2[[#This Row],[Growth Days]]&lt;=50, "Maturity")</f>
        <v>Seedling</v>
      </c>
      <c r="L3122" t="str">
        <f>IF(Table4_2[[#This Row],[TDS Value (ppm)]]&lt;560, "Low", IF(Table4_2[[#This Row],[TDS Value (ppm)]]&lt;=800,"Optimal","High"))</f>
        <v>Optimal</v>
      </c>
    </row>
    <row r="3123" spans="1:12" x14ac:dyDescent="0.25">
      <c r="A3123">
        <v>63</v>
      </c>
      <c r="B3123" s="1">
        <v>45151</v>
      </c>
      <c r="C3123" s="1" t="str">
        <f>TEXT(Table4_2[[#This Row],[Date]],"dddd")</f>
        <v>Sunday</v>
      </c>
      <c r="D3123" s="21">
        <v>20.9</v>
      </c>
      <c r="E3123" s="21">
        <v>53</v>
      </c>
      <c r="F3123" s="21">
        <v>463</v>
      </c>
      <c r="G3123" s="21">
        <v>6.4</v>
      </c>
      <c r="H3123">
        <v>11</v>
      </c>
      <c r="I3123">
        <v>69.62</v>
      </c>
      <c r="J3123">
        <v>0.53</v>
      </c>
      <c r="K3123" t="str" cm="1">
        <f t="array" ref="K3123">_xlfn.IFS(Table4_2[[#This Row],[Growth Days]]&lt;=14,"Seedling",Table4_2[[#This Row],[Growth Days]]&lt;=35, "Vegetative",Table4_2[[#This Row],[Growth Days]]&lt;=50, "Maturity")</f>
        <v>Seedling</v>
      </c>
      <c r="L3123" t="str">
        <f>IF(Table4_2[[#This Row],[TDS Value (ppm)]]&lt;560, "Low", IF(Table4_2[[#This Row],[TDS Value (ppm)]]&lt;=800,"Optimal","High"))</f>
        <v>Low</v>
      </c>
    </row>
    <row r="3124" spans="1:12" x14ac:dyDescent="0.25">
      <c r="A3124">
        <v>63</v>
      </c>
      <c r="B3124" s="1">
        <v>45158</v>
      </c>
      <c r="C3124" s="1" t="str">
        <f>TEXT(Table4_2[[#This Row],[Date]],"dddd")</f>
        <v>Sunday</v>
      </c>
      <c r="D3124" s="21">
        <v>19.2</v>
      </c>
      <c r="E3124" s="21">
        <v>80</v>
      </c>
      <c r="F3124" s="21">
        <v>721</v>
      </c>
      <c r="G3124" s="21">
        <v>6.5</v>
      </c>
      <c r="H3124">
        <v>18</v>
      </c>
      <c r="I3124">
        <v>66.56</v>
      </c>
      <c r="J3124">
        <v>0.8</v>
      </c>
      <c r="K3124" t="str" cm="1">
        <f t="array" ref="K3124">_xlfn.IFS(Table4_2[[#This Row],[Growth Days]]&lt;=14,"Seedling",Table4_2[[#This Row],[Growth Days]]&lt;=35, "Vegetative",Table4_2[[#This Row],[Growth Days]]&lt;=50, "Maturity")</f>
        <v>Vegetative</v>
      </c>
      <c r="L3124" t="str">
        <f>IF(Table4_2[[#This Row],[TDS Value (ppm)]]&lt;560, "Low", IF(Table4_2[[#This Row],[TDS Value (ppm)]]&lt;=800,"Optimal","High"))</f>
        <v>Optimal</v>
      </c>
    </row>
    <row r="3125" spans="1:12" x14ac:dyDescent="0.25">
      <c r="A3125">
        <v>63</v>
      </c>
      <c r="B3125" s="1">
        <v>45165</v>
      </c>
      <c r="C3125" s="1" t="str">
        <f>TEXT(Table4_2[[#This Row],[Date]],"dddd")</f>
        <v>Sunday</v>
      </c>
      <c r="D3125" s="21">
        <v>18.100000000000001</v>
      </c>
      <c r="E3125" s="21">
        <v>65</v>
      </c>
      <c r="F3125" s="21">
        <v>680</v>
      </c>
      <c r="G3125" s="21">
        <v>6.4</v>
      </c>
      <c r="H3125">
        <v>25</v>
      </c>
      <c r="I3125">
        <v>64.58</v>
      </c>
      <c r="J3125">
        <v>0.65</v>
      </c>
      <c r="K3125" t="str" cm="1">
        <f t="array" ref="K3125">_xlfn.IFS(Table4_2[[#This Row],[Growth Days]]&lt;=14,"Seedling",Table4_2[[#This Row],[Growth Days]]&lt;=35, "Vegetative",Table4_2[[#This Row],[Growth Days]]&lt;=50, "Maturity")</f>
        <v>Vegetative</v>
      </c>
      <c r="L3125" t="str">
        <f>IF(Table4_2[[#This Row],[TDS Value (ppm)]]&lt;560, "Low", IF(Table4_2[[#This Row],[TDS Value (ppm)]]&lt;=800,"Optimal","High"))</f>
        <v>Optimal</v>
      </c>
    </row>
    <row r="3126" spans="1:12" x14ac:dyDescent="0.25">
      <c r="A3126">
        <v>63</v>
      </c>
      <c r="B3126" s="1">
        <v>45172</v>
      </c>
      <c r="C3126" s="1" t="str">
        <f>TEXT(Table4_2[[#This Row],[Date]],"dddd")</f>
        <v>Sunday</v>
      </c>
      <c r="D3126" s="21">
        <v>22.2</v>
      </c>
      <c r="E3126" s="21">
        <v>75</v>
      </c>
      <c r="F3126" s="21">
        <v>455</v>
      </c>
      <c r="G3126" s="21">
        <v>6.3</v>
      </c>
      <c r="H3126">
        <v>32</v>
      </c>
      <c r="I3126">
        <v>71.959999999999994</v>
      </c>
      <c r="J3126">
        <v>0.75</v>
      </c>
      <c r="K3126" t="str" cm="1">
        <f t="array" ref="K3126">_xlfn.IFS(Table4_2[[#This Row],[Growth Days]]&lt;=14,"Seedling",Table4_2[[#This Row],[Growth Days]]&lt;=35, "Vegetative",Table4_2[[#This Row],[Growth Days]]&lt;=50, "Maturity")</f>
        <v>Vegetative</v>
      </c>
      <c r="L3126" t="str">
        <f>IF(Table4_2[[#This Row],[TDS Value (ppm)]]&lt;560, "Low", IF(Table4_2[[#This Row],[TDS Value (ppm)]]&lt;=800,"Optimal","High"))</f>
        <v>Low</v>
      </c>
    </row>
    <row r="3127" spans="1:12" x14ac:dyDescent="0.25">
      <c r="A3127">
        <v>63</v>
      </c>
      <c r="B3127" s="1">
        <v>45179</v>
      </c>
      <c r="C3127" s="1" t="str">
        <f>TEXT(Table4_2[[#This Row],[Date]],"dddd")</f>
        <v>Sunday</v>
      </c>
      <c r="D3127" s="21">
        <v>21.6</v>
      </c>
      <c r="E3127" s="21">
        <v>77</v>
      </c>
      <c r="F3127" s="21">
        <v>677</v>
      </c>
      <c r="G3127" s="21">
        <v>6.8</v>
      </c>
      <c r="H3127">
        <v>39</v>
      </c>
      <c r="I3127">
        <v>70.88</v>
      </c>
      <c r="J3127">
        <v>0.77</v>
      </c>
      <c r="K3127" t="str" cm="1">
        <f t="array" ref="K3127">_xlfn.IFS(Table4_2[[#This Row],[Growth Days]]&lt;=14,"Seedling",Table4_2[[#This Row],[Growth Days]]&lt;=35, "Vegetative",Table4_2[[#This Row],[Growth Days]]&lt;=50, "Maturity")</f>
        <v>Maturity</v>
      </c>
      <c r="L3127" t="str">
        <f>IF(Table4_2[[#This Row],[TDS Value (ppm)]]&lt;560, "Low", IF(Table4_2[[#This Row],[TDS Value (ppm)]]&lt;=800,"Optimal","High"))</f>
        <v>Optimal</v>
      </c>
    </row>
    <row r="3128" spans="1:12" x14ac:dyDescent="0.25">
      <c r="A3128">
        <v>64</v>
      </c>
      <c r="B3128" s="1">
        <v>45144</v>
      </c>
      <c r="C3128" s="1" t="str">
        <f>TEXT(Table4_2[[#This Row],[Date]],"dddd")</f>
        <v>Sunday</v>
      </c>
      <c r="D3128" s="21">
        <v>23.4</v>
      </c>
      <c r="E3128" s="21">
        <v>73</v>
      </c>
      <c r="F3128" s="21">
        <v>735</v>
      </c>
      <c r="G3128" s="21">
        <v>6.3</v>
      </c>
      <c r="H3128">
        <v>4</v>
      </c>
      <c r="I3128">
        <v>74.12</v>
      </c>
      <c r="J3128">
        <v>0.73</v>
      </c>
      <c r="K3128" t="str" cm="1">
        <f t="array" ref="K3128">_xlfn.IFS(Table4_2[[#This Row],[Growth Days]]&lt;=14,"Seedling",Table4_2[[#This Row],[Growth Days]]&lt;=35, "Vegetative",Table4_2[[#This Row],[Growth Days]]&lt;=50, "Maturity")</f>
        <v>Seedling</v>
      </c>
      <c r="L3128" t="str">
        <f>IF(Table4_2[[#This Row],[TDS Value (ppm)]]&lt;560, "Low", IF(Table4_2[[#This Row],[TDS Value (ppm)]]&lt;=800,"Optimal","High"))</f>
        <v>Optimal</v>
      </c>
    </row>
    <row r="3129" spans="1:12" x14ac:dyDescent="0.25">
      <c r="A3129">
        <v>64</v>
      </c>
      <c r="B3129" s="1">
        <v>45151</v>
      </c>
      <c r="C3129" s="1" t="str">
        <f>TEXT(Table4_2[[#This Row],[Date]],"dddd")</f>
        <v>Sunday</v>
      </c>
      <c r="D3129" s="21">
        <v>24.1</v>
      </c>
      <c r="E3129" s="21">
        <v>65</v>
      </c>
      <c r="F3129" s="21">
        <v>451</v>
      </c>
      <c r="G3129" s="21">
        <v>6.3</v>
      </c>
      <c r="H3129">
        <v>11</v>
      </c>
      <c r="I3129">
        <v>75.38</v>
      </c>
      <c r="J3129">
        <v>0.65</v>
      </c>
      <c r="K3129" t="str" cm="1">
        <f t="array" ref="K3129">_xlfn.IFS(Table4_2[[#This Row],[Growth Days]]&lt;=14,"Seedling",Table4_2[[#This Row],[Growth Days]]&lt;=35, "Vegetative",Table4_2[[#This Row],[Growth Days]]&lt;=50, "Maturity")</f>
        <v>Seedling</v>
      </c>
      <c r="L3129" t="str">
        <f>IF(Table4_2[[#This Row],[TDS Value (ppm)]]&lt;560, "Low", IF(Table4_2[[#This Row],[TDS Value (ppm)]]&lt;=800,"Optimal","High"))</f>
        <v>Low</v>
      </c>
    </row>
    <row r="3130" spans="1:12" x14ac:dyDescent="0.25">
      <c r="A3130">
        <v>64</v>
      </c>
      <c r="B3130" s="1">
        <v>45158</v>
      </c>
      <c r="C3130" s="1" t="str">
        <f>TEXT(Table4_2[[#This Row],[Date]],"dddd")</f>
        <v>Sunday</v>
      </c>
      <c r="D3130" s="21">
        <v>23</v>
      </c>
      <c r="E3130" s="21">
        <v>78</v>
      </c>
      <c r="F3130" s="21">
        <v>545</v>
      </c>
      <c r="G3130" s="21">
        <v>6.2</v>
      </c>
      <c r="H3130">
        <v>18</v>
      </c>
      <c r="I3130">
        <v>73.400000000000006</v>
      </c>
      <c r="J3130">
        <v>0.78</v>
      </c>
      <c r="K3130" t="str" cm="1">
        <f t="array" ref="K3130">_xlfn.IFS(Table4_2[[#This Row],[Growth Days]]&lt;=14,"Seedling",Table4_2[[#This Row],[Growth Days]]&lt;=35, "Vegetative",Table4_2[[#This Row],[Growth Days]]&lt;=50, "Maturity")</f>
        <v>Vegetative</v>
      </c>
      <c r="L3130" t="str">
        <f>IF(Table4_2[[#This Row],[TDS Value (ppm)]]&lt;560, "Low", IF(Table4_2[[#This Row],[TDS Value (ppm)]]&lt;=800,"Optimal","High"))</f>
        <v>Low</v>
      </c>
    </row>
    <row r="3131" spans="1:12" x14ac:dyDescent="0.25">
      <c r="A3131">
        <v>64</v>
      </c>
      <c r="B3131" s="1">
        <v>45165</v>
      </c>
      <c r="C3131" s="1" t="str">
        <f>TEXT(Table4_2[[#This Row],[Date]],"dddd")</f>
        <v>Sunday</v>
      </c>
      <c r="D3131" s="21">
        <v>24.6</v>
      </c>
      <c r="E3131" s="21">
        <v>67</v>
      </c>
      <c r="F3131" s="21">
        <v>711</v>
      </c>
      <c r="G3131" s="21">
        <v>6.5</v>
      </c>
      <c r="H3131">
        <v>25</v>
      </c>
      <c r="I3131">
        <v>76.28</v>
      </c>
      <c r="J3131">
        <v>0.67</v>
      </c>
      <c r="K3131" t="str" cm="1">
        <f t="array" ref="K3131">_xlfn.IFS(Table4_2[[#This Row],[Growth Days]]&lt;=14,"Seedling",Table4_2[[#This Row],[Growth Days]]&lt;=35, "Vegetative",Table4_2[[#This Row],[Growth Days]]&lt;=50, "Maturity")</f>
        <v>Vegetative</v>
      </c>
      <c r="L3131" t="str">
        <f>IF(Table4_2[[#This Row],[TDS Value (ppm)]]&lt;560, "Low", IF(Table4_2[[#This Row],[TDS Value (ppm)]]&lt;=800,"Optimal","High"))</f>
        <v>Optimal</v>
      </c>
    </row>
    <row r="3132" spans="1:12" x14ac:dyDescent="0.25">
      <c r="A3132">
        <v>64</v>
      </c>
      <c r="B3132" s="1">
        <v>45172</v>
      </c>
      <c r="C3132" s="1" t="str">
        <f>TEXT(Table4_2[[#This Row],[Date]],"dddd")</f>
        <v>Sunday</v>
      </c>
      <c r="D3132" s="21">
        <v>23.1</v>
      </c>
      <c r="E3132" s="21">
        <v>62</v>
      </c>
      <c r="F3132" s="21">
        <v>764</v>
      </c>
      <c r="G3132" s="21">
        <v>6.5</v>
      </c>
      <c r="H3132">
        <v>32</v>
      </c>
      <c r="I3132">
        <v>73.58</v>
      </c>
      <c r="J3132">
        <v>0.62</v>
      </c>
      <c r="K3132" t="str" cm="1">
        <f t="array" ref="K3132">_xlfn.IFS(Table4_2[[#This Row],[Growth Days]]&lt;=14,"Seedling",Table4_2[[#This Row],[Growth Days]]&lt;=35, "Vegetative",Table4_2[[#This Row],[Growth Days]]&lt;=50, "Maturity")</f>
        <v>Vegetative</v>
      </c>
      <c r="L3132" t="str">
        <f>IF(Table4_2[[#This Row],[TDS Value (ppm)]]&lt;560, "Low", IF(Table4_2[[#This Row],[TDS Value (ppm)]]&lt;=800,"Optimal","High"))</f>
        <v>Optimal</v>
      </c>
    </row>
    <row r="3133" spans="1:12" x14ac:dyDescent="0.25">
      <c r="A3133">
        <v>64</v>
      </c>
      <c r="B3133" s="1">
        <v>45179</v>
      </c>
      <c r="C3133" s="1" t="str">
        <f>TEXT(Table4_2[[#This Row],[Date]],"dddd")</f>
        <v>Sunday</v>
      </c>
      <c r="D3133" s="21">
        <v>22.8</v>
      </c>
      <c r="E3133" s="21">
        <v>60</v>
      </c>
      <c r="F3133" s="21">
        <v>480</v>
      </c>
      <c r="G3133" s="21">
        <v>6.2</v>
      </c>
      <c r="H3133">
        <v>39</v>
      </c>
      <c r="I3133">
        <v>73.040000000000006</v>
      </c>
      <c r="J3133">
        <v>0.6</v>
      </c>
      <c r="K3133" t="str" cm="1">
        <f t="array" ref="K3133">_xlfn.IFS(Table4_2[[#This Row],[Growth Days]]&lt;=14,"Seedling",Table4_2[[#This Row],[Growth Days]]&lt;=35, "Vegetative",Table4_2[[#This Row],[Growth Days]]&lt;=50, "Maturity")</f>
        <v>Maturity</v>
      </c>
      <c r="L3133" t="str">
        <f>IF(Table4_2[[#This Row],[TDS Value (ppm)]]&lt;560, "Low", IF(Table4_2[[#This Row],[TDS Value (ppm)]]&lt;=800,"Optimal","High"))</f>
        <v>Low</v>
      </c>
    </row>
    <row r="3134" spans="1:12" x14ac:dyDescent="0.25">
      <c r="A3134">
        <v>65</v>
      </c>
      <c r="B3134" s="1">
        <v>45144</v>
      </c>
      <c r="C3134" s="1" t="str">
        <f>TEXT(Table4_2[[#This Row],[Date]],"dddd")</f>
        <v>Sunday</v>
      </c>
      <c r="D3134" s="21">
        <v>23.3</v>
      </c>
      <c r="E3134" s="21">
        <v>54</v>
      </c>
      <c r="F3134" s="21">
        <v>468</v>
      </c>
      <c r="G3134" s="21">
        <v>6.6</v>
      </c>
      <c r="H3134">
        <v>4</v>
      </c>
      <c r="I3134">
        <v>73.94</v>
      </c>
      <c r="J3134">
        <v>0.54</v>
      </c>
      <c r="K3134" t="str" cm="1">
        <f t="array" ref="K3134">_xlfn.IFS(Table4_2[[#This Row],[Growth Days]]&lt;=14,"Seedling",Table4_2[[#This Row],[Growth Days]]&lt;=35, "Vegetative",Table4_2[[#This Row],[Growth Days]]&lt;=50, "Maturity")</f>
        <v>Seedling</v>
      </c>
      <c r="L3134" t="str">
        <f>IF(Table4_2[[#This Row],[TDS Value (ppm)]]&lt;560, "Low", IF(Table4_2[[#This Row],[TDS Value (ppm)]]&lt;=800,"Optimal","High"))</f>
        <v>Low</v>
      </c>
    </row>
    <row r="3135" spans="1:12" x14ac:dyDescent="0.25">
      <c r="A3135">
        <v>65</v>
      </c>
      <c r="B3135" s="1">
        <v>45151</v>
      </c>
      <c r="C3135" s="1" t="str">
        <f>TEXT(Table4_2[[#This Row],[Date]],"dddd")</f>
        <v>Sunday</v>
      </c>
      <c r="D3135" s="21">
        <v>22.3</v>
      </c>
      <c r="E3135" s="21">
        <v>68</v>
      </c>
      <c r="F3135" s="21">
        <v>540</v>
      </c>
      <c r="G3135" s="21">
        <v>6.4</v>
      </c>
      <c r="H3135">
        <v>11</v>
      </c>
      <c r="I3135">
        <v>72.14</v>
      </c>
      <c r="J3135">
        <v>0.68</v>
      </c>
      <c r="K3135" t="str" cm="1">
        <f t="array" ref="K3135">_xlfn.IFS(Table4_2[[#This Row],[Growth Days]]&lt;=14,"Seedling",Table4_2[[#This Row],[Growth Days]]&lt;=35, "Vegetative",Table4_2[[#This Row],[Growth Days]]&lt;=50, "Maturity")</f>
        <v>Seedling</v>
      </c>
      <c r="L3135" t="str">
        <f>IF(Table4_2[[#This Row],[TDS Value (ppm)]]&lt;560, "Low", IF(Table4_2[[#This Row],[TDS Value (ppm)]]&lt;=800,"Optimal","High"))</f>
        <v>Low</v>
      </c>
    </row>
    <row r="3136" spans="1:12" x14ac:dyDescent="0.25">
      <c r="A3136">
        <v>65</v>
      </c>
      <c r="B3136" s="1">
        <v>45158</v>
      </c>
      <c r="C3136" s="1" t="str">
        <f>TEXT(Table4_2[[#This Row],[Date]],"dddd")</f>
        <v>Sunday</v>
      </c>
      <c r="D3136" s="21">
        <v>22.2</v>
      </c>
      <c r="E3136" s="21">
        <v>71</v>
      </c>
      <c r="F3136" s="21">
        <v>505</v>
      </c>
      <c r="G3136" s="21">
        <v>6.6</v>
      </c>
      <c r="H3136">
        <v>18</v>
      </c>
      <c r="I3136">
        <v>71.959999999999994</v>
      </c>
      <c r="J3136">
        <v>0.71</v>
      </c>
      <c r="K3136" t="str" cm="1">
        <f t="array" ref="K3136">_xlfn.IFS(Table4_2[[#This Row],[Growth Days]]&lt;=14,"Seedling",Table4_2[[#This Row],[Growth Days]]&lt;=35, "Vegetative",Table4_2[[#This Row],[Growth Days]]&lt;=50, "Maturity")</f>
        <v>Vegetative</v>
      </c>
      <c r="L3136" t="str">
        <f>IF(Table4_2[[#This Row],[TDS Value (ppm)]]&lt;560, "Low", IF(Table4_2[[#This Row],[TDS Value (ppm)]]&lt;=800,"Optimal","High"))</f>
        <v>Low</v>
      </c>
    </row>
    <row r="3137" spans="1:12" x14ac:dyDescent="0.25">
      <c r="A3137">
        <v>65</v>
      </c>
      <c r="B3137" s="1">
        <v>45165</v>
      </c>
      <c r="C3137" s="1" t="str">
        <f>TEXT(Table4_2[[#This Row],[Date]],"dddd")</f>
        <v>Sunday</v>
      </c>
      <c r="D3137" s="21">
        <v>22.6</v>
      </c>
      <c r="E3137" s="21">
        <v>68</v>
      </c>
      <c r="F3137" s="21">
        <v>637</v>
      </c>
      <c r="G3137" s="21">
        <v>6.2</v>
      </c>
      <c r="H3137">
        <v>25</v>
      </c>
      <c r="I3137">
        <v>72.680000000000007</v>
      </c>
      <c r="J3137">
        <v>0.68</v>
      </c>
      <c r="K3137" t="str" cm="1">
        <f t="array" ref="K3137">_xlfn.IFS(Table4_2[[#This Row],[Growth Days]]&lt;=14,"Seedling",Table4_2[[#This Row],[Growth Days]]&lt;=35, "Vegetative",Table4_2[[#This Row],[Growth Days]]&lt;=50, "Maturity")</f>
        <v>Vegetative</v>
      </c>
      <c r="L3137" t="str">
        <f>IF(Table4_2[[#This Row],[TDS Value (ppm)]]&lt;560, "Low", IF(Table4_2[[#This Row],[TDS Value (ppm)]]&lt;=800,"Optimal","High"))</f>
        <v>Optimal</v>
      </c>
    </row>
    <row r="3138" spans="1:12" x14ac:dyDescent="0.25">
      <c r="A3138">
        <v>65</v>
      </c>
      <c r="B3138" s="1">
        <v>45172</v>
      </c>
      <c r="C3138" s="1" t="str">
        <f>TEXT(Table4_2[[#This Row],[Date]],"dddd")</f>
        <v>Sunday</v>
      </c>
      <c r="D3138" s="21">
        <v>18.600000000000001</v>
      </c>
      <c r="E3138" s="21">
        <v>59</v>
      </c>
      <c r="F3138" s="21">
        <v>767</v>
      </c>
      <c r="G3138" s="21">
        <v>6.7</v>
      </c>
      <c r="H3138">
        <v>32</v>
      </c>
      <c r="I3138">
        <v>65.48</v>
      </c>
      <c r="J3138">
        <v>0.59</v>
      </c>
      <c r="K3138" t="str" cm="1">
        <f t="array" ref="K3138">_xlfn.IFS(Table4_2[[#This Row],[Growth Days]]&lt;=14,"Seedling",Table4_2[[#This Row],[Growth Days]]&lt;=35, "Vegetative",Table4_2[[#This Row],[Growth Days]]&lt;=50, "Maturity")</f>
        <v>Vegetative</v>
      </c>
      <c r="L3138" t="str">
        <f>IF(Table4_2[[#This Row],[TDS Value (ppm)]]&lt;560, "Low", IF(Table4_2[[#This Row],[TDS Value (ppm)]]&lt;=800,"Optimal","High"))</f>
        <v>Optimal</v>
      </c>
    </row>
    <row r="3139" spans="1:12" x14ac:dyDescent="0.25">
      <c r="A3139">
        <v>65</v>
      </c>
      <c r="B3139" s="1">
        <v>45179</v>
      </c>
      <c r="C3139" s="1" t="str">
        <f>TEXT(Table4_2[[#This Row],[Date]],"dddd")</f>
        <v>Sunday</v>
      </c>
      <c r="D3139" s="21">
        <v>19</v>
      </c>
      <c r="E3139" s="21">
        <v>76</v>
      </c>
      <c r="F3139" s="21">
        <v>769</v>
      </c>
      <c r="G3139" s="21">
        <v>6.3</v>
      </c>
      <c r="H3139">
        <v>39</v>
      </c>
      <c r="I3139">
        <v>66.2</v>
      </c>
      <c r="J3139">
        <v>0.76</v>
      </c>
      <c r="K3139" t="str" cm="1">
        <f t="array" ref="K3139">_xlfn.IFS(Table4_2[[#This Row],[Growth Days]]&lt;=14,"Seedling",Table4_2[[#This Row],[Growth Days]]&lt;=35, "Vegetative",Table4_2[[#This Row],[Growth Days]]&lt;=50, "Maturity")</f>
        <v>Maturity</v>
      </c>
      <c r="L3139" t="str">
        <f>IF(Table4_2[[#This Row],[TDS Value (ppm)]]&lt;560, "Low", IF(Table4_2[[#This Row],[TDS Value (ppm)]]&lt;=800,"Optimal","High"))</f>
        <v>Optimal</v>
      </c>
    </row>
    <row r="3140" spans="1:12" x14ac:dyDescent="0.25">
      <c r="A3140">
        <v>66</v>
      </c>
      <c r="B3140" s="1">
        <v>45144</v>
      </c>
      <c r="C3140" s="1" t="str">
        <f>TEXT(Table4_2[[#This Row],[Date]],"dddd")</f>
        <v>Sunday</v>
      </c>
      <c r="D3140" s="21">
        <v>23.8</v>
      </c>
      <c r="E3140" s="21">
        <v>76</v>
      </c>
      <c r="F3140" s="21">
        <v>662</v>
      </c>
      <c r="G3140" s="21">
        <v>6.2</v>
      </c>
      <c r="H3140">
        <v>4</v>
      </c>
      <c r="I3140">
        <v>74.84</v>
      </c>
      <c r="J3140">
        <v>0.76</v>
      </c>
      <c r="K3140" t="str" cm="1">
        <f t="array" ref="K3140">_xlfn.IFS(Table4_2[[#This Row],[Growth Days]]&lt;=14,"Seedling",Table4_2[[#This Row],[Growth Days]]&lt;=35, "Vegetative",Table4_2[[#This Row],[Growth Days]]&lt;=50, "Maturity")</f>
        <v>Seedling</v>
      </c>
      <c r="L3140" t="str">
        <f>IF(Table4_2[[#This Row],[TDS Value (ppm)]]&lt;560, "Low", IF(Table4_2[[#This Row],[TDS Value (ppm)]]&lt;=800,"Optimal","High"))</f>
        <v>Optimal</v>
      </c>
    </row>
    <row r="3141" spans="1:12" x14ac:dyDescent="0.25">
      <c r="A3141">
        <v>66</v>
      </c>
      <c r="B3141" s="1">
        <v>45151</v>
      </c>
      <c r="C3141" s="1" t="str">
        <f>TEXT(Table4_2[[#This Row],[Date]],"dddd")</f>
        <v>Sunday</v>
      </c>
      <c r="D3141" s="21">
        <v>24.7</v>
      </c>
      <c r="E3141" s="21">
        <v>73</v>
      </c>
      <c r="F3141" s="21">
        <v>447</v>
      </c>
      <c r="G3141" s="21">
        <v>6.4</v>
      </c>
      <c r="H3141">
        <v>11</v>
      </c>
      <c r="I3141">
        <v>76.459999999999994</v>
      </c>
      <c r="J3141">
        <v>0.73</v>
      </c>
      <c r="K3141" t="str" cm="1">
        <f t="array" ref="K3141">_xlfn.IFS(Table4_2[[#This Row],[Growth Days]]&lt;=14,"Seedling",Table4_2[[#This Row],[Growth Days]]&lt;=35, "Vegetative",Table4_2[[#This Row],[Growth Days]]&lt;=50, "Maturity")</f>
        <v>Seedling</v>
      </c>
      <c r="L3141" t="str">
        <f>IF(Table4_2[[#This Row],[TDS Value (ppm)]]&lt;560, "Low", IF(Table4_2[[#This Row],[TDS Value (ppm)]]&lt;=800,"Optimal","High"))</f>
        <v>Low</v>
      </c>
    </row>
    <row r="3142" spans="1:12" x14ac:dyDescent="0.25">
      <c r="A3142">
        <v>66</v>
      </c>
      <c r="B3142" s="1">
        <v>45158</v>
      </c>
      <c r="C3142" s="1" t="str">
        <f>TEXT(Table4_2[[#This Row],[Date]],"dddd")</f>
        <v>Sunday</v>
      </c>
      <c r="D3142" s="21">
        <v>20</v>
      </c>
      <c r="E3142" s="21">
        <v>53</v>
      </c>
      <c r="F3142" s="21">
        <v>567</v>
      </c>
      <c r="G3142" s="21">
        <v>6.6</v>
      </c>
      <c r="H3142">
        <v>18</v>
      </c>
      <c r="I3142">
        <v>68</v>
      </c>
      <c r="J3142">
        <v>0.53</v>
      </c>
      <c r="K3142" t="str" cm="1">
        <f t="array" ref="K3142">_xlfn.IFS(Table4_2[[#This Row],[Growth Days]]&lt;=14,"Seedling",Table4_2[[#This Row],[Growth Days]]&lt;=35, "Vegetative",Table4_2[[#This Row],[Growth Days]]&lt;=50, "Maturity")</f>
        <v>Vegetative</v>
      </c>
      <c r="L3142" t="str">
        <f>IF(Table4_2[[#This Row],[TDS Value (ppm)]]&lt;560, "Low", IF(Table4_2[[#This Row],[TDS Value (ppm)]]&lt;=800,"Optimal","High"))</f>
        <v>Optimal</v>
      </c>
    </row>
    <row r="3143" spans="1:12" x14ac:dyDescent="0.25">
      <c r="A3143">
        <v>66</v>
      </c>
      <c r="B3143" s="1">
        <v>45165</v>
      </c>
      <c r="C3143" s="1" t="str">
        <f>TEXT(Table4_2[[#This Row],[Date]],"dddd")</f>
        <v>Sunday</v>
      </c>
      <c r="D3143" s="21">
        <v>23.7</v>
      </c>
      <c r="E3143" s="21">
        <v>64</v>
      </c>
      <c r="F3143" s="21">
        <v>641</v>
      </c>
      <c r="G3143" s="21">
        <v>6.2</v>
      </c>
      <c r="H3143">
        <v>25</v>
      </c>
      <c r="I3143">
        <v>74.66</v>
      </c>
      <c r="J3143">
        <v>0.64</v>
      </c>
      <c r="K3143" t="str" cm="1">
        <f t="array" ref="K3143">_xlfn.IFS(Table4_2[[#This Row],[Growth Days]]&lt;=14,"Seedling",Table4_2[[#This Row],[Growth Days]]&lt;=35, "Vegetative",Table4_2[[#This Row],[Growth Days]]&lt;=50, "Maturity")</f>
        <v>Vegetative</v>
      </c>
      <c r="L3143" t="str">
        <f>IF(Table4_2[[#This Row],[TDS Value (ppm)]]&lt;560, "Low", IF(Table4_2[[#This Row],[TDS Value (ppm)]]&lt;=800,"Optimal","High"))</f>
        <v>Optimal</v>
      </c>
    </row>
    <row r="3144" spans="1:12" x14ac:dyDescent="0.25">
      <c r="A3144">
        <v>66</v>
      </c>
      <c r="B3144" s="1">
        <v>45172</v>
      </c>
      <c r="C3144" s="1" t="str">
        <f>TEXT(Table4_2[[#This Row],[Date]],"dddd")</f>
        <v>Sunday</v>
      </c>
      <c r="D3144" s="21">
        <v>21.5</v>
      </c>
      <c r="E3144" s="21">
        <v>74</v>
      </c>
      <c r="F3144" s="21">
        <v>423</v>
      </c>
      <c r="G3144" s="21">
        <v>6.5</v>
      </c>
      <c r="H3144">
        <v>32</v>
      </c>
      <c r="I3144">
        <v>70.7</v>
      </c>
      <c r="J3144">
        <v>0.74</v>
      </c>
      <c r="K3144" t="str" cm="1">
        <f t="array" ref="K3144">_xlfn.IFS(Table4_2[[#This Row],[Growth Days]]&lt;=14,"Seedling",Table4_2[[#This Row],[Growth Days]]&lt;=35, "Vegetative",Table4_2[[#This Row],[Growth Days]]&lt;=50, "Maturity")</f>
        <v>Vegetative</v>
      </c>
      <c r="L3144" t="str">
        <f>IF(Table4_2[[#This Row],[TDS Value (ppm)]]&lt;560, "Low", IF(Table4_2[[#This Row],[TDS Value (ppm)]]&lt;=800,"Optimal","High"))</f>
        <v>Low</v>
      </c>
    </row>
    <row r="3145" spans="1:12" x14ac:dyDescent="0.25">
      <c r="A3145">
        <v>66</v>
      </c>
      <c r="B3145" s="1">
        <v>45179</v>
      </c>
      <c r="C3145" s="1" t="str">
        <f>TEXT(Table4_2[[#This Row],[Date]],"dddd")</f>
        <v>Sunday</v>
      </c>
      <c r="D3145" s="21">
        <v>19.899999999999999</v>
      </c>
      <c r="E3145" s="21">
        <v>54</v>
      </c>
      <c r="F3145" s="21">
        <v>775</v>
      </c>
      <c r="G3145" s="21">
        <v>6.3</v>
      </c>
      <c r="H3145">
        <v>39</v>
      </c>
      <c r="I3145">
        <v>67.819999999999993</v>
      </c>
      <c r="J3145">
        <v>0.54</v>
      </c>
      <c r="K3145" t="str" cm="1">
        <f t="array" ref="K3145">_xlfn.IFS(Table4_2[[#This Row],[Growth Days]]&lt;=14,"Seedling",Table4_2[[#This Row],[Growth Days]]&lt;=35, "Vegetative",Table4_2[[#This Row],[Growth Days]]&lt;=50, "Maturity")</f>
        <v>Maturity</v>
      </c>
      <c r="L3145" t="str">
        <f>IF(Table4_2[[#This Row],[TDS Value (ppm)]]&lt;560, "Low", IF(Table4_2[[#This Row],[TDS Value (ppm)]]&lt;=800,"Optimal","High"))</f>
        <v>Optimal</v>
      </c>
    </row>
    <row r="3146" spans="1:12" x14ac:dyDescent="0.25">
      <c r="A3146">
        <v>67</v>
      </c>
      <c r="B3146" s="1">
        <v>45144</v>
      </c>
      <c r="C3146" s="1" t="str">
        <f>TEXT(Table4_2[[#This Row],[Date]],"dddd")</f>
        <v>Sunday</v>
      </c>
      <c r="D3146" s="21">
        <v>23.7</v>
      </c>
      <c r="E3146" s="21">
        <v>69</v>
      </c>
      <c r="F3146" s="21">
        <v>758</v>
      </c>
      <c r="G3146" s="21">
        <v>6.4</v>
      </c>
      <c r="H3146">
        <v>4</v>
      </c>
      <c r="I3146">
        <v>74.66</v>
      </c>
      <c r="J3146">
        <v>0.69</v>
      </c>
      <c r="K3146" t="str" cm="1">
        <f t="array" ref="K3146">_xlfn.IFS(Table4_2[[#This Row],[Growth Days]]&lt;=14,"Seedling",Table4_2[[#This Row],[Growth Days]]&lt;=35, "Vegetative",Table4_2[[#This Row],[Growth Days]]&lt;=50, "Maturity")</f>
        <v>Seedling</v>
      </c>
      <c r="L3146" t="str">
        <f>IF(Table4_2[[#This Row],[TDS Value (ppm)]]&lt;560, "Low", IF(Table4_2[[#This Row],[TDS Value (ppm)]]&lt;=800,"Optimal","High"))</f>
        <v>Optimal</v>
      </c>
    </row>
    <row r="3147" spans="1:12" x14ac:dyDescent="0.25">
      <c r="A3147">
        <v>67</v>
      </c>
      <c r="B3147" s="1">
        <v>45151</v>
      </c>
      <c r="C3147" s="1" t="str">
        <f>TEXT(Table4_2[[#This Row],[Date]],"dddd")</f>
        <v>Sunday</v>
      </c>
      <c r="D3147" s="21">
        <v>22.6</v>
      </c>
      <c r="E3147" s="21">
        <v>64</v>
      </c>
      <c r="F3147" s="21">
        <v>791</v>
      </c>
      <c r="G3147" s="21">
        <v>6.7</v>
      </c>
      <c r="H3147">
        <v>11</v>
      </c>
      <c r="I3147">
        <v>72.680000000000007</v>
      </c>
      <c r="J3147">
        <v>0.64</v>
      </c>
      <c r="K3147" t="str" cm="1">
        <f t="array" ref="K3147">_xlfn.IFS(Table4_2[[#This Row],[Growth Days]]&lt;=14,"Seedling",Table4_2[[#This Row],[Growth Days]]&lt;=35, "Vegetative",Table4_2[[#This Row],[Growth Days]]&lt;=50, "Maturity")</f>
        <v>Seedling</v>
      </c>
      <c r="L3147" t="str">
        <f>IF(Table4_2[[#This Row],[TDS Value (ppm)]]&lt;560, "Low", IF(Table4_2[[#This Row],[TDS Value (ppm)]]&lt;=800,"Optimal","High"))</f>
        <v>Optimal</v>
      </c>
    </row>
    <row r="3148" spans="1:12" x14ac:dyDescent="0.25">
      <c r="A3148">
        <v>67</v>
      </c>
      <c r="B3148" s="1">
        <v>45158</v>
      </c>
      <c r="C3148" s="1" t="str">
        <f>TEXT(Table4_2[[#This Row],[Date]],"dddd")</f>
        <v>Sunday</v>
      </c>
      <c r="D3148" s="21">
        <v>23.9</v>
      </c>
      <c r="E3148" s="21">
        <v>54</v>
      </c>
      <c r="F3148" s="21">
        <v>655</v>
      </c>
      <c r="G3148" s="21">
        <v>6.3</v>
      </c>
      <c r="H3148">
        <v>18</v>
      </c>
      <c r="I3148">
        <v>75.02</v>
      </c>
      <c r="J3148">
        <v>0.54</v>
      </c>
      <c r="K3148" t="str" cm="1">
        <f t="array" ref="K3148">_xlfn.IFS(Table4_2[[#This Row],[Growth Days]]&lt;=14,"Seedling",Table4_2[[#This Row],[Growth Days]]&lt;=35, "Vegetative",Table4_2[[#This Row],[Growth Days]]&lt;=50, "Maturity")</f>
        <v>Vegetative</v>
      </c>
      <c r="L3148" t="str">
        <f>IF(Table4_2[[#This Row],[TDS Value (ppm)]]&lt;560, "Low", IF(Table4_2[[#This Row],[TDS Value (ppm)]]&lt;=800,"Optimal","High"))</f>
        <v>Optimal</v>
      </c>
    </row>
    <row r="3149" spans="1:12" x14ac:dyDescent="0.25">
      <c r="A3149">
        <v>67</v>
      </c>
      <c r="B3149" s="1">
        <v>45165</v>
      </c>
      <c r="C3149" s="1" t="str">
        <f>TEXT(Table4_2[[#This Row],[Date]],"dddd")</f>
        <v>Sunday</v>
      </c>
      <c r="D3149" s="21">
        <v>19.8</v>
      </c>
      <c r="E3149" s="21">
        <v>55</v>
      </c>
      <c r="F3149" s="21">
        <v>743</v>
      </c>
      <c r="G3149" s="21">
        <v>6.1</v>
      </c>
      <c r="H3149">
        <v>25</v>
      </c>
      <c r="I3149">
        <v>67.64</v>
      </c>
      <c r="J3149">
        <v>0.55000000000000004</v>
      </c>
      <c r="K3149" t="str" cm="1">
        <f t="array" ref="K3149">_xlfn.IFS(Table4_2[[#This Row],[Growth Days]]&lt;=14,"Seedling",Table4_2[[#This Row],[Growth Days]]&lt;=35, "Vegetative",Table4_2[[#This Row],[Growth Days]]&lt;=50, "Maturity")</f>
        <v>Vegetative</v>
      </c>
      <c r="L3149" t="str">
        <f>IF(Table4_2[[#This Row],[TDS Value (ppm)]]&lt;560, "Low", IF(Table4_2[[#This Row],[TDS Value (ppm)]]&lt;=800,"Optimal","High"))</f>
        <v>Optimal</v>
      </c>
    </row>
    <row r="3150" spans="1:12" x14ac:dyDescent="0.25">
      <c r="A3150">
        <v>67</v>
      </c>
      <c r="B3150" s="1">
        <v>45172</v>
      </c>
      <c r="C3150" s="1" t="str">
        <f>TEXT(Table4_2[[#This Row],[Date]],"dddd")</f>
        <v>Sunday</v>
      </c>
      <c r="D3150" s="21">
        <v>21.1</v>
      </c>
      <c r="E3150" s="21">
        <v>61</v>
      </c>
      <c r="F3150" s="21">
        <v>760</v>
      </c>
      <c r="G3150" s="21">
        <v>6.3</v>
      </c>
      <c r="H3150">
        <v>32</v>
      </c>
      <c r="I3150">
        <v>69.98</v>
      </c>
      <c r="J3150">
        <v>0.61</v>
      </c>
      <c r="K3150" t="str" cm="1">
        <f t="array" ref="K3150">_xlfn.IFS(Table4_2[[#This Row],[Growth Days]]&lt;=14,"Seedling",Table4_2[[#This Row],[Growth Days]]&lt;=35, "Vegetative",Table4_2[[#This Row],[Growth Days]]&lt;=50, "Maturity")</f>
        <v>Vegetative</v>
      </c>
      <c r="L3150" t="str">
        <f>IF(Table4_2[[#This Row],[TDS Value (ppm)]]&lt;560, "Low", IF(Table4_2[[#This Row],[TDS Value (ppm)]]&lt;=800,"Optimal","High"))</f>
        <v>Optimal</v>
      </c>
    </row>
    <row r="3151" spans="1:12" x14ac:dyDescent="0.25">
      <c r="A3151">
        <v>67</v>
      </c>
      <c r="B3151" s="1">
        <v>45179</v>
      </c>
      <c r="C3151" s="1" t="str">
        <f>TEXT(Table4_2[[#This Row],[Date]],"dddd")</f>
        <v>Sunday</v>
      </c>
      <c r="D3151" s="21">
        <v>21.1</v>
      </c>
      <c r="E3151" s="21">
        <v>73</v>
      </c>
      <c r="F3151" s="21">
        <v>702</v>
      </c>
      <c r="G3151" s="21">
        <v>6.2</v>
      </c>
      <c r="H3151">
        <v>39</v>
      </c>
      <c r="I3151">
        <v>69.98</v>
      </c>
      <c r="J3151">
        <v>0.73</v>
      </c>
      <c r="K3151" t="str" cm="1">
        <f t="array" ref="K3151">_xlfn.IFS(Table4_2[[#This Row],[Growth Days]]&lt;=14,"Seedling",Table4_2[[#This Row],[Growth Days]]&lt;=35, "Vegetative",Table4_2[[#This Row],[Growth Days]]&lt;=50, "Maturity")</f>
        <v>Maturity</v>
      </c>
      <c r="L3151" t="str">
        <f>IF(Table4_2[[#This Row],[TDS Value (ppm)]]&lt;560, "Low", IF(Table4_2[[#This Row],[TDS Value (ppm)]]&lt;=800,"Optimal","High"))</f>
        <v>Optimal</v>
      </c>
    </row>
    <row r="3152" spans="1:12" x14ac:dyDescent="0.25">
      <c r="A3152">
        <v>68</v>
      </c>
      <c r="B3152" s="1">
        <v>45144</v>
      </c>
      <c r="C3152" s="1" t="str">
        <f>TEXT(Table4_2[[#This Row],[Date]],"dddd")</f>
        <v>Sunday</v>
      </c>
      <c r="D3152" s="21">
        <v>20.100000000000001</v>
      </c>
      <c r="E3152" s="21">
        <v>57</v>
      </c>
      <c r="F3152" s="21">
        <v>417</v>
      </c>
      <c r="G3152" s="21">
        <v>6.3</v>
      </c>
      <c r="H3152">
        <v>4</v>
      </c>
      <c r="I3152">
        <v>68.180000000000007</v>
      </c>
      <c r="J3152">
        <v>0.56999999999999995</v>
      </c>
      <c r="K3152" t="str" cm="1">
        <f t="array" ref="K3152">_xlfn.IFS(Table4_2[[#This Row],[Growth Days]]&lt;=14,"Seedling",Table4_2[[#This Row],[Growth Days]]&lt;=35, "Vegetative",Table4_2[[#This Row],[Growth Days]]&lt;=50, "Maturity")</f>
        <v>Seedling</v>
      </c>
      <c r="L3152" t="str">
        <f>IF(Table4_2[[#This Row],[TDS Value (ppm)]]&lt;560, "Low", IF(Table4_2[[#This Row],[TDS Value (ppm)]]&lt;=800,"Optimal","High"))</f>
        <v>Low</v>
      </c>
    </row>
    <row r="3153" spans="1:12" x14ac:dyDescent="0.25">
      <c r="A3153">
        <v>68</v>
      </c>
      <c r="B3153" s="1">
        <v>45151</v>
      </c>
      <c r="C3153" s="1" t="str">
        <f>TEXT(Table4_2[[#This Row],[Date]],"dddd")</f>
        <v>Sunday</v>
      </c>
      <c r="D3153" s="21">
        <v>20.8</v>
      </c>
      <c r="E3153" s="21">
        <v>54</v>
      </c>
      <c r="F3153" s="21">
        <v>760</v>
      </c>
      <c r="G3153" s="21">
        <v>6</v>
      </c>
      <c r="H3153">
        <v>11</v>
      </c>
      <c r="I3153">
        <v>69.44</v>
      </c>
      <c r="J3153">
        <v>0.54</v>
      </c>
      <c r="K3153" t="str" cm="1">
        <f t="array" ref="K3153">_xlfn.IFS(Table4_2[[#This Row],[Growth Days]]&lt;=14,"Seedling",Table4_2[[#This Row],[Growth Days]]&lt;=35, "Vegetative",Table4_2[[#This Row],[Growth Days]]&lt;=50, "Maturity")</f>
        <v>Seedling</v>
      </c>
      <c r="L3153" t="str">
        <f>IF(Table4_2[[#This Row],[TDS Value (ppm)]]&lt;560, "Low", IF(Table4_2[[#This Row],[TDS Value (ppm)]]&lt;=800,"Optimal","High"))</f>
        <v>Optimal</v>
      </c>
    </row>
    <row r="3154" spans="1:12" x14ac:dyDescent="0.25">
      <c r="A3154">
        <v>68</v>
      </c>
      <c r="B3154" s="1">
        <v>45158</v>
      </c>
      <c r="C3154" s="1" t="str">
        <f>TEXT(Table4_2[[#This Row],[Date]],"dddd")</f>
        <v>Sunday</v>
      </c>
      <c r="D3154" s="21">
        <v>20.2</v>
      </c>
      <c r="E3154" s="21">
        <v>58</v>
      </c>
      <c r="F3154" s="21">
        <v>559</v>
      </c>
      <c r="G3154" s="21">
        <v>6.6</v>
      </c>
      <c r="H3154">
        <v>18</v>
      </c>
      <c r="I3154">
        <v>68.36</v>
      </c>
      <c r="J3154">
        <v>0.57999999999999996</v>
      </c>
      <c r="K3154" t="str" cm="1">
        <f t="array" ref="K3154">_xlfn.IFS(Table4_2[[#This Row],[Growth Days]]&lt;=14,"Seedling",Table4_2[[#This Row],[Growth Days]]&lt;=35, "Vegetative",Table4_2[[#This Row],[Growth Days]]&lt;=50, "Maturity")</f>
        <v>Vegetative</v>
      </c>
      <c r="L3154" t="str">
        <f>IF(Table4_2[[#This Row],[TDS Value (ppm)]]&lt;560, "Low", IF(Table4_2[[#This Row],[TDS Value (ppm)]]&lt;=800,"Optimal","High"))</f>
        <v>Low</v>
      </c>
    </row>
    <row r="3155" spans="1:12" x14ac:dyDescent="0.25">
      <c r="A3155">
        <v>68</v>
      </c>
      <c r="B3155" s="1">
        <v>45165</v>
      </c>
      <c r="C3155" s="1" t="str">
        <f>TEXT(Table4_2[[#This Row],[Date]],"dddd")</f>
        <v>Sunday</v>
      </c>
      <c r="D3155" s="21">
        <v>23.6</v>
      </c>
      <c r="E3155" s="21">
        <v>57</v>
      </c>
      <c r="F3155" s="21">
        <v>629</v>
      </c>
      <c r="G3155" s="21">
        <v>6.1</v>
      </c>
      <c r="H3155">
        <v>25</v>
      </c>
      <c r="I3155">
        <v>74.48</v>
      </c>
      <c r="J3155">
        <v>0.56999999999999995</v>
      </c>
      <c r="K3155" t="str" cm="1">
        <f t="array" ref="K3155">_xlfn.IFS(Table4_2[[#This Row],[Growth Days]]&lt;=14,"Seedling",Table4_2[[#This Row],[Growth Days]]&lt;=35, "Vegetative",Table4_2[[#This Row],[Growth Days]]&lt;=50, "Maturity")</f>
        <v>Vegetative</v>
      </c>
      <c r="L3155" t="str">
        <f>IF(Table4_2[[#This Row],[TDS Value (ppm)]]&lt;560, "Low", IF(Table4_2[[#This Row],[TDS Value (ppm)]]&lt;=800,"Optimal","High"))</f>
        <v>Optimal</v>
      </c>
    </row>
    <row r="3156" spans="1:12" x14ac:dyDescent="0.25">
      <c r="A3156">
        <v>68</v>
      </c>
      <c r="B3156" s="1">
        <v>45172</v>
      </c>
      <c r="C3156" s="1" t="str">
        <f>TEXT(Table4_2[[#This Row],[Date]],"dddd")</f>
        <v>Sunday</v>
      </c>
      <c r="D3156" s="21">
        <v>24.1</v>
      </c>
      <c r="E3156" s="21">
        <v>77</v>
      </c>
      <c r="F3156" s="21">
        <v>429</v>
      </c>
      <c r="G3156" s="21">
        <v>6.6</v>
      </c>
      <c r="H3156">
        <v>32</v>
      </c>
      <c r="I3156">
        <v>75.38</v>
      </c>
      <c r="J3156">
        <v>0.77</v>
      </c>
      <c r="K3156" t="str" cm="1">
        <f t="array" ref="K3156">_xlfn.IFS(Table4_2[[#This Row],[Growth Days]]&lt;=14,"Seedling",Table4_2[[#This Row],[Growth Days]]&lt;=35, "Vegetative",Table4_2[[#This Row],[Growth Days]]&lt;=50, "Maturity")</f>
        <v>Vegetative</v>
      </c>
      <c r="L3156" t="str">
        <f>IF(Table4_2[[#This Row],[TDS Value (ppm)]]&lt;560, "Low", IF(Table4_2[[#This Row],[TDS Value (ppm)]]&lt;=800,"Optimal","High"))</f>
        <v>Low</v>
      </c>
    </row>
    <row r="3157" spans="1:12" x14ac:dyDescent="0.25">
      <c r="A3157">
        <v>68</v>
      </c>
      <c r="B3157" s="1">
        <v>45179</v>
      </c>
      <c r="C3157" s="1" t="str">
        <f>TEXT(Table4_2[[#This Row],[Date]],"dddd")</f>
        <v>Sunday</v>
      </c>
      <c r="D3157" s="21">
        <v>18.2</v>
      </c>
      <c r="E3157" s="21">
        <v>58</v>
      </c>
      <c r="F3157" s="21">
        <v>736</v>
      </c>
      <c r="G3157" s="21">
        <v>6.4</v>
      </c>
      <c r="H3157">
        <v>39</v>
      </c>
      <c r="I3157">
        <v>64.760000000000005</v>
      </c>
      <c r="J3157">
        <v>0.57999999999999996</v>
      </c>
      <c r="K3157" t="str" cm="1">
        <f t="array" ref="K3157">_xlfn.IFS(Table4_2[[#This Row],[Growth Days]]&lt;=14,"Seedling",Table4_2[[#This Row],[Growth Days]]&lt;=35, "Vegetative",Table4_2[[#This Row],[Growth Days]]&lt;=50, "Maturity")</f>
        <v>Maturity</v>
      </c>
      <c r="L3157" t="str">
        <f>IF(Table4_2[[#This Row],[TDS Value (ppm)]]&lt;560, "Low", IF(Table4_2[[#This Row],[TDS Value (ppm)]]&lt;=800,"Optimal","High"))</f>
        <v>Optimal</v>
      </c>
    </row>
    <row r="3158" spans="1:12" x14ac:dyDescent="0.25">
      <c r="A3158">
        <v>69</v>
      </c>
      <c r="B3158" s="1">
        <v>45144</v>
      </c>
      <c r="C3158" s="1" t="str">
        <f>TEXT(Table4_2[[#This Row],[Date]],"dddd")</f>
        <v>Sunday</v>
      </c>
      <c r="D3158" s="21">
        <v>22</v>
      </c>
      <c r="E3158" s="21">
        <v>73</v>
      </c>
      <c r="F3158" s="21">
        <v>673</v>
      </c>
      <c r="G3158" s="21">
        <v>6.5</v>
      </c>
      <c r="H3158">
        <v>4</v>
      </c>
      <c r="I3158">
        <v>71.599999999999994</v>
      </c>
      <c r="J3158">
        <v>0.73</v>
      </c>
      <c r="K3158" t="str" cm="1">
        <f t="array" ref="K3158">_xlfn.IFS(Table4_2[[#This Row],[Growth Days]]&lt;=14,"Seedling",Table4_2[[#This Row],[Growth Days]]&lt;=35, "Vegetative",Table4_2[[#This Row],[Growth Days]]&lt;=50, "Maturity")</f>
        <v>Seedling</v>
      </c>
      <c r="L3158" t="str">
        <f>IF(Table4_2[[#This Row],[TDS Value (ppm)]]&lt;560, "Low", IF(Table4_2[[#This Row],[TDS Value (ppm)]]&lt;=800,"Optimal","High"))</f>
        <v>Optimal</v>
      </c>
    </row>
    <row r="3159" spans="1:12" x14ac:dyDescent="0.25">
      <c r="A3159">
        <v>69</v>
      </c>
      <c r="B3159" s="1">
        <v>45151</v>
      </c>
      <c r="C3159" s="1" t="str">
        <f>TEXT(Table4_2[[#This Row],[Date]],"dddd")</f>
        <v>Sunday</v>
      </c>
      <c r="D3159" s="21">
        <v>24.8</v>
      </c>
      <c r="E3159" s="21">
        <v>68</v>
      </c>
      <c r="F3159" s="21">
        <v>473</v>
      </c>
      <c r="G3159" s="21">
        <v>6.4</v>
      </c>
      <c r="H3159">
        <v>11</v>
      </c>
      <c r="I3159">
        <v>76.64</v>
      </c>
      <c r="J3159">
        <v>0.68</v>
      </c>
      <c r="K3159" t="str" cm="1">
        <f t="array" ref="K3159">_xlfn.IFS(Table4_2[[#This Row],[Growth Days]]&lt;=14,"Seedling",Table4_2[[#This Row],[Growth Days]]&lt;=35, "Vegetative",Table4_2[[#This Row],[Growth Days]]&lt;=50, "Maturity")</f>
        <v>Seedling</v>
      </c>
      <c r="L3159" t="str">
        <f>IF(Table4_2[[#This Row],[TDS Value (ppm)]]&lt;560, "Low", IF(Table4_2[[#This Row],[TDS Value (ppm)]]&lt;=800,"Optimal","High"))</f>
        <v>Low</v>
      </c>
    </row>
    <row r="3160" spans="1:12" x14ac:dyDescent="0.25">
      <c r="A3160">
        <v>69</v>
      </c>
      <c r="B3160" s="1">
        <v>45158</v>
      </c>
      <c r="C3160" s="1" t="str">
        <f>TEXT(Table4_2[[#This Row],[Date]],"dddd")</f>
        <v>Sunday</v>
      </c>
      <c r="D3160" s="21">
        <v>19.5</v>
      </c>
      <c r="E3160" s="21">
        <v>55</v>
      </c>
      <c r="F3160" s="21">
        <v>473</v>
      </c>
      <c r="G3160" s="21">
        <v>6.2</v>
      </c>
      <c r="H3160">
        <v>18</v>
      </c>
      <c r="I3160">
        <v>67.099999999999994</v>
      </c>
      <c r="J3160">
        <v>0.55000000000000004</v>
      </c>
      <c r="K3160" t="str" cm="1">
        <f t="array" ref="K3160">_xlfn.IFS(Table4_2[[#This Row],[Growth Days]]&lt;=14,"Seedling",Table4_2[[#This Row],[Growth Days]]&lt;=35, "Vegetative",Table4_2[[#This Row],[Growth Days]]&lt;=50, "Maturity")</f>
        <v>Vegetative</v>
      </c>
      <c r="L3160" t="str">
        <f>IF(Table4_2[[#This Row],[TDS Value (ppm)]]&lt;560, "Low", IF(Table4_2[[#This Row],[TDS Value (ppm)]]&lt;=800,"Optimal","High"))</f>
        <v>Low</v>
      </c>
    </row>
    <row r="3161" spans="1:12" x14ac:dyDescent="0.25">
      <c r="A3161">
        <v>69</v>
      </c>
      <c r="B3161" s="1">
        <v>45165</v>
      </c>
      <c r="C3161" s="1" t="str">
        <f>TEXT(Table4_2[[#This Row],[Date]],"dddd")</f>
        <v>Sunday</v>
      </c>
      <c r="D3161" s="21">
        <v>22.9</v>
      </c>
      <c r="E3161" s="21">
        <v>77</v>
      </c>
      <c r="F3161" s="21">
        <v>727</v>
      </c>
      <c r="G3161" s="21">
        <v>6.7</v>
      </c>
      <c r="H3161">
        <v>25</v>
      </c>
      <c r="I3161">
        <v>73.22</v>
      </c>
      <c r="J3161">
        <v>0.77</v>
      </c>
      <c r="K3161" t="str" cm="1">
        <f t="array" ref="K3161">_xlfn.IFS(Table4_2[[#This Row],[Growth Days]]&lt;=14,"Seedling",Table4_2[[#This Row],[Growth Days]]&lt;=35, "Vegetative",Table4_2[[#This Row],[Growth Days]]&lt;=50, "Maturity")</f>
        <v>Vegetative</v>
      </c>
      <c r="L3161" t="str">
        <f>IF(Table4_2[[#This Row],[TDS Value (ppm)]]&lt;560, "Low", IF(Table4_2[[#This Row],[TDS Value (ppm)]]&lt;=800,"Optimal","High"))</f>
        <v>Optimal</v>
      </c>
    </row>
    <row r="3162" spans="1:12" x14ac:dyDescent="0.25">
      <c r="A3162">
        <v>69</v>
      </c>
      <c r="B3162" s="1">
        <v>45172</v>
      </c>
      <c r="C3162" s="1" t="str">
        <f>TEXT(Table4_2[[#This Row],[Date]],"dddd")</f>
        <v>Sunday</v>
      </c>
      <c r="D3162" s="21">
        <v>18.2</v>
      </c>
      <c r="E3162" s="21">
        <v>51</v>
      </c>
      <c r="F3162" s="21">
        <v>429</v>
      </c>
      <c r="G3162" s="21">
        <v>6</v>
      </c>
      <c r="H3162">
        <v>32</v>
      </c>
      <c r="I3162">
        <v>64.760000000000005</v>
      </c>
      <c r="J3162">
        <v>0.51</v>
      </c>
      <c r="K3162" t="str" cm="1">
        <f t="array" ref="K3162">_xlfn.IFS(Table4_2[[#This Row],[Growth Days]]&lt;=14,"Seedling",Table4_2[[#This Row],[Growth Days]]&lt;=35, "Vegetative",Table4_2[[#This Row],[Growth Days]]&lt;=50, "Maturity")</f>
        <v>Vegetative</v>
      </c>
      <c r="L3162" t="str">
        <f>IF(Table4_2[[#This Row],[TDS Value (ppm)]]&lt;560, "Low", IF(Table4_2[[#This Row],[TDS Value (ppm)]]&lt;=800,"Optimal","High"))</f>
        <v>Low</v>
      </c>
    </row>
    <row r="3163" spans="1:12" x14ac:dyDescent="0.25">
      <c r="A3163">
        <v>69</v>
      </c>
      <c r="B3163" s="1">
        <v>45179</v>
      </c>
      <c r="C3163" s="1" t="str">
        <f>TEXT(Table4_2[[#This Row],[Date]],"dddd")</f>
        <v>Sunday</v>
      </c>
      <c r="D3163" s="21">
        <v>18.399999999999999</v>
      </c>
      <c r="E3163" s="21">
        <v>55</v>
      </c>
      <c r="F3163" s="21">
        <v>492</v>
      </c>
      <c r="G3163" s="21">
        <v>6.4</v>
      </c>
      <c r="H3163">
        <v>39</v>
      </c>
      <c r="I3163">
        <v>65.12</v>
      </c>
      <c r="J3163">
        <v>0.55000000000000004</v>
      </c>
      <c r="K3163" t="str" cm="1">
        <f t="array" ref="K3163">_xlfn.IFS(Table4_2[[#This Row],[Growth Days]]&lt;=14,"Seedling",Table4_2[[#This Row],[Growth Days]]&lt;=35, "Vegetative",Table4_2[[#This Row],[Growth Days]]&lt;=50, "Maturity")</f>
        <v>Maturity</v>
      </c>
      <c r="L3163" t="str">
        <f>IF(Table4_2[[#This Row],[TDS Value (ppm)]]&lt;560, "Low", IF(Table4_2[[#This Row],[TDS Value (ppm)]]&lt;=800,"Optimal","High"))</f>
        <v>Low</v>
      </c>
    </row>
    <row r="3164" spans="1:12" x14ac:dyDescent="0.25">
      <c r="A3164">
        <v>70</v>
      </c>
      <c r="B3164" s="1">
        <v>45144</v>
      </c>
      <c r="C3164" s="1" t="str">
        <f>TEXT(Table4_2[[#This Row],[Date]],"dddd")</f>
        <v>Sunday</v>
      </c>
      <c r="D3164" s="21">
        <v>19.899999999999999</v>
      </c>
      <c r="E3164" s="21">
        <v>61</v>
      </c>
      <c r="F3164" s="21">
        <v>593</v>
      </c>
      <c r="G3164" s="21">
        <v>6.4</v>
      </c>
      <c r="H3164">
        <v>4</v>
      </c>
      <c r="I3164">
        <v>67.819999999999993</v>
      </c>
      <c r="J3164">
        <v>0.61</v>
      </c>
      <c r="K3164" t="str" cm="1">
        <f t="array" ref="K3164">_xlfn.IFS(Table4_2[[#This Row],[Growth Days]]&lt;=14,"Seedling",Table4_2[[#This Row],[Growth Days]]&lt;=35, "Vegetative",Table4_2[[#This Row],[Growth Days]]&lt;=50, "Maturity")</f>
        <v>Seedling</v>
      </c>
      <c r="L3164" t="str">
        <f>IF(Table4_2[[#This Row],[TDS Value (ppm)]]&lt;560, "Low", IF(Table4_2[[#This Row],[TDS Value (ppm)]]&lt;=800,"Optimal","High"))</f>
        <v>Optimal</v>
      </c>
    </row>
    <row r="3165" spans="1:12" x14ac:dyDescent="0.25">
      <c r="A3165">
        <v>70</v>
      </c>
      <c r="B3165" s="1">
        <v>45151</v>
      </c>
      <c r="C3165" s="1" t="str">
        <f>TEXT(Table4_2[[#This Row],[Date]],"dddd")</f>
        <v>Sunday</v>
      </c>
      <c r="D3165" s="21">
        <v>20</v>
      </c>
      <c r="E3165" s="21">
        <v>50</v>
      </c>
      <c r="F3165" s="21">
        <v>556</v>
      </c>
      <c r="G3165" s="21">
        <v>6.5</v>
      </c>
      <c r="H3165">
        <v>11</v>
      </c>
      <c r="I3165">
        <v>68</v>
      </c>
      <c r="J3165">
        <v>0.5</v>
      </c>
      <c r="K3165" t="str" cm="1">
        <f t="array" ref="K3165">_xlfn.IFS(Table4_2[[#This Row],[Growth Days]]&lt;=14,"Seedling",Table4_2[[#This Row],[Growth Days]]&lt;=35, "Vegetative",Table4_2[[#This Row],[Growth Days]]&lt;=50, "Maturity")</f>
        <v>Seedling</v>
      </c>
      <c r="L3165" t="str">
        <f>IF(Table4_2[[#This Row],[TDS Value (ppm)]]&lt;560, "Low", IF(Table4_2[[#This Row],[TDS Value (ppm)]]&lt;=800,"Optimal","High"))</f>
        <v>Low</v>
      </c>
    </row>
    <row r="3166" spans="1:12" x14ac:dyDescent="0.25">
      <c r="A3166">
        <v>70</v>
      </c>
      <c r="B3166" s="1">
        <v>45158</v>
      </c>
      <c r="C3166" s="1" t="str">
        <f>TEXT(Table4_2[[#This Row],[Date]],"dddd")</f>
        <v>Sunday</v>
      </c>
      <c r="D3166" s="21">
        <v>21.3</v>
      </c>
      <c r="E3166" s="21">
        <v>72</v>
      </c>
      <c r="F3166" s="21">
        <v>698</v>
      </c>
      <c r="G3166" s="21">
        <v>6.2</v>
      </c>
      <c r="H3166">
        <v>18</v>
      </c>
      <c r="I3166">
        <v>70.34</v>
      </c>
      <c r="J3166">
        <v>0.72</v>
      </c>
      <c r="K3166" t="str" cm="1">
        <f t="array" ref="K3166">_xlfn.IFS(Table4_2[[#This Row],[Growth Days]]&lt;=14,"Seedling",Table4_2[[#This Row],[Growth Days]]&lt;=35, "Vegetative",Table4_2[[#This Row],[Growth Days]]&lt;=50, "Maturity")</f>
        <v>Vegetative</v>
      </c>
      <c r="L3166" t="str">
        <f>IF(Table4_2[[#This Row],[TDS Value (ppm)]]&lt;560, "Low", IF(Table4_2[[#This Row],[TDS Value (ppm)]]&lt;=800,"Optimal","High"))</f>
        <v>Optimal</v>
      </c>
    </row>
    <row r="3167" spans="1:12" x14ac:dyDescent="0.25">
      <c r="A3167">
        <v>70</v>
      </c>
      <c r="B3167" s="1">
        <v>45165</v>
      </c>
      <c r="C3167" s="1" t="str">
        <f>TEXT(Table4_2[[#This Row],[Date]],"dddd")</f>
        <v>Sunday</v>
      </c>
      <c r="D3167" s="21">
        <v>21.5</v>
      </c>
      <c r="E3167" s="21">
        <v>78</v>
      </c>
      <c r="F3167" s="21">
        <v>621</v>
      </c>
      <c r="G3167" s="21">
        <v>6.7</v>
      </c>
      <c r="H3167">
        <v>25</v>
      </c>
      <c r="I3167">
        <v>70.7</v>
      </c>
      <c r="J3167">
        <v>0.78</v>
      </c>
      <c r="K3167" t="str" cm="1">
        <f t="array" ref="K3167">_xlfn.IFS(Table4_2[[#This Row],[Growth Days]]&lt;=14,"Seedling",Table4_2[[#This Row],[Growth Days]]&lt;=35, "Vegetative",Table4_2[[#This Row],[Growth Days]]&lt;=50, "Maturity")</f>
        <v>Vegetative</v>
      </c>
      <c r="L3167" t="str">
        <f>IF(Table4_2[[#This Row],[TDS Value (ppm)]]&lt;560, "Low", IF(Table4_2[[#This Row],[TDS Value (ppm)]]&lt;=800,"Optimal","High"))</f>
        <v>Optimal</v>
      </c>
    </row>
    <row r="3168" spans="1:12" x14ac:dyDescent="0.25">
      <c r="A3168">
        <v>70</v>
      </c>
      <c r="B3168" s="1">
        <v>45172</v>
      </c>
      <c r="C3168" s="1" t="str">
        <f>TEXT(Table4_2[[#This Row],[Date]],"dddd")</f>
        <v>Sunday</v>
      </c>
      <c r="D3168" s="21">
        <v>21.4</v>
      </c>
      <c r="E3168" s="21">
        <v>62</v>
      </c>
      <c r="F3168" s="21">
        <v>467</v>
      </c>
      <c r="G3168" s="21">
        <v>6.6</v>
      </c>
      <c r="H3168">
        <v>32</v>
      </c>
      <c r="I3168">
        <v>70.52</v>
      </c>
      <c r="J3168">
        <v>0.62</v>
      </c>
      <c r="K3168" t="str" cm="1">
        <f t="array" ref="K3168">_xlfn.IFS(Table4_2[[#This Row],[Growth Days]]&lt;=14,"Seedling",Table4_2[[#This Row],[Growth Days]]&lt;=35, "Vegetative",Table4_2[[#This Row],[Growth Days]]&lt;=50, "Maturity")</f>
        <v>Vegetative</v>
      </c>
      <c r="L3168" t="str">
        <f>IF(Table4_2[[#This Row],[TDS Value (ppm)]]&lt;560, "Low", IF(Table4_2[[#This Row],[TDS Value (ppm)]]&lt;=800,"Optimal","High"))</f>
        <v>Low</v>
      </c>
    </row>
    <row r="3169" spans="1:12" x14ac:dyDescent="0.25">
      <c r="A3169">
        <v>70</v>
      </c>
      <c r="B3169" s="1">
        <v>45179</v>
      </c>
      <c r="C3169" s="1" t="str">
        <f>TEXT(Table4_2[[#This Row],[Date]],"dddd")</f>
        <v>Sunday</v>
      </c>
      <c r="D3169" s="21">
        <v>24.6</v>
      </c>
      <c r="E3169" s="21">
        <v>67</v>
      </c>
      <c r="F3169" s="21">
        <v>407</v>
      </c>
      <c r="G3169" s="21">
        <v>6.1</v>
      </c>
      <c r="H3169">
        <v>39</v>
      </c>
      <c r="I3169">
        <v>76.28</v>
      </c>
      <c r="J3169">
        <v>0.67</v>
      </c>
      <c r="K3169" t="str" cm="1">
        <f t="array" ref="K3169">_xlfn.IFS(Table4_2[[#This Row],[Growth Days]]&lt;=14,"Seedling",Table4_2[[#This Row],[Growth Days]]&lt;=35, "Vegetative",Table4_2[[#This Row],[Growth Days]]&lt;=50, "Maturity")</f>
        <v>Maturity</v>
      </c>
      <c r="L3169" t="str">
        <f>IF(Table4_2[[#This Row],[TDS Value (ppm)]]&lt;560, "Low", IF(Table4_2[[#This Row],[TDS Value (ppm)]]&lt;=800,"Optimal","High"))</f>
        <v>Low</v>
      </c>
    </row>
    <row r="3170" spans="1:12" x14ac:dyDescent="0.25">
      <c r="A3170">
        <v>70</v>
      </c>
      <c r="B3170" s="1">
        <v>45186</v>
      </c>
      <c r="C3170" s="1" t="str">
        <f>TEXT(Table4_2[[#This Row],[Date]],"dddd")</f>
        <v>Sunday</v>
      </c>
      <c r="D3170" s="21">
        <v>22.6</v>
      </c>
      <c r="E3170" s="21">
        <v>69</v>
      </c>
      <c r="F3170" s="21">
        <v>521</v>
      </c>
      <c r="G3170" s="21">
        <v>6.5</v>
      </c>
      <c r="H3170">
        <v>46</v>
      </c>
      <c r="I3170">
        <v>72.680000000000007</v>
      </c>
      <c r="J3170">
        <v>0.69</v>
      </c>
      <c r="K3170" t="str" cm="1">
        <f t="array" ref="K3170">_xlfn.IFS(Table4_2[[#This Row],[Growth Days]]&lt;=14,"Seedling",Table4_2[[#This Row],[Growth Days]]&lt;=35, "Vegetative",Table4_2[[#This Row],[Growth Days]]&lt;=50, "Maturity")</f>
        <v>Maturity</v>
      </c>
      <c r="L3170" t="str">
        <f>IF(Table4_2[[#This Row],[TDS Value (ppm)]]&lt;560, "Low", IF(Table4_2[[#This Row],[TDS Value (ppm)]]&lt;=800,"Optimal","High"))</f>
        <v>Low</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11538-CDCC-4D17-8AB1-630F22976C38}">
  <sheetPr>
    <tabColor theme="6" tint="-0.499984740745262"/>
  </sheetPr>
  <dimension ref="A1"/>
  <sheetViews>
    <sheetView showGridLines="0" topLeftCell="A15" zoomScale="120" zoomScaleNormal="120" workbookViewId="0">
      <selection activeCell="P38" sqref="P38"/>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79F8-BAF3-4EC4-A673-BF3F98418C6D}">
  <sheetPr>
    <tabColor theme="6" tint="0.39997558519241921"/>
  </sheetPr>
  <dimension ref="A1"/>
  <sheetViews>
    <sheetView showGridLines="0" topLeftCell="A25" zoomScaleNormal="100" workbookViewId="0">
      <selection activeCell="Y36" sqref="Y36"/>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C853E-6E7F-4234-80E5-9651002F1378}">
  <sheetPr>
    <tabColor theme="6" tint="-0.249977111117893"/>
  </sheetPr>
  <dimension ref="A1"/>
  <sheetViews>
    <sheetView showGridLines="0" tabSelected="1" zoomScale="70" zoomScaleNormal="70" workbookViewId="0">
      <selection activeCell="X37" sqref="X37"/>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E5DC-91D5-47CD-B330-A08DB9E958EB}">
  <sheetPr>
    <tabColor theme="6" tint="0.79998168889431442"/>
  </sheetPr>
  <dimension ref="A1"/>
  <sheetViews>
    <sheetView showGridLines="0" topLeftCell="A27" zoomScaleNormal="100" workbookViewId="0">
      <selection activeCell="W20" sqref="W2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FA63-6445-4636-A8BD-024457D762A8}">
  <dimension ref="A3:B11"/>
  <sheetViews>
    <sheetView topLeftCell="A2" workbookViewId="0">
      <selection activeCell="J19" sqref="J19"/>
    </sheetView>
  </sheetViews>
  <sheetFormatPr defaultRowHeight="15" x14ac:dyDescent="0.25"/>
  <cols>
    <col min="1" max="1" width="13.42578125" bestFit="1" customWidth="1"/>
    <col min="2" max="2" width="23" bestFit="1" customWidth="1"/>
    <col min="3" max="3" width="19.7109375" bestFit="1" customWidth="1"/>
    <col min="4" max="5" width="19" bestFit="1" customWidth="1"/>
  </cols>
  <sheetData>
    <row r="3" spans="1:2" x14ac:dyDescent="0.25">
      <c r="A3" s="2" t="s">
        <v>9</v>
      </c>
      <c r="B3" t="s">
        <v>23</v>
      </c>
    </row>
    <row r="4" spans="1:2" x14ac:dyDescent="0.25">
      <c r="A4" s="3" t="s">
        <v>15</v>
      </c>
      <c r="B4" s="4">
        <v>64.837587006960561</v>
      </c>
    </row>
    <row r="5" spans="1:2" x14ac:dyDescent="0.25">
      <c r="A5" s="3" t="s">
        <v>16</v>
      </c>
      <c r="B5" s="4">
        <v>64.572769953051647</v>
      </c>
    </row>
    <row r="6" spans="1:2" x14ac:dyDescent="0.25">
      <c r="A6" s="3" t="s">
        <v>17</v>
      </c>
      <c r="B6" s="4">
        <v>64.376777251184834</v>
      </c>
    </row>
    <row r="7" spans="1:2" x14ac:dyDescent="0.25">
      <c r="A7" s="3" t="s">
        <v>18</v>
      </c>
      <c r="B7" s="4">
        <v>65.273809523809518</v>
      </c>
    </row>
    <row r="8" spans="1:2" x14ac:dyDescent="0.25">
      <c r="A8" s="3" t="s">
        <v>12</v>
      </c>
      <c r="B8" s="4">
        <v>64.624489795918365</v>
      </c>
    </row>
    <row r="9" spans="1:2" x14ac:dyDescent="0.25">
      <c r="A9" s="3" t="s">
        <v>13</v>
      </c>
      <c r="B9" s="4">
        <v>64.948979591836732</v>
      </c>
    </row>
    <row r="10" spans="1:2" x14ac:dyDescent="0.25">
      <c r="A10" s="3" t="s">
        <v>14</v>
      </c>
      <c r="B10" s="4">
        <v>65.424489795918362</v>
      </c>
    </row>
    <row r="11" spans="1:2" x14ac:dyDescent="0.25">
      <c r="A11" s="3" t="s">
        <v>10</v>
      </c>
      <c r="B11" s="4">
        <v>64.873461659829601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AC18-EB93-4E20-BF1A-AD417A482EC0}">
  <dimension ref="A3:B11"/>
  <sheetViews>
    <sheetView workbookViewId="0">
      <selection activeCell="J18" sqref="J18"/>
    </sheetView>
  </sheetViews>
  <sheetFormatPr defaultRowHeight="15" x14ac:dyDescent="0.25"/>
  <cols>
    <col min="1" max="1" width="13.42578125" bestFit="1" customWidth="1"/>
    <col min="2" max="2" width="27.140625" bestFit="1" customWidth="1"/>
    <col min="3" max="3" width="23.85546875" bestFit="1" customWidth="1"/>
    <col min="4" max="5" width="19" bestFit="1" customWidth="1"/>
  </cols>
  <sheetData>
    <row r="3" spans="1:2" x14ac:dyDescent="0.25">
      <c r="A3" s="2" t="s">
        <v>9</v>
      </c>
      <c r="B3" t="s">
        <v>24</v>
      </c>
    </row>
    <row r="4" spans="1:2" x14ac:dyDescent="0.25">
      <c r="A4" s="3" t="s">
        <v>15</v>
      </c>
      <c r="B4" s="8">
        <v>28.568445475638082</v>
      </c>
    </row>
    <row r="5" spans="1:2" x14ac:dyDescent="0.25">
      <c r="A5" s="3" t="s">
        <v>16</v>
      </c>
      <c r="B5" s="8">
        <v>28.440610328638474</v>
      </c>
    </row>
    <row r="6" spans="1:2" x14ac:dyDescent="0.25">
      <c r="A6" s="3" t="s">
        <v>17</v>
      </c>
      <c r="B6" s="8">
        <v>28.351421800947882</v>
      </c>
    </row>
    <row r="7" spans="1:2" x14ac:dyDescent="0.25">
      <c r="A7" s="3" t="s">
        <v>18</v>
      </c>
      <c r="B7" s="8">
        <v>28.205952380952368</v>
      </c>
    </row>
    <row r="8" spans="1:2" x14ac:dyDescent="0.25">
      <c r="A8" s="3" t="s">
        <v>12</v>
      </c>
      <c r="B8" s="8">
        <v>27.317142857142894</v>
      </c>
    </row>
    <row r="9" spans="1:2" x14ac:dyDescent="0.25">
      <c r="A9" s="3" t="s">
        <v>13</v>
      </c>
      <c r="B9" s="8">
        <v>28.666938775510154</v>
      </c>
    </row>
    <row r="10" spans="1:2" x14ac:dyDescent="0.25">
      <c r="A10" s="3" t="s">
        <v>14</v>
      </c>
      <c r="B10" s="8">
        <v>27.573469387755093</v>
      </c>
    </row>
    <row r="11" spans="1:2" x14ac:dyDescent="0.25">
      <c r="A11" s="3" t="s">
        <v>10</v>
      </c>
      <c r="B11" s="8">
        <v>28.142221520984446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22F-D50B-4480-BCA2-D18490237930}">
  <dimension ref="A3:B21"/>
  <sheetViews>
    <sheetView workbookViewId="0">
      <selection activeCell="A14" sqref="A14:B21"/>
    </sheetView>
  </sheetViews>
  <sheetFormatPr defaultRowHeight="15" x14ac:dyDescent="0.25"/>
  <cols>
    <col min="1" max="1" width="13.42578125" bestFit="1" customWidth="1"/>
    <col min="2" max="2" width="26.28515625" bestFit="1" customWidth="1"/>
    <col min="3" max="3" width="23" bestFit="1" customWidth="1"/>
    <col min="4" max="5" width="19" bestFit="1" customWidth="1"/>
  </cols>
  <sheetData>
    <row r="3" spans="1:2" x14ac:dyDescent="0.25">
      <c r="A3" s="2" t="s">
        <v>9</v>
      </c>
      <c r="B3" t="s">
        <v>22</v>
      </c>
    </row>
    <row r="4" spans="1:2" x14ac:dyDescent="0.25">
      <c r="A4" s="3" t="s">
        <v>15</v>
      </c>
      <c r="B4" s="5">
        <v>594.27146171693732</v>
      </c>
    </row>
    <row r="5" spans="1:2" x14ac:dyDescent="0.25">
      <c r="A5" s="3" t="s">
        <v>16</v>
      </c>
      <c r="B5" s="5">
        <v>597.9084507042254</v>
      </c>
    </row>
    <row r="6" spans="1:2" x14ac:dyDescent="0.25">
      <c r="A6" s="3" t="s">
        <v>17</v>
      </c>
      <c r="B6" s="5">
        <v>605.20142180094786</v>
      </c>
    </row>
    <row r="7" spans="1:2" x14ac:dyDescent="0.25">
      <c r="A7" s="3" t="s">
        <v>18</v>
      </c>
      <c r="B7" s="5">
        <v>592.28809523809525</v>
      </c>
    </row>
    <row r="8" spans="1:2" x14ac:dyDescent="0.25">
      <c r="A8" s="3" t="s">
        <v>12</v>
      </c>
      <c r="B8" s="5">
        <v>597.31020408163261</v>
      </c>
    </row>
    <row r="9" spans="1:2" x14ac:dyDescent="0.25">
      <c r="A9" s="3" t="s">
        <v>13</v>
      </c>
      <c r="B9" s="5">
        <v>601.38979591836733</v>
      </c>
    </row>
    <row r="10" spans="1:2" x14ac:dyDescent="0.25">
      <c r="A10" s="3" t="s">
        <v>14</v>
      </c>
      <c r="B10" s="5">
        <v>597.64693877551019</v>
      </c>
    </row>
    <row r="11" spans="1:2" x14ac:dyDescent="0.25">
      <c r="A11" s="3" t="s">
        <v>10</v>
      </c>
      <c r="B11" s="5">
        <v>598.04544020195647</v>
      </c>
    </row>
    <row r="14" spans="1:2" x14ac:dyDescent="0.25">
      <c r="A14" s="3"/>
    </row>
    <row r="15" spans="1:2" x14ac:dyDescent="0.25">
      <c r="A15" s="3"/>
      <c r="B15" s="5"/>
    </row>
    <row r="16" spans="1:2" x14ac:dyDescent="0.25">
      <c r="A16" s="3"/>
      <c r="B16" s="5"/>
    </row>
    <row r="17" spans="1:2" x14ac:dyDescent="0.25">
      <c r="A17" s="3"/>
      <c r="B17" s="5"/>
    </row>
    <row r="18" spans="1:2" x14ac:dyDescent="0.25">
      <c r="A18" s="3"/>
      <c r="B18" s="5"/>
    </row>
    <row r="19" spans="1:2" x14ac:dyDescent="0.25">
      <c r="A19" s="3"/>
      <c r="B19" s="5"/>
    </row>
    <row r="20" spans="1:2" x14ac:dyDescent="0.25">
      <c r="A20" s="3"/>
      <c r="B20" s="5"/>
    </row>
    <row r="21" spans="1:2" x14ac:dyDescent="0.25">
      <c r="A21" s="3"/>
      <c r="B21" s="5"/>
    </row>
  </sheetData>
  <sortState xmlns:xlrd2="http://schemas.microsoft.com/office/spreadsheetml/2017/richdata2" ref="A15:B21">
    <sortCondition descending="1" ref="B15:B21"/>
  </sortState>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EE69-DBD0-4525-AB0E-6A80CFC5BAEC}">
  <dimension ref="A3:B11"/>
  <sheetViews>
    <sheetView workbookViewId="0">
      <selection activeCell="C21" sqref="C21"/>
    </sheetView>
  </sheetViews>
  <sheetFormatPr defaultRowHeight="15" x14ac:dyDescent="0.25"/>
  <cols>
    <col min="1" max="1" width="13.42578125" bestFit="1" customWidth="1"/>
    <col min="2" max="2" width="19" bestFit="1" customWidth="1"/>
    <col min="3" max="3" width="15.7109375" bestFit="1" customWidth="1"/>
    <col min="4" max="5" width="19" bestFit="1" customWidth="1"/>
  </cols>
  <sheetData>
    <row r="3" spans="1:2" x14ac:dyDescent="0.25">
      <c r="A3" s="2" t="s">
        <v>9</v>
      </c>
      <c r="B3" t="s">
        <v>21</v>
      </c>
    </row>
    <row r="4" spans="1:2" x14ac:dyDescent="0.25">
      <c r="A4" s="3" t="s">
        <v>15</v>
      </c>
      <c r="B4" s="6">
        <v>6.4032482598607841</v>
      </c>
    </row>
    <row r="5" spans="1:2" x14ac:dyDescent="0.25">
      <c r="A5" s="3" t="s">
        <v>16</v>
      </c>
      <c r="B5" s="6">
        <v>6.3840375586854323</v>
      </c>
    </row>
    <row r="6" spans="1:2" x14ac:dyDescent="0.25">
      <c r="A6" s="3" t="s">
        <v>17</v>
      </c>
      <c r="B6" s="6">
        <v>6.3973933649289005</v>
      </c>
    </row>
    <row r="7" spans="1:2" x14ac:dyDescent="0.25">
      <c r="A7" s="3" t="s">
        <v>18</v>
      </c>
      <c r="B7" s="6">
        <v>6.3847619047618984</v>
      </c>
    </row>
    <row r="8" spans="1:2" x14ac:dyDescent="0.25">
      <c r="A8" s="3" t="s">
        <v>12</v>
      </c>
      <c r="B8" s="6">
        <v>6.4057142857142741</v>
      </c>
    </row>
    <row r="9" spans="1:2" x14ac:dyDescent="0.25">
      <c r="A9" s="3" t="s">
        <v>13</v>
      </c>
      <c r="B9" s="6">
        <v>6.4142857142857004</v>
      </c>
    </row>
    <row r="10" spans="1:2" x14ac:dyDescent="0.25">
      <c r="A10" s="3" t="s">
        <v>14</v>
      </c>
      <c r="B10" s="6">
        <v>6.4012244897959016</v>
      </c>
    </row>
    <row r="11" spans="1:2" x14ac:dyDescent="0.25">
      <c r="A11" s="3" t="s">
        <v>10</v>
      </c>
      <c r="B11" s="6">
        <v>6.3992111076049509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96AB7-0E74-4DDF-B085-62CE4103A852}">
  <dimension ref="A3:B7"/>
  <sheetViews>
    <sheetView workbookViewId="0">
      <selection activeCell="R36" sqref="R36"/>
    </sheetView>
  </sheetViews>
  <sheetFormatPr defaultRowHeight="15" x14ac:dyDescent="0.25"/>
  <cols>
    <col min="1" max="1" width="13.42578125" bestFit="1" customWidth="1"/>
    <col min="2" max="2" width="16.85546875" bestFit="1" customWidth="1"/>
    <col min="3" max="3" width="19.42578125" bestFit="1" customWidth="1"/>
    <col min="4" max="5" width="19" bestFit="1" customWidth="1"/>
  </cols>
  <sheetData>
    <row r="3" spans="1:2" x14ac:dyDescent="0.25">
      <c r="A3" s="2" t="s">
        <v>9</v>
      </c>
      <c r="B3" t="s">
        <v>11</v>
      </c>
    </row>
    <row r="4" spans="1:2" x14ac:dyDescent="0.25">
      <c r="A4" s="3" t="s">
        <v>29</v>
      </c>
      <c r="B4" s="20">
        <v>1470</v>
      </c>
    </row>
    <row r="5" spans="1:2" x14ac:dyDescent="0.25">
      <c r="A5" s="3" t="s">
        <v>25</v>
      </c>
      <c r="B5" s="20">
        <v>980</v>
      </c>
    </row>
    <row r="6" spans="1:2" x14ac:dyDescent="0.25">
      <c r="A6" s="3" t="s">
        <v>30</v>
      </c>
      <c r="B6" s="20">
        <v>719</v>
      </c>
    </row>
    <row r="7" spans="1:2" x14ac:dyDescent="0.25">
      <c r="A7" s="3" t="s">
        <v>10</v>
      </c>
      <c r="B7" s="20">
        <v>3169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0319-E56E-4DAC-9B33-517D33196B9A}">
  <dimension ref="A3:B11"/>
  <sheetViews>
    <sheetView workbookViewId="0">
      <selection activeCell="K19" sqref="K19"/>
    </sheetView>
  </sheetViews>
  <sheetFormatPr defaultRowHeight="15" x14ac:dyDescent="0.25"/>
  <cols>
    <col min="1" max="1" width="13.42578125" bestFit="1" customWidth="1"/>
    <col min="2" max="2" width="16.85546875" bestFit="1" customWidth="1"/>
    <col min="3" max="3" width="10.5703125" bestFit="1" customWidth="1"/>
    <col min="4" max="4" width="8.42578125" bestFit="1" customWidth="1"/>
    <col min="5" max="5" width="11.28515625" bestFit="1" customWidth="1"/>
  </cols>
  <sheetData>
    <row r="3" spans="1:2" x14ac:dyDescent="0.25">
      <c r="A3" s="2" t="s">
        <v>9</v>
      </c>
      <c r="B3" t="s">
        <v>11</v>
      </c>
    </row>
    <row r="4" spans="1:2" x14ac:dyDescent="0.25">
      <c r="A4" s="3" t="s">
        <v>12</v>
      </c>
      <c r="B4" s="20">
        <v>490</v>
      </c>
    </row>
    <row r="5" spans="1:2" x14ac:dyDescent="0.25">
      <c r="A5" s="3" t="s">
        <v>13</v>
      </c>
      <c r="B5" s="20">
        <v>490</v>
      </c>
    </row>
    <row r="6" spans="1:2" x14ac:dyDescent="0.25">
      <c r="A6" s="3" t="s">
        <v>14</v>
      </c>
      <c r="B6" s="20">
        <v>490</v>
      </c>
    </row>
    <row r="7" spans="1:2" x14ac:dyDescent="0.25">
      <c r="A7" s="3" t="s">
        <v>15</v>
      </c>
      <c r="B7" s="20">
        <v>431</v>
      </c>
    </row>
    <row r="8" spans="1:2" x14ac:dyDescent="0.25">
      <c r="A8" s="3" t="s">
        <v>16</v>
      </c>
      <c r="B8" s="20">
        <v>426</v>
      </c>
    </row>
    <row r="9" spans="1:2" x14ac:dyDescent="0.25">
      <c r="A9" s="3" t="s">
        <v>17</v>
      </c>
      <c r="B9" s="20">
        <v>422</v>
      </c>
    </row>
    <row r="10" spans="1:2" x14ac:dyDescent="0.25">
      <c r="A10" s="3" t="s">
        <v>18</v>
      </c>
      <c r="B10" s="20">
        <v>420</v>
      </c>
    </row>
    <row r="11" spans="1:2" x14ac:dyDescent="0.25">
      <c r="A11" s="3" t="s">
        <v>10</v>
      </c>
      <c r="B11" s="20">
        <v>3169</v>
      </c>
    </row>
  </sheetData>
  <sortState xmlns:xlrd2="http://schemas.microsoft.com/office/spreadsheetml/2017/richdata2" ref="A3:B11">
    <sortCondition descending="1" ref="B4"/>
  </sortState>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78CE-F5CE-4D30-8B1E-D51D913FC072}">
  <dimension ref="A3:B6"/>
  <sheetViews>
    <sheetView topLeftCell="B1" workbookViewId="0">
      <selection activeCell="B4" sqref="B4"/>
    </sheetView>
  </sheetViews>
  <sheetFormatPr defaultRowHeight="15" x14ac:dyDescent="0.25"/>
  <cols>
    <col min="1" max="1" width="13.42578125" bestFit="1" customWidth="1"/>
    <col min="2" max="2" width="16.85546875" bestFit="1" customWidth="1"/>
    <col min="3" max="3" width="10.5703125" bestFit="1" customWidth="1"/>
    <col min="4" max="4" width="8.42578125" bestFit="1" customWidth="1"/>
    <col min="5" max="5" width="11.28515625" bestFit="1" customWidth="1"/>
  </cols>
  <sheetData>
    <row r="3" spans="1:2" x14ac:dyDescent="0.25">
      <c r="A3" s="2" t="s">
        <v>9</v>
      </c>
      <c r="B3" t="s">
        <v>11</v>
      </c>
    </row>
    <row r="4" spans="1:2" x14ac:dyDescent="0.25">
      <c r="A4" s="3" t="s">
        <v>26</v>
      </c>
      <c r="B4" s="22">
        <v>0.40864626065004733</v>
      </c>
    </row>
    <row r="5" spans="1:2" x14ac:dyDescent="0.25">
      <c r="A5" s="3" t="s">
        <v>27</v>
      </c>
      <c r="B5" s="22">
        <v>0.59135373934995261</v>
      </c>
    </row>
    <row r="6" spans="1:2" x14ac:dyDescent="0.25">
      <c r="A6" s="3" t="s">
        <v>10</v>
      </c>
      <c r="B6" s="22">
        <v>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15F2B9-7F94-49F6-BA0C-514B2A5E49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lettuce_dataset</vt:lpstr>
      <vt:lpstr>lettuce_dataset2</vt:lpstr>
      <vt:lpstr>Pre-analysis board</vt:lpstr>
      <vt:lpstr>In-analysis board</vt:lpstr>
      <vt:lpstr>Dashboard</vt:lpstr>
      <vt:lpstr>Post-analysis board</vt:lpstr>
      <vt:lpstr>Trend of daily Humidity </vt:lpstr>
      <vt:lpstr>Trend of daily Temp</vt:lpstr>
      <vt:lpstr>Trend of Daily TDS</vt:lpstr>
      <vt:lpstr>Trend of DailyPH</vt:lpstr>
      <vt:lpstr>Growth rate number</vt:lpstr>
      <vt:lpstr>Total lettuce each day</vt:lpstr>
      <vt:lpstr>Nutrient adequacy perc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OYIBO DORCAS</dc:creator>
  <cp:lastModifiedBy>OYIBO DORCAS</cp:lastModifiedBy>
  <dcterms:created xsi:type="dcterms:W3CDTF">2025-09-24T13:03:47Z</dcterms:created>
  <dcterms:modified xsi:type="dcterms:W3CDTF">2025-11-03T14:17:36Z</dcterms:modified>
</cp:coreProperties>
</file>